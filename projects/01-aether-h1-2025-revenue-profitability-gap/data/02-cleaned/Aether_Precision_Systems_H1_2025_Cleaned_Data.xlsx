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C5969FB-0CE7-46F0-82A8-8672309775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_Transactions_Raw" sheetId="1" r:id="rId1"/>
    <sheet name="02_Customers_Raw" sheetId="2" r:id="rId2"/>
    <sheet name="03_Products_Raw" sheetId="3" r:id="rId3"/>
    <sheet name="04_Costs_Raw" sheetId="4" r:id="rId4"/>
    <sheet name="05_Budget_Raw" sheetId="5" r:id="rId5"/>
    <sheet name="06_Org_Reference_Raw" sheetId="6" r:id="rId6"/>
    <sheet name="07_FX_Rates_Raw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R1294" i="1"/>
  <c r="AN1294" i="1"/>
  <c r="D2" i="6"/>
  <c r="D3" i="6"/>
  <c r="D4" i="6"/>
  <c r="D5" i="6"/>
  <c r="D6" i="6"/>
  <c r="D7" i="6"/>
  <c r="D8" i="6"/>
  <c r="D9" i="6"/>
  <c r="D10" i="6"/>
  <c r="D11" i="6"/>
  <c r="D12" i="6"/>
  <c r="D13" i="6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L233" i="4"/>
  <c r="L234" i="4"/>
  <c r="L244" i="4"/>
  <c r="L245" i="4"/>
  <c r="L256" i="4"/>
  <c r="L257" i="4"/>
  <c r="L268" i="4"/>
  <c r="L269" i="4"/>
  <c r="L279" i="4"/>
  <c r="L280" i="4"/>
  <c r="L290" i="4"/>
  <c r="L291" i="4"/>
  <c r="L302" i="4"/>
  <c r="L303" i="4"/>
  <c r="L314" i="4"/>
  <c r="L315" i="4"/>
  <c r="L174" i="4"/>
  <c r="L175" i="4"/>
  <c r="L186" i="4"/>
  <c r="L187" i="4"/>
  <c r="L198" i="4"/>
  <c r="L199" i="4"/>
  <c r="L210" i="4"/>
  <c r="L211" i="4"/>
  <c r="L2" i="4"/>
  <c r="L222" i="4"/>
  <c r="L102" i="4"/>
  <c r="L103" i="4"/>
  <c r="L114" i="4"/>
  <c r="L115" i="4"/>
  <c r="L126" i="4"/>
  <c r="L127" i="4"/>
  <c r="L138" i="4"/>
  <c r="L139" i="4"/>
  <c r="L150" i="4"/>
  <c r="L151" i="4"/>
  <c r="L162" i="4"/>
  <c r="L163" i="4"/>
  <c r="L3" i="4"/>
  <c r="L235" i="4"/>
  <c r="L246" i="4"/>
  <c r="L247" i="4"/>
  <c r="L258" i="4"/>
  <c r="L259" i="4"/>
  <c r="L270" i="4"/>
  <c r="L271" i="4"/>
  <c r="L281" i="4"/>
  <c r="L282" i="4"/>
  <c r="L292" i="4"/>
  <c r="L293" i="4"/>
  <c r="L304" i="4"/>
  <c r="L305" i="4"/>
  <c r="L316" i="4"/>
  <c r="L317" i="4"/>
  <c r="L176" i="4"/>
  <c r="L177" i="4"/>
  <c r="L188" i="4"/>
  <c r="L189" i="4"/>
  <c r="L200" i="4"/>
  <c r="L201" i="4"/>
  <c r="L212" i="4"/>
  <c r="L213" i="4"/>
  <c r="L223" i="4"/>
  <c r="L224" i="4"/>
  <c r="L104" i="4"/>
  <c r="L105" i="4"/>
  <c r="L116" i="4"/>
  <c r="L117" i="4"/>
  <c r="L128" i="4"/>
  <c r="L129" i="4"/>
  <c r="L140" i="4"/>
  <c r="L141" i="4"/>
  <c r="L152" i="4"/>
  <c r="L153" i="4"/>
  <c r="L164" i="4"/>
  <c r="L165" i="4"/>
  <c r="L236" i="4"/>
  <c r="L237" i="4"/>
  <c r="L248" i="4"/>
  <c r="L249" i="4"/>
  <c r="L260" i="4"/>
  <c r="L261" i="4"/>
  <c r="L272" i="4"/>
  <c r="L273" i="4"/>
  <c r="L283" i="4"/>
  <c r="L284" i="4"/>
  <c r="L294" i="4"/>
  <c r="L295" i="4"/>
  <c r="L306" i="4"/>
  <c r="L307" i="4"/>
  <c r="L318" i="4"/>
  <c r="L319" i="4"/>
  <c r="L178" i="4"/>
  <c r="L179" i="4"/>
  <c r="L190" i="4"/>
  <c r="L191" i="4"/>
  <c r="L202" i="4"/>
  <c r="L203" i="4"/>
  <c r="L214" i="4"/>
  <c r="L215" i="4"/>
  <c r="L225" i="4"/>
  <c r="L226" i="4"/>
  <c r="L106" i="4"/>
  <c r="L107" i="4"/>
  <c r="L118" i="4"/>
  <c r="L119" i="4"/>
  <c r="L130" i="4"/>
  <c r="L131" i="4"/>
  <c r="L142" i="4"/>
  <c r="L143" i="4"/>
  <c r="L154" i="4"/>
  <c r="L155" i="4"/>
  <c r="L166" i="4"/>
  <c r="L167" i="4"/>
  <c r="L238" i="4"/>
  <c r="L239" i="4"/>
  <c r="L250" i="4"/>
  <c r="L251" i="4"/>
  <c r="L262" i="4"/>
  <c r="L263" i="4"/>
  <c r="L4" i="4"/>
  <c r="L274" i="4"/>
  <c r="L285" i="4"/>
  <c r="L286" i="4"/>
  <c r="L296" i="4"/>
  <c r="L297" i="4"/>
  <c r="L308" i="4"/>
  <c r="L309" i="4"/>
  <c r="L320" i="4"/>
  <c r="L321" i="4"/>
  <c r="L180" i="4"/>
  <c r="L181" i="4"/>
  <c r="L192" i="4"/>
  <c r="L193" i="4"/>
  <c r="L204" i="4"/>
  <c r="L205" i="4"/>
  <c r="L216" i="4"/>
  <c r="L217" i="4"/>
  <c r="L227" i="4"/>
  <c r="L228" i="4"/>
  <c r="L108" i="4"/>
  <c r="L109" i="4"/>
  <c r="L120" i="4"/>
  <c r="L121" i="4"/>
  <c r="L132" i="4"/>
  <c r="L133" i="4"/>
  <c r="L144" i="4"/>
  <c r="L145" i="4"/>
  <c r="L156" i="4"/>
  <c r="L157" i="4"/>
  <c r="L168" i="4"/>
  <c r="L169" i="4"/>
  <c r="L240" i="4"/>
  <c r="L241" i="4"/>
  <c r="L252" i="4"/>
  <c r="L253" i="4"/>
  <c r="L264" i="4"/>
  <c r="L265" i="4"/>
  <c r="L275" i="4"/>
  <c r="L276" i="4"/>
  <c r="L287" i="4"/>
  <c r="L288" i="4"/>
  <c r="L298" i="4"/>
  <c r="L299" i="4"/>
  <c r="L310" i="4"/>
  <c r="L311" i="4"/>
  <c r="L322" i="4"/>
  <c r="L323" i="4"/>
  <c r="L182" i="4"/>
  <c r="L183" i="4"/>
  <c r="L194" i="4"/>
  <c r="L195" i="4"/>
  <c r="L206" i="4"/>
  <c r="L207" i="4"/>
  <c r="L218" i="4"/>
  <c r="L219" i="4"/>
  <c r="L229" i="4"/>
  <c r="L230" i="4"/>
  <c r="L110" i="4"/>
  <c r="L111" i="4"/>
  <c r="L122" i="4"/>
  <c r="L123" i="4"/>
  <c r="L134" i="4"/>
  <c r="L135" i="4"/>
  <c r="L146" i="4"/>
  <c r="L147" i="4"/>
  <c r="L158" i="4"/>
  <c r="L159" i="4"/>
  <c r="L170" i="4"/>
  <c r="L171" i="4"/>
  <c r="L242" i="4"/>
  <c r="L243" i="4"/>
  <c r="L254" i="4"/>
  <c r="L255" i="4"/>
  <c r="L266" i="4"/>
  <c r="L267" i="4"/>
  <c r="L277" i="4"/>
  <c r="L278" i="4"/>
  <c r="L289" i="4"/>
  <c r="L5" i="4"/>
  <c r="L300" i="4"/>
  <c r="L301" i="4"/>
  <c r="L312" i="4"/>
  <c r="L313" i="4"/>
  <c r="L324" i="4"/>
  <c r="L325" i="4"/>
  <c r="L184" i="4"/>
  <c r="L185" i="4"/>
  <c r="L196" i="4"/>
  <c r="L197" i="4"/>
  <c r="L208" i="4"/>
  <c r="L209" i="4"/>
  <c r="L220" i="4"/>
  <c r="L221" i="4"/>
  <c r="L231" i="4"/>
  <c r="L232" i="4"/>
  <c r="L112" i="4"/>
  <c r="L113" i="4"/>
  <c r="L124" i="4"/>
  <c r="L125" i="4"/>
  <c r="L136" i="4"/>
  <c r="L137" i="4"/>
  <c r="L148" i="4"/>
  <c r="L149" i="4"/>
  <c r="L160" i="4"/>
  <c r="L161" i="4"/>
  <c r="L172" i="4"/>
  <c r="L173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J233" i="4"/>
  <c r="J234" i="4"/>
  <c r="J244" i="4"/>
  <c r="J245" i="4"/>
  <c r="J256" i="4"/>
  <c r="J257" i="4"/>
  <c r="J268" i="4"/>
  <c r="J269" i="4"/>
  <c r="J279" i="4"/>
  <c r="J280" i="4"/>
  <c r="J290" i="4"/>
  <c r="J291" i="4"/>
  <c r="J302" i="4"/>
  <c r="J303" i="4"/>
  <c r="J314" i="4"/>
  <c r="J315" i="4"/>
  <c r="J174" i="4"/>
  <c r="J175" i="4"/>
  <c r="J186" i="4"/>
  <c r="J187" i="4"/>
  <c r="J198" i="4"/>
  <c r="J199" i="4"/>
  <c r="J210" i="4"/>
  <c r="J211" i="4"/>
  <c r="J2" i="4"/>
  <c r="J222" i="4"/>
  <c r="J102" i="4"/>
  <c r="J103" i="4"/>
  <c r="J114" i="4"/>
  <c r="J115" i="4"/>
  <c r="J126" i="4"/>
  <c r="J127" i="4"/>
  <c r="J138" i="4"/>
  <c r="J139" i="4"/>
  <c r="J150" i="4"/>
  <c r="J151" i="4"/>
  <c r="J162" i="4"/>
  <c r="J163" i="4"/>
  <c r="J3" i="4"/>
  <c r="J235" i="4"/>
  <c r="J246" i="4"/>
  <c r="J247" i="4"/>
  <c r="J258" i="4"/>
  <c r="J259" i="4"/>
  <c r="J270" i="4"/>
  <c r="J271" i="4"/>
  <c r="J281" i="4"/>
  <c r="J282" i="4"/>
  <c r="J292" i="4"/>
  <c r="J293" i="4"/>
  <c r="J304" i="4"/>
  <c r="J305" i="4"/>
  <c r="J316" i="4"/>
  <c r="J317" i="4"/>
  <c r="J176" i="4"/>
  <c r="J177" i="4"/>
  <c r="J188" i="4"/>
  <c r="J189" i="4"/>
  <c r="J200" i="4"/>
  <c r="J201" i="4"/>
  <c r="J212" i="4"/>
  <c r="J213" i="4"/>
  <c r="J223" i="4"/>
  <c r="J224" i="4"/>
  <c r="J104" i="4"/>
  <c r="J105" i="4"/>
  <c r="J116" i="4"/>
  <c r="J117" i="4"/>
  <c r="J128" i="4"/>
  <c r="J129" i="4"/>
  <c r="J140" i="4"/>
  <c r="J141" i="4"/>
  <c r="J152" i="4"/>
  <c r="J153" i="4"/>
  <c r="J164" i="4"/>
  <c r="J165" i="4"/>
  <c r="J236" i="4"/>
  <c r="J237" i="4"/>
  <c r="J248" i="4"/>
  <c r="J249" i="4"/>
  <c r="J260" i="4"/>
  <c r="J261" i="4"/>
  <c r="J272" i="4"/>
  <c r="J273" i="4"/>
  <c r="J283" i="4"/>
  <c r="J284" i="4"/>
  <c r="J294" i="4"/>
  <c r="J295" i="4"/>
  <c r="J306" i="4"/>
  <c r="J307" i="4"/>
  <c r="J318" i="4"/>
  <c r="J319" i="4"/>
  <c r="J178" i="4"/>
  <c r="J179" i="4"/>
  <c r="J190" i="4"/>
  <c r="J191" i="4"/>
  <c r="J202" i="4"/>
  <c r="J203" i="4"/>
  <c r="J214" i="4"/>
  <c r="J215" i="4"/>
  <c r="J225" i="4"/>
  <c r="J226" i="4"/>
  <c r="J106" i="4"/>
  <c r="J107" i="4"/>
  <c r="J118" i="4"/>
  <c r="J119" i="4"/>
  <c r="J130" i="4"/>
  <c r="J131" i="4"/>
  <c r="J142" i="4"/>
  <c r="J143" i="4"/>
  <c r="J154" i="4"/>
  <c r="J155" i="4"/>
  <c r="J166" i="4"/>
  <c r="J167" i="4"/>
  <c r="J238" i="4"/>
  <c r="J239" i="4"/>
  <c r="J250" i="4"/>
  <c r="J251" i="4"/>
  <c r="J262" i="4"/>
  <c r="J263" i="4"/>
  <c r="J4" i="4"/>
  <c r="J274" i="4"/>
  <c r="J285" i="4"/>
  <c r="J286" i="4"/>
  <c r="J296" i="4"/>
  <c r="J297" i="4"/>
  <c r="J308" i="4"/>
  <c r="J309" i="4"/>
  <c r="J320" i="4"/>
  <c r="J321" i="4"/>
  <c r="J180" i="4"/>
  <c r="J181" i="4"/>
  <c r="J192" i="4"/>
  <c r="J193" i="4"/>
  <c r="J204" i="4"/>
  <c r="J205" i="4"/>
  <c r="J216" i="4"/>
  <c r="J217" i="4"/>
  <c r="J227" i="4"/>
  <c r="J228" i="4"/>
  <c r="J108" i="4"/>
  <c r="J109" i="4"/>
  <c r="J120" i="4"/>
  <c r="J121" i="4"/>
  <c r="J132" i="4"/>
  <c r="J133" i="4"/>
  <c r="J144" i="4"/>
  <c r="J145" i="4"/>
  <c r="J156" i="4"/>
  <c r="J157" i="4"/>
  <c r="J168" i="4"/>
  <c r="J169" i="4"/>
  <c r="J240" i="4"/>
  <c r="J241" i="4"/>
  <c r="J252" i="4"/>
  <c r="J253" i="4"/>
  <c r="J264" i="4"/>
  <c r="J265" i="4"/>
  <c r="J275" i="4"/>
  <c r="J276" i="4"/>
  <c r="J287" i="4"/>
  <c r="J288" i="4"/>
  <c r="J298" i="4"/>
  <c r="J299" i="4"/>
  <c r="J310" i="4"/>
  <c r="J311" i="4"/>
  <c r="J322" i="4"/>
  <c r="J323" i="4"/>
  <c r="J182" i="4"/>
  <c r="J183" i="4"/>
  <c r="J194" i="4"/>
  <c r="J195" i="4"/>
  <c r="J206" i="4"/>
  <c r="J207" i="4"/>
  <c r="J218" i="4"/>
  <c r="J219" i="4"/>
  <c r="J229" i="4"/>
  <c r="J230" i="4"/>
  <c r="J110" i="4"/>
  <c r="J111" i="4"/>
  <c r="J122" i="4"/>
  <c r="J123" i="4"/>
  <c r="J134" i="4"/>
  <c r="J135" i="4"/>
  <c r="J146" i="4"/>
  <c r="J147" i="4"/>
  <c r="J158" i="4"/>
  <c r="J159" i="4"/>
  <c r="J170" i="4"/>
  <c r="J171" i="4"/>
  <c r="J242" i="4"/>
  <c r="J243" i="4"/>
  <c r="J254" i="4"/>
  <c r="J255" i="4"/>
  <c r="J266" i="4"/>
  <c r="J267" i="4"/>
  <c r="J277" i="4"/>
  <c r="J278" i="4"/>
  <c r="J289" i="4"/>
  <c r="J5" i="4"/>
  <c r="J300" i="4"/>
  <c r="J301" i="4"/>
  <c r="J312" i="4"/>
  <c r="J313" i="4"/>
  <c r="J324" i="4"/>
  <c r="J325" i="4"/>
  <c r="J184" i="4"/>
  <c r="J185" i="4"/>
  <c r="J196" i="4"/>
  <c r="J197" i="4"/>
  <c r="J208" i="4"/>
  <c r="J209" i="4"/>
  <c r="J220" i="4"/>
  <c r="J221" i="4"/>
  <c r="J231" i="4"/>
  <c r="J232" i="4"/>
  <c r="J112" i="4"/>
  <c r="J113" i="4"/>
  <c r="J124" i="4"/>
  <c r="J125" i="4"/>
  <c r="J136" i="4"/>
  <c r="J137" i="4"/>
  <c r="J148" i="4"/>
  <c r="J149" i="4"/>
  <c r="J160" i="4"/>
  <c r="J161" i="4"/>
  <c r="J172" i="4"/>
  <c r="J173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E233" i="4"/>
  <c r="E234" i="4"/>
  <c r="E244" i="4"/>
  <c r="E245" i="4"/>
  <c r="E256" i="4"/>
  <c r="E257" i="4"/>
  <c r="E268" i="4"/>
  <c r="E269" i="4"/>
  <c r="E279" i="4"/>
  <c r="E280" i="4"/>
  <c r="E290" i="4"/>
  <c r="E291" i="4"/>
  <c r="E302" i="4"/>
  <c r="E303" i="4"/>
  <c r="E314" i="4"/>
  <c r="E315" i="4"/>
  <c r="E174" i="4"/>
  <c r="E175" i="4"/>
  <c r="E186" i="4"/>
  <c r="E187" i="4"/>
  <c r="E198" i="4"/>
  <c r="E199" i="4"/>
  <c r="E210" i="4"/>
  <c r="E211" i="4"/>
  <c r="E2" i="4"/>
  <c r="E222" i="4"/>
  <c r="E102" i="4"/>
  <c r="E103" i="4"/>
  <c r="E114" i="4"/>
  <c r="E115" i="4"/>
  <c r="E126" i="4"/>
  <c r="E127" i="4"/>
  <c r="E138" i="4"/>
  <c r="E139" i="4"/>
  <c r="E150" i="4"/>
  <c r="E151" i="4"/>
  <c r="E162" i="4"/>
  <c r="E163" i="4"/>
  <c r="E3" i="4"/>
  <c r="E235" i="4"/>
  <c r="E246" i="4"/>
  <c r="E247" i="4"/>
  <c r="E258" i="4"/>
  <c r="E259" i="4"/>
  <c r="E270" i="4"/>
  <c r="E271" i="4"/>
  <c r="E281" i="4"/>
  <c r="E282" i="4"/>
  <c r="E292" i="4"/>
  <c r="E293" i="4"/>
  <c r="E304" i="4"/>
  <c r="E305" i="4"/>
  <c r="E316" i="4"/>
  <c r="E317" i="4"/>
  <c r="E176" i="4"/>
  <c r="E177" i="4"/>
  <c r="E188" i="4"/>
  <c r="E189" i="4"/>
  <c r="E200" i="4"/>
  <c r="E201" i="4"/>
  <c r="E212" i="4"/>
  <c r="E213" i="4"/>
  <c r="E223" i="4"/>
  <c r="E224" i="4"/>
  <c r="E104" i="4"/>
  <c r="E105" i="4"/>
  <c r="E116" i="4"/>
  <c r="E117" i="4"/>
  <c r="E128" i="4"/>
  <c r="E129" i="4"/>
  <c r="E140" i="4"/>
  <c r="E141" i="4"/>
  <c r="E152" i="4"/>
  <c r="E153" i="4"/>
  <c r="E164" i="4"/>
  <c r="E165" i="4"/>
  <c r="E236" i="4"/>
  <c r="E237" i="4"/>
  <c r="E248" i="4"/>
  <c r="E249" i="4"/>
  <c r="E260" i="4"/>
  <c r="E261" i="4"/>
  <c r="E272" i="4"/>
  <c r="E273" i="4"/>
  <c r="E283" i="4"/>
  <c r="E284" i="4"/>
  <c r="E294" i="4"/>
  <c r="E295" i="4"/>
  <c r="E306" i="4"/>
  <c r="E307" i="4"/>
  <c r="E318" i="4"/>
  <c r="E319" i="4"/>
  <c r="E178" i="4"/>
  <c r="E179" i="4"/>
  <c r="E190" i="4"/>
  <c r="E191" i="4"/>
  <c r="E202" i="4"/>
  <c r="E203" i="4"/>
  <c r="E214" i="4"/>
  <c r="E215" i="4"/>
  <c r="E225" i="4"/>
  <c r="E226" i="4"/>
  <c r="E106" i="4"/>
  <c r="E107" i="4"/>
  <c r="E118" i="4"/>
  <c r="E119" i="4"/>
  <c r="E130" i="4"/>
  <c r="E131" i="4"/>
  <c r="E142" i="4"/>
  <c r="E143" i="4"/>
  <c r="E154" i="4"/>
  <c r="E155" i="4"/>
  <c r="E166" i="4"/>
  <c r="E167" i="4"/>
  <c r="E238" i="4"/>
  <c r="E239" i="4"/>
  <c r="E250" i="4"/>
  <c r="E251" i="4"/>
  <c r="E262" i="4"/>
  <c r="E263" i="4"/>
  <c r="E4" i="4"/>
  <c r="E274" i="4"/>
  <c r="E285" i="4"/>
  <c r="E286" i="4"/>
  <c r="E296" i="4"/>
  <c r="E297" i="4"/>
  <c r="E308" i="4"/>
  <c r="E309" i="4"/>
  <c r="E320" i="4"/>
  <c r="E321" i="4"/>
  <c r="E180" i="4"/>
  <c r="E181" i="4"/>
  <c r="E192" i="4"/>
  <c r="E193" i="4"/>
  <c r="E204" i="4"/>
  <c r="E205" i="4"/>
  <c r="E216" i="4"/>
  <c r="E217" i="4"/>
  <c r="E227" i="4"/>
  <c r="E228" i="4"/>
  <c r="E108" i="4"/>
  <c r="E109" i="4"/>
  <c r="E120" i="4"/>
  <c r="E121" i="4"/>
  <c r="E132" i="4"/>
  <c r="E133" i="4"/>
  <c r="E144" i="4"/>
  <c r="E145" i="4"/>
  <c r="E156" i="4"/>
  <c r="E157" i="4"/>
  <c r="E168" i="4"/>
  <c r="E169" i="4"/>
  <c r="E240" i="4"/>
  <c r="E241" i="4"/>
  <c r="E252" i="4"/>
  <c r="E253" i="4"/>
  <c r="E264" i="4"/>
  <c r="E265" i="4"/>
  <c r="E275" i="4"/>
  <c r="E276" i="4"/>
  <c r="E287" i="4"/>
  <c r="E288" i="4"/>
  <c r="E298" i="4"/>
  <c r="E299" i="4"/>
  <c r="E310" i="4"/>
  <c r="E311" i="4"/>
  <c r="E322" i="4"/>
  <c r="E323" i="4"/>
  <c r="E182" i="4"/>
  <c r="E183" i="4"/>
  <c r="E194" i="4"/>
  <c r="E195" i="4"/>
  <c r="E206" i="4"/>
  <c r="E207" i="4"/>
  <c r="E218" i="4"/>
  <c r="E219" i="4"/>
  <c r="E229" i="4"/>
  <c r="E230" i="4"/>
  <c r="E110" i="4"/>
  <c r="E111" i="4"/>
  <c r="E122" i="4"/>
  <c r="E123" i="4"/>
  <c r="E134" i="4"/>
  <c r="E135" i="4"/>
  <c r="E146" i="4"/>
  <c r="E147" i="4"/>
  <c r="E158" i="4"/>
  <c r="E159" i="4"/>
  <c r="E170" i="4"/>
  <c r="E171" i="4"/>
  <c r="E242" i="4"/>
  <c r="E243" i="4"/>
  <c r="E254" i="4"/>
  <c r="E255" i="4"/>
  <c r="E266" i="4"/>
  <c r="E267" i="4"/>
  <c r="E277" i="4"/>
  <c r="E278" i="4"/>
  <c r="E289" i="4"/>
  <c r="E5" i="4"/>
  <c r="E300" i="4"/>
  <c r="E301" i="4"/>
  <c r="E312" i="4"/>
  <c r="E313" i="4"/>
  <c r="E324" i="4"/>
  <c r="E325" i="4"/>
  <c r="E184" i="4"/>
  <c r="E185" i="4"/>
  <c r="E196" i="4"/>
  <c r="E197" i="4"/>
  <c r="E208" i="4"/>
  <c r="E209" i="4"/>
  <c r="E220" i="4"/>
  <c r="E221" i="4"/>
  <c r="E231" i="4"/>
  <c r="E232" i="4"/>
  <c r="E112" i="4"/>
  <c r="E113" i="4"/>
  <c r="E124" i="4"/>
  <c r="E125" i="4"/>
  <c r="E136" i="4"/>
  <c r="E137" i="4"/>
  <c r="E148" i="4"/>
  <c r="E149" i="4"/>
  <c r="E160" i="4"/>
  <c r="E161" i="4"/>
  <c r="E172" i="4"/>
  <c r="E173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J20" i="3" s="1"/>
  <c r="K20" i="3" s="1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C233" i="4"/>
  <c r="C234" i="4"/>
  <c r="C244" i="4"/>
  <c r="C245" i="4"/>
  <c r="C256" i="4"/>
  <c r="C257" i="4"/>
  <c r="C268" i="4"/>
  <c r="C269" i="4"/>
  <c r="C279" i="4"/>
  <c r="C280" i="4"/>
  <c r="C290" i="4"/>
  <c r="C291" i="4"/>
  <c r="C302" i="4"/>
  <c r="C303" i="4"/>
  <c r="C314" i="4"/>
  <c r="C315" i="4"/>
  <c r="C174" i="4"/>
  <c r="C175" i="4"/>
  <c r="C186" i="4"/>
  <c r="C187" i="4"/>
  <c r="C198" i="4"/>
  <c r="C199" i="4"/>
  <c r="C210" i="4"/>
  <c r="C211" i="4"/>
  <c r="C2" i="4"/>
  <c r="C222" i="4"/>
  <c r="C102" i="4"/>
  <c r="C103" i="4"/>
  <c r="C114" i="4"/>
  <c r="C115" i="4"/>
  <c r="C126" i="4"/>
  <c r="C127" i="4"/>
  <c r="C138" i="4"/>
  <c r="C139" i="4"/>
  <c r="C150" i="4"/>
  <c r="C151" i="4"/>
  <c r="C162" i="4"/>
  <c r="C163" i="4"/>
  <c r="C3" i="4"/>
  <c r="C235" i="4"/>
  <c r="C246" i="4"/>
  <c r="C247" i="4"/>
  <c r="C258" i="4"/>
  <c r="C259" i="4"/>
  <c r="C270" i="4"/>
  <c r="C271" i="4"/>
  <c r="C281" i="4"/>
  <c r="C282" i="4"/>
  <c r="C292" i="4"/>
  <c r="C293" i="4"/>
  <c r="C304" i="4"/>
  <c r="C305" i="4"/>
  <c r="C316" i="4"/>
  <c r="C317" i="4"/>
  <c r="C176" i="4"/>
  <c r="C177" i="4"/>
  <c r="C188" i="4"/>
  <c r="C189" i="4"/>
  <c r="C200" i="4"/>
  <c r="C201" i="4"/>
  <c r="C212" i="4"/>
  <c r="C213" i="4"/>
  <c r="C223" i="4"/>
  <c r="C224" i="4"/>
  <c r="C104" i="4"/>
  <c r="C105" i="4"/>
  <c r="C116" i="4"/>
  <c r="C117" i="4"/>
  <c r="C128" i="4"/>
  <c r="C129" i="4"/>
  <c r="C140" i="4"/>
  <c r="C141" i="4"/>
  <c r="C152" i="4"/>
  <c r="C153" i="4"/>
  <c r="C164" i="4"/>
  <c r="C165" i="4"/>
  <c r="C236" i="4"/>
  <c r="C237" i="4"/>
  <c r="C248" i="4"/>
  <c r="C249" i="4"/>
  <c r="C260" i="4"/>
  <c r="C261" i="4"/>
  <c r="C272" i="4"/>
  <c r="C273" i="4"/>
  <c r="C283" i="4"/>
  <c r="C284" i="4"/>
  <c r="C294" i="4"/>
  <c r="C295" i="4"/>
  <c r="C306" i="4"/>
  <c r="C307" i="4"/>
  <c r="C318" i="4"/>
  <c r="C319" i="4"/>
  <c r="C178" i="4"/>
  <c r="C179" i="4"/>
  <c r="C190" i="4"/>
  <c r="C191" i="4"/>
  <c r="C202" i="4"/>
  <c r="C203" i="4"/>
  <c r="C214" i="4"/>
  <c r="C215" i="4"/>
  <c r="C225" i="4"/>
  <c r="C226" i="4"/>
  <c r="C106" i="4"/>
  <c r="C107" i="4"/>
  <c r="C118" i="4"/>
  <c r="C119" i="4"/>
  <c r="C130" i="4"/>
  <c r="C131" i="4"/>
  <c r="C142" i="4"/>
  <c r="C143" i="4"/>
  <c r="C154" i="4"/>
  <c r="C155" i="4"/>
  <c r="C166" i="4"/>
  <c r="C167" i="4"/>
  <c r="C238" i="4"/>
  <c r="C239" i="4"/>
  <c r="C250" i="4"/>
  <c r="C251" i="4"/>
  <c r="C262" i="4"/>
  <c r="C263" i="4"/>
  <c r="C4" i="4"/>
  <c r="C274" i="4"/>
  <c r="C285" i="4"/>
  <c r="C286" i="4"/>
  <c r="C296" i="4"/>
  <c r="C297" i="4"/>
  <c r="C308" i="4"/>
  <c r="C309" i="4"/>
  <c r="C320" i="4"/>
  <c r="C321" i="4"/>
  <c r="C180" i="4"/>
  <c r="C181" i="4"/>
  <c r="C192" i="4"/>
  <c r="C193" i="4"/>
  <c r="C204" i="4"/>
  <c r="C205" i="4"/>
  <c r="C216" i="4"/>
  <c r="C217" i="4"/>
  <c r="C227" i="4"/>
  <c r="C228" i="4"/>
  <c r="C108" i="4"/>
  <c r="C109" i="4"/>
  <c r="C120" i="4"/>
  <c r="C121" i="4"/>
  <c r="C132" i="4"/>
  <c r="C133" i="4"/>
  <c r="C144" i="4"/>
  <c r="C145" i="4"/>
  <c r="C156" i="4"/>
  <c r="C157" i="4"/>
  <c r="C168" i="4"/>
  <c r="C169" i="4"/>
  <c r="C240" i="4"/>
  <c r="C241" i="4"/>
  <c r="C252" i="4"/>
  <c r="C253" i="4"/>
  <c r="C264" i="4"/>
  <c r="C265" i="4"/>
  <c r="C275" i="4"/>
  <c r="C276" i="4"/>
  <c r="C287" i="4"/>
  <c r="C288" i="4"/>
  <c r="C298" i="4"/>
  <c r="C299" i="4"/>
  <c r="C310" i="4"/>
  <c r="C311" i="4"/>
  <c r="C322" i="4"/>
  <c r="C323" i="4"/>
  <c r="C182" i="4"/>
  <c r="C183" i="4"/>
  <c r="C194" i="4"/>
  <c r="C195" i="4"/>
  <c r="C206" i="4"/>
  <c r="C207" i="4"/>
  <c r="C218" i="4"/>
  <c r="C219" i="4"/>
  <c r="C229" i="4"/>
  <c r="C230" i="4"/>
  <c r="C110" i="4"/>
  <c r="C111" i="4"/>
  <c r="C122" i="4"/>
  <c r="C123" i="4"/>
  <c r="C134" i="4"/>
  <c r="C135" i="4"/>
  <c r="C146" i="4"/>
  <c r="C147" i="4"/>
  <c r="C158" i="4"/>
  <c r="C159" i="4"/>
  <c r="C170" i="4"/>
  <c r="C171" i="4"/>
  <c r="C242" i="4"/>
  <c r="C243" i="4"/>
  <c r="C254" i="4"/>
  <c r="C255" i="4"/>
  <c r="C266" i="4"/>
  <c r="C267" i="4"/>
  <c r="C277" i="4"/>
  <c r="C278" i="4"/>
  <c r="C289" i="4"/>
  <c r="C5" i="4"/>
  <c r="C300" i="4"/>
  <c r="C301" i="4"/>
  <c r="C312" i="4"/>
  <c r="C313" i="4"/>
  <c r="C324" i="4"/>
  <c r="C325" i="4"/>
  <c r="C184" i="4"/>
  <c r="C185" i="4"/>
  <c r="C196" i="4"/>
  <c r="C197" i="4"/>
  <c r="C208" i="4"/>
  <c r="C209" i="4"/>
  <c r="C220" i="4"/>
  <c r="C221" i="4"/>
  <c r="C231" i="4"/>
  <c r="C232" i="4"/>
  <c r="C112" i="4"/>
  <c r="C113" i="4"/>
  <c r="C124" i="4"/>
  <c r="C125" i="4"/>
  <c r="C136" i="4"/>
  <c r="C137" i="4"/>
  <c r="C148" i="4"/>
  <c r="C149" i="4"/>
  <c r="C160" i="4"/>
  <c r="C161" i="4"/>
  <c r="C172" i="4"/>
  <c r="C173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H1170" i="1"/>
  <c r="H284" i="1"/>
  <c r="H473" i="1"/>
  <c r="H1273" i="1"/>
  <c r="H1196" i="1"/>
  <c r="H416" i="1"/>
  <c r="H400" i="1"/>
  <c r="H137" i="1"/>
  <c r="H651" i="1"/>
  <c r="H1250" i="1"/>
  <c r="H99" i="1"/>
  <c r="H863" i="1"/>
  <c r="H905" i="1"/>
  <c r="H1048" i="1"/>
  <c r="H298" i="1"/>
  <c r="H477" i="1"/>
  <c r="H1161" i="1"/>
  <c r="H483" i="1"/>
  <c r="H73" i="1"/>
  <c r="H1005" i="1"/>
  <c r="H1178" i="1"/>
  <c r="H576" i="1"/>
  <c r="H757" i="1"/>
  <c r="H1023" i="1"/>
  <c r="H425" i="1"/>
  <c r="H767" i="1"/>
  <c r="H728" i="1"/>
  <c r="H83" i="1"/>
  <c r="H949" i="1"/>
  <c r="H465" i="1"/>
  <c r="H1293" i="1"/>
  <c r="H658" i="1"/>
  <c r="H545" i="1"/>
  <c r="H1191" i="1"/>
  <c r="H386" i="1"/>
  <c r="H1232" i="1"/>
  <c r="H866" i="1"/>
  <c r="H37" i="1"/>
  <c r="H663" i="1"/>
  <c r="H426" i="1"/>
  <c r="H557" i="1"/>
  <c r="H436" i="1"/>
  <c r="H1150" i="1"/>
  <c r="H1129" i="1"/>
  <c r="H420" i="1"/>
  <c r="H722" i="1"/>
  <c r="H604" i="1"/>
  <c r="H713" i="1"/>
  <c r="H503" i="1"/>
  <c r="H424" i="1"/>
  <c r="H214" i="1"/>
  <c r="H16" i="1"/>
  <c r="H736" i="1"/>
  <c r="H795" i="1"/>
  <c r="H1082" i="1"/>
  <c r="H892" i="1"/>
  <c r="H533" i="1"/>
  <c r="H219" i="1"/>
  <c r="H134" i="1"/>
  <c r="H694" i="1"/>
  <c r="H1266" i="1"/>
  <c r="H280" i="1"/>
  <c r="H950" i="1"/>
  <c r="H821" i="1"/>
  <c r="H1265" i="1"/>
  <c r="H962" i="1"/>
  <c r="H1143" i="1"/>
  <c r="H865" i="1"/>
  <c r="H427" i="1"/>
  <c r="H867" i="1"/>
  <c r="H71" i="1"/>
  <c r="H486" i="1"/>
  <c r="H859" i="1"/>
  <c r="H693" i="1"/>
  <c r="H1241" i="1"/>
  <c r="H639" i="1"/>
  <c r="H501" i="1"/>
  <c r="H934" i="1"/>
  <c r="H148" i="1"/>
  <c r="H858" i="1"/>
  <c r="H793" i="1"/>
  <c r="H542" i="1"/>
  <c r="H654" i="1"/>
  <c r="H687" i="1"/>
  <c r="H51" i="1"/>
  <c r="H497" i="1"/>
  <c r="H150" i="1"/>
  <c r="H27" i="1"/>
  <c r="H1055" i="1"/>
  <c r="H1066" i="1"/>
  <c r="H1026" i="1"/>
  <c r="H353" i="1"/>
  <c r="H944" i="1"/>
  <c r="H911" i="1"/>
  <c r="H116" i="1"/>
  <c r="H617" i="1"/>
  <c r="H173" i="1"/>
  <c r="H94" i="1"/>
  <c r="H20" i="1"/>
  <c r="H994" i="1"/>
  <c r="H454" i="1"/>
  <c r="H1163" i="1"/>
  <c r="H86" i="1"/>
  <c r="H816" i="1"/>
  <c r="H364" i="1"/>
  <c r="H1174" i="1"/>
  <c r="H543" i="1"/>
  <c r="H216" i="1"/>
  <c r="H668" i="1"/>
  <c r="H1204" i="1"/>
  <c r="H938" i="1"/>
  <c r="H539" i="1"/>
  <c r="H877" i="1"/>
  <c r="H518" i="1"/>
  <c r="H1253" i="1"/>
  <c r="H1135" i="1"/>
  <c r="H1138" i="1"/>
  <c r="H675" i="1"/>
  <c r="H1236" i="1"/>
  <c r="H853" i="1"/>
  <c r="H448" i="1"/>
  <c r="H963" i="1"/>
  <c r="H1077" i="1"/>
  <c r="H791" i="1"/>
  <c r="H704" i="1"/>
  <c r="H1264" i="1"/>
  <c r="H1096" i="1"/>
  <c r="H769" i="1"/>
  <c r="H674" i="1"/>
  <c r="H257" i="1"/>
  <c r="H744" i="1"/>
  <c r="H334" i="1"/>
  <c r="H1051" i="1"/>
  <c r="H979" i="1"/>
  <c r="H780" i="1"/>
  <c r="H1022" i="1"/>
  <c r="H547" i="1"/>
  <c r="H22" i="1"/>
  <c r="H471" i="1"/>
  <c r="H705" i="1"/>
  <c r="H296" i="1"/>
  <c r="H1245" i="1"/>
  <c r="H669" i="1"/>
  <c r="H611" i="1"/>
  <c r="H508" i="1"/>
  <c r="H446" i="1"/>
  <c r="H1097" i="1"/>
  <c r="H812" i="1"/>
  <c r="H194" i="1"/>
  <c r="H929" i="1"/>
  <c r="H925" i="1"/>
  <c r="H391" i="1"/>
  <c r="H244" i="1"/>
  <c r="H200" i="1"/>
  <c r="H1195" i="1"/>
  <c r="H810" i="1"/>
  <c r="H122" i="1"/>
  <c r="H363" i="1"/>
  <c r="H193" i="1"/>
  <c r="H59" i="1"/>
  <c r="H462" i="1"/>
  <c r="H690" i="1"/>
  <c r="H1020" i="1"/>
  <c r="H844" i="1"/>
  <c r="H24" i="1"/>
  <c r="H475" i="1"/>
  <c r="H969" i="1"/>
  <c r="H19" i="1"/>
  <c r="H1237" i="1"/>
  <c r="H847" i="1"/>
  <c r="H868" i="1"/>
  <c r="H355" i="1"/>
  <c r="H286" i="1"/>
  <c r="H995" i="1"/>
  <c r="H566" i="1"/>
  <c r="H1056" i="1"/>
  <c r="H1205" i="1"/>
  <c r="H67" i="1"/>
  <c r="H511" i="1"/>
  <c r="H1231" i="1"/>
  <c r="H380" i="1"/>
  <c r="H92" i="1"/>
  <c r="H211" i="1"/>
  <c r="H1240" i="1"/>
  <c r="H632" i="1"/>
  <c r="H550" i="1"/>
  <c r="H1176" i="1"/>
  <c r="H1275" i="1"/>
  <c r="H899" i="1"/>
  <c r="H210" i="1"/>
  <c r="H114" i="1"/>
  <c r="H405" i="1"/>
  <c r="H586" i="1"/>
  <c r="H1207" i="1"/>
  <c r="H828" i="1"/>
  <c r="H506" i="1"/>
  <c r="H885" i="1"/>
  <c r="H72" i="1"/>
  <c r="H430" i="1"/>
  <c r="H843" i="1"/>
  <c r="H1185" i="1"/>
  <c r="H563" i="1"/>
  <c r="H981" i="1"/>
  <c r="H745" i="1"/>
  <c r="H524" i="1"/>
  <c r="H931" i="1"/>
  <c r="H205" i="1"/>
  <c r="H528" i="1"/>
  <c r="H531" i="1"/>
  <c r="H737" i="1"/>
  <c r="H288" i="1"/>
  <c r="H875" i="1"/>
  <c r="H1151" i="1"/>
  <c r="H977" i="1"/>
  <c r="H996" i="1"/>
  <c r="H249" i="1"/>
  <c r="H1090" i="1"/>
  <c r="H322" i="1"/>
  <c r="H1262" i="1"/>
  <c r="H186" i="1"/>
  <c r="H921" i="1"/>
  <c r="H461" i="1"/>
  <c r="H278" i="1"/>
  <c r="H526" i="1"/>
  <c r="H813" i="1"/>
  <c r="H142" i="1"/>
  <c r="H69" i="1"/>
  <c r="H376" i="1"/>
  <c r="H378" i="1"/>
  <c r="H498" i="1"/>
  <c r="H947" i="1"/>
  <c r="H1280" i="1"/>
  <c r="H1276" i="1"/>
  <c r="H1147" i="1"/>
  <c r="H1118" i="1"/>
  <c r="H381" i="1"/>
  <c r="H692" i="1"/>
  <c r="H254" i="1"/>
  <c r="H731" i="1"/>
  <c r="H876" i="1"/>
  <c r="H1219" i="1"/>
  <c r="H870" i="1"/>
  <c r="H152" i="1"/>
  <c r="H926" i="1"/>
  <c r="H519" i="1"/>
  <c r="H610" i="1"/>
  <c r="H248" i="1"/>
  <c r="H833" i="1"/>
  <c r="H246" i="1"/>
  <c r="H105" i="1"/>
  <c r="H450" i="1"/>
  <c r="H909" i="1"/>
  <c r="H252" i="1"/>
  <c r="H65" i="1"/>
  <c r="H366" i="1"/>
  <c r="H273" i="1"/>
  <c r="H1286" i="1"/>
  <c r="H761" i="1"/>
  <c r="H773" i="1"/>
  <c r="H1277" i="1"/>
  <c r="H719" i="1"/>
  <c r="H1261" i="1"/>
  <c r="H1003" i="1"/>
  <c r="H182" i="1"/>
  <c r="H102" i="1"/>
  <c r="H11" i="1"/>
  <c r="H335" i="1"/>
  <c r="H661" i="1"/>
  <c r="H574" i="1"/>
  <c r="H1134" i="1"/>
  <c r="H794" i="1"/>
  <c r="H1228" i="1"/>
  <c r="H678" i="1"/>
  <c r="H597" i="1"/>
  <c r="H277" i="1"/>
  <c r="H262" i="1"/>
  <c r="H126" i="1"/>
  <c r="H417" i="1"/>
  <c r="H402" i="1"/>
  <c r="H1260" i="1"/>
  <c r="H80" i="1"/>
  <c r="H1159" i="1"/>
  <c r="H1284" i="1"/>
  <c r="H1035" i="1"/>
  <c r="H573" i="1"/>
  <c r="H1214" i="1"/>
  <c r="H276" i="1"/>
  <c r="H478" i="1"/>
  <c r="H192" i="1"/>
  <c r="H146" i="1"/>
  <c r="H291" i="1"/>
  <c r="H1157" i="1"/>
  <c r="H422" i="1"/>
  <c r="H540" i="1"/>
  <c r="H81" i="1"/>
  <c r="H849" i="1"/>
  <c r="H259" i="1"/>
  <c r="H959" i="1"/>
  <c r="H360" i="1"/>
  <c r="H251" i="1"/>
  <c r="H869" i="1"/>
  <c r="H1268" i="1"/>
  <c r="H1144" i="1"/>
  <c r="H484" i="1"/>
  <c r="H1034" i="1"/>
  <c r="H516" i="1"/>
  <c r="H514" i="1"/>
  <c r="H285" i="1"/>
  <c r="H1216" i="1"/>
  <c r="H167" i="1"/>
  <c r="H914" i="1"/>
  <c r="H509" i="1"/>
  <c r="H44" i="1"/>
  <c r="H873" i="1"/>
  <c r="H1194" i="1"/>
  <c r="H318" i="1"/>
  <c r="H1281" i="1"/>
  <c r="H706" i="1"/>
  <c r="H856" i="1"/>
  <c r="H891" i="1"/>
  <c r="H365" i="1"/>
  <c r="H599" i="1"/>
  <c r="H749" i="1"/>
  <c r="H788" i="1"/>
  <c r="H185" i="1"/>
  <c r="H258" i="1"/>
  <c r="H1114" i="1"/>
  <c r="H698" i="1"/>
  <c r="H1198" i="1"/>
  <c r="H596" i="1"/>
  <c r="H60" i="1"/>
  <c r="H1025" i="1"/>
  <c r="H317" i="1"/>
  <c r="H266" i="1"/>
  <c r="H536" i="1"/>
  <c r="H55" i="1"/>
  <c r="H534" i="1"/>
  <c r="H643" i="1"/>
  <c r="H245" i="1"/>
  <c r="H771" i="1"/>
  <c r="H772" i="1"/>
  <c r="H612" i="1"/>
  <c r="H123" i="1"/>
  <c r="H409" i="1"/>
  <c r="H1010" i="1"/>
  <c r="H325" i="1"/>
  <c r="H349" i="1"/>
  <c r="H328" i="1"/>
  <c r="H948" i="1"/>
  <c r="H915" i="1"/>
  <c r="H139" i="1"/>
  <c r="H703" i="1"/>
  <c r="H888" i="1"/>
  <c r="H945" i="1"/>
  <c r="H618" i="1"/>
  <c r="H112" i="1"/>
  <c r="H712" i="1"/>
  <c r="H846" i="1"/>
  <c r="H1073" i="1"/>
  <c r="H512" i="1"/>
  <c r="H622" i="1"/>
  <c r="H399" i="1"/>
  <c r="H1002" i="1"/>
  <c r="H548" i="1"/>
  <c r="H1131" i="1"/>
  <c r="H321" i="1"/>
  <c r="H418" i="1"/>
  <c r="H1072" i="1"/>
  <c r="H527" i="1"/>
  <c r="H1235" i="1"/>
  <c r="H1140" i="1"/>
  <c r="H797" i="1"/>
  <c r="H1259" i="1"/>
  <c r="H445" i="1"/>
  <c r="H433" i="1"/>
  <c r="H880" i="1"/>
  <c r="H1229" i="1"/>
  <c r="H919" i="1"/>
  <c r="H490" i="1"/>
  <c r="H7" i="1"/>
  <c r="H631" i="1"/>
  <c r="H901" i="1"/>
  <c r="H766" i="1"/>
  <c r="H1197" i="1"/>
  <c r="H289" i="1"/>
  <c r="H666" i="1"/>
  <c r="H521" i="1"/>
  <c r="H546" i="1"/>
  <c r="H175" i="1"/>
  <c r="H441" i="1"/>
  <c r="H717" i="1"/>
  <c r="H18" i="1"/>
  <c r="H1105" i="1"/>
  <c r="H1243" i="1"/>
  <c r="H581" i="1"/>
  <c r="H1177" i="1"/>
  <c r="H39" i="1"/>
  <c r="H1278" i="1"/>
  <c r="H428" i="1"/>
  <c r="H53" i="1"/>
  <c r="H1079" i="1"/>
  <c r="H1111" i="1"/>
  <c r="H1112" i="1"/>
  <c r="H1075" i="1"/>
  <c r="H504" i="1"/>
  <c r="H1113" i="1"/>
  <c r="H711" i="1"/>
  <c r="H708" i="1"/>
  <c r="H584" i="1"/>
  <c r="H665" i="1"/>
  <c r="H1271" i="1"/>
  <c r="H30" i="1"/>
  <c r="H357" i="1"/>
  <c r="H681" i="1"/>
  <c r="H606" i="1"/>
  <c r="H1291" i="1"/>
  <c r="H1173" i="1"/>
  <c r="H392" i="1"/>
  <c r="H537" i="1"/>
  <c r="H104" i="1"/>
  <c r="H119" i="1"/>
  <c r="H1274" i="1"/>
  <c r="H82" i="1"/>
  <c r="H801" i="1"/>
  <c r="H523" i="1"/>
  <c r="H133" i="1"/>
  <c r="H985" i="1"/>
  <c r="H1044" i="1"/>
  <c r="H1137" i="1"/>
  <c r="H108" i="1"/>
  <c r="H63" i="1"/>
  <c r="H1038" i="1"/>
  <c r="H798" i="1"/>
  <c r="H595" i="1"/>
  <c r="H918" i="1"/>
  <c r="H590" i="1"/>
  <c r="H202" i="1"/>
  <c r="H1149" i="1"/>
  <c r="H682" i="1"/>
  <c r="H1206" i="1"/>
  <c r="H1230" i="1"/>
  <c r="H1021" i="1"/>
  <c r="H1001" i="1"/>
  <c r="H305" i="1"/>
  <c r="H492" i="1"/>
  <c r="H9" i="1"/>
  <c r="H851" i="1"/>
  <c r="H229" i="1"/>
  <c r="H517" i="1"/>
  <c r="H300" i="1"/>
  <c r="H423" i="1"/>
  <c r="H221" i="1"/>
  <c r="H195" i="1"/>
  <c r="H579" i="1"/>
  <c r="H750" i="1"/>
  <c r="H644" i="1"/>
  <c r="H411" i="1"/>
  <c r="H943" i="1"/>
  <c r="H965" i="1"/>
  <c r="H88" i="1"/>
  <c r="H613" i="1"/>
  <c r="H532" i="1"/>
  <c r="H181" i="1"/>
  <c r="H145" i="1"/>
  <c r="H569" i="1"/>
  <c r="H348" i="1"/>
  <c r="H255" i="1"/>
  <c r="H964" i="1"/>
  <c r="H494" i="1"/>
  <c r="H1007" i="1"/>
  <c r="H228" i="1"/>
  <c r="H932" i="1"/>
  <c r="H1069" i="1"/>
  <c r="H1024" i="1"/>
  <c r="H589" i="1"/>
  <c r="H832" i="1"/>
  <c r="H937" i="1"/>
  <c r="H103" i="1"/>
  <c r="H33" i="1"/>
  <c r="H1011" i="1"/>
  <c r="H168" i="1"/>
  <c r="H974" i="1"/>
  <c r="H117" i="1"/>
  <c r="H743" i="1"/>
  <c r="H395" i="1"/>
  <c r="H75" i="1"/>
  <c r="H820" i="1"/>
  <c r="H368" i="1"/>
  <c r="H77" i="1"/>
  <c r="H367" i="1"/>
  <c r="H1019" i="1"/>
  <c r="H572" i="1"/>
  <c r="H971" i="1"/>
  <c r="H1071" i="1"/>
  <c r="H312" i="1"/>
  <c r="H686" i="1"/>
  <c r="H1012" i="1"/>
  <c r="H1248" i="1"/>
  <c r="H373" i="1"/>
  <c r="H952" i="1"/>
  <c r="H630" i="1"/>
  <c r="H1103" i="1"/>
  <c r="H1063" i="1"/>
  <c r="H36" i="1"/>
  <c r="H1095" i="1"/>
  <c r="H895" i="1"/>
  <c r="H1124" i="1"/>
  <c r="H567" i="1"/>
  <c r="H515" i="1"/>
  <c r="H1203" i="1"/>
  <c r="H715" i="1"/>
  <c r="H553" i="1"/>
  <c r="H922" i="1"/>
  <c r="H1234" i="1"/>
  <c r="H953" i="1"/>
  <c r="H184" i="1"/>
  <c r="H1083" i="1"/>
  <c r="H326" i="1"/>
  <c r="H166" i="1"/>
  <c r="H329" i="1"/>
  <c r="H68" i="1"/>
  <c r="H308" i="1"/>
  <c r="H785" i="1"/>
  <c r="H306" i="1"/>
  <c r="H231" i="1"/>
  <c r="H552" i="1"/>
  <c r="H295" i="1"/>
  <c r="H346" i="1"/>
  <c r="H344" i="1"/>
  <c r="H488" i="1"/>
  <c r="H831" i="1"/>
  <c r="H183" i="1"/>
  <c r="H625" i="1"/>
  <c r="H265" i="1"/>
  <c r="H338" i="1"/>
  <c r="H894" i="1"/>
  <c r="H279" i="1"/>
  <c r="H1031" i="1"/>
  <c r="H836" i="1"/>
  <c r="H907" i="1"/>
  <c r="H153" i="1"/>
  <c r="H621" i="1"/>
  <c r="H1239" i="1"/>
  <c r="H764" i="1"/>
  <c r="H624" i="1"/>
  <c r="H25" i="1"/>
  <c r="H479" i="1"/>
  <c r="H878" i="1"/>
  <c r="H966" i="1"/>
  <c r="H394" i="1"/>
  <c r="H223" i="1"/>
  <c r="H999" i="1"/>
  <c r="H1014" i="1"/>
  <c r="H384" i="1"/>
  <c r="H1227" i="1"/>
  <c r="H1152" i="1"/>
  <c r="H591" i="1"/>
  <c r="H558" i="1"/>
  <c r="H272" i="1"/>
  <c r="H942" i="1"/>
  <c r="H482" i="1"/>
  <c r="H1238" i="1"/>
  <c r="H281" i="1"/>
  <c r="H822" i="1"/>
  <c r="H199" i="1"/>
  <c r="H826" i="1"/>
  <c r="H240" i="1"/>
  <c r="H695" i="1"/>
  <c r="H100" i="1"/>
  <c r="H189" i="1"/>
  <c r="H729" i="1"/>
  <c r="H904" i="1"/>
  <c r="H316" i="1"/>
  <c r="H1290" i="1"/>
  <c r="H269" i="1"/>
  <c r="H786" i="1"/>
  <c r="H74" i="1"/>
  <c r="H1128" i="1"/>
  <c r="H115" i="1"/>
  <c r="H271" i="1"/>
  <c r="H84" i="1"/>
  <c r="H190" i="1"/>
  <c r="H101" i="1"/>
  <c r="H1100" i="1"/>
  <c r="H215" i="1"/>
  <c r="H1166" i="1"/>
  <c r="H470" i="1"/>
  <c r="H1145" i="1"/>
  <c r="H1036" i="1"/>
  <c r="H113" i="1"/>
  <c r="H95" i="1"/>
  <c r="H721" i="1"/>
  <c r="H740" i="1"/>
  <c r="H1222" i="1"/>
  <c r="H535" i="1"/>
  <c r="H361" i="1"/>
  <c r="H1122" i="1"/>
  <c r="H647" i="1"/>
  <c r="H1186" i="1"/>
  <c r="H350" i="1"/>
  <c r="H28" i="1"/>
  <c r="H620" i="1"/>
  <c r="H32" i="1"/>
  <c r="H1242" i="1"/>
  <c r="H455" i="1"/>
  <c r="H570" i="1"/>
  <c r="H751" i="1"/>
  <c r="H31" i="1"/>
  <c r="H986" i="1"/>
  <c r="H12" i="1"/>
  <c r="H571" i="1"/>
  <c r="H513" i="1"/>
  <c r="H1292" i="1"/>
  <c r="H1193" i="1"/>
  <c r="H1202" i="1"/>
  <c r="H593" i="1"/>
  <c r="H388" i="1"/>
  <c r="H49" i="1"/>
  <c r="H495" i="1"/>
  <c r="H342" i="1"/>
  <c r="H723" i="1"/>
  <c r="H633" i="1"/>
  <c r="H14" i="1"/>
  <c r="H1224" i="1"/>
  <c r="H292" i="1"/>
  <c r="H989" i="1"/>
  <c r="H752" i="1"/>
  <c r="H414" i="1"/>
  <c r="H1139" i="1"/>
  <c r="H162" i="1"/>
  <c r="H435" i="1"/>
  <c r="H650" i="1"/>
  <c r="H439" i="1"/>
  <c r="H829" i="1"/>
  <c r="H1212" i="1"/>
  <c r="H452" i="1"/>
  <c r="H992" i="1"/>
  <c r="H109" i="1"/>
  <c r="H1130" i="1"/>
  <c r="H903" i="1"/>
  <c r="H396" i="1"/>
  <c r="H1258" i="1"/>
  <c r="H323" i="1"/>
  <c r="H834" i="1"/>
  <c r="H1098" i="1"/>
  <c r="H809" i="1"/>
  <c r="H803" i="1"/>
  <c r="H46" i="1"/>
  <c r="H1256" i="1"/>
  <c r="H129" i="1"/>
  <c r="H641" i="1"/>
  <c r="H313" i="1"/>
  <c r="H983" i="1"/>
  <c r="H923" i="1"/>
  <c r="H196" i="1"/>
  <c r="H756" i="1"/>
  <c r="H648" i="1"/>
  <c r="H264" i="1"/>
  <c r="H449" i="1"/>
  <c r="H1101" i="1"/>
  <c r="H672" i="1"/>
  <c r="H886" i="1"/>
  <c r="H290" i="1"/>
  <c r="H333" i="1"/>
  <c r="H136" i="1"/>
  <c r="H464" i="1"/>
  <c r="H208" i="1"/>
  <c r="H267" i="1"/>
  <c r="H38" i="1"/>
  <c r="H598" i="1"/>
  <c r="H928" i="1"/>
  <c r="H976" i="1"/>
  <c r="H238" i="1"/>
  <c r="H1041" i="1"/>
  <c r="H842" i="1"/>
  <c r="H3" i="1"/>
  <c r="H975" i="1"/>
  <c r="H1167" i="1"/>
  <c r="H594" i="1"/>
  <c r="H1136" i="1"/>
  <c r="H882" i="1"/>
  <c r="H406" i="1"/>
  <c r="H1078" i="1"/>
  <c r="H140" i="1"/>
  <c r="H91" i="1"/>
  <c r="H1107" i="1"/>
  <c r="H1102" i="1"/>
  <c r="H960" i="1"/>
  <c r="H466" i="1"/>
  <c r="H554" i="1"/>
  <c r="H1085" i="1"/>
  <c r="H447" i="1"/>
  <c r="H496" i="1"/>
  <c r="H817" i="1"/>
  <c r="H1217" i="1"/>
  <c r="H225" i="1"/>
  <c r="H339" i="1"/>
  <c r="H972" i="1"/>
  <c r="H568" i="1"/>
  <c r="H592" i="1"/>
  <c r="H805" i="1"/>
  <c r="H1092" i="1"/>
  <c r="H1043" i="1"/>
  <c r="H781" i="1"/>
  <c r="H169" i="1"/>
  <c r="H754" i="1"/>
  <c r="H10" i="1"/>
  <c r="H897" i="1"/>
  <c r="H453" i="1"/>
  <c r="H397" i="1"/>
  <c r="H382" i="1"/>
  <c r="H733" i="1"/>
  <c r="H144" i="1"/>
  <c r="H41" i="1"/>
  <c r="H1233" i="1"/>
  <c r="H212" i="1"/>
  <c r="H789" i="1"/>
  <c r="H404" i="1"/>
  <c r="H642" i="1"/>
  <c r="H790" i="1"/>
  <c r="H628" i="1"/>
  <c r="H699" i="1"/>
  <c r="H247" i="1"/>
  <c r="H1192" i="1"/>
  <c r="H1209" i="1"/>
  <c r="H685" i="1"/>
  <c r="H784" i="1"/>
  <c r="H640" i="1"/>
  <c r="H1255" i="1"/>
  <c r="H634" i="1"/>
  <c r="H1246" i="1"/>
  <c r="H1086" i="1"/>
  <c r="H1272" i="1"/>
  <c r="H1013" i="1"/>
  <c r="H297" i="1"/>
  <c r="H840" i="1"/>
  <c r="H345" i="1"/>
  <c r="H1027" i="1"/>
  <c r="H1155" i="1"/>
  <c r="H1045" i="1"/>
  <c r="H724" i="1"/>
  <c r="H676" i="1"/>
  <c r="H1175" i="1"/>
  <c r="H1220" i="1"/>
  <c r="H218" i="1"/>
  <c r="H910" i="1"/>
  <c r="H990" i="1"/>
  <c r="H275" i="1"/>
  <c r="H1160" i="1"/>
  <c r="H154" i="1"/>
  <c r="H493" i="1"/>
  <c r="H725" i="1"/>
  <c r="H76" i="1"/>
  <c r="H956" i="1"/>
  <c r="H438" i="1"/>
  <c r="H655" i="1"/>
  <c r="H562" i="1"/>
  <c r="H1279" i="1"/>
  <c r="H978" i="1"/>
  <c r="H779" i="1"/>
  <c r="H375" i="1"/>
  <c r="H174" i="1"/>
  <c r="H1225" i="1"/>
  <c r="H1169" i="1"/>
  <c r="H884" i="1"/>
  <c r="H304" i="1"/>
  <c r="H565" i="1"/>
  <c r="H61" i="1"/>
  <c r="H732" i="1"/>
  <c r="H1108" i="1"/>
  <c r="H460" i="1"/>
  <c r="H774" i="1"/>
  <c r="H1057" i="1"/>
  <c r="H383" i="1"/>
  <c r="H419" i="1"/>
  <c r="H315" i="1"/>
  <c r="H652" i="1"/>
  <c r="H234" i="1"/>
  <c r="H43" i="1"/>
  <c r="H23" i="1"/>
  <c r="H4" i="1"/>
  <c r="H808" i="1"/>
  <c r="H472" i="1"/>
  <c r="H467" i="1"/>
  <c r="H814" i="1"/>
  <c r="H130" i="1"/>
  <c r="H1165" i="1"/>
  <c r="H864" i="1"/>
  <c r="H1004" i="1"/>
  <c r="H268" i="1"/>
  <c r="H1127" i="1"/>
  <c r="H770" i="1"/>
  <c r="H1099" i="1"/>
  <c r="H178" i="1"/>
  <c r="H224" i="1"/>
  <c r="H327" i="1"/>
  <c r="H401" i="1"/>
  <c r="H1282" i="1"/>
  <c r="H1015" i="1"/>
  <c r="H2" i="1"/>
  <c r="H1289" i="1"/>
  <c r="H48" i="1"/>
  <c r="H158" i="1"/>
  <c r="H702" i="1"/>
  <c r="H930" i="1"/>
  <c r="H362" i="1"/>
  <c r="H56" i="1"/>
  <c r="H799" i="1"/>
  <c r="H408" i="1"/>
  <c r="H525" i="1"/>
  <c r="H1068" i="1"/>
  <c r="H660" i="1"/>
  <c r="H1226" i="1"/>
  <c r="H413" i="1"/>
  <c r="H748" i="1"/>
  <c r="H777" i="1"/>
  <c r="H307" i="1"/>
  <c r="H939" i="1"/>
  <c r="H1162" i="1"/>
  <c r="H541" i="1"/>
  <c r="H1164" i="1"/>
  <c r="H242" i="1"/>
  <c r="H855" i="1"/>
  <c r="H1029" i="1"/>
  <c r="H191" i="1"/>
  <c r="H1116" i="1"/>
  <c r="H6" i="1"/>
  <c r="H485" i="1"/>
  <c r="H1142" i="1"/>
  <c r="H738" i="1"/>
  <c r="H332" i="1"/>
  <c r="H556" i="1"/>
  <c r="H1006" i="1"/>
  <c r="H1210" i="1"/>
  <c r="H588" i="1"/>
  <c r="H1008" i="1"/>
  <c r="H132" i="1"/>
  <c r="H222" i="1"/>
  <c r="H734" i="1"/>
  <c r="H347" i="1"/>
  <c r="H720" i="1"/>
  <c r="H908" i="1"/>
  <c r="H40" i="1"/>
  <c r="H227" i="1"/>
  <c r="H147" i="1"/>
  <c r="H1125" i="1"/>
  <c r="H683" i="1"/>
  <c r="H107" i="1"/>
  <c r="H241" i="1"/>
  <c r="H1016" i="1"/>
  <c r="H480" i="1"/>
  <c r="H163" i="1"/>
  <c r="H13" i="1"/>
  <c r="H415" i="1"/>
  <c r="H293" i="1"/>
  <c r="H783" i="1"/>
  <c r="H87" i="1"/>
  <c r="H141" i="1"/>
  <c r="H1087" i="1"/>
  <c r="H1117" i="1"/>
  <c r="H197" i="1"/>
  <c r="H207" i="1"/>
  <c r="H1047" i="1"/>
  <c r="H635" i="1"/>
  <c r="H804" i="1"/>
  <c r="H619" i="1"/>
  <c r="H587" i="1"/>
  <c r="H898" i="1"/>
  <c r="H662" i="1"/>
  <c r="H874" i="1"/>
  <c r="H823" i="1"/>
  <c r="H15" i="1"/>
  <c r="H656" i="1"/>
  <c r="H42" i="1"/>
  <c r="H78" i="1"/>
  <c r="H920" i="1"/>
  <c r="H270" i="1"/>
  <c r="H421" i="1"/>
  <c r="H319" i="1"/>
  <c r="H883" i="1"/>
  <c r="H235" i="1"/>
  <c r="H560" i="1"/>
  <c r="H1148" i="1"/>
  <c r="H941" i="1"/>
  <c r="H256" i="1"/>
  <c r="H718" i="1"/>
  <c r="H973" i="1"/>
  <c r="H980" i="1"/>
  <c r="H1188" i="1"/>
  <c r="H827" i="1"/>
  <c r="H1179" i="1"/>
  <c r="H680" i="1"/>
  <c r="H440" i="1"/>
  <c r="H982" i="1"/>
  <c r="H520" i="1"/>
  <c r="H434" i="1"/>
  <c r="H201" i="1"/>
  <c r="H54" i="1"/>
  <c r="H825" i="1"/>
  <c r="H172" i="1"/>
  <c r="H1080" i="1"/>
  <c r="H283" i="1"/>
  <c r="H906" i="1"/>
  <c r="H824" i="1"/>
  <c r="H1269" i="1"/>
  <c r="H792" i="1"/>
  <c r="H8" i="1"/>
  <c r="H1070" i="1"/>
  <c r="H577" i="1"/>
  <c r="H538" i="1"/>
  <c r="H616" i="1"/>
  <c r="H1190" i="1"/>
  <c r="H889" i="1"/>
  <c r="H830" i="1"/>
  <c r="H961" i="1"/>
  <c r="H1187" i="1"/>
  <c r="H649" i="1"/>
  <c r="H1201" i="1"/>
  <c r="H609" i="1"/>
  <c r="H26" i="1"/>
  <c r="H359" i="1"/>
  <c r="H301" i="1"/>
  <c r="H585" i="1"/>
  <c r="H1132" i="1"/>
  <c r="H451" i="1"/>
  <c r="H716" i="1"/>
  <c r="H432" i="1"/>
  <c r="H1254" i="1"/>
  <c r="H1119" i="1"/>
  <c r="H1247" i="1"/>
  <c r="H664" i="1"/>
  <c r="H530" i="1"/>
  <c r="H1088" i="1"/>
  <c r="H1049" i="1"/>
  <c r="H481" i="1"/>
  <c r="H559" i="1"/>
  <c r="H198" i="1"/>
  <c r="H759" i="1"/>
  <c r="H1146" i="1"/>
  <c r="H1184" i="1"/>
  <c r="H679" i="1"/>
  <c r="H387" i="1"/>
  <c r="H1050" i="1"/>
  <c r="H125" i="1"/>
  <c r="H1158" i="1"/>
  <c r="H615" i="1"/>
  <c r="H336" i="1"/>
  <c r="H782" i="1"/>
  <c r="H331" i="1"/>
  <c r="H730" i="1"/>
  <c r="H1244" i="1"/>
  <c r="H957" i="1"/>
  <c r="H159" i="1"/>
  <c r="H1223" i="1"/>
  <c r="H854" i="1"/>
  <c r="H607" i="1"/>
  <c r="H500" i="1"/>
  <c r="H111" i="1"/>
  <c r="H165" i="1"/>
  <c r="H582" i="1"/>
  <c r="H838" i="1"/>
  <c r="H237" i="1"/>
  <c r="H393" i="1"/>
  <c r="H787" i="1"/>
  <c r="H1218" i="1"/>
  <c r="H106" i="1"/>
  <c r="H1156" i="1"/>
  <c r="H358" i="1"/>
  <c r="H848" i="1"/>
  <c r="H881" i="1"/>
  <c r="H916" i="1"/>
  <c r="H954" i="1"/>
  <c r="H502" i="1"/>
  <c r="H324" i="1"/>
  <c r="H852" i="1"/>
  <c r="H444" i="1"/>
  <c r="H629" i="1"/>
  <c r="H85" i="1"/>
  <c r="H118" i="1"/>
  <c r="H924" i="1"/>
  <c r="H714" i="1"/>
  <c r="H688" i="1"/>
  <c r="H352" i="1"/>
  <c r="H64" i="1"/>
  <c r="H860" i="1"/>
  <c r="H98" i="1"/>
  <c r="H66" i="1"/>
  <c r="H1052" i="1"/>
  <c r="H1104" i="1"/>
  <c r="H1171" i="1"/>
  <c r="H1053" i="1"/>
  <c r="H157" i="1"/>
  <c r="H34" i="1"/>
  <c r="H871" i="1"/>
  <c r="H735" i="1"/>
  <c r="H739" i="1"/>
  <c r="H89" i="1"/>
  <c r="H187" i="1"/>
  <c r="H1168" i="1"/>
  <c r="H845" i="1"/>
  <c r="H1120" i="1"/>
  <c r="H775" i="1"/>
  <c r="H1106" i="1"/>
  <c r="H968" i="1"/>
  <c r="H97" i="1"/>
  <c r="H233" i="1"/>
  <c r="H987" i="1"/>
  <c r="H800" i="1"/>
  <c r="H913" i="1"/>
  <c r="H1215" i="1"/>
  <c r="H958" i="1"/>
  <c r="H463" i="1"/>
  <c r="H835" i="1"/>
  <c r="H487" i="1"/>
  <c r="H70" i="1"/>
  <c r="H1040" i="1"/>
  <c r="H356" i="1"/>
  <c r="H1089" i="1"/>
  <c r="H522" i="1"/>
  <c r="H431" i="1"/>
  <c r="H469" i="1"/>
  <c r="H1257" i="1"/>
  <c r="H1199" i="1"/>
  <c r="H458" i="1"/>
  <c r="H1017" i="1"/>
  <c r="H287" i="1"/>
  <c r="H850" i="1"/>
  <c r="H896" i="1"/>
  <c r="H1109" i="1"/>
  <c r="H529" i="1"/>
  <c r="H489" i="1"/>
  <c r="H946" i="1"/>
  <c r="H1032" i="1"/>
  <c r="H927" i="1"/>
  <c r="H310" i="1"/>
  <c r="H991" i="1"/>
  <c r="H600" i="1"/>
  <c r="H997" i="1"/>
  <c r="H837" i="1"/>
  <c r="H802" i="1"/>
  <c r="H209" i="1"/>
  <c r="H555" i="1"/>
  <c r="H354" i="1"/>
  <c r="H1062" i="1"/>
  <c r="H902" i="1"/>
  <c r="H951" i="1"/>
  <c r="H1180" i="1"/>
  <c r="H1285" i="1"/>
  <c r="H171" i="1"/>
  <c r="H890" i="1"/>
  <c r="H457" i="1"/>
  <c r="H857" i="1"/>
  <c r="H988" i="1"/>
  <c r="H1058" i="1"/>
  <c r="H1172" i="1"/>
  <c r="H58" i="1"/>
  <c r="H52" i="1"/>
  <c r="H741" i="1"/>
  <c r="H700" i="1"/>
  <c r="H179" i="1"/>
  <c r="H707" i="1"/>
  <c r="H1287" i="1"/>
  <c r="H936" i="1"/>
  <c r="H151" i="1"/>
  <c r="H50" i="1"/>
  <c r="H309" i="1"/>
  <c r="H1084" i="1"/>
  <c r="H5" i="1"/>
  <c r="H164" i="1"/>
  <c r="H768" i="1"/>
  <c r="H1121" i="1"/>
  <c r="H710" i="1"/>
  <c r="H900" i="1"/>
  <c r="H90" i="1"/>
  <c r="H341" i="1"/>
  <c r="H1094" i="1"/>
  <c r="H583" i="1"/>
  <c r="H170" i="1"/>
  <c r="H62" i="1"/>
  <c r="H811" i="1"/>
  <c r="H1213" i="1"/>
  <c r="H1060" i="1"/>
  <c r="H614" i="1"/>
  <c r="H443" i="1"/>
  <c r="H807" i="1"/>
  <c r="H1074" i="1"/>
  <c r="H1076" i="1"/>
  <c r="H93" i="1"/>
  <c r="H161" i="1"/>
  <c r="H374" i="1"/>
  <c r="H753" i="1"/>
  <c r="H623" i="1"/>
  <c r="H762" i="1"/>
  <c r="H1054" i="1"/>
  <c r="H124" i="1"/>
  <c r="H213" i="1"/>
  <c r="H263" i="1"/>
  <c r="H689" i="1"/>
  <c r="H967" i="1"/>
  <c r="H261" i="1"/>
  <c r="H1059" i="1"/>
  <c r="H79" i="1"/>
  <c r="H806" i="1"/>
  <c r="H203" i="1"/>
  <c r="H437" i="1"/>
  <c r="H303" i="1"/>
  <c r="H1123" i="1"/>
  <c r="H57" i="1"/>
  <c r="H510" i="1"/>
  <c r="H156" i="1"/>
  <c r="H351" i="1"/>
  <c r="H410" i="1"/>
  <c r="H398" i="1"/>
  <c r="H818" i="1"/>
  <c r="H564" i="1"/>
  <c r="H697" i="1"/>
  <c r="H1061" i="1"/>
  <c r="H1270" i="1"/>
  <c r="H608" i="1"/>
  <c r="H872" i="1"/>
  <c r="H128" i="1"/>
  <c r="H955" i="1"/>
  <c r="H940" i="1"/>
  <c r="H580" i="1"/>
  <c r="H667" i="1"/>
  <c r="H862" i="1"/>
  <c r="H561" i="1"/>
  <c r="H726" i="1"/>
  <c r="H468" i="1"/>
  <c r="H1141" i="1"/>
  <c r="H131" i="1"/>
  <c r="H127" i="1"/>
  <c r="H709" i="1"/>
  <c r="H369" i="1"/>
  <c r="H1133" i="1"/>
  <c r="H299" i="1"/>
  <c r="H250" i="1"/>
  <c r="H21" i="1"/>
  <c r="H1067" i="1"/>
  <c r="H544" i="1"/>
  <c r="H645" i="1"/>
  <c r="H1115" i="1"/>
  <c r="H1081" i="1"/>
  <c r="H121" i="1"/>
  <c r="H758" i="1"/>
  <c r="H302" i="1"/>
  <c r="H459" i="1"/>
  <c r="H1252" i="1"/>
  <c r="H1030" i="1"/>
  <c r="H646" i="1"/>
  <c r="H1200" i="1"/>
  <c r="H819" i="1"/>
  <c r="H135" i="1"/>
  <c r="H1181" i="1"/>
  <c r="H29" i="1"/>
  <c r="H1093" i="1"/>
  <c r="H879" i="1"/>
  <c r="H677" i="1"/>
  <c r="H149" i="1"/>
  <c r="H476" i="1"/>
  <c r="H1091" i="1"/>
  <c r="H1064" i="1"/>
  <c r="H311" i="1"/>
  <c r="H627" i="1"/>
  <c r="H998" i="1"/>
  <c r="H1110" i="1"/>
  <c r="H815" i="1"/>
  <c r="H1183" i="1"/>
  <c r="H893" i="1"/>
  <c r="H389" i="1"/>
  <c r="H282" i="1"/>
  <c r="H605" i="1"/>
  <c r="H861" i="1"/>
  <c r="H226" i="1"/>
  <c r="H1046" i="1"/>
  <c r="H379" i="1"/>
  <c r="H372" i="1"/>
  <c r="H499" i="1"/>
  <c r="H1182" i="1"/>
  <c r="H657" i="1"/>
  <c r="H236" i="1"/>
  <c r="H755" i="1"/>
  <c r="H243" i="1"/>
  <c r="H765" i="1"/>
  <c r="H1211" i="1"/>
  <c r="H691" i="1"/>
  <c r="H1221" i="1"/>
  <c r="H653" i="1"/>
  <c r="H1283" i="1"/>
  <c r="H412" i="1"/>
  <c r="H343" i="1"/>
  <c r="H917" i="1"/>
  <c r="H760" i="1"/>
  <c r="H1208" i="1"/>
  <c r="H160" i="1"/>
  <c r="H1033" i="1"/>
  <c r="H603" i="1"/>
  <c r="H1009" i="1"/>
  <c r="H638" i="1"/>
  <c r="H1126" i="1"/>
  <c r="H385" i="1"/>
  <c r="H1267" i="1"/>
  <c r="H933" i="1"/>
  <c r="H670" i="1"/>
  <c r="H474" i="1"/>
  <c r="H177" i="1"/>
  <c r="H727" i="1"/>
  <c r="H912" i="1"/>
  <c r="H47" i="1"/>
  <c r="H746" i="1"/>
  <c r="H763" i="1"/>
  <c r="H636" i="1"/>
  <c r="H110" i="1"/>
  <c r="H1189" i="1"/>
  <c r="H1288" i="1"/>
  <c r="H776" i="1"/>
  <c r="H1018" i="1"/>
  <c r="H1249" i="1"/>
  <c r="H1037" i="1"/>
  <c r="H143" i="1"/>
  <c r="H1263" i="1"/>
  <c r="H778" i="1"/>
  <c r="H701" i="1"/>
  <c r="H377" i="1"/>
  <c r="H230" i="1"/>
  <c r="H274" i="1"/>
  <c r="H407" i="1"/>
  <c r="H206" i="1"/>
  <c r="H505" i="1"/>
  <c r="H1154" i="1"/>
  <c r="H188" i="1"/>
  <c r="H155" i="1"/>
  <c r="H984" i="1"/>
  <c r="H232" i="1"/>
  <c r="H442" i="1"/>
  <c r="H390" i="1"/>
  <c r="H839" i="1"/>
  <c r="H176" i="1"/>
  <c r="H507" i="1"/>
  <c r="H578" i="1"/>
  <c r="H217" i="1"/>
  <c r="H742" i="1"/>
  <c r="H204" i="1"/>
  <c r="H970" i="1"/>
  <c r="H294" i="1"/>
  <c r="H935" i="1"/>
  <c r="H671" i="1"/>
  <c r="H1028" i="1"/>
  <c r="H601" i="1"/>
  <c r="H1153" i="1"/>
  <c r="H551" i="1"/>
  <c r="H1251" i="1"/>
  <c r="H993" i="1"/>
  <c r="H1042" i="1"/>
  <c r="H17" i="1"/>
  <c r="H1065" i="1"/>
  <c r="H330" i="1"/>
  <c r="H138" i="1"/>
  <c r="H659" i="1"/>
  <c r="H626" i="1"/>
  <c r="H684" i="1"/>
  <c r="H491" i="1"/>
  <c r="H403" i="1"/>
  <c r="H320" i="1"/>
  <c r="H747" i="1"/>
  <c r="H1000" i="1"/>
  <c r="H260" i="1"/>
  <c r="H887" i="1"/>
  <c r="H673" i="1"/>
  <c r="H96" i="1"/>
  <c r="H549" i="1"/>
  <c r="H370" i="1"/>
  <c r="H180" i="1"/>
  <c r="H429" i="1"/>
  <c r="H120" i="1"/>
  <c r="H371" i="1"/>
  <c r="H35" i="1"/>
  <c r="H841" i="1"/>
  <c r="H456" i="1"/>
  <c r="H337" i="1"/>
  <c r="H340" i="1"/>
  <c r="H314" i="1"/>
  <c r="H602" i="1"/>
  <c r="H796" i="1"/>
  <c r="H637" i="1"/>
  <c r="H239" i="1"/>
  <c r="H1039" i="1"/>
  <c r="H696" i="1"/>
  <c r="H253" i="1"/>
  <c r="H45" i="1"/>
  <c r="H220" i="1"/>
  <c r="H575" i="1"/>
  <c r="J935" i="1"/>
  <c r="K935" i="1" s="1"/>
  <c r="J1170" i="1"/>
  <c r="K1170" i="1" s="1"/>
  <c r="J284" i="1"/>
  <c r="K284" i="1" s="1"/>
  <c r="J473" i="1"/>
  <c r="K473" i="1" s="1"/>
  <c r="J1273" i="1"/>
  <c r="K1273" i="1" s="1"/>
  <c r="J1196" i="1"/>
  <c r="K1196" i="1" s="1"/>
  <c r="J416" i="1"/>
  <c r="K416" i="1" s="1"/>
  <c r="J400" i="1"/>
  <c r="K400" i="1" s="1"/>
  <c r="J137" i="1"/>
  <c r="K137" i="1" s="1"/>
  <c r="J651" i="1"/>
  <c r="K651" i="1" s="1"/>
  <c r="J1250" i="1"/>
  <c r="K1250" i="1" s="1"/>
  <c r="J99" i="1"/>
  <c r="K99" i="1" s="1"/>
  <c r="J863" i="1"/>
  <c r="K863" i="1" s="1"/>
  <c r="J905" i="1"/>
  <c r="K905" i="1" s="1"/>
  <c r="J1048" i="1"/>
  <c r="K1048" i="1" s="1"/>
  <c r="J298" i="1"/>
  <c r="K298" i="1" s="1"/>
  <c r="J477" i="1"/>
  <c r="K477" i="1" s="1"/>
  <c r="J1161" i="1"/>
  <c r="K1161" i="1" s="1"/>
  <c r="J483" i="1"/>
  <c r="K483" i="1" s="1"/>
  <c r="J73" i="1"/>
  <c r="K73" i="1" s="1"/>
  <c r="J1005" i="1"/>
  <c r="K1005" i="1" s="1"/>
  <c r="J1178" i="1"/>
  <c r="K1178" i="1" s="1"/>
  <c r="J576" i="1"/>
  <c r="K576" i="1" s="1"/>
  <c r="J757" i="1"/>
  <c r="K757" i="1" s="1"/>
  <c r="J1023" i="1"/>
  <c r="K1023" i="1" s="1"/>
  <c r="J425" i="1"/>
  <c r="K425" i="1" s="1"/>
  <c r="J767" i="1"/>
  <c r="K767" i="1" s="1"/>
  <c r="J728" i="1"/>
  <c r="K728" i="1" s="1"/>
  <c r="J83" i="1"/>
  <c r="K83" i="1" s="1"/>
  <c r="J949" i="1"/>
  <c r="K949" i="1" s="1"/>
  <c r="J465" i="1"/>
  <c r="K465" i="1" s="1"/>
  <c r="J1293" i="1"/>
  <c r="K1293" i="1" s="1"/>
  <c r="J658" i="1"/>
  <c r="K658" i="1" s="1"/>
  <c r="J545" i="1"/>
  <c r="K545" i="1" s="1"/>
  <c r="J1191" i="1"/>
  <c r="K1191" i="1" s="1"/>
  <c r="J386" i="1"/>
  <c r="K386" i="1" s="1"/>
  <c r="J1232" i="1"/>
  <c r="K1232" i="1" s="1"/>
  <c r="J866" i="1"/>
  <c r="K866" i="1" s="1"/>
  <c r="J37" i="1"/>
  <c r="K37" i="1" s="1"/>
  <c r="J663" i="1"/>
  <c r="K663" i="1" s="1"/>
  <c r="J426" i="1"/>
  <c r="K426" i="1" s="1"/>
  <c r="J557" i="1"/>
  <c r="K557" i="1" s="1"/>
  <c r="J436" i="1"/>
  <c r="K436" i="1" s="1"/>
  <c r="J1150" i="1"/>
  <c r="K1150" i="1" s="1"/>
  <c r="J1129" i="1"/>
  <c r="K1129" i="1" s="1"/>
  <c r="J420" i="1"/>
  <c r="K420" i="1" s="1"/>
  <c r="J722" i="1"/>
  <c r="K722" i="1" s="1"/>
  <c r="J604" i="1"/>
  <c r="K604" i="1" s="1"/>
  <c r="J713" i="1"/>
  <c r="K713" i="1" s="1"/>
  <c r="J503" i="1"/>
  <c r="K503" i="1" s="1"/>
  <c r="J424" i="1"/>
  <c r="K424" i="1" s="1"/>
  <c r="J214" i="1"/>
  <c r="K214" i="1" s="1"/>
  <c r="J16" i="1"/>
  <c r="K16" i="1" s="1"/>
  <c r="J736" i="1"/>
  <c r="K736" i="1" s="1"/>
  <c r="J795" i="1"/>
  <c r="K795" i="1" s="1"/>
  <c r="J1082" i="1"/>
  <c r="K1082" i="1" s="1"/>
  <c r="J892" i="1"/>
  <c r="K892" i="1" s="1"/>
  <c r="J533" i="1"/>
  <c r="K533" i="1" s="1"/>
  <c r="J219" i="1"/>
  <c r="K219" i="1" s="1"/>
  <c r="J134" i="1"/>
  <c r="K134" i="1" s="1"/>
  <c r="J694" i="1"/>
  <c r="K694" i="1" s="1"/>
  <c r="J1266" i="1"/>
  <c r="K1266" i="1" s="1"/>
  <c r="J280" i="1"/>
  <c r="K280" i="1" s="1"/>
  <c r="J950" i="1"/>
  <c r="K950" i="1" s="1"/>
  <c r="J821" i="1"/>
  <c r="K821" i="1" s="1"/>
  <c r="J1265" i="1"/>
  <c r="K1265" i="1" s="1"/>
  <c r="J962" i="1"/>
  <c r="K962" i="1" s="1"/>
  <c r="J1143" i="1"/>
  <c r="K1143" i="1" s="1"/>
  <c r="J865" i="1"/>
  <c r="K865" i="1" s="1"/>
  <c r="J427" i="1"/>
  <c r="K427" i="1" s="1"/>
  <c r="J867" i="1"/>
  <c r="K867" i="1" s="1"/>
  <c r="J71" i="1"/>
  <c r="K71" i="1" s="1"/>
  <c r="J486" i="1"/>
  <c r="K486" i="1" s="1"/>
  <c r="J859" i="1"/>
  <c r="K859" i="1" s="1"/>
  <c r="J693" i="1"/>
  <c r="K693" i="1" s="1"/>
  <c r="J1241" i="1"/>
  <c r="K1241" i="1" s="1"/>
  <c r="J639" i="1"/>
  <c r="K639" i="1" s="1"/>
  <c r="J501" i="1"/>
  <c r="K501" i="1" s="1"/>
  <c r="J934" i="1"/>
  <c r="K934" i="1" s="1"/>
  <c r="J148" i="1"/>
  <c r="K148" i="1" s="1"/>
  <c r="J858" i="1"/>
  <c r="K858" i="1" s="1"/>
  <c r="J793" i="1"/>
  <c r="K793" i="1" s="1"/>
  <c r="J542" i="1"/>
  <c r="K542" i="1" s="1"/>
  <c r="J654" i="1"/>
  <c r="K654" i="1" s="1"/>
  <c r="J687" i="1"/>
  <c r="K687" i="1" s="1"/>
  <c r="J51" i="1"/>
  <c r="K51" i="1" s="1"/>
  <c r="J497" i="1"/>
  <c r="K497" i="1" s="1"/>
  <c r="J150" i="1"/>
  <c r="K150" i="1" s="1"/>
  <c r="J27" i="1"/>
  <c r="K27" i="1" s="1"/>
  <c r="J1055" i="1"/>
  <c r="K1055" i="1" s="1"/>
  <c r="J1066" i="1"/>
  <c r="K1066" i="1" s="1"/>
  <c r="J1026" i="1"/>
  <c r="K1026" i="1" s="1"/>
  <c r="J353" i="1"/>
  <c r="K353" i="1" s="1"/>
  <c r="J944" i="1"/>
  <c r="K944" i="1" s="1"/>
  <c r="J911" i="1"/>
  <c r="K911" i="1" s="1"/>
  <c r="J116" i="1"/>
  <c r="K116" i="1" s="1"/>
  <c r="J617" i="1"/>
  <c r="K617" i="1" s="1"/>
  <c r="J173" i="1"/>
  <c r="K173" i="1" s="1"/>
  <c r="J94" i="1"/>
  <c r="K94" i="1" s="1"/>
  <c r="J20" i="1"/>
  <c r="K20" i="1" s="1"/>
  <c r="J994" i="1"/>
  <c r="K994" i="1" s="1"/>
  <c r="J454" i="1"/>
  <c r="K454" i="1" s="1"/>
  <c r="J1163" i="1"/>
  <c r="K1163" i="1" s="1"/>
  <c r="J86" i="1"/>
  <c r="K86" i="1" s="1"/>
  <c r="J816" i="1"/>
  <c r="K816" i="1" s="1"/>
  <c r="J364" i="1"/>
  <c r="K364" i="1" s="1"/>
  <c r="J1174" i="1"/>
  <c r="K1174" i="1" s="1"/>
  <c r="J543" i="1"/>
  <c r="K543" i="1" s="1"/>
  <c r="J216" i="1"/>
  <c r="K216" i="1" s="1"/>
  <c r="J668" i="1"/>
  <c r="K668" i="1" s="1"/>
  <c r="J1204" i="1"/>
  <c r="K1204" i="1" s="1"/>
  <c r="J938" i="1"/>
  <c r="K938" i="1" s="1"/>
  <c r="J539" i="1"/>
  <c r="K539" i="1" s="1"/>
  <c r="J877" i="1"/>
  <c r="K877" i="1" s="1"/>
  <c r="J518" i="1"/>
  <c r="K518" i="1" s="1"/>
  <c r="J1253" i="1"/>
  <c r="K1253" i="1" s="1"/>
  <c r="J1135" i="1"/>
  <c r="K1135" i="1" s="1"/>
  <c r="J1138" i="1"/>
  <c r="K1138" i="1" s="1"/>
  <c r="J675" i="1"/>
  <c r="K675" i="1" s="1"/>
  <c r="J1236" i="1"/>
  <c r="K1236" i="1" s="1"/>
  <c r="J853" i="1"/>
  <c r="K853" i="1" s="1"/>
  <c r="J448" i="1"/>
  <c r="K448" i="1" s="1"/>
  <c r="J963" i="1"/>
  <c r="K963" i="1" s="1"/>
  <c r="J1077" i="1"/>
  <c r="K1077" i="1" s="1"/>
  <c r="J791" i="1"/>
  <c r="K791" i="1" s="1"/>
  <c r="J704" i="1"/>
  <c r="K704" i="1" s="1"/>
  <c r="J1264" i="1"/>
  <c r="K1264" i="1" s="1"/>
  <c r="J1096" i="1"/>
  <c r="K1096" i="1" s="1"/>
  <c r="J769" i="1"/>
  <c r="K769" i="1" s="1"/>
  <c r="J674" i="1"/>
  <c r="K674" i="1" s="1"/>
  <c r="J257" i="1"/>
  <c r="K257" i="1" s="1"/>
  <c r="J744" i="1"/>
  <c r="K744" i="1" s="1"/>
  <c r="J334" i="1"/>
  <c r="K334" i="1" s="1"/>
  <c r="J1051" i="1"/>
  <c r="K1051" i="1" s="1"/>
  <c r="J979" i="1"/>
  <c r="K979" i="1" s="1"/>
  <c r="J780" i="1"/>
  <c r="K780" i="1" s="1"/>
  <c r="J1022" i="1"/>
  <c r="K1022" i="1" s="1"/>
  <c r="J547" i="1"/>
  <c r="K547" i="1" s="1"/>
  <c r="J22" i="1"/>
  <c r="K22" i="1" s="1"/>
  <c r="J471" i="1"/>
  <c r="K471" i="1" s="1"/>
  <c r="J705" i="1"/>
  <c r="K705" i="1" s="1"/>
  <c r="J296" i="1"/>
  <c r="K296" i="1" s="1"/>
  <c r="J1245" i="1"/>
  <c r="K1245" i="1" s="1"/>
  <c r="J669" i="1"/>
  <c r="K669" i="1" s="1"/>
  <c r="J611" i="1"/>
  <c r="K611" i="1" s="1"/>
  <c r="J508" i="1"/>
  <c r="K508" i="1" s="1"/>
  <c r="J446" i="1"/>
  <c r="K446" i="1" s="1"/>
  <c r="J1097" i="1"/>
  <c r="K1097" i="1" s="1"/>
  <c r="J812" i="1"/>
  <c r="K812" i="1" s="1"/>
  <c r="J194" i="1"/>
  <c r="K194" i="1" s="1"/>
  <c r="J929" i="1"/>
  <c r="K929" i="1" s="1"/>
  <c r="J925" i="1"/>
  <c r="K925" i="1" s="1"/>
  <c r="J391" i="1"/>
  <c r="K391" i="1" s="1"/>
  <c r="J244" i="1"/>
  <c r="K244" i="1" s="1"/>
  <c r="J200" i="1"/>
  <c r="K200" i="1" s="1"/>
  <c r="J1195" i="1"/>
  <c r="K1195" i="1" s="1"/>
  <c r="J810" i="1"/>
  <c r="K810" i="1" s="1"/>
  <c r="J122" i="1"/>
  <c r="K122" i="1" s="1"/>
  <c r="J363" i="1"/>
  <c r="K363" i="1" s="1"/>
  <c r="J193" i="1"/>
  <c r="K193" i="1" s="1"/>
  <c r="J59" i="1"/>
  <c r="K59" i="1" s="1"/>
  <c r="J462" i="1"/>
  <c r="K462" i="1" s="1"/>
  <c r="J690" i="1"/>
  <c r="K690" i="1" s="1"/>
  <c r="J1020" i="1"/>
  <c r="K1020" i="1" s="1"/>
  <c r="J844" i="1"/>
  <c r="K844" i="1" s="1"/>
  <c r="J24" i="1"/>
  <c r="K24" i="1" s="1"/>
  <c r="J475" i="1"/>
  <c r="K475" i="1" s="1"/>
  <c r="J969" i="1"/>
  <c r="K969" i="1" s="1"/>
  <c r="J19" i="1"/>
  <c r="K19" i="1" s="1"/>
  <c r="J1237" i="1"/>
  <c r="K1237" i="1" s="1"/>
  <c r="J847" i="1"/>
  <c r="K847" i="1" s="1"/>
  <c r="J868" i="1"/>
  <c r="K868" i="1" s="1"/>
  <c r="J355" i="1"/>
  <c r="K355" i="1" s="1"/>
  <c r="J286" i="1"/>
  <c r="K286" i="1" s="1"/>
  <c r="J995" i="1"/>
  <c r="K995" i="1" s="1"/>
  <c r="J566" i="1"/>
  <c r="K566" i="1" s="1"/>
  <c r="J1056" i="1"/>
  <c r="K1056" i="1" s="1"/>
  <c r="J1205" i="1"/>
  <c r="K1205" i="1" s="1"/>
  <c r="J67" i="1"/>
  <c r="K67" i="1" s="1"/>
  <c r="J511" i="1"/>
  <c r="K511" i="1" s="1"/>
  <c r="J1231" i="1"/>
  <c r="K1231" i="1" s="1"/>
  <c r="J380" i="1"/>
  <c r="K380" i="1" s="1"/>
  <c r="J92" i="1"/>
  <c r="K92" i="1" s="1"/>
  <c r="J211" i="1"/>
  <c r="K211" i="1" s="1"/>
  <c r="J1240" i="1"/>
  <c r="K1240" i="1" s="1"/>
  <c r="J632" i="1"/>
  <c r="K632" i="1" s="1"/>
  <c r="J550" i="1"/>
  <c r="K550" i="1" s="1"/>
  <c r="J1176" i="1"/>
  <c r="K1176" i="1" s="1"/>
  <c r="J1275" i="1"/>
  <c r="K1275" i="1" s="1"/>
  <c r="J899" i="1"/>
  <c r="K899" i="1" s="1"/>
  <c r="J210" i="1"/>
  <c r="K210" i="1" s="1"/>
  <c r="J114" i="1"/>
  <c r="K114" i="1" s="1"/>
  <c r="J405" i="1"/>
  <c r="K405" i="1" s="1"/>
  <c r="J586" i="1"/>
  <c r="K586" i="1" s="1"/>
  <c r="J1207" i="1"/>
  <c r="K1207" i="1" s="1"/>
  <c r="J828" i="1"/>
  <c r="K828" i="1" s="1"/>
  <c r="J506" i="1"/>
  <c r="K506" i="1" s="1"/>
  <c r="J885" i="1"/>
  <c r="K885" i="1" s="1"/>
  <c r="J72" i="1"/>
  <c r="K72" i="1" s="1"/>
  <c r="J430" i="1"/>
  <c r="K430" i="1" s="1"/>
  <c r="J843" i="1"/>
  <c r="K843" i="1" s="1"/>
  <c r="J1185" i="1"/>
  <c r="K1185" i="1" s="1"/>
  <c r="J563" i="1"/>
  <c r="K563" i="1" s="1"/>
  <c r="J981" i="1"/>
  <c r="K981" i="1" s="1"/>
  <c r="J745" i="1"/>
  <c r="K745" i="1" s="1"/>
  <c r="J524" i="1"/>
  <c r="K524" i="1" s="1"/>
  <c r="J931" i="1"/>
  <c r="K931" i="1" s="1"/>
  <c r="J205" i="1"/>
  <c r="K205" i="1" s="1"/>
  <c r="J528" i="1"/>
  <c r="K528" i="1" s="1"/>
  <c r="J531" i="1"/>
  <c r="K531" i="1" s="1"/>
  <c r="J737" i="1"/>
  <c r="K737" i="1" s="1"/>
  <c r="J288" i="1"/>
  <c r="K288" i="1" s="1"/>
  <c r="J875" i="1"/>
  <c r="K875" i="1" s="1"/>
  <c r="J1151" i="1"/>
  <c r="K1151" i="1" s="1"/>
  <c r="J977" i="1"/>
  <c r="K977" i="1" s="1"/>
  <c r="J996" i="1"/>
  <c r="K996" i="1" s="1"/>
  <c r="J249" i="1"/>
  <c r="K249" i="1" s="1"/>
  <c r="J1090" i="1"/>
  <c r="K1090" i="1" s="1"/>
  <c r="J322" i="1"/>
  <c r="K322" i="1" s="1"/>
  <c r="J1262" i="1"/>
  <c r="K1262" i="1" s="1"/>
  <c r="J186" i="1"/>
  <c r="K186" i="1" s="1"/>
  <c r="J921" i="1"/>
  <c r="K921" i="1" s="1"/>
  <c r="J461" i="1"/>
  <c r="K461" i="1" s="1"/>
  <c r="J278" i="1"/>
  <c r="K278" i="1" s="1"/>
  <c r="J526" i="1"/>
  <c r="K526" i="1" s="1"/>
  <c r="J813" i="1"/>
  <c r="K813" i="1" s="1"/>
  <c r="J142" i="1"/>
  <c r="K142" i="1" s="1"/>
  <c r="J69" i="1"/>
  <c r="K69" i="1" s="1"/>
  <c r="J376" i="1"/>
  <c r="K376" i="1" s="1"/>
  <c r="J378" i="1"/>
  <c r="K378" i="1" s="1"/>
  <c r="J498" i="1"/>
  <c r="K498" i="1" s="1"/>
  <c r="J947" i="1"/>
  <c r="K947" i="1" s="1"/>
  <c r="J1280" i="1"/>
  <c r="K1280" i="1" s="1"/>
  <c r="J1276" i="1"/>
  <c r="K1276" i="1" s="1"/>
  <c r="J1147" i="1"/>
  <c r="K1147" i="1" s="1"/>
  <c r="J1118" i="1"/>
  <c r="K1118" i="1" s="1"/>
  <c r="J381" i="1"/>
  <c r="K381" i="1" s="1"/>
  <c r="J692" i="1"/>
  <c r="K692" i="1" s="1"/>
  <c r="J254" i="1"/>
  <c r="K254" i="1" s="1"/>
  <c r="J731" i="1"/>
  <c r="K731" i="1" s="1"/>
  <c r="J876" i="1"/>
  <c r="K876" i="1" s="1"/>
  <c r="J1219" i="1"/>
  <c r="K1219" i="1" s="1"/>
  <c r="J870" i="1"/>
  <c r="K870" i="1" s="1"/>
  <c r="J152" i="1"/>
  <c r="K152" i="1" s="1"/>
  <c r="J926" i="1"/>
  <c r="K926" i="1" s="1"/>
  <c r="J519" i="1"/>
  <c r="K519" i="1" s="1"/>
  <c r="J610" i="1"/>
  <c r="K610" i="1" s="1"/>
  <c r="J248" i="1"/>
  <c r="K248" i="1" s="1"/>
  <c r="J833" i="1"/>
  <c r="K833" i="1" s="1"/>
  <c r="J246" i="1"/>
  <c r="K246" i="1" s="1"/>
  <c r="J105" i="1"/>
  <c r="K105" i="1" s="1"/>
  <c r="J450" i="1"/>
  <c r="K450" i="1" s="1"/>
  <c r="J909" i="1"/>
  <c r="K909" i="1" s="1"/>
  <c r="J252" i="1"/>
  <c r="K252" i="1" s="1"/>
  <c r="J65" i="1"/>
  <c r="K65" i="1" s="1"/>
  <c r="J366" i="1"/>
  <c r="K366" i="1" s="1"/>
  <c r="J273" i="1"/>
  <c r="K273" i="1" s="1"/>
  <c r="J1286" i="1"/>
  <c r="K1286" i="1" s="1"/>
  <c r="J761" i="1"/>
  <c r="K761" i="1" s="1"/>
  <c r="J773" i="1"/>
  <c r="K773" i="1" s="1"/>
  <c r="J1277" i="1"/>
  <c r="K1277" i="1" s="1"/>
  <c r="J719" i="1"/>
  <c r="K719" i="1" s="1"/>
  <c r="J1261" i="1"/>
  <c r="K1261" i="1" s="1"/>
  <c r="J1003" i="1"/>
  <c r="K1003" i="1" s="1"/>
  <c r="J182" i="1"/>
  <c r="K182" i="1" s="1"/>
  <c r="J102" i="1"/>
  <c r="K102" i="1" s="1"/>
  <c r="J11" i="1"/>
  <c r="K11" i="1" s="1"/>
  <c r="J335" i="1"/>
  <c r="K335" i="1" s="1"/>
  <c r="J661" i="1"/>
  <c r="K661" i="1" s="1"/>
  <c r="J574" i="1"/>
  <c r="K574" i="1" s="1"/>
  <c r="J1134" i="1"/>
  <c r="K1134" i="1" s="1"/>
  <c r="J794" i="1"/>
  <c r="K794" i="1" s="1"/>
  <c r="J1228" i="1"/>
  <c r="K1228" i="1" s="1"/>
  <c r="J678" i="1"/>
  <c r="K678" i="1" s="1"/>
  <c r="J597" i="1"/>
  <c r="K597" i="1" s="1"/>
  <c r="J277" i="1"/>
  <c r="K277" i="1" s="1"/>
  <c r="J262" i="1"/>
  <c r="K262" i="1" s="1"/>
  <c r="J126" i="1"/>
  <c r="K126" i="1" s="1"/>
  <c r="J417" i="1"/>
  <c r="K417" i="1" s="1"/>
  <c r="J402" i="1"/>
  <c r="K402" i="1" s="1"/>
  <c r="J1260" i="1"/>
  <c r="K1260" i="1" s="1"/>
  <c r="J80" i="1"/>
  <c r="K80" i="1" s="1"/>
  <c r="J1159" i="1"/>
  <c r="K1159" i="1" s="1"/>
  <c r="J1284" i="1"/>
  <c r="K1284" i="1" s="1"/>
  <c r="J1035" i="1"/>
  <c r="K1035" i="1" s="1"/>
  <c r="J573" i="1"/>
  <c r="K573" i="1" s="1"/>
  <c r="J1214" i="1"/>
  <c r="K1214" i="1" s="1"/>
  <c r="J276" i="1"/>
  <c r="K276" i="1" s="1"/>
  <c r="J478" i="1"/>
  <c r="K478" i="1" s="1"/>
  <c r="J192" i="1"/>
  <c r="K192" i="1" s="1"/>
  <c r="J146" i="1"/>
  <c r="K146" i="1" s="1"/>
  <c r="J291" i="1"/>
  <c r="K291" i="1" s="1"/>
  <c r="J1157" i="1"/>
  <c r="K1157" i="1" s="1"/>
  <c r="J422" i="1"/>
  <c r="K422" i="1" s="1"/>
  <c r="J540" i="1"/>
  <c r="K540" i="1" s="1"/>
  <c r="J81" i="1"/>
  <c r="K81" i="1" s="1"/>
  <c r="J849" i="1"/>
  <c r="K849" i="1" s="1"/>
  <c r="J259" i="1"/>
  <c r="K259" i="1" s="1"/>
  <c r="J959" i="1"/>
  <c r="K959" i="1" s="1"/>
  <c r="J360" i="1"/>
  <c r="K360" i="1" s="1"/>
  <c r="J251" i="1"/>
  <c r="K251" i="1" s="1"/>
  <c r="J869" i="1"/>
  <c r="K869" i="1" s="1"/>
  <c r="J1268" i="1"/>
  <c r="K1268" i="1" s="1"/>
  <c r="J1144" i="1"/>
  <c r="K1144" i="1" s="1"/>
  <c r="J484" i="1"/>
  <c r="K484" i="1" s="1"/>
  <c r="J1034" i="1"/>
  <c r="K1034" i="1" s="1"/>
  <c r="J516" i="1"/>
  <c r="K516" i="1" s="1"/>
  <c r="J514" i="1"/>
  <c r="K514" i="1" s="1"/>
  <c r="J285" i="1"/>
  <c r="K285" i="1" s="1"/>
  <c r="J1216" i="1"/>
  <c r="K1216" i="1" s="1"/>
  <c r="J167" i="1"/>
  <c r="K167" i="1" s="1"/>
  <c r="J914" i="1"/>
  <c r="K914" i="1" s="1"/>
  <c r="J509" i="1"/>
  <c r="K509" i="1" s="1"/>
  <c r="J44" i="1"/>
  <c r="K44" i="1" s="1"/>
  <c r="J873" i="1"/>
  <c r="K873" i="1" s="1"/>
  <c r="J1194" i="1"/>
  <c r="K1194" i="1" s="1"/>
  <c r="J318" i="1"/>
  <c r="K318" i="1" s="1"/>
  <c r="J1281" i="1"/>
  <c r="K1281" i="1" s="1"/>
  <c r="J706" i="1"/>
  <c r="K706" i="1" s="1"/>
  <c r="J856" i="1"/>
  <c r="K856" i="1" s="1"/>
  <c r="J891" i="1"/>
  <c r="K891" i="1" s="1"/>
  <c r="J365" i="1"/>
  <c r="K365" i="1" s="1"/>
  <c r="J599" i="1"/>
  <c r="K599" i="1" s="1"/>
  <c r="J749" i="1"/>
  <c r="K749" i="1" s="1"/>
  <c r="J788" i="1"/>
  <c r="K788" i="1" s="1"/>
  <c r="J185" i="1"/>
  <c r="K185" i="1" s="1"/>
  <c r="J258" i="1"/>
  <c r="K258" i="1" s="1"/>
  <c r="J1114" i="1"/>
  <c r="K1114" i="1" s="1"/>
  <c r="J698" i="1"/>
  <c r="K698" i="1" s="1"/>
  <c r="J1198" i="1"/>
  <c r="K1198" i="1" s="1"/>
  <c r="J596" i="1"/>
  <c r="K596" i="1" s="1"/>
  <c r="J60" i="1"/>
  <c r="K60" i="1" s="1"/>
  <c r="J1025" i="1"/>
  <c r="K1025" i="1" s="1"/>
  <c r="J317" i="1"/>
  <c r="K317" i="1" s="1"/>
  <c r="J266" i="1"/>
  <c r="K266" i="1" s="1"/>
  <c r="J536" i="1"/>
  <c r="K536" i="1" s="1"/>
  <c r="J55" i="1"/>
  <c r="K55" i="1" s="1"/>
  <c r="J534" i="1"/>
  <c r="K534" i="1" s="1"/>
  <c r="J643" i="1"/>
  <c r="K643" i="1" s="1"/>
  <c r="J245" i="1"/>
  <c r="K245" i="1" s="1"/>
  <c r="J771" i="1"/>
  <c r="K771" i="1" s="1"/>
  <c r="J772" i="1"/>
  <c r="K772" i="1" s="1"/>
  <c r="J612" i="1"/>
  <c r="K612" i="1" s="1"/>
  <c r="J123" i="1"/>
  <c r="K123" i="1" s="1"/>
  <c r="J409" i="1"/>
  <c r="K409" i="1" s="1"/>
  <c r="J1010" i="1"/>
  <c r="K1010" i="1" s="1"/>
  <c r="J325" i="1"/>
  <c r="K325" i="1" s="1"/>
  <c r="J349" i="1"/>
  <c r="K349" i="1" s="1"/>
  <c r="J328" i="1"/>
  <c r="K328" i="1" s="1"/>
  <c r="J948" i="1"/>
  <c r="K948" i="1" s="1"/>
  <c r="J915" i="1"/>
  <c r="K915" i="1" s="1"/>
  <c r="J139" i="1"/>
  <c r="K139" i="1" s="1"/>
  <c r="J703" i="1"/>
  <c r="K703" i="1" s="1"/>
  <c r="J888" i="1"/>
  <c r="K888" i="1" s="1"/>
  <c r="J945" i="1"/>
  <c r="K945" i="1" s="1"/>
  <c r="J618" i="1"/>
  <c r="K618" i="1" s="1"/>
  <c r="J112" i="1"/>
  <c r="K112" i="1" s="1"/>
  <c r="J712" i="1"/>
  <c r="K712" i="1" s="1"/>
  <c r="J846" i="1"/>
  <c r="K846" i="1" s="1"/>
  <c r="J1073" i="1"/>
  <c r="K1073" i="1" s="1"/>
  <c r="J512" i="1"/>
  <c r="K512" i="1" s="1"/>
  <c r="J622" i="1"/>
  <c r="K622" i="1" s="1"/>
  <c r="J399" i="1"/>
  <c r="K399" i="1" s="1"/>
  <c r="J1002" i="1"/>
  <c r="K1002" i="1" s="1"/>
  <c r="J548" i="1"/>
  <c r="K548" i="1" s="1"/>
  <c r="J1131" i="1"/>
  <c r="K1131" i="1" s="1"/>
  <c r="J321" i="1"/>
  <c r="K321" i="1" s="1"/>
  <c r="J418" i="1"/>
  <c r="K418" i="1" s="1"/>
  <c r="J1072" i="1"/>
  <c r="K1072" i="1" s="1"/>
  <c r="J527" i="1"/>
  <c r="K527" i="1" s="1"/>
  <c r="J1235" i="1"/>
  <c r="K1235" i="1" s="1"/>
  <c r="J1140" i="1"/>
  <c r="K1140" i="1" s="1"/>
  <c r="J797" i="1"/>
  <c r="K797" i="1" s="1"/>
  <c r="J1259" i="1"/>
  <c r="K1259" i="1" s="1"/>
  <c r="J445" i="1"/>
  <c r="K445" i="1" s="1"/>
  <c r="J433" i="1"/>
  <c r="K433" i="1" s="1"/>
  <c r="J880" i="1"/>
  <c r="K880" i="1" s="1"/>
  <c r="J1229" i="1"/>
  <c r="K1229" i="1" s="1"/>
  <c r="J919" i="1"/>
  <c r="K919" i="1" s="1"/>
  <c r="J490" i="1"/>
  <c r="K490" i="1" s="1"/>
  <c r="J7" i="1"/>
  <c r="K7" i="1" s="1"/>
  <c r="J631" i="1"/>
  <c r="K631" i="1" s="1"/>
  <c r="J901" i="1"/>
  <c r="K901" i="1" s="1"/>
  <c r="J766" i="1"/>
  <c r="K766" i="1" s="1"/>
  <c r="J1197" i="1"/>
  <c r="K1197" i="1" s="1"/>
  <c r="J289" i="1"/>
  <c r="K289" i="1" s="1"/>
  <c r="J666" i="1"/>
  <c r="K666" i="1" s="1"/>
  <c r="J521" i="1"/>
  <c r="K521" i="1" s="1"/>
  <c r="J546" i="1"/>
  <c r="K546" i="1" s="1"/>
  <c r="J175" i="1"/>
  <c r="K175" i="1" s="1"/>
  <c r="J441" i="1"/>
  <c r="K441" i="1" s="1"/>
  <c r="J717" i="1"/>
  <c r="K717" i="1" s="1"/>
  <c r="J18" i="1"/>
  <c r="K18" i="1" s="1"/>
  <c r="J1105" i="1"/>
  <c r="K1105" i="1" s="1"/>
  <c r="J1243" i="1"/>
  <c r="K1243" i="1" s="1"/>
  <c r="J581" i="1"/>
  <c r="K581" i="1" s="1"/>
  <c r="J1177" i="1"/>
  <c r="K1177" i="1" s="1"/>
  <c r="J39" i="1"/>
  <c r="K39" i="1" s="1"/>
  <c r="J1278" i="1"/>
  <c r="K1278" i="1" s="1"/>
  <c r="J428" i="1"/>
  <c r="K428" i="1" s="1"/>
  <c r="J53" i="1"/>
  <c r="K53" i="1" s="1"/>
  <c r="J1079" i="1"/>
  <c r="K1079" i="1" s="1"/>
  <c r="J1111" i="1"/>
  <c r="K1111" i="1" s="1"/>
  <c r="J1112" i="1"/>
  <c r="K1112" i="1" s="1"/>
  <c r="J1075" i="1"/>
  <c r="K1075" i="1" s="1"/>
  <c r="J504" i="1"/>
  <c r="K504" i="1" s="1"/>
  <c r="J1113" i="1"/>
  <c r="K1113" i="1" s="1"/>
  <c r="J711" i="1"/>
  <c r="K711" i="1" s="1"/>
  <c r="J708" i="1"/>
  <c r="K708" i="1" s="1"/>
  <c r="J584" i="1"/>
  <c r="K584" i="1" s="1"/>
  <c r="J665" i="1"/>
  <c r="K665" i="1" s="1"/>
  <c r="J1271" i="1"/>
  <c r="K1271" i="1" s="1"/>
  <c r="J30" i="1"/>
  <c r="K30" i="1" s="1"/>
  <c r="J357" i="1"/>
  <c r="K357" i="1" s="1"/>
  <c r="J681" i="1"/>
  <c r="K681" i="1" s="1"/>
  <c r="J606" i="1"/>
  <c r="K606" i="1" s="1"/>
  <c r="J1291" i="1"/>
  <c r="K1291" i="1" s="1"/>
  <c r="J1173" i="1"/>
  <c r="K1173" i="1" s="1"/>
  <c r="J392" i="1"/>
  <c r="K392" i="1" s="1"/>
  <c r="J537" i="1"/>
  <c r="K537" i="1" s="1"/>
  <c r="J104" i="1"/>
  <c r="K104" i="1" s="1"/>
  <c r="J119" i="1"/>
  <c r="K119" i="1" s="1"/>
  <c r="J1274" i="1"/>
  <c r="K1274" i="1" s="1"/>
  <c r="J82" i="1"/>
  <c r="K82" i="1" s="1"/>
  <c r="J801" i="1"/>
  <c r="K801" i="1" s="1"/>
  <c r="J523" i="1"/>
  <c r="K523" i="1" s="1"/>
  <c r="J133" i="1"/>
  <c r="K133" i="1" s="1"/>
  <c r="J985" i="1"/>
  <c r="K985" i="1" s="1"/>
  <c r="J1044" i="1"/>
  <c r="K1044" i="1" s="1"/>
  <c r="J1137" i="1"/>
  <c r="K1137" i="1" s="1"/>
  <c r="J108" i="1"/>
  <c r="K108" i="1" s="1"/>
  <c r="J63" i="1"/>
  <c r="K63" i="1" s="1"/>
  <c r="J1038" i="1"/>
  <c r="K1038" i="1" s="1"/>
  <c r="J798" i="1"/>
  <c r="K798" i="1" s="1"/>
  <c r="J595" i="1"/>
  <c r="K595" i="1" s="1"/>
  <c r="J918" i="1"/>
  <c r="K918" i="1" s="1"/>
  <c r="J590" i="1"/>
  <c r="K590" i="1" s="1"/>
  <c r="J202" i="1"/>
  <c r="K202" i="1" s="1"/>
  <c r="J1149" i="1"/>
  <c r="K1149" i="1" s="1"/>
  <c r="J682" i="1"/>
  <c r="K682" i="1" s="1"/>
  <c r="J1206" i="1"/>
  <c r="K1206" i="1" s="1"/>
  <c r="J1230" i="1"/>
  <c r="K1230" i="1" s="1"/>
  <c r="J1021" i="1"/>
  <c r="K1021" i="1" s="1"/>
  <c r="J1001" i="1"/>
  <c r="K1001" i="1" s="1"/>
  <c r="J305" i="1"/>
  <c r="K305" i="1" s="1"/>
  <c r="J492" i="1"/>
  <c r="K492" i="1" s="1"/>
  <c r="J9" i="1"/>
  <c r="K9" i="1" s="1"/>
  <c r="J851" i="1"/>
  <c r="K851" i="1" s="1"/>
  <c r="J229" i="1"/>
  <c r="K229" i="1" s="1"/>
  <c r="J517" i="1"/>
  <c r="K517" i="1" s="1"/>
  <c r="J300" i="1"/>
  <c r="K300" i="1" s="1"/>
  <c r="J423" i="1"/>
  <c r="K423" i="1" s="1"/>
  <c r="J221" i="1"/>
  <c r="K221" i="1" s="1"/>
  <c r="J195" i="1"/>
  <c r="K195" i="1" s="1"/>
  <c r="J579" i="1"/>
  <c r="K579" i="1" s="1"/>
  <c r="J750" i="1"/>
  <c r="K750" i="1" s="1"/>
  <c r="J644" i="1"/>
  <c r="K644" i="1" s="1"/>
  <c r="J411" i="1"/>
  <c r="K411" i="1" s="1"/>
  <c r="J943" i="1"/>
  <c r="K943" i="1" s="1"/>
  <c r="J965" i="1"/>
  <c r="K965" i="1" s="1"/>
  <c r="J88" i="1"/>
  <c r="K88" i="1" s="1"/>
  <c r="J613" i="1"/>
  <c r="K613" i="1" s="1"/>
  <c r="J532" i="1"/>
  <c r="K532" i="1" s="1"/>
  <c r="J181" i="1"/>
  <c r="K181" i="1" s="1"/>
  <c r="J145" i="1"/>
  <c r="K145" i="1" s="1"/>
  <c r="J569" i="1"/>
  <c r="K569" i="1" s="1"/>
  <c r="J348" i="1"/>
  <c r="K348" i="1" s="1"/>
  <c r="J255" i="1"/>
  <c r="K255" i="1" s="1"/>
  <c r="J964" i="1"/>
  <c r="K964" i="1" s="1"/>
  <c r="J494" i="1"/>
  <c r="K494" i="1" s="1"/>
  <c r="J1007" i="1"/>
  <c r="K1007" i="1" s="1"/>
  <c r="J228" i="1"/>
  <c r="K228" i="1" s="1"/>
  <c r="J932" i="1"/>
  <c r="K932" i="1" s="1"/>
  <c r="J1069" i="1"/>
  <c r="K1069" i="1" s="1"/>
  <c r="J1024" i="1"/>
  <c r="K1024" i="1" s="1"/>
  <c r="J589" i="1"/>
  <c r="K589" i="1" s="1"/>
  <c r="J832" i="1"/>
  <c r="K832" i="1" s="1"/>
  <c r="J937" i="1"/>
  <c r="K937" i="1" s="1"/>
  <c r="J103" i="1"/>
  <c r="K103" i="1" s="1"/>
  <c r="J33" i="1"/>
  <c r="K33" i="1" s="1"/>
  <c r="J1011" i="1"/>
  <c r="K1011" i="1" s="1"/>
  <c r="J168" i="1"/>
  <c r="K168" i="1" s="1"/>
  <c r="J974" i="1"/>
  <c r="K974" i="1" s="1"/>
  <c r="J117" i="1"/>
  <c r="K117" i="1" s="1"/>
  <c r="J743" i="1"/>
  <c r="K743" i="1" s="1"/>
  <c r="J395" i="1"/>
  <c r="K395" i="1" s="1"/>
  <c r="J75" i="1"/>
  <c r="K75" i="1" s="1"/>
  <c r="J820" i="1"/>
  <c r="K820" i="1" s="1"/>
  <c r="J368" i="1"/>
  <c r="K368" i="1" s="1"/>
  <c r="J77" i="1"/>
  <c r="K77" i="1" s="1"/>
  <c r="J367" i="1"/>
  <c r="K367" i="1" s="1"/>
  <c r="J1019" i="1"/>
  <c r="K1019" i="1" s="1"/>
  <c r="J572" i="1"/>
  <c r="K572" i="1" s="1"/>
  <c r="J971" i="1"/>
  <c r="K971" i="1" s="1"/>
  <c r="J1071" i="1"/>
  <c r="K1071" i="1" s="1"/>
  <c r="J312" i="1"/>
  <c r="K312" i="1" s="1"/>
  <c r="J686" i="1"/>
  <c r="K686" i="1" s="1"/>
  <c r="J1012" i="1"/>
  <c r="K1012" i="1" s="1"/>
  <c r="J1248" i="1"/>
  <c r="K1248" i="1" s="1"/>
  <c r="J373" i="1"/>
  <c r="K373" i="1" s="1"/>
  <c r="J952" i="1"/>
  <c r="K952" i="1" s="1"/>
  <c r="J630" i="1"/>
  <c r="K630" i="1" s="1"/>
  <c r="J1103" i="1"/>
  <c r="K1103" i="1" s="1"/>
  <c r="J1063" i="1"/>
  <c r="K1063" i="1" s="1"/>
  <c r="J36" i="1"/>
  <c r="K36" i="1" s="1"/>
  <c r="J1095" i="1"/>
  <c r="K1095" i="1" s="1"/>
  <c r="J895" i="1"/>
  <c r="K895" i="1" s="1"/>
  <c r="J1124" i="1"/>
  <c r="K1124" i="1" s="1"/>
  <c r="J567" i="1"/>
  <c r="K567" i="1" s="1"/>
  <c r="J515" i="1"/>
  <c r="K515" i="1" s="1"/>
  <c r="J1203" i="1"/>
  <c r="K1203" i="1" s="1"/>
  <c r="J715" i="1"/>
  <c r="K715" i="1" s="1"/>
  <c r="J553" i="1"/>
  <c r="K553" i="1" s="1"/>
  <c r="J922" i="1"/>
  <c r="K922" i="1" s="1"/>
  <c r="J1234" i="1"/>
  <c r="K1234" i="1" s="1"/>
  <c r="J953" i="1"/>
  <c r="K953" i="1" s="1"/>
  <c r="J184" i="1"/>
  <c r="K184" i="1" s="1"/>
  <c r="J1083" i="1"/>
  <c r="K1083" i="1" s="1"/>
  <c r="J326" i="1"/>
  <c r="K326" i="1" s="1"/>
  <c r="J166" i="1"/>
  <c r="K166" i="1" s="1"/>
  <c r="J329" i="1"/>
  <c r="K329" i="1" s="1"/>
  <c r="J68" i="1"/>
  <c r="K68" i="1" s="1"/>
  <c r="J308" i="1"/>
  <c r="K308" i="1" s="1"/>
  <c r="J785" i="1"/>
  <c r="K785" i="1" s="1"/>
  <c r="J306" i="1"/>
  <c r="K306" i="1" s="1"/>
  <c r="J231" i="1"/>
  <c r="K231" i="1" s="1"/>
  <c r="J552" i="1"/>
  <c r="K552" i="1" s="1"/>
  <c r="J295" i="1"/>
  <c r="K295" i="1" s="1"/>
  <c r="J346" i="1"/>
  <c r="K346" i="1" s="1"/>
  <c r="J344" i="1"/>
  <c r="K344" i="1" s="1"/>
  <c r="J488" i="1"/>
  <c r="K488" i="1" s="1"/>
  <c r="J831" i="1"/>
  <c r="K831" i="1" s="1"/>
  <c r="J183" i="1"/>
  <c r="K183" i="1" s="1"/>
  <c r="J625" i="1"/>
  <c r="K625" i="1" s="1"/>
  <c r="J265" i="1"/>
  <c r="K265" i="1" s="1"/>
  <c r="J338" i="1"/>
  <c r="K338" i="1" s="1"/>
  <c r="J894" i="1"/>
  <c r="K894" i="1" s="1"/>
  <c r="J279" i="1"/>
  <c r="K279" i="1" s="1"/>
  <c r="J1031" i="1"/>
  <c r="K1031" i="1" s="1"/>
  <c r="J836" i="1"/>
  <c r="K836" i="1" s="1"/>
  <c r="J907" i="1"/>
  <c r="K907" i="1" s="1"/>
  <c r="J153" i="1"/>
  <c r="K153" i="1" s="1"/>
  <c r="J621" i="1"/>
  <c r="K621" i="1" s="1"/>
  <c r="J1239" i="1"/>
  <c r="K1239" i="1" s="1"/>
  <c r="J764" i="1"/>
  <c r="K764" i="1" s="1"/>
  <c r="J624" i="1"/>
  <c r="K624" i="1" s="1"/>
  <c r="J25" i="1"/>
  <c r="K25" i="1" s="1"/>
  <c r="J479" i="1"/>
  <c r="K479" i="1" s="1"/>
  <c r="J878" i="1"/>
  <c r="K878" i="1" s="1"/>
  <c r="J966" i="1"/>
  <c r="K966" i="1" s="1"/>
  <c r="J394" i="1"/>
  <c r="K394" i="1" s="1"/>
  <c r="J223" i="1"/>
  <c r="K223" i="1" s="1"/>
  <c r="J999" i="1"/>
  <c r="K999" i="1" s="1"/>
  <c r="J1014" i="1"/>
  <c r="K1014" i="1" s="1"/>
  <c r="J384" i="1"/>
  <c r="K384" i="1" s="1"/>
  <c r="J1227" i="1"/>
  <c r="K1227" i="1" s="1"/>
  <c r="J1152" i="1"/>
  <c r="K1152" i="1" s="1"/>
  <c r="J591" i="1"/>
  <c r="K591" i="1" s="1"/>
  <c r="J558" i="1"/>
  <c r="K558" i="1" s="1"/>
  <c r="J272" i="1"/>
  <c r="K272" i="1" s="1"/>
  <c r="J942" i="1"/>
  <c r="K942" i="1" s="1"/>
  <c r="J482" i="1"/>
  <c r="K482" i="1" s="1"/>
  <c r="J1238" i="1"/>
  <c r="K1238" i="1" s="1"/>
  <c r="J281" i="1"/>
  <c r="K281" i="1" s="1"/>
  <c r="J822" i="1"/>
  <c r="K822" i="1" s="1"/>
  <c r="J199" i="1"/>
  <c r="K199" i="1" s="1"/>
  <c r="J826" i="1"/>
  <c r="K826" i="1" s="1"/>
  <c r="J240" i="1"/>
  <c r="K240" i="1" s="1"/>
  <c r="J695" i="1"/>
  <c r="K695" i="1" s="1"/>
  <c r="J100" i="1"/>
  <c r="K100" i="1" s="1"/>
  <c r="J189" i="1"/>
  <c r="K189" i="1" s="1"/>
  <c r="J729" i="1"/>
  <c r="K729" i="1" s="1"/>
  <c r="J904" i="1"/>
  <c r="K904" i="1" s="1"/>
  <c r="J316" i="1"/>
  <c r="K316" i="1" s="1"/>
  <c r="J1290" i="1"/>
  <c r="K1290" i="1" s="1"/>
  <c r="J269" i="1"/>
  <c r="K269" i="1" s="1"/>
  <c r="J786" i="1"/>
  <c r="K786" i="1" s="1"/>
  <c r="J74" i="1"/>
  <c r="K74" i="1" s="1"/>
  <c r="J1128" i="1"/>
  <c r="K1128" i="1" s="1"/>
  <c r="J115" i="1"/>
  <c r="K115" i="1" s="1"/>
  <c r="J271" i="1"/>
  <c r="K271" i="1" s="1"/>
  <c r="J84" i="1"/>
  <c r="K84" i="1" s="1"/>
  <c r="J190" i="1"/>
  <c r="K190" i="1" s="1"/>
  <c r="J101" i="1"/>
  <c r="K101" i="1" s="1"/>
  <c r="J1100" i="1"/>
  <c r="K1100" i="1" s="1"/>
  <c r="J215" i="1"/>
  <c r="K215" i="1" s="1"/>
  <c r="J1166" i="1"/>
  <c r="K1166" i="1" s="1"/>
  <c r="J470" i="1"/>
  <c r="K470" i="1" s="1"/>
  <c r="J1145" i="1"/>
  <c r="K1145" i="1" s="1"/>
  <c r="J1036" i="1"/>
  <c r="K1036" i="1" s="1"/>
  <c r="J113" i="1"/>
  <c r="K113" i="1" s="1"/>
  <c r="J95" i="1"/>
  <c r="K95" i="1" s="1"/>
  <c r="J721" i="1"/>
  <c r="K721" i="1" s="1"/>
  <c r="J740" i="1"/>
  <c r="K740" i="1" s="1"/>
  <c r="J1222" i="1"/>
  <c r="K1222" i="1" s="1"/>
  <c r="J535" i="1"/>
  <c r="K535" i="1" s="1"/>
  <c r="J361" i="1"/>
  <c r="K361" i="1" s="1"/>
  <c r="J1122" i="1"/>
  <c r="K1122" i="1" s="1"/>
  <c r="J647" i="1"/>
  <c r="K647" i="1" s="1"/>
  <c r="J1186" i="1"/>
  <c r="K1186" i="1" s="1"/>
  <c r="J350" i="1"/>
  <c r="K350" i="1" s="1"/>
  <c r="J28" i="1"/>
  <c r="K28" i="1" s="1"/>
  <c r="J620" i="1"/>
  <c r="K620" i="1" s="1"/>
  <c r="J32" i="1"/>
  <c r="K32" i="1" s="1"/>
  <c r="J1242" i="1"/>
  <c r="K1242" i="1" s="1"/>
  <c r="J455" i="1"/>
  <c r="K455" i="1" s="1"/>
  <c r="J570" i="1"/>
  <c r="K570" i="1" s="1"/>
  <c r="J751" i="1"/>
  <c r="K751" i="1" s="1"/>
  <c r="J31" i="1"/>
  <c r="K31" i="1" s="1"/>
  <c r="J986" i="1"/>
  <c r="K986" i="1" s="1"/>
  <c r="J12" i="1"/>
  <c r="K12" i="1" s="1"/>
  <c r="J571" i="1"/>
  <c r="K571" i="1" s="1"/>
  <c r="J513" i="1"/>
  <c r="K513" i="1" s="1"/>
  <c r="J1292" i="1"/>
  <c r="K1292" i="1" s="1"/>
  <c r="J1193" i="1"/>
  <c r="K1193" i="1" s="1"/>
  <c r="J1202" i="1"/>
  <c r="K1202" i="1" s="1"/>
  <c r="J593" i="1"/>
  <c r="K593" i="1" s="1"/>
  <c r="J388" i="1"/>
  <c r="K388" i="1" s="1"/>
  <c r="J49" i="1"/>
  <c r="K49" i="1" s="1"/>
  <c r="J495" i="1"/>
  <c r="K495" i="1" s="1"/>
  <c r="J342" i="1"/>
  <c r="K342" i="1" s="1"/>
  <c r="J723" i="1"/>
  <c r="K723" i="1" s="1"/>
  <c r="J633" i="1"/>
  <c r="K633" i="1" s="1"/>
  <c r="J14" i="1"/>
  <c r="K14" i="1" s="1"/>
  <c r="J1224" i="1"/>
  <c r="K1224" i="1" s="1"/>
  <c r="J292" i="1"/>
  <c r="K292" i="1" s="1"/>
  <c r="J989" i="1"/>
  <c r="K989" i="1" s="1"/>
  <c r="J752" i="1"/>
  <c r="K752" i="1" s="1"/>
  <c r="J414" i="1"/>
  <c r="K414" i="1" s="1"/>
  <c r="J1139" i="1"/>
  <c r="K1139" i="1" s="1"/>
  <c r="J162" i="1"/>
  <c r="K162" i="1" s="1"/>
  <c r="J435" i="1"/>
  <c r="K435" i="1" s="1"/>
  <c r="J650" i="1"/>
  <c r="K650" i="1" s="1"/>
  <c r="J439" i="1"/>
  <c r="K439" i="1" s="1"/>
  <c r="J829" i="1"/>
  <c r="K829" i="1" s="1"/>
  <c r="J1212" i="1"/>
  <c r="K1212" i="1" s="1"/>
  <c r="J452" i="1"/>
  <c r="K452" i="1" s="1"/>
  <c r="J992" i="1"/>
  <c r="K992" i="1" s="1"/>
  <c r="J109" i="1"/>
  <c r="K109" i="1" s="1"/>
  <c r="J1130" i="1"/>
  <c r="K1130" i="1" s="1"/>
  <c r="J903" i="1"/>
  <c r="K903" i="1" s="1"/>
  <c r="J396" i="1"/>
  <c r="K396" i="1" s="1"/>
  <c r="J1258" i="1"/>
  <c r="K1258" i="1" s="1"/>
  <c r="J323" i="1"/>
  <c r="K323" i="1" s="1"/>
  <c r="J834" i="1"/>
  <c r="K834" i="1" s="1"/>
  <c r="J1098" i="1"/>
  <c r="K1098" i="1" s="1"/>
  <c r="J809" i="1"/>
  <c r="K809" i="1" s="1"/>
  <c r="J803" i="1"/>
  <c r="K803" i="1" s="1"/>
  <c r="J46" i="1"/>
  <c r="K46" i="1" s="1"/>
  <c r="J1256" i="1"/>
  <c r="K1256" i="1" s="1"/>
  <c r="J129" i="1"/>
  <c r="K129" i="1" s="1"/>
  <c r="J641" i="1"/>
  <c r="K641" i="1" s="1"/>
  <c r="J313" i="1"/>
  <c r="K313" i="1" s="1"/>
  <c r="J983" i="1"/>
  <c r="K983" i="1" s="1"/>
  <c r="J923" i="1"/>
  <c r="K923" i="1" s="1"/>
  <c r="J196" i="1"/>
  <c r="K196" i="1" s="1"/>
  <c r="J756" i="1"/>
  <c r="K756" i="1" s="1"/>
  <c r="J648" i="1"/>
  <c r="K648" i="1" s="1"/>
  <c r="J264" i="1"/>
  <c r="K264" i="1" s="1"/>
  <c r="J449" i="1"/>
  <c r="K449" i="1" s="1"/>
  <c r="J1101" i="1"/>
  <c r="K1101" i="1" s="1"/>
  <c r="J672" i="1"/>
  <c r="K672" i="1" s="1"/>
  <c r="J886" i="1"/>
  <c r="K886" i="1" s="1"/>
  <c r="J290" i="1"/>
  <c r="K290" i="1" s="1"/>
  <c r="J333" i="1"/>
  <c r="K333" i="1" s="1"/>
  <c r="J136" i="1"/>
  <c r="K136" i="1" s="1"/>
  <c r="J464" i="1"/>
  <c r="K464" i="1" s="1"/>
  <c r="J208" i="1"/>
  <c r="K208" i="1" s="1"/>
  <c r="J267" i="1"/>
  <c r="K267" i="1" s="1"/>
  <c r="J38" i="1"/>
  <c r="K38" i="1" s="1"/>
  <c r="J598" i="1"/>
  <c r="K598" i="1" s="1"/>
  <c r="J928" i="1"/>
  <c r="K928" i="1" s="1"/>
  <c r="J976" i="1"/>
  <c r="K976" i="1" s="1"/>
  <c r="J238" i="1"/>
  <c r="K238" i="1" s="1"/>
  <c r="J1041" i="1"/>
  <c r="K1041" i="1" s="1"/>
  <c r="J842" i="1"/>
  <c r="K842" i="1" s="1"/>
  <c r="J3" i="1"/>
  <c r="K3" i="1" s="1"/>
  <c r="J975" i="1"/>
  <c r="K975" i="1" s="1"/>
  <c r="J1167" i="1"/>
  <c r="K1167" i="1" s="1"/>
  <c r="J594" i="1"/>
  <c r="K594" i="1" s="1"/>
  <c r="J1136" i="1"/>
  <c r="K1136" i="1" s="1"/>
  <c r="J882" i="1"/>
  <c r="K882" i="1" s="1"/>
  <c r="J406" i="1"/>
  <c r="K406" i="1" s="1"/>
  <c r="J1078" i="1"/>
  <c r="K1078" i="1" s="1"/>
  <c r="J140" i="1"/>
  <c r="K140" i="1" s="1"/>
  <c r="J91" i="1"/>
  <c r="K91" i="1" s="1"/>
  <c r="J1107" i="1"/>
  <c r="K1107" i="1" s="1"/>
  <c r="J1102" i="1"/>
  <c r="K1102" i="1" s="1"/>
  <c r="J960" i="1"/>
  <c r="K960" i="1" s="1"/>
  <c r="J466" i="1"/>
  <c r="K466" i="1" s="1"/>
  <c r="J554" i="1"/>
  <c r="K554" i="1" s="1"/>
  <c r="J1085" i="1"/>
  <c r="K1085" i="1" s="1"/>
  <c r="J447" i="1"/>
  <c r="K447" i="1" s="1"/>
  <c r="J496" i="1"/>
  <c r="K496" i="1" s="1"/>
  <c r="J817" i="1"/>
  <c r="K817" i="1" s="1"/>
  <c r="J1217" i="1"/>
  <c r="K1217" i="1" s="1"/>
  <c r="J225" i="1"/>
  <c r="K225" i="1" s="1"/>
  <c r="J339" i="1"/>
  <c r="K339" i="1" s="1"/>
  <c r="J972" i="1"/>
  <c r="K972" i="1" s="1"/>
  <c r="J568" i="1"/>
  <c r="K568" i="1" s="1"/>
  <c r="J592" i="1"/>
  <c r="K592" i="1" s="1"/>
  <c r="J805" i="1"/>
  <c r="K805" i="1" s="1"/>
  <c r="J1092" i="1"/>
  <c r="K1092" i="1" s="1"/>
  <c r="J1043" i="1"/>
  <c r="K1043" i="1" s="1"/>
  <c r="J781" i="1"/>
  <c r="K781" i="1" s="1"/>
  <c r="J169" i="1"/>
  <c r="K169" i="1" s="1"/>
  <c r="J754" i="1"/>
  <c r="K754" i="1" s="1"/>
  <c r="J10" i="1"/>
  <c r="K10" i="1" s="1"/>
  <c r="J897" i="1"/>
  <c r="K897" i="1" s="1"/>
  <c r="J453" i="1"/>
  <c r="K453" i="1" s="1"/>
  <c r="J397" i="1"/>
  <c r="K397" i="1" s="1"/>
  <c r="J382" i="1"/>
  <c r="K382" i="1" s="1"/>
  <c r="J733" i="1"/>
  <c r="K733" i="1" s="1"/>
  <c r="J144" i="1"/>
  <c r="K144" i="1" s="1"/>
  <c r="J41" i="1"/>
  <c r="K41" i="1" s="1"/>
  <c r="J1233" i="1"/>
  <c r="K1233" i="1" s="1"/>
  <c r="J212" i="1"/>
  <c r="K212" i="1" s="1"/>
  <c r="J789" i="1"/>
  <c r="K789" i="1" s="1"/>
  <c r="J404" i="1"/>
  <c r="K404" i="1" s="1"/>
  <c r="J642" i="1"/>
  <c r="K642" i="1" s="1"/>
  <c r="J790" i="1"/>
  <c r="K790" i="1" s="1"/>
  <c r="J628" i="1"/>
  <c r="K628" i="1" s="1"/>
  <c r="J699" i="1"/>
  <c r="K699" i="1" s="1"/>
  <c r="J247" i="1"/>
  <c r="K247" i="1" s="1"/>
  <c r="J1192" i="1"/>
  <c r="K1192" i="1" s="1"/>
  <c r="J1209" i="1"/>
  <c r="K1209" i="1" s="1"/>
  <c r="J685" i="1"/>
  <c r="K685" i="1" s="1"/>
  <c r="J784" i="1"/>
  <c r="K784" i="1" s="1"/>
  <c r="J640" i="1"/>
  <c r="K640" i="1" s="1"/>
  <c r="J1255" i="1"/>
  <c r="K1255" i="1" s="1"/>
  <c r="J634" i="1"/>
  <c r="K634" i="1" s="1"/>
  <c r="J1246" i="1"/>
  <c r="K1246" i="1" s="1"/>
  <c r="J1086" i="1"/>
  <c r="K1086" i="1" s="1"/>
  <c r="J1272" i="1"/>
  <c r="K1272" i="1" s="1"/>
  <c r="J1013" i="1"/>
  <c r="K1013" i="1" s="1"/>
  <c r="J297" i="1"/>
  <c r="K297" i="1" s="1"/>
  <c r="J840" i="1"/>
  <c r="K840" i="1" s="1"/>
  <c r="J345" i="1"/>
  <c r="K345" i="1" s="1"/>
  <c r="J1027" i="1"/>
  <c r="K1027" i="1" s="1"/>
  <c r="J1155" i="1"/>
  <c r="K1155" i="1" s="1"/>
  <c r="J1045" i="1"/>
  <c r="K1045" i="1" s="1"/>
  <c r="J724" i="1"/>
  <c r="K724" i="1" s="1"/>
  <c r="J676" i="1"/>
  <c r="K676" i="1" s="1"/>
  <c r="J1175" i="1"/>
  <c r="K1175" i="1" s="1"/>
  <c r="J1220" i="1"/>
  <c r="K1220" i="1" s="1"/>
  <c r="J218" i="1"/>
  <c r="K218" i="1" s="1"/>
  <c r="J910" i="1"/>
  <c r="K910" i="1" s="1"/>
  <c r="J990" i="1"/>
  <c r="K990" i="1" s="1"/>
  <c r="J275" i="1"/>
  <c r="K275" i="1" s="1"/>
  <c r="J1160" i="1"/>
  <c r="K1160" i="1" s="1"/>
  <c r="J154" i="1"/>
  <c r="K154" i="1" s="1"/>
  <c r="J493" i="1"/>
  <c r="K493" i="1" s="1"/>
  <c r="J725" i="1"/>
  <c r="K725" i="1" s="1"/>
  <c r="J76" i="1"/>
  <c r="K76" i="1" s="1"/>
  <c r="J956" i="1"/>
  <c r="K956" i="1" s="1"/>
  <c r="J438" i="1"/>
  <c r="K438" i="1" s="1"/>
  <c r="J655" i="1"/>
  <c r="K655" i="1" s="1"/>
  <c r="J562" i="1"/>
  <c r="K562" i="1" s="1"/>
  <c r="J1279" i="1"/>
  <c r="K1279" i="1" s="1"/>
  <c r="J978" i="1"/>
  <c r="K978" i="1" s="1"/>
  <c r="J779" i="1"/>
  <c r="K779" i="1" s="1"/>
  <c r="J375" i="1"/>
  <c r="K375" i="1" s="1"/>
  <c r="J174" i="1"/>
  <c r="K174" i="1" s="1"/>
  <c r="J1225" i="1"/>
  <c r="K1225" i="1" s="1"/>
  <c r="J1169" i="1"/>
  <c r="K1169" i="1" s="1"/>
  <c r="J884" i="1"/>
  <c r="K884" i="1" s="1"/>
  <c r="J304" i="1"/>
  <c r="K304" i="1" s="1"/>
  <c r="J565" i="1"/>
  <c r="K565" i="1" s="1"/>
  <c r="J61" i="1"/>
  <c r="K61" i="1" s="1"/>
  <c r="J732" i="1"/>
  <c r="K732" i="1" s="1"/>
  <c r="J1108" i="1"/>
  <c r="K1108" i="1" s="1"/>
  <c r="J460" i="1"/>
  <c r="K460" i="1" s="1"/>
  <c r="J774" i="1"/>
  <c r="K774" i="1" s="1"/>
  <c r="J1057" i="1"/>
  <c r="K1057" i="1" s="1"/>
  <c r="J383" i="1"/>
  <c r="K383" i="1" s="1"/>
  <c r="J419" i="1"/>
  <c r="K419" i="1" s="1"/>
  <c r="J315" i="1"/>
  <c r="K315" i="1" s="1"/>
  <c r="J652" i="1"/>
  <c r="K652" i="1" s="1"/>
  <c r="J234" i="1"/>
  <c r="K234" i="1" s="1"/>
  <c r="J43" i="1"/>
  <c r="K43" i="1" s="1"/>
  <c r="J23" i="1"/>
  <c r="K23" i="1" s="1"/>
  <c r="J4" i="1"/>
  <c r="K4" i="1" s="1"/>
  <c r="J808" i="1"/>
  <c r="K808" i="1" s="1"/>
  <c r="J472" i="1"/>
  <c r="K472" i="1" s="1"/>
  <c r="J467" i="1"/>
  <c r="K467" i="1" s="1"/>
  <c r="J814" i="1"/>
  <c r="K814" i="1" s="1"/>
  <c r="J130" i="1"/>
  <c r="K130" i="1" s="1"/>
  <c r="J1165" i="1"/>
  <c r="K1165" i="1" s="1"/>
  <c r="J864" i="1"/>
  <c r="K864" i="1" s="1"/>
  <c r="J1004" i="1"/>
  <c r="K1004" i="1" s="1"/>
  <c r="J268" i="1"/>
  <c r="K268" i="1" s="1"/>
  <c r="J1127" i="1"/>
  <c r="K1127" i="1" s="1"/>
  <c r="J770" i="1"/>
  <c r="K770" i="1" s="1"/>
  <c r="J1099" i="1"/>
  <c r="K1099" i="1" s="1"/>
  <c r="J178" i="1"/>
  <c r="K178" i="1" s="1"/>
  <c r="J224" i="1"/>
  <c r="K224" i="1" s="1"/>
  <c r="J327" i="1"/>
  <c r="K327" i="1" s="1"/>
  <c r="J401" i="1"/>
  <c r="K401" i="1" s="1"/>
  <c r="J1282" i="1"/>
  <c r="K1282" i="1" s="1"/>
  <c r="J1015" i="1"/>
  <c r="K1015" i="1" s="1"/>
  <c r="J2" i="1"/>
  <c r="K2" i="1" s="1"/>
  <c r="J1289" i="1"/>
  <c r="K1289" i="1" s="1"/>
  <c r="J48" i="1"/>
  <c r="K48" i="1" s="1"/>
  <c r="J158" i="1"/>
  <c r="K158" i="1" s="1"/>
  <c r="J702" i="1"/>
  <c r="K702" i="1" s="1"/>
  <c r="J930" i="1"/>
  <c r="K930" i="1" s="1"/>
  <c r="J362" i="1"/>
  <c r="K362" i="1" s="1"/>
  <c r="J56" i="1"/>
  <c r="K56" i="1" s="1"/>
  <c r="J799" i="1"/>
  <c r="K799" i="1" s="1"/>
  <c r="J408" i="1"/>
  <c r="K408" i="1" s="1"/>
  <c r="J525" i="1"/>
  <c r="K525" i="1" s="1"/>
  <c r="J1068" i="1"/>
  <c r="K1068" i="1" s="1"/>
  <c r="J660" i="1"/>
  <c r="K660" i="1" s="1"/>
  <c r="J1226" i="1"/>
  <c r="K1226" i="1" s="1"/>
  <c r="J413" i="1"/>
  <c r="K413" i="1" s="1"/>
  <c r="J748" i="1"/>
  <c r="K748" i="1" s="1"/>
  <c r="J777" i="1"/>
  <c r="K777" i="1" s="1"/>
  <c r="J307" i="1"/>
  <c r="K307" i="1" s="1"/>
  <c r="J939" i="1"/>
  <c r="K939" i="1" s="1"/>
  <c r="J1162" i="1"/>
  <c r="K1162" i="1" s="1"/>
  <c r="J541" i="1"/>
  <c r="K541" i="1" s="1"/>
  <c r="J1164" i="1"/>
  <c r="K1164" i="1" s="1"/>
  <c r="J242" i="1"/>
  <c r="K242" i="1" s="1"/>
  <c r="J855" i="1"/>
  <c r="K855" i="1" s="1"/>
  <c r="J1029" i="1"/>
  <c r="K1029" i="1" s="1"/>
  <c r="J191" i="1"/>
  <c r="K191" i="1" s="1"/>
  <c r="J1116" i="1"/>
  <c r="K1116" i="1" s="1"/>
  <c r="J6" i="1"/>
  <c r="K6" i="1" s="1"/>
  <c r="J485" i="1"/>
  <c r="K485" i="1" s="1"/>
  <c r="J1142" i="1"/>
  <c r="K1142" i="1" s="1"/>
  <c r="J738" i="1"/>
  <c r="K738" i="1" s="1"/>
  <c r="J332" i="1"/>
  <c r="K332" i="1" s="1"/>
  <c r="J556" i="1"/>
  <c r="K556" i="1" s="1"/>
  <c r="J1006" i="1"/>
  <c r="K1006" i="1" s="1"/>
  <c r="J1210" i="1"/>
  <c r="K1210" i="1" s="1"/>
  <c r="J588" i="1"/>
  <c r="K588" i="1" s="1"/>
  <c r="J1008" i="1"/>
  <c r="K1008" i="1" s="1"/>
  <c r="J132" i="1"/>
  <c r="K132" i="1" s="1"/>
  <c r="J222" i="1"/>
  <c r="K222" i="1" s="1"/>
  <c r="J734" i="1"/>
  <c r="K734" i="1" s="1"/>
  <c r="J347" i="1"/>
  <c r="K347" i="1" s="1"/>
  <c r="J720" i="1"/>
  <c r="K720" i="1" s="1"/>
  <c r="J908" i="1"/>
  <c r="K908" i="1" s="1"/>
  <c r="J40" i="1"/>
  <c r="K40" i="1" s="1"/>
  <c r="J227" i="1"/>
  <c r="K227" i="1" s="1"/>
  <c r="J147" i="1"/>
  <c r="K147" i="1" s="1"/>
  <c r="J1125" i="1"/>
  <c r="K1125" i="1" s="1"/>
  <c r="J683" i="1"/>
  <c r="K683" i="1" s="1"/>
  <c r="J107" i="1"/>
  <c r="K107" i="1" s="1"/>
  <c r="J241" i="1"/>
  <c r="K241" i="1" s="1"/>
  <c r="J1016" i="1"/>
  <c r="K1016" i="1" s="1"/>
  <c r="J480" i="1"/>
  <c r="K480" i="1" s="1"/>
  <c r="J163" i="1"/>
  <c r="K163" i="1" s="1"/>
  <c r="J13" i="1"/>
  <c r="K13" i="1" s="1"/>
  <c r="J415" i="1"/>
  <c r="K415" i="1" s="1"/>
  <c r="J293" i="1"/>
  <c r="K293" i="1" s="1"/>
  <c r="J783" i="1"/>
  <c r="K783" i="1" s="1"/>
  <c r="J87" i="1"/>
  <c r="K87" i="1" s="1"/>
  <c r="J141" i="1"/>
  <c r="K141" i="1" s="1"/>
  <c r="J1087" i="1"/>
  <c r="K1087" i="1" s="1"/>
  <c r="J1117" i="1"/>
  <c r="K1117" i="1" s="1"/>
  <c r="J197" i="1"/>
  <c r="K197" i="1" s="1"/>
  <c r="J207" i="1"/>
  <c r="K207" i="1" s="1"/>
  <c r="J1047" i="1"/>
  <c r="K1047" i="1" s="1"/>
  <c r="J635" i="1"/>
  <c r="K635" i="1" s="1"/>
  <c r="J804" i="1"/>
  <c r="K804" i="1" s="1"/>
  <c r="J619" i="1"/>
  <c r="K619" i="1" s="1"/>
  <c r="J587" i="1"/>
  <c r="K587" i="1" s="1"/>
  <c r="J898" i="1"/>
  <c r="K898" i="1" s="1"/>
  <c r="J662" i="1"/>
  <c r="K662" i="1" s="1"/>
  <c r="J874" i="1"/>
  <c r="K874" i="1" s="1"/>
  <c r="J823" i="1"/>
  <c r="K823" i="1" s="1"/>
  <c r="J15" i="1"/>
  <c r="K15" i="1" s="1"/>
  <c r="J656" i="1"/>
  <c r="K656" i="1" s="1"/>
  <c r="J42" i="1"/>
  <c r="K42" i="1" s="1"/>
  <c r="J78" i="1"/>
  <c r="K78" i="1" s="1"/>
  <c r="J920" i="1"/>
  <c r="K920" i="1" s="1"/>
  <c r="J270" i="1"/>
  <c r="K270" i="1" s="1"/>
  <c r="J421" i="1"/>
  <c r="K421" i="1" s="1"/>
  <c r="J319" i="1"/>
  <c r="K319" i="1" s="1"/>
  <c r="J883" i="1"/>
  <c r="K883" i="1" s="1"/>
  <c r="J235" i="1"/>
  <c r="K235" i="1" s="1"/>
  <c r="J560" i="1"/>
  <c r="K560" i="1" s="1"/>
  <c r="J1148" i="1"/>
  <c r="K1148" i="1" s="1"/>
  <c r="J941" i="1"/>
  <c r="K941" i="1" s="1"/>
  <c r="J256" i="1"/>
  <c r="K256" i="1" s="1"/>
  <c r="J718" i="1"/>
  <c r="K718" i="1" s="1"/>
  <c r="J973" i="1"/>
  <c r="K973" i="1" s="1"/>
  <c r="J980" i="1"/>
  <c r="K980" i="1" s="1"/>
  <c r="J1188" i="1"/>
  <c r="K1188" i="1" s="1"/>
  <c r="J827" i="1"/>
  <c r="K827" i="1" s="1"/>
  <c r="J1179" i="1"/>
  <c r="K1179" i="1" s="1"/>
  <c r="J680" i="1"/>
  <c r="K680" i="1" s="1"/>
  <c r="J440" i="1"/>
  <c r="K440" i="1" s="1"/>
  <c r="J982" i="1"/>
  <c r="K982" i="1" s="1"/>
  <c r="J520" i="1"/>
  <c r="K520" i="1" s="1"/>
  <c r="J434" i="1"/>
  <c r="K434" i="1" s="1"/>
  <c r="J201" i="1"/>
  <c r="K201" i="1" s="1"/>
  <c r="J54" i="1"/>
  <c r="K54" i="1" s="1"/>
  <c r="J825" i="1"/>
  <c r="K825" i="1" s="1"/>
  <c r="J172" i="1"/>
  <c r="K172" i="1" s="1"/>
  <c r="J1080" i="1"/>
  <c r="K1080" i="1" s="1"/>
  <c r="J283" i="1"/>
  <c r="K283" i="1" s="1"/>
  <c r="J906" i="1"/>
  <c r="K906" i="1" s="1"/>
  <c r="J824" i="1"/>
  <c r="K824" i="1" s="1"/>
  <c r="J1269" i="1"/>
  <c r="K1269" i="1" s="1"/>
  <c r="J792" i="1"/>
  <c r="K792" i="1" s="1"/>
  <c r="J8" i="1"/>
  <c r="K8" i="1" s="1"/>
  <c r="J1070" i="1"/>
  <c r="K1070" i="1" s="1"/>
  <c r="J577" i="1"/>
  <c r="K577" i="1" s="1"/>
  <c r="J538" i="1"/>
  <c r="K538" i="1" s="1"/>
  <c r="J616" i="1"/>
  <c r="K616" i="1" s="1"/>
  <c r="J1190" i="1"/>
  <c r="K1190" i="1" s="1"/>
  <c r="J889" i="1"/>
  <c r="K889" i="1" s="1"/>
  <c r="J830" i="1"/>
  <c r="K830" i="1" s="1"/>
  <c r="J961" i="1"/>
  <c r="K961" i="1" s="1"/>
  <c r="J1187" i="1"/>
  <c r="K1187" i="1" s="1"/>
  <c r="J649" i="1"/>
  <c r="K649" i="1" s="1"/>
  <c r="J1201" i="1"/>
  <c r="K1201" i="1" s="1"/>
  <c r="J609" i="1"/>
  <c r="K609" i="1" s="1"/>
  <c r="J26" i="1"/>
  <c r="K26" i="1" s="1"/>
  <c r="J359" i="1"/>
  <c r="K359" i="1" s="1"/>
  <c r="J301" i="1"/>
  <c r="K301" i="1" s="1"/>
  <c r="J585" i="1"/>
  <c r="K585" i="1" s="1"/>
  <c r="J1132" i="1"/>
  <c r="K1132" i="1" s="1"/>
  <c r="J451" i="1"/>
  <c r="K451" i="1" s="1"/>
  <c r="J716" i="1"/>
  <c r="K716" i="1" s="1"/>
  <c r="J432" i="1"/>
  <c r="K432" i="1" s="1"/>
  <c r="J1254" i="1"/>
  <c r="K1254" i="1" s="1"/>
  <c r="J1119" i="1"/>
  <c r="K1119" i="1" s="1"/>
  <c r="J1247" i="1"/>
  <c r="K1247" i="1" s="1"/>
  <c r="J664" i="1"/>
  <c r="K664" i="1" s="1"/>
  <c r="J530" i="1"/>
  <c r="K530" i="1" s="1"/>
  <c r="J1088" i="1"/>
  <c r="K1088" i="1" s="1"/>
  <c r="J1049" i="1"/>
  <c r="K1049" i="1" s="1"/>
  <c r="J481" i="1"/>
  <c r="K481" i="1" s="1"/>
  <c r="J559" i="1"/>
  <c r="K559" i="1" s="1"/>
  <c r="J198" i="1"/>
  <c r="K198" i="1" s="1"/>
  <c r="J759" i="1"/>
  <c r="K759" i="1" s="1"/>
  <c r="J1146" i="1"/>
  <c r="K1146" i="1" s="1"/>
  <c r="J1184" i="1"/>
  <c r="K1184" i="1" s="1"/>
  <c r="J679" i="1"/>
  <c r="K679" i="1" s="1"/>
  <c r="J387" i="1"/>
  <c r="K387" i="1" s="1"/>
  <c r="J1050" i="1"/>
  <c r="K1050" i="1" s="1"/>
  <c r="J125" i="1"/>
  <c r="K125" i="1" s="1"/>
  <c r="J1158" i="1"/>
  <c r="K1158" i="1" s="1"/>
  <c r="J615" i="1"/>
  <c r="K615" i="1" s="1"/>
  <c r="J336" i="1"/>
  <c r="K336" i="1" s="1"/>
  <c r="J782" i="1"/>
  <c r="K782" i="1" s="1"/>
  <c r="J331" i="1"/>
  <c r="K331" i="1" s="1"/>
  <c r="J730" i="1"/>
  <c r="K730" i="1" s="1"/>
  <c r="J1244" i="1"/>
  <c r="K1244" i="1" s="1"/>
  <c r="J957" i="1"/>
  <c r="K957" i="1" s="1"/>
  <c r="J159" i="1"/>
  <c r="K159" i="1" s="1"/>
  <c r="J1223" i="1"/>
  <c r="K1223" i="1" s="1"/>
  <c r="J854" i="1"/>
  <c r="K854" i="1" s="1"/>
  <c r="J607" i="1"/>
  <c r="K607" i="1" s="1"/>
  <c r="J500" i="1"/>
  <c r="K500" i="1" s="1"/>
  <c r="J111" i="1"/>
  <c r="K111" i="1" s="1"/>
  <c r="J165" i="1"/>
  <c r="K165" i="1" s="1"/>
  <c r="J582" i="1"/>
  <c r="K582" i="1" s="1"/>
  <c r="J838" i="1"/>
  <c r="K838" i="1" s="1"/>
  <c r="J237" i="1"/>
  <c r="K237" i="1" s="1"/>
  <c r="J393" i="1"/>
  <c r="K393" i="1" s="1"/>
  <c r="J787" i="1"/>
  <c r="K787" i="1" s="1"/>
  <c r="J1218" i="1"/>
  <c r="K1218" i="1" s="1"/>
  <c r="J106" i="1"/>
  <c r="K106" i="1" s="1"/>
  <c r="J1156" i="1"/>
  <c r="K1156" i="1" s="1"/>
  <c r="J358" i="1"/>
  <c r="K358" i="1" s="1"/>
  <c r="J848" i="1"/>
  <c r="K848" i="1" s="1"/>
  <c r="J881" i="1"/>
  <c r="K881" i="1" s="1"/>
  <c r="J916" i="1"/>
  <c r="K916" i="1" s="1"/>
  <c r="J954" i="1"/>
  <c r="K954" i="1" s="1"/>
  <c r="J502" i="1"/>
  <c r="K502" i="1" s="1"/>
  <c r="J324" i="1"/>
  <c r="K324" i="1" s="1"/>
  <c r="J852" i="1"/>
  <c r="K852" i="1" s="1"/>
  <c r="J444" i="1"/>
  <c r="K444" i="1" s="1"/>
  <c r="J629" i="1"/>
  <c r="K629" i="1" s="1"/>
  <c r="J85" i="1"/>
  <c r="K85" i="1" s="1"/>
  <c r="J118" i="1"/>
  <c r="K118" i="1" s="1"/>
  <c r="J924" i="1"/>
  <c r="K924" i="1" s="1"/>
  <c r="J714" i="1"/>
  <c r="K714" i="1" s="1"/>
  <c r="J688" i="1"/>
  <c r="K688" i="1" s="1"/>
  <c r="J352" i="1"/>
  <c r="K352" i="1" s="1"/>
  <c r="J64" i="1"/>
  <c r="K64" i="1" s="1"/>
  <c r="J860" i="1"/>
  <c r="K860" i="1" s="1"/>
  <c r="J98" i="1"/>
  <c r="K98" i="1" s="1"/>
  <c r="J66" i="1"/>
  <c r="K66" i="1" s="1"/>
  <c r="J1052" i="1"/>
  <c r="K1052" i="1" s="1"/>
  <c r="J1104" i="1"/>
  <c r="K1104" i="1" s="1"/>
  <c r="J1171" i="1"/>
  <c r="K1171" i="1" s="1"/>
  <c r="J1053" i="1"/>
  <c r="K1053" i="1" s="1"/>
  <c r="J157" i="1"/>
  <c r="K157" i="1" s="1"/>
  <c r="J34" i="1"/>
  <c r="K34" i="1" s="1"/>
  <c r="J871" i="1"/>
  <c r="K871" i="1" s="1"/>
  <c r="J735" i="1"/>
  <c r="K735" i="1" s="1"/>
  <c r="J739" i="1"/>
  <c r="K739" i="1" s="1"/>
  <c r="J89" i="1"/>
  <c r="K89" i="1" s="1"/>
  <c r="J187" i="1"/>
  <c r="K187" i="1" s="1"/>
  <c r="J1168" i="1"/>
  <c r="K1168" i="1" s="1"/>
  <c r="J845" i="1"/>
  <c r="K845" i="1" s="1"/>
  <c r="J1120" i="1"/>
  <c r="K1120" i="1" s="1"/>
  <c r="J775" i="1"/>
  <c r="K775" i="1" s="1"/>
  <c r="J1106" i="1"/>
  <c r="K1106" i="1" s="1"/>
  <c r="J968" i="1"/>
  <c r="K968" i="1" s="1"/>
  <c r="J97" i="1"/>
  <c r="K97" i="1" s="1"/>
  <c r="J233" i="1"/>
  <c r="K233" i="1" s="1"/>
  <c r="J987" i="1"/>
  <c r="K987" i="1" s="1"/>
  <c r="J800" i="1"/>
  <c r="K800" i="1" s="1"/>
  <c r="J913" i="1"/>
  <c r="K913" i="1" s="1"/>
  <c r="J1215" i="1"/>
  <c r="K1215" i="1" s="1"/>
  <c r="J958" i="1"/>
  <c r="K958" i="1" s="1"/>
  <c r="J463" i="1"/>
  <c r="K463" i="1" s="1"/>
  <c r="J835" i="1"/>
  <c r="K835" i="1" s="1"/>
  <c r="J487" i="1"/>
  <c r="K487" i="1" s="1"/>
  <c r="J70" i="1"/>
  <c r="K70" i="1" s="1"/>
  <c r="J1040" i="1"/>
  <c r="K1040" i="1" s="1"/>
  <c r="J356" i="1"/>
  <c r="K356" i="1" s="1"/>
  <c r="J1089" i="1"/>
  <c r="K1089" i="1" s="1"/>
  <c r="J522" i="1"/>
  <c r="K522" i="1" s="1"/>
  <c r="J431" i="1"/>
  <c r="K431" i="1" s="1"/>
  <c r="J469" i="1"/>
  <c r="K469" i="1" s="1"/>
  <c r="J1257" i="1"/>
  <c r="K1257" i="1" s="1"/>
  <c r="J1199" i="1"/>
  <c r="K1199" i="1" s="1"/>
  <c r="J458" i="1"/>
  <c r="K458" i="1" s="1"/>
  <c r="J1017" i="1"/>
  <c r="K1017" i="1" s="1"/>
  <c r="J287" i="1"/>
  <c r="K287" i="1" s="1"/>
  <c r="J850" i="1"/>
  <c r="K850" i="1" s="1"/>
  <c r="J896" i="1"/>
  <c r="K896" i="1" s="1"/>
  <c r="J1109" i="1"/>
  <c r="K1109" i="1" s="1"/>
  <c r="J529" i="1"/>
  <c r="K529" i="1" s="1"/>
  <c r="J489" i="1"/>
  <c r="K489" i="1" s="1"/>
  <c r="J946" i="1"/>
  <c r="K946" i="1" s="1"/>
  <c r="J1032" i="1"/>
  <c r="K1032" i="1" s="1"/>
  <c r="J927" i="1"/>
  <c r="K927" i="1" s="1"/>
  <c r="J310" i="1"/>
  <c r="K310" i="1" s="1"/>
  <c r="J991" i="1"/>
  <c r="K991" i="1" s="1"/>
  <c r="J600" i="1"/>
  <c r="K600" i="1" s="1"/>
  <c r="J997" i="1"/>
  <c r="K997" i="1" s="1"/>
  <c r="J837" i="1"/>
  <c r="K837" i="1" s="1"/>
  <c r="J802" i="1"/>
  <c r="K802" i="1" s="1"/>
  <c r="J209" i="1"/>
  <c r="K209" i="1" s="1"/>
  <c r="J555" i="1"/>
  <c r="K555" i="1" s="1"/>
  <c r="J354" i="1"/>
  <c r="K354" i="1" s="1"/>
  <c r="J1062" i="1"/>
  <c r="K1062" i="1" s="1"/>
  <c r="J902" i="1"/>
  <c r="K902" i="1" s="1"/>
  <c r="J951" i="1"/>
  <c r="K951" i="1" s="1"/>
  <c r="J1180" i="1"/>
  <c r="K1180" i="1" s="1"/>
  <c r="J1285" i="1"/>
  <c r="K1285" i="1" s="1"/>
  <c r="J171" i="1"/>
  <c r="K171" i="1" s="1"/>
  <c r="J890" i="1"/>
  <c r="K890" i="1" s="1"/>
  <c r="J457" i="1"/>
  <c r="K457" i="1" s="1"/>
  <c r="J857" i="1"/>
  <c r="K857" i="1" s="1"/>
  <c r="J988" i="1"/>
  <c r="K988" i="1" s="1"/>
  <c r="J1058" i="1"/>
  <c r="K1058" i="1" s="1"/>
  <c r="J1172" i="1"/>
  <c r="K1172" i="1" s="1"/>
  <c r="J58" i="1"/>
  <c r="K58" i="1" s="1"/>
  <c r="J52" i="1"/>
  <c r="K52" i="1" s="1"/>
  <c r="J741" i="1"/>
  <c r="K741" i="1" s="1"/>
  <c r="J700" i="1"/>
  <c r="K700" i="1" s="1"/>
  <c r="J179" i="1"/>
  <c r="K179" i="1" s="1"/>
  <c r="J707" i="1"/>
  <c r="K707" i="1" s="1"/>
  <c r="J1287" i="1"/>
  <c r="K1287" i="1" s="1"/>
  <c r="J936" i="1"/>
  <c r="K936" i="1" s="1"/>
  <c r="J151" i="1"/>
  <c r="K151" i="1" s="1"/>
  <c r="J50" i="1"/>
  <c r="K50" i="1" s="1"/>
  <c r="J309" i="1"/>
  <c r="K309" i="1" s="1"/>
  <c r="J1084" i="1"/>
  <c r="K1084" i="1" s="1"/>
  <c r="J5" i="1"/>
  <c r="K5" i="1" s="1"/>
  <c r="J164" i="1"/>
  <c r="K164" i="1" s="1"/>
  <c r="J768" i="1"/>
  <c r="K768" i="1" s="1"/>
  <c r="J1121" i="1"/>
  <c r="K1121" i="1" s="1"/>
  <c r="J710" i="1"/>
  <c r="K710" i="1" s="1"/>
  <c r="J900" i="1"/>
  <c r="K900" i="1" s="1"/>
  <c r="J90" i="1"/>
  <c r="K90" i="1" s="1"/>
  <c r="J341" i="1"/>
  <c r="K341" i="1" s="1"/>
  <c r="J1094" i="1"/>
  <c r="K1094" i="1" s="1"/>
  <c r="J583" i="1"/>
  <c r="K583" i="1" s="1"/>
  <c r="J170" i="1"/>
  <c r="K170" i="1" s="1"/>
  <c r="J62" i="1"/>
  <c r="K62" i="1" s="1"/>
  <c r="J811" i="1"/>
  <c r="K811" i="1" s="1"/>
  <c r="J1213" i="1"/>
  <c r="K1213" i="1" s="1"/>
  <c r="J1060" i="1"/>
  <c r="K1060" i="1" s="1"/>
  <c r="J614" i="1"/>
  <c r="K614" i="1" s="1"/>
  <c r="J443" i="1"/>
  <c r="K443" i="1" s="1"/>
  <c r="J807" i="1"/>
  <c r="K807" i="1" s="1"/>
  <c r="J1074" i="1"/>
  <c r="K1074" i="1" s="1"/>
  <c r="J1076" i="1"/>
  <c r="K1076" i="1" s="1"/>
  <c r="J93" i="1"/>
  <c r="K93" i="1" s="1"/>
  <c r="J161" i="1"/>
  <c r="K161" i="1" s="1"/>
  <c r="J374" i="1"/>
  <c r="K374" i="1" s="1"/>
  <c r="J753" i="1"/>
  <c r="K753" i="1" s="1"/>
  <c r="J623" i="1"/>
  <c r="K623" i="1" s="1"/>
  <c r="J762" i="1"/>
  <c r="K762" i="1" s="1"/>
  <c r="J1054" i="1"/>
  <c r="K1054" i="1" s="1"/>
  <c r="J124" i="1"/>
  <c r="K124" i="1" s="1"/>
  <c r="J213" i="1"/>
  <c r="K213" i="1" s="1"/>
  <c r="J263" i="1"/>
  <c r="K263" i="1" s="1"/>
  <c r="J689" i="1"/>
  <c r="K689" i="1" s="1"/>
  <c r="J967" i="1"/>
  <c r="K967" i="1" s="1"/>
  <c r="J261" i="1"/>
  <c r="K261" i="1" s="1"/>
  <c r="J1059" i="1"/>
  <c r="K1059" i="1" s="1"/>
  <c r="J79" i="1"/>
  <c r="K79" i="1" s="1"/>
  <c r="J806" i="1"/>
  <c r="K806" i="1" s="1"/>
  <c r="J203" i="1"/>
  <c r="K203" i="1" s="1"/>
  <c r="J437" i="1"/>
  <c r="K437" i="1" s="1"/>
  <c r="J303" i="1"/>
  <c r="K303" i="1" s="1"/>
  <c r="J1123" i="1"/>
  <c r="K1123" i="1" s="1"/>
  <c r="J57" i="1"/>
  <c r="K57" i="1" s="1"/>
  <c r="J510" i="1"/>
  <c r="K510" i="1" s="1"/>
  <c r="J156" i="1"/>
  <c r="K156" i="1" s="1"/>
  <c r="J351" i="1"/>
  <c r="K351" i="1" s="1"/>
  <c r="J410" i="1"/>
  <c r="K410" i="1" s="1"/>
  <c r="J398" i="1"/>
  <c r="K398" i="1" s="1"/>
  <c r="J818" i="1"/>
  <c r="K818" i="1" s="1"/>
  <c r="J564" i="1"/>
  <c r="K564" i="1" s="1"/>
  <c r="J697" i="1"/>
  <c r="K697" i="1" s="1"/>
  <c r="J1061" i="1"/>
  <c r="K1061" i="1" s="1"/>
  <c r="J1270" i="1"/>
  <c r="K1270" i="1" s="1"/>
  <c r="J608" i="1"/>
  <c r="K608" i="1" s="1"/>
  <c r="J872" i="1"/>
  <c r="K872" i="1" s="1"/>
  <c r="J128" i="1"/>
  <c r="K128" i="1" s="1"/>
  <c r="J955" i="1"/>
  <c r="K955" i="1" s="1"/>
  <c r="J940" i="1"/>
  <c r="K940" i="1" s="1"/>
  <c r="J580" i="1"/>
  <c r="K580" i="1" s="1"/>
  <c r="J667" i="1"/>
  <c r="K667" i="1" s="1"/>
  <c r="J862" i="1"/>
  <c r="K862" i="1" s="1"/>
  <c r="J561" i="1"/>
  <c r="K561" i="1" s="1"/>
  <c r="J726" i="1"/>
  <c r="K726" i="1" s="1"/>
  <c r="J468" i="1"/>
  <c r="K468" i="1" s="1"/>
  <c r="J1141" i="1"/>
  <c r="K1141" i="1" s="1"/>
  <c r="J131" i="1"/>
  <c r="K131" i="1" s="1"/>
  <c r="J127" i="1"/>
  <c r="K127" i="1" s="1"/>
  <c r="J709" i="1"/>
  <c r="K709" i="1" s="1"/>
  <c r="J369" i="1"/>
  <c r="K369" i="1" s="1"/>
  <c r="J1133" i="1"/>
  <c r="K1133" i="1" s="1"/>
  <c r="J299" i="1"/>
  <c r="K299" i="1" s="1"/>
  <c r="J250" i="1"/>
  <c r="K250" i="1" s="1"/>
  <c r="J21" i="1"/>
  <c r="K21" i="1" s="1"/>
  <c r="J1067" i="1"/>
  <c r="K1067" i="1" s="1"/>
  <c r="J544" i="1"/>
  <c r="K544" i="1" s="1"/>
  <c r="J645" i="1"/>
  <c r="K645" i="1" s="1"/>
  <c r="J1115" i="1"/>
  <c r="K1115" i="1" s="1"/>
  <c r="J1081" i="1"/>
  <c r="K1081" i="1" s="1"/>
  <c r="J121" i="1"/>
  <c r="K121" i="1" s="1"/>
  <c r="J758" i="1"/>
  <c r="K758" i="1" s="1"/>
  <c r="J302" i="1"/>
  <c r="K302" i="1" s="1"/>
  <c r="J459" i="1"/>
  <c r="K459" i="1" s="1"/>
  <c r="J1252" i="1"/>
  <c r="K1252" i="1" s="1"/>
  <c r="J1030" i="1"/>
  <c r="K1030" i="1" s="1"/>
  <c r="J646" i="1"/>
  <c r="K646" i="1" s="1"/>
  <c r="J1200" i="1"/>
  <c r="K1200" i="1" s="1"/>
  <c r="J819" i="1"/>
  <c r="K819" i="1" s="1"/>
  <c r="J135" i="1"/>
  <c r="K135" i="1" s="1"/>
  <c r="J1181" i="1"/>
  <c r="K1181" i="1" s="1"/>
  <c r="J29" i="1"/>
  <c r="K29" i="1" s="1"/>
  <c r="J1093" i="1"/>
  <c r="K1093" i="1" s="1"/>
  <c r="J879" i="1"/>
  <c r="K879" i="1" s="1"/>
  <c r="J677" i="1"/>
  <c r="K677" i="1" s="1"/>
  <c r="J149" i="1"/>
  <c r="K149" i="1" s="1"/>
  <c r="J476" i="1"/>
  <c r="K476" i="1" s="1"/>
  <c r="J1091" i="1"/>
  <c r="K1091" i="1" s="1"/>
  <c r="J1064" i="1"/>
  <c r="K1064" i="1" s="1"/>
  <c r="J311" i="1"/>
  <c r="K311" i="1" s="1"/>
  <c r="J627" i="1"/>
  <c r="K627" i="1" s="1"/>
  <c r="J998" i="1"/>
  <c r="K998" i="1" s="1"/>
  <c r="J1110" i="1"/>
  <c r="K1110" i="1" s="1"/>
  <c r="J815" i="1"/>
  <c r="K815" i="1" s="1"/>
  <c r="J1183" i="1"/>
  <c r="K1183" i="1" s="1"/>
  <c r="J893" i="1"/>
  <c r="K893" i="1" s="1"/>
  <c r="J389" i="1"/>
  <c r="K389" i="1" s="1"/>
  <c r="J282" i="1"/>
  <c r="K282" i="1" s="1"/>
  <c r="J605" i="1"/>
  <c r="K605" i="1" s="1"/>
  <c r="J861" i="1"/>
  <c r="K861" i="1" s="1"/>
  <c r="J226" i="1"/>
  <c r="K226" i="1" s="1"/>
  <c r="J1046" i="1"/>
  <c r="K1046" i="1" s="1"/>
  <c r="J379" i="1"/>
  <c r="K379" i="1" s="1"/>
  <c r="J372" i="1"/>
  <c r="K372" i="1" s="1"/>
  <c r="J499" i="1"/>
  <c r="K499" i="1" s="1"/>
  <c r="J1182" i="1"/>
  <c r="K1182" i="1" s="1"/>
  <c r="J657" i="1"/>
  <c r="K657" i="1" s="1"/>
  <c r="J236" i="1"/>
  <c r="K236" i="1" s="1"/>
  <c r="J755" i="1"/>
  <c r="K755" i="1" s="1"/>
  <c r="J243" i="1"/>
  <c r="K243" i="1" s="1"/>
  <c r="J765" i="1"/>
  <c r="K765" i="1" s="1"/>
  <c r="J1211" i="1"/>
  <c r="K1211" i="1" s="1"/>
  <c r="J691" i="1"/>
  <c r="K691" i="1" s="1"/>
  <c r="J1221" i="1"/>
  <c r="K1221" i="1" s="1"/>
  <c r="J653" i="1"/>
  <c r="K653" i="1" s="1"/>
  <c r="J1283" i="1"/>
  <c r="K1283" i="1" s="1"/>
  <c r="J412" i="1"/>
  <c r="K412" i="1" s="1"/>
  <c r="J343" i="1"/>
  <c r="K343" i="1" s="1"/>
  <c r="J917" i="1"/>
  <c r="K917" i="1" s="1"/>
  <c r="J760" i="1"/>
  <c r="K760" i="1" s="1"/>
  <c r="J1208" i="1"/>
  <c r="K1208" i="1" s="1"/>
  <c r="J160" i="1"/>
  <c r="K160" i="1" s="1"/>
  <c r="J1033" i="1"/>
  <c r="K1033" i="1" s="1"/>
  <c r="J603" i="1"/>
  <c r="K603" i="1" s="1"/>
  <c r="J1009" i="1"/>
  <c r="K1009" i="1" s="1"/>
  <c r="J638" i="1"/>
  <c r="K638" i="1" s="1"/>
  <c r="J1126" i="1"/>
  <c r="K1126" i="1" s="1"/>
  <c r="J385" i="1"/>
  <c r="K385" i="1" s="1"/>
  <c r="J1267" i="1"/>
  <c r="K1267" i="1" s="1"/>
  <c r="J933" i="1"/>
  <c r="K933" i="1" s="1"/>
  <c r="J670" i="1"/>
  <c r="K670" i="1" s="1"/>
  <c r="J474" i="1"/>
  <c r="K474" i="1" s="1"/>
  <c r="J177" i="1"/>
  <c r="K177" i="1" s="1"/>
  <c r="J727" i="1"/>
  <c r="K727" i="1" s="1"/>
  <c r="J912" i="1"/>
  <c r="K912" i="1" s="1"/>
  <c r="J47" i="1"/>
  <c r="K47" i="1" s="1"/>
  <c r="J746" i="1"/>
  <c r="K746" i="1" s="1"/>
  <c r="J763" i="1"/>
  <c r="K763" i="1" s="1"/>
  <c r="J636" i="1"/>
  <c r="K636" i="1" s="1"/>
  <c r="J110" i="1"/>
  <c r="K110" i="1" s="1"/>
  <c r="J1189" i="1"/>
  <c r="K1189" i="1" s="1"/>
  <c r="J1288" i="1"/>
  <c r="K1288" i="1" s="1"/>
  <c r="J776" i="1"/>
  <c r="K776" i="1" s="1"/>
  <c r="J1018" i="1"/>
  <c r="K1018" i="1" s="1"/>
  <c r="J1249" i="1"/>
  <c r="K1249" i="1" s="1"/>
  <c r="J1037" i="1"/>
  <c r="K1037" i="1" s="1"/>
  <c r="J143" i="1"/>
  <c r="K143" i="1" s="1"/>
  <c r="J1263" i="1"/>
  <c r="K1263" i="1" s="1"/>
  <c r="J778" i="1"/>
  <c r="K778" i="1" s="1"/>
  <c r="J701" i="1"/>
  <c r="K701" i="1" s="1"/>
  <c r="J377" i="1"/>
  <c r="K377" i="1" s="1"/>
  <c r="J230" i="1"/>
  <c r="K230" i="1" s="1"/>
  <c r="J274" i="1"/>
  <c r="K274" i="1" s="1"/>
  <c r="J407" i="1"/>
  <c r="K407" i="1" s="1"/>
  <c r="J206" i="1"/>
  <c r="K206" i="1" s="1"/>
  <c r="J505" i="1"/>
  <c r="K505" i="1" s="1"/>
  <c r="J1154" i="1"/>
  <c r="K1154" i="1" s="1"/>
  <c r="J188" i="1"/>
  <c r="K188" i="1" s="1"/>
  <c r="J155" i="1"/>
  <c r="K155" i="1" s="1"/>
  <c r="J984" i="1"/>
  <c r="K984" i="1" s="1"/>
  <c r="J232" i="1"/>
  <c r="K232" i="1" s="1"/>
  <c r="J442" i="1"/>
  <c r="K442" i="1" s="1"/>
  <c r="J390" i="1"/>
  <c r="K390" i="1" s="1"/>
  <c r="J839" i="1"/>
  <c r="K839" i="1" s="1"/>
  <c r="J176" i="1"/>
  <c r="K176" i="1" s="1"/>
  <c r="J507" i="1"/>
  <c r="K507" i="1" s="1"/>
  <c r="J578" i="1"/>
  <c r="K578" i="1" s="1"/>
  <c r="J217" i="1"/>
  <c r="K217" i="1" s="1"/>
  <c r="J742" i="1"/>
  <c r="K742" i="1" s="1"/>
  <c r="J204" i="1"/>
  <c r="K204" i="1" s="1"/>
  <c r="J970" i="1"/>
  <c r="K970" i="1" s="1"/>
  <c r="J294" i="1"/>
  <c r="K294" i="1" s="1"/>
  <c r="J671" i="1"/>
  <c r="K671" i="1" s="1"/>
  <c r="J1028" i="1"/>
  <c r="K1028" i="1" s="1"/>
  <c r="J601" i="1"/>
  <c r="K601" i="1" s="1"/>
  <c r="J1153" i="1"/>
  <c r="K1153" i="1" s="1"/>
  <c r="J551" i="1"/>
  <c r="K551" i="1" s="1"/>
  <c r="J1251" i="1"/>
  <c r="K1251" i="1" s="1"/>
  <c r="J993" i="1"/>
  <c r="K993" i="1" s="1"/>
  <c r="J1042" i="1"/>
  <c r="K1042" i="1" s="1"/>
  <c r="J17" i="1"/>
  <c r="K17" i="1" s="1"/>
  <c r="J1065" i="1"/>
  <c r="K1065" i="1" s="1"/>
  <c r="J330" i="1"/>
  <c r="K330" i="1" s="1"/>
  <c r="J138" i="1"/>
  <c r="K138" i="1" s="1"/>
  <c r="J659" i="1"/>
  <c r="K659" i="1" s="1"/>
  <c r="J626" i="1"/>
  <c r="K626" i="1" s="1"/>
  <c r="J684" i="1"/>
  <c r="K684" i="1" s="1"/>
  <c r="J491" i="1"/>
  <c r="K491" i="1" s="1"/>
  <c r="J403" i="1"/>
  <c r="K403" i="1" s="1"/>
  <c r="J320" i="1"/>
  <c r="K320" i="1" s="1"/>
  <c r="J747" i="1"/>
  <c r="K747" i="1" s="1"/>
  <c r="J1000" i="1"/>
  <c r="K1000" i="1" s="1"/>
  <c r="J260" i="1"/>
  <c r="K260" i="1" s="1"/>
  <c r="J887" i="1"/>
  <c r="K887" i="1" s="1"/>
  <c r="J673" i="1"/>
  <c r="K673" i="1" s="1"/>
  <c r="J96" i="1"/>
  <c r="K96" i="1" s="1"/>
  <c r="J549" i="1"/>
  <c r="K549" i="1" s="1"/>
  <c r="J370" i="1"/>
  <c r="K370" i="1" s="1"/>
  <c r="J180" i="1"/>
  <c r="K180" i="1" s="1"/>
  <c r="J429" i="1"/>
  <c r="K429" i="1" s="1"/>
  <c r="J120" i="1"/>
  <c r="K120" i="1" s="1"/>
  <c r="J371" i="1"/>
  <c r="K371" i="1" s="1"/>
  <c r="J35" i="1"/>
  <c r="K35" i="1" s="1"/>
  <c r="J841" i="1"/>
  <c r="K841" i="1" s="1"/>
  <c r="J456" i="1"/>
  <c r="K456" i="1" s="1"/>
  <c r="J337" i="1"/>
  <c r="K337" i="1" s="1"/>
  <c r="J340" i="1"/>
  <c r="K340" i="1" s="1"/>
  <c r="J314" i="1"/>
  <c r="K314" i="1" s="1"/>
  <c r="J602" i="1"/>
  <c r="K602" i="1" s="1"/>
  <c r="J796" i="1"/>
  <c r="K796" i="1" s="1"/>
  <c r="J637" i="1"/>
  <c r="K637" i="1" s="1"/>
  <c r="J239" i="1"/>
  <c r="K239" i="1" s="1"/>
  <c r="J1039" i="1"/>
  <c r="K1039" i="1" s="1"/>
  <c r="J696" i="1"/>
  <c r="K696" i="1" s="1"/>
  <c r="J253" i="1"/>
  <c r="K253" i="1" s="1"/>
  <c r="J45" i="1"/>
  <c r="K45" i="1" s="1"/>
  <c r="J220" i="1"/>
  <c r="K220" i="1" s="1"/>
  <c r="J575" i="1"/>
  <c r="K575" i="1" s="1"/>
  <c r="G13" i="3"/>
  <c r="G14" i="3"/>
  <c r="G15" i="3"/>
  <c r="G16" i="3"/>
  <c r="G17" i="3"/>
  <c r="G18" i="3"/>
  <c r="G19" i="3"/>
  <c r="G20" i="3"/>
  <c r="G8" i="3"/>
  <c r="G9" i="3"/>
  <c r="G10" i="3"/>
  <c r="G11" i="3"/>
  <c r="G12" i="3"/>
  <c r="G2" i="3"/>
  <c r="G3" i="3"/>
  <c r="G4" i="3"/>
  <c r="G5" i="3"/>
  <c r="G6" i="3"/>
  <c r="G7" i="3"/>
  <c r="K13" i="3"/>
  <c r="K14" i="3"/>
  <c r="K15" i="3"/>
  <c r="K16" i="3"/>
  <c r="K17" i="3"/>
  <c r="K18" i="3"/>
  <c r="K19" i="3"/>
  <c r="K8" i="3"/>
  <c r="K9" i="3"/>
  <c r="K10" i="3"/>
  <c r="K11" i="3"/>
  <c r="K12" i="3"/>
  <c r="K2" i="3"/>
  <c r="K3" i="3"/>
  <c r="K4" i="3"/>
  <c r="K5" i="3"/>
  <c r="K6" i="3"/>
  <c r="K7" i="3"/>
  <c r="E13" i="3"/>
  <c r="E14" i="3"/>
  <c r="E15" i="3"/>
  <c r="E16" i="3"/>
  <c r="E17" i="3"/>
  <c r="E18" i="3"/>
  <c r="E19" i="3"/>
  <c r="E20" i="3"/>
  <c r="E8" i="3"/>
  <c r="E9" i="3"/>
  <c r="E10" i="3"/>
  <c r="E11" i="3"/>
  <c r="E12" i="3"/>
  <c r="E2" i="3"/>
  <c r="E3" i="3"/>
  <c r="E4" i="3"/>
  <c r="E5" i="3"/>
  <c r="E6" i="3"/>
  <c r="E7" i="3"/>
  <c r="C13" i="3"/>
  <c r="C14" i="3"/>
  <c r="C15" i="3"/>
  <c r="C16" i="3"/>
  <c r="C17" i="3"/>
  <c r="C18" i="3"/>
  <c r="C19" i="3"/>
  <c r="C20" i="3"/>
  <c r="C8" i="3"/>
  <c r="C9" i="3"/>
  <c r="C10" i="3"/>
  <c r="C11" i="3"/>
  <c r="C12" i="3"/>
  <c r="C2" i="3"/>
  <c r="C3" i="3"/>
  <c r="C4" i="3"/>
  <c r="C5" i="3"/>
  <c r="C6" i="3"/>
  <c r="C7" i="3"/>
  <c r="N4" i="2"/>
  <c r="N2" i="2"/>
  <c r="N3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K3" i="2"/>
  <c r="K2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O291" i="1"/>
  <c r="O883" i="1"/>
  <c r="O71" i="1"/>
  <c r="O1182" i="1"/>
  <c r="O252" i="1"/>
  <c r="O558" i="1"/>
  <c r="O318" i="1"/>
  <c r="O1058" i="1"/>
  <c r="O349" i="1"/>
  <c r="O205" i="1"/>
  <c r="O619" i="1"/>
  <c r="O186" i="1"/>
  <c r="O18" i="1"/>
  <c r="O32" i="1"/>
  <c r="O1242" i="1"/>
  <c r="O912" i="1"/>
  <c r="O10" i="1"/>
  <c r="O878" i="1"/>
  <c r="O462" i="1"/>
  <c r="O284" i="1"/>
  <c r="O784" i="1"/>
  <c r="O83" i="1"/>
  <c r="O271" i="1"/>
  <c r="O1208" i="1"/>
  <c r="O61" i="1"/>
  <c r="O111" i="1"/>
  <c r="O1147" i="1"/>
  <c r="O314" i="1"/>
  <c r="O118" i="1"/>
  <c r="O235" i="1"/>
  <c r="O1076" i="1"/>
  <c r="O976" i="1"/>
  <c r="O550" i="1"/>
  <c r="O630" i="1"/>
  <c r="O90" i="1"/>
  <c r="O470" i="1"/>
  <c r="O67" i="1"/>
  <c r="O626" i="1"/>
  <c r="O70" i="1"/>
  <c r="O690" i="1"/>
  <c r="O590" i="1"/>
  <c r="O23" i="1"/>
  <c r="O1217" i="1"/>
  <c r="O675" i="1"/>
  <c r="O76" i="1"/>
  <c r="O744" i="1"/>
  <c r="O16" i="1"/>
  <c r="O36" i="1"/>
  <c r="O297" i="1"/>
  <c r="O1092" i="1"/>
  <c r="O105" i="1"/>
  <c r="O143" i="1"/>
  <c r="O954" i="1"/>
  <c r="O1106" i="1"/>
  <c r="O682" i="1"/>
  <c r="O647" i="1"/>
  <c r="O890" i="1"/>
  <c r="O804" i="1"/>
  <c r="O247" i="1"/>
  <c r="O231" i="1"/>
  <c r="O888" i="1"/>
  <c r="O598" i="1"/>
  <c r="O469" i="1"/>
  <c r="O667" i="1"/>
  <c r="O522" i="1"/>
  <c r="O514" i="1"/>
  <c r="O643" i="1"/>
  <c r="O56" i="1"/>
  <c r="O803" i="1"/>
  <c r="O256" i="1"/>
  <c r="O1042" i="1"/>
  <c r="O455" i="1"/>
  <c r="O642" i="1"/>
  <c r="O981" i="1"/>
  <c r="O226" i="1"/>
  <c r="O745" i="1"/>
  <c r="O998" i="1"/>
  <c r="O351" i="1"/>
  <c r="O443" i="1"/>
  <c r="O610" i="1"/>
  <c r="O116" i="1"/>
  <c r="O286" i="1"/>
  <c r="O114" i="1"/>
  <c r="O530" i="1"/>
  <c r="O413" i="1"/>
  <c r="O591" i="1"/>
  <c r="O581" i="1"/>
  <c r="O441" i="1"/>
  <c r="O726" i="1"/>
  <c r="O984" i="1"/>
  <c r="O257" i="1"/>
  <c r="O1009" i="1"/>
  <c r="O505" i="1"/>
  <c r="O457" i="1"/>
  <c r="O518" i="1"/>
  <c r="O837" i="1"/>
  <c r="O377" i="1"/>
  <c r="O704" i="1"/>
  <c r="O532" i="1"/>
  <c r="O2" i="1"/>
  <c r="O384" i="1"/>
  <c r="O1156" i="1"/>
  <c r="O953" i="1"/>
  <c r="O623" i="1"/>
  <c r="O248" i="1"/>
  <c r="O185" i="1"/>
  <c r="O59" i="1"/>
  <c r="O354" i="1"/>
  <c r="O1066" i="1"/>
  <c r="O950" i="1"/>
  <c r="O1193" i="1"/>
  <c r="O274" i="1"/>
  <c r="O792" i="1"/>
  <c r="O153" i="1"/>
  <c r="O1022" i="1"/>
  <c r="O1131" i="1"/>
  <c r="O484" i="1"/>
  <c r="O309" i="1"/>
  <c r="O671" i="1"/>
  <c r="O238" i="1"/>
  <c r="O1103" i="1"/>
  <c r="O471" i="1"/>
  <c r="O1062" i="1"/>
  <c r="O555" i="1"/>
  <c r="O382" i="1"/>
  <c r="O444" i="1"/>
  <c r="O594" i="1"/>
  <c r="O137" i="1"/>
  <c r="O603" i="1"/>
  <c r="O537" i="1"/>
  <c r="O864" i="1"/>
  <c r="O1117" i="1"/>
  <c r="O242" i="1"/>
  <c r="O264" i="1"/>
  <c r="O933" i="1"/>
  <c r="O127" i="1"/>
  <c r="O1149" i="1"/>
  <c r="O1129" i="1"/>
  <c r="O405" i="1"/>
  <c r="O520" i="1"/>
  <c r="O542" i="1"/>
  <c r="O715" i="1"/>
  <c r="O74" i="1"/>
  <c r="O886" i="1"/>
  <c r="O175" i="1"/>
  <c r="O313" i="1"/>
  <c r="O166" i="1"/>
  <c r="O737" i="1"/>
  <c r="O776" i="1"/>
  <c r="O1136" i="1"/>
  <c r="O202" i="1"/>
  <c r="O547" i="1"/>
  <c r="O434" i="1"/>
  <c r="O251" i="1"/>
  <c r="O294" i="1"/>
  <c r="O533" i="1"/>
  <c r="O1082" i="1"/>
  <c r="O766" i="1"/>
  <c r="O399" i="1"/>
  <c r="O909" i="1"/>
  <c r="O234" i="1"/>
  <c r="O214" i="1"/>
  <c r="O875" i="1"/>
  <c r="O978" i="1"/>
  <c r="O253" i="1"/>
  <c r="O254" i="1"/>
  <c r="O336" i="1"/>
  <c r="O109" i="1"/>
  <c r="O134" i="1"/>
  <c r="O342" i="1"/>
  <c r="O490" i="1"/>
  <c r="O519" i="1"/>
  <c r="O634" i="1"/>
  <c r="O1139" i="1"/>
  <c r="O53" i="1"/>
  <c r="O662" i="1"/>
  <c r="O1246" i="1"/>
  <c r="O1143" i="1"/>
  <c r="O1218" i="1"/>
  <c r="O1165" i="1"/>
  <c r="O372" i="1"/>
  <c r="O1200" i="1"/>
  <c r="O936" i="1"/>
  <c r="O974" i="1"/>
  <c r="O420" i="1"/>
  <c r="O330" i="1"/>
  <c r="O1261" i="1"/>
  <c r="O236" i="1"/>
  <c r="O203" i="1"/>
  <c r="O45" i="1"/>
  <c r="O450" i="1"/>
  <c r="O369" i="1"/>
  <c r="O1179" i="1"/>
  <c r="O41" i="1"/>
  <c r="O122" i="1"/>
  <c r="O1228" i="1"/>
  <c r="O1028" i="1"/>
  <c r="O103" i="1"/>
  <c r="O128" i="1"/>
  <c r="O923" i="1"/>
  <c r="O964" i="1"/>
  <c r="O55" i="1"/>
  <c r="O157" i="1"/>
  <c r="O709" i="1"/>
  <c r="O698" i="1"/>
  <c r="O858" i="1"/>
  <c r="O367" i="1"/>
  <c r="O544" i="1"/>
  <c r="O19" i="1"/>
  <c r="O797" i="1"/>
  <c r="O678" i="1"/>
  <c r="O282" i="1"/>
  <c r="O966" i="1"/>
  <c r="O299" i="1"/>
  <c r="O363" i="1"/>
  <c r="O464" i="1"/>
  <c r="O714" i="1"/>
  <c r="O25" i="1"/>
  <c r="O897" i="1"/>
  <c r="O331" i="1"/>
  <c r="O213" i="1"/>
  <c r="O1012" i="1"/>
  <c r="O640" i="1"/>
  <c r="O956" i="1"/>
  <c r="O1170" i="1"/>
  <c r="O1271" i="1"/>
  <c r="O293" i="1"/>
  <c r="O710" i="1"/>
  <c r="O580" i="1"/>
  <c r="O1056" i="1"/>
  <c r="O910" i="1"/>
  <c r="O838" i="1"/>
  <c r="O303" i="1"/>
  <c r="O807" i="1"/>
  <c r="O600" i="1"/>
  <c r="O1188" i="1"/>
  <c r="O1153" i="1"/>
  <c r="O432" i="1"/>
  <c r="O268" i="1"/>
  <c r="O1008" i="1"/>
  <c r="O990" i="1"/>
  <c r="O758" i="1"/>
  <c r="O324" i="1"/>
  <c r="O800" i="1"/>
  <c r="O1109" i="1"/>
  <c r="O316" i="1"/>
  <c r="O1220" i="1"/>
  <c r="O597" i="1"/>
  <c r="O827" i="1"/>
  <c r="O489" i="1"/>
  <c r="O125" i="1"/>
  <c r="O1067" i="1"/>
  <c r="O605" i="1"/>
  <c r="O230" i="1"/>
  <c r="O1003" i="1"/>
  <c r="O1083" i="1"/>
  <c r="O492" i="1"/>
  <c r="O740" i="1"/>
  <c r="O1191" i="1"/>
  <c r="O972" i="1"/>
  <c r="O562" i="1"/>
  <c r="O65" i="1"/>
  <c r="O683" i="1"/>
  <c r="O199" i="1"/>
  <c r="O140" i="1"/>
  <c r="O755" i="1"/>
  <c r="O879" i="1"/>
  <c r="O772" i="1"/>
  <c r="O442" i="1"/>
  <c r="O586" i="1"/>
  <c r="O809" i="1"/>
  <c r="O178" i="1"/>
  <c r="O729" i="1"/>
  <c r="O1202" i="1"/>
  <c r="O43" i="1"/>
  <c r="O154" i="1"/>
  <c r="O328" i="1"/>
  <c r="O263" i="1"/>
  <c r="O1054" i="1"/>
  <c r="O491" i="1"/>
  <c r="O904" i="1"/>
  <c r="O361" i="1"/>
  <c r="O700" i="1"/>
  <c r="O843" i="1"/>
  <c r="O1232" i="1"/>
  <c r="O995" i="1"/>
  <c r="O1291" i="1"/>
  <c r="O1173" i="1"/>
  <c r="O66" i="1"/>
  <c r="O1081" i="1"/>
  <c r="O724" i="1"/>
  <c r="O660" i="1"/>
  <c r="O78" i="1"/>
  <c r="O1181" i="1"/>
  <c r="O563" i="1"/>
  <c r="O26" i="1"/>
  <c r="O1059" i="1"/>
  <c r="O901" i="1"/>
  <c r="O1247" i="1"/>
  <c r="O104" i="1"/>
  <c r="O1237" i="1"/>
  <c r="O84" i="1"/>
  <c r="O346" i="1"/>
  <c r="O211" i="1"/>
  <c r="O830" i="1"/>
  <c r="O1018" i="1"/>
  <c r="O973" i="1"/>
  <c r="O648" i="1"/>
  <c r="O487" i="1"/>
  <c r="O849" i="1"/>
  <c r="O1276" i="1"/>
  <c r="O573" i="1"/>
  <c r="O102" i="1"/>
  <c r="O1084" i="1"/>
  <c r="O50" i="1"/>
  <c r="O1164" i="1"/>
  <c r="O278" i="1"/>
  <c r="O1047" i="1"/>
  <c r="O579" i="1"/>
  <c r="O868" i="1"/>
  <c r="O302" i="1"/>
  <c r="O338" i="1"/>
  <c r="O37" i="1"/>
  <c r="O193" i="1"/>
  <c r="O458" i="1"/>
  <c r="O1040" i="1"/>
  <c r="O6" i="1"/>
  <c r="O1031" i="1"/>
  <c r="O1014" i="1"/>
  <c r="O834" i="1"/>
  <c r="O358" i="1"/>
  <c r="O1108" i="1"/>
  <c r="O355" i="1"/>
  <c r="O839" i="1"/>
  <c r="O1025" i="1"/>
  <c r="O552" i="1"/>
  <c r="O79" i="1"/>
  <c r="O459" i="1"/>
  <c r="O400" i="1"/>
  <c r="O395" i="1"/>
  <c r="O949" i="1"/>
  <c r="O356" i="1"/>
  <c r="O402" i="1"/>
  <c r="O931" i="1"/>
  <c r="O449" i="1"/>
  <c r="O1068" i="1"/>
  <c r="O1024" i="1"/>
  <c r="O289" i="1"/>
  <c r="O925" i="1"/>
  <c r="O1043" i="1"/>
  <c r="O589" i="1"/>
  <c r="O14" i="1"/>
  <c r="O421" i="1"/>
  <c r="O595" i="1"/>
  <c r="O418" i="1"/>
  <c r="O1090" i="1"/>
  <c r="O874" i="1"/>
  <c r="O554" i="1"/>
  <c r="O967" i="1"/>
  <c r="O310" i="1"/>
  <c r="O288" i="1"/>
  <c r="O110" i="1"/>
  <c r="O1101" i="1"/>
  <c r="O466" i="1"/>
  <c r="O1048" i="1"/>
  <c r="O971" i="1"/>
  <c r="O1119" i="1"/>
  <c r="O986" i="1"/>
  <c r="O101" i="1"/>
  <c r="O225" i="1"/>
  <c r="O679" i="1"/>
  <c r="O918" i="1"/>
  <c r="O593" i="1"/>
  <c r="O989" i="1"/>
  <c r="O341" i="1"/>
  <c r="O568" i="1"/>
  <c r="O280" i="1"/>
  <c r="O1260" i="1"/>
  <c r="O138" i="1"/>
  <c r="O1032" i="1"/>
  <c r="O476" i="1"/>
  <c r="O39" i="1"/>
  <c r="O632" i="1"/>
  <c r="O198" i="1"/>
  <c r="O467" i="1"/>
  <c r="O1029" i="1"/>
  <c r="O260" i="1"/>
  <c r="O352" i="1"/>
  <c r="O828" i="1"/>
  <c r="O752" i="1"/>
  <c r="O1231" i="1"/>
  <c r="O1176" i="1"/>
  <c r="O480" i="1"/>
  <c r="O93" i="1"/>
  <c r="O765" i="1"/>
  <c r="O1161" i="1"/>
  <c r="O689" i="1"/>
  <c r="O769" i="1"/>
  <c r="O1190" i="1"/>
  <c r="O31" i="1"/>
  <c r="O165" i="1"/>
  <c r="O121" i="1"/>
  <c r="O290" i="1"/>
  <c r="O732" i="1"/>
  <c r="O270" i="1"/>
  <c r="O866" i="1"/>
  <c r="O306" i="1"/>
  <c r="O460" i="1"/>
  <c r="O604" i="1"/>
  <c r="O1044" i="1"/>
  <c r="O1209" i="1"/>
  <c r="O27" i="1"/>
  <c r="O80" i="1"/>
  <c r="O366" i="1"/>
  <c r="O136" i="1"/>
  <c r="O1290" i="1"/>
  <c r="O239" i="1"/>
  <c r="O169" i="1"/>
  <c r="O657" i="1"/>
  <c r="O216" i="1"/>
  <c r="O152" i="1"/>
  <c r="O1019" i="1"/>
  <c r="O1132" i="1"/>
  <c r="O427" i="1"/>
  <c r="O159" i="1"/>
  <c r="O68" i="1"/>
  <c r="O305" i="1"/>
  <c r="O651" i="1"/>
  <c r="O869" i="1"/>
  <c r="O385" i="1"/>
  <c r="O734" i="1"/>
  <c r="O113" i="1"/>
  <c r="O1077" i="1"/>
  <c r="O479" i="1"/>
  <c r="O504" i="1"/>
  <c r="O857" i="1"/>
  <c r="O993" i="1"/>
  <c r="O850" i="1"/>
  <c r="O173" i="1"/>
  <c r="O30" i="1"/>
  <c r="O1244" i="1"/>
  <c r="O81" i="1"/>
  <c r="O585" i="1"/>
  <c r="O217" i="1"/>
  <c r="O145" i="1"/>
  <c r="O535" i="1"/>
  <c r="O731" i="1"/>
  <c r="O451" i="1"/>
  <c r="O119" i="1"/>
  <c r="O894" i="1"/>
  <c r="O780" i="1"/>
  <c r="O272" i="1"/>
  <c r="O195" i="1"/>
  <c r="O696" i="1"/>
  <c r="O250" i="1"/>
  <c r="O783" i="1"/>
  <c r="O144" i="1"/>
  <c r="O863" i="1"/>
  <c r="O608" i="1"/>
  <c r="O1078" i="1"/>
  <c r="O509" i="1"/>
  <c r="O767" i="1"/>
  <c r="O618" i="1"/>
  <c r="O474" i="1"/>
  <c r="O115" i="1"/>
  <c r="O207" i="1"/>
  <c r="O750" i="1"/>
  <c r="O892" i="1"/>
  <c r="O862" i="1"/>
  <c r="O300" i="1"/>
  <c r="O91" i="1"/>
  <c r="O1046" i="1"/>
  <c r="O1130" i="1"/>
  <c r="O307" i="1"/>
  <c r="O390" i="1"/>
  <c r="O663" i="1"/>
  <c r="O661" i="1"/>
  <c r="O851" i="1"/>
  <c r="O1227" i="1"/>
  <c r="O852" i="1"/>
  <c r="O494" i="1"/>
  <c r="O706" i="1"/>
  <c r="O1111" i="1"/>
  <c r="O811" i="1"/>
  <c r="O11" i="1"/>
  <c r="O1007" i="1"/>
  <c r="O1189" i="1"/>
  <c r="O329" i="1"/>
  <c r="O375" i="1"/>
  <c r="O609" i="1"/>
  <c r="O1154" i="1"/>
  <c r="O751" i="1"/>
  <c r="O728" i="1"/>
  <c r="O1026" i="1"/>
  <c r="O1137" i="1"/>
  <c r="O819" i="1"/>
  <c r="O46" i="1"/>
  <c r="O716" i="1"/>
  <c r="O438" i="1"/>
  <c r="O551" i="1"/>
  <c r="O1221" i="1"/>
  <c r="O572" i="1"/>
  <c r="O644" i="1"/>
  <c r="O507" i="1"/>
  <c r="O428" i="1"/>
  <c r="O296" i="1"/>
  <c r="O1107" i="1"/>
  <c r="O500" i="1"/>
  <c r="O1259" i="1"/>
  <c r="O1272" i="1"/>
  <c r="O771" i="1"/>
  <c r="O1041" i="1"/>
  <c r="O1174" i="1"/>
  <c r="O543" i="1"/>
  <c r="O759" i="1"/>
  <c r="O763" i="1"/>
  <c r="O1001" i="1"/>
  <c r="O73" i="1"/>
  <c r="O499" i="1"/>
  <c r="O164" i="1"/>
  <c r="O1033" i="1"/>
  <c r="O184" i="1"/>
  <c r="O1171" i="1"/>
  <c r="O223" i="1"/>
  <c r="O884" i="1"/>
  <c r="O911" i="1"/>
  <c r="O1146" i="1"/>
  <c r="O939" i="1"/>
  <c r="O1122" i="1"/>
  <c r="O770" i="1"/>
  <c r="O1248" i="1"/>
  <c r="O388" i="1"/>
  <c r="O461" i="1"/>
  <c r="O907" i="1"/>
  <c r="O439" i="1"/>
  <c r="O840" i="1"/>
  <c r="O556" i="1"/>
  <c r="O560" i="1"/>
  <c r="O1168" i="1"/>
  <c r="O410" i="1"/>
  <c r="O1115" i="1"/>
  <c r="O915" i="1"/>
  <c r="O1099" i="1"/>
  <c r="O899" i="1"/>
  <c r="O233" i="1"/>
  <c r="O357" i="1"/>
  <c r="O635" i="1"/>
  <c r="O805" i="1"/>
  <c r="O1051" i="1"/>
  <c r="O812" i="1"/>
  <c r="O902" i="1"/>
  <c r="O799" i="1"/>
  <c r="O77" i="1"/>
  <c r="O397" i="1"/>
  <c r="O308" i="1"/>
  <c r="O17" i="1"/>
  <c r="O655" i="1"/>
  <c r="O1120" i="1"/>
  <c r="O215" i="1"/>
  <c r="O221" i="1"/>
  <c r="O861" i="1"/>
  <c r="O97" i="1"/>
  <c r="O1118" i="1"/>
  <c r="O760" i="1"/>
  <c r="O722" i="1"/>
  <c r="O275" i="1"/>
  <c r="O539" i="1"/>
  <c r="O34" i="1"/>
  <c r="O176" i="1"/>
  <c r="O429" i="1"/>
  <c r="O488" i="1"/>
  <c r="O415" i="1"/>
  <c r="O1086" i="1"/>
  <c r="O99" i="1"/>
  <c r="O631" i="1"/>
  <c r="O1055" i="1"/>
  <c r="O620" i="1"/>
  <c r="O411" i="1"/>
  <c r="O668" i="1"/>
  <c r="O1274" i="1"/>
  <c r="O344" i="1"/>
  <c r="O258" i="1"/>
  <c r="O649" i="1"/>
  <c r="O1036" i="1"/>
  <c r="O917" i="1"/>
  <c r="O1135" i="1"/>
  <c r="O1138" i="1"/>
  <c r="O190" i="1"/>
  <c r="O1160" i="1"/>
  <c r="O1013" i="1"/>
  <c r="O1197" i="1"/>
  <c r="O712" i="1"/>
  <c r="O680" i="1"/>
  <c r="O788" i="1"/>
  <c r="O526" i="1"/>
  <c r="O298" i="1"/>
  <c r="O787" i="1"/>
  <c r="O924" i="1"/>
  <c r="O652" i="1"/>
  <c r="O816" i="1"/>
  <c r="O95" i="1"/>
  <c r="O761" i="1"/>
  <c r="O320" i="1"/>
  <c r="O629" i="1"/>
  <c r="O407" i="1"/>
  <c r="O717" i="1"/>
  <c r="O1088" i="1"/>
  <c r="O958" i="1"/>
  <c r="O928" i="1"/>
  <c r="O222" i="1"/>
  <c r="O842" i="1"/>
  <c r="O1177" i="1"/>
  <c r="O1094" i="1"/>
  <c r="O960" i="1"/>
  <c r="O436" i="1"/>
  <c r="O244" i="1"/>
  <c r="O1152" i="1"/>
  <c r="O228" i="1"/>
  <c r="O860" i="1"/>
  <c r="O9" i="1"/>
  <c r="O265" i="1"/>
  <c r="O1034" i="1"/>
  <c r="O1000" i="1"/>
  <c r="O721" i="1"/>
  <c r="O681" i="1"/>
  <c r="O7" i="1"/>
  <c r="O1134" i="1"/>
  <c r="O1263" i="1"/>
  <c r="O1214" i="1"/>
  <c r="O21" i="1"/>
  <c r="O798" i="1"/>
  <c r="O1178" i="1"/>
  <c r="O456" i="1"/>
  <c r="O1087" i="1"/>
  <c r="O1166" i="1"/>
  <c r="O49" i="1"/>
  <c r="O283" i="1"/>
  <c r="O1110" i="1"/>
  <c r="O345" i="1"/>
  <c r="O1239" i="1"/>
  <c r="O468" i="1"/>
  <c r="O645" i="1"/>
  <c r="O482" i="1"/>
  <c r="O241" i="1"/>
  <c r="O687" i="1"/>
  <c r="O908" i="1"/>
  <c r="O653" i="1"/>
  <c r="O378" i="1"/>
  <c r="O431" i="1"/>
  <c r="O802" i="1"/>
  <c r="O1206" i="1"/>
  <c r="O789" i="1"/>
  <c r="O1093" i="1"/>
  <c r="O753" i="1"/>
  <c r="O475" i="1"/>
  <c r="O92" i="1"/>
  <c r="O748" i="1"/>
  <c r="O141" i="1"/>
  <c r="O337" i="1"/>
  <c r="O86" i="1"/>
  <c r="O955" i="1"/>
  <c r="O528" i="1"/>
  <c r="O3" i="1"/>
  <c r="O1279" i="1"/>
  <c r="O718" i="1"/>
  <c r="O179" i="1"/>
  <c r="O1148" i="1"/>
  <c r="O992" i="1"/>
  <c r="O1075" i="1"/>
  <c r="O833" i="1"/>
  <c r="O188" i="1"/>
  <c r="O566" i="1"/>
  <c r="O1010" i="1"/>
  <c r="O1064" i="1"/>
  <c r="O261" i="1"/>
  <c r="O301" i="1"/>
  <c r="O5" i="1"/>
  <c r="O1002" i="1"/>
  <c r="O398" i="1"/>
  <c r="O756" i="1"/>
  <c r="O762" i="1"/>
  <c r="O448" i="1"/>
  <c r="O818" i="1"/>
  <c r="O335" i="1"/>
  <c r="O368" i="1"/>
  <c r="O975" i="1"/>
  <c r="O12" i="1"/>
  <c r="O1158" i="1"/>
  <c r="O611" i="1"/>
  <c r="O832" i="1"/>
  <c r="O1293" i="1"/>
  <c r="O149" i="1"/>
  <c r="O951" i="1"/>
  <c r="O607" i="1"/>
  <c r="O658" i="1"/>
  <c r="O412" i="1"/>
  <c r="O1192" i="1"/>
  <c r="O446" i="1"/>
  <c r="O906" i="1"/>
  <c r="O665" i="1"/>
  <c r="O778" i="1"/>
  <c r="O725" i="1"/>
  <c r="O163" i="1"/>
  <c r="O1207" i="1"/>
  <c r="O259" i="1"/>
  <c r="O1140" i="1"/>
  <c r="O659" i="1"/>
  <c r="O785" i="1"/>
  <c r="O406" i="1"/>
  <c r="O392" i="1"/>
  <c r="O463" i="1"/>
  <c r="O63" i="1"/>
  <c r="O669" i="1"/>
  <c r="O588" i="1"/>
  <c r="O1098" i="1"/>
  <c r="O15" i="1"/>
  <c r="O794" i="1"/>
  <c r="O1157" i="1"/>
  <c r="O654" i="1"/>
  <c r="O831" i="1"/>
  <c r="O1225" i="1"/>
  <c r="O523" i="1"/>
  <c r="O575" i="1"/>
  <c r="O982" i="1"/>
  <c r="O501" i="1"/>
  <c r="O161" i="1"/>
  <c r="O1185" i="1"/>
  <c r="O565" i="1"/>
  <c r="O677" i="1"/>
  <c r="O685" i="1"/>
  <c r="O865" i="1"/>
  <c r="O940" i="1"/>
  <c r="O381" i="1"/>
  <c r="O340" i="1"/>
  <c r="O445" i="1"/>
  <c r="O1281" i="1"/>
  <c r="O701" i="1"/>
  <c r="O192" i="1"/>
  <c r="O370" i="1"/>
  <c r="O882" i="1"/>
  <c r="O664" i="1"/>
  <c r="O496" i="1"/>
  <c r="O934" i="1"/>
  <c r="O943" i="1"/>
  <c r="O1213" i="1"/>
  <c r="O959" i="1"/>
  <c r="O570" i="1"/>
  <c r="O887" i="1"/>
  <c r="O587" i="1"/>
  <c r="O75" i="1"/>
  <c r="O1241" i="1"/>
  <c r="O684" i="1"/>
  <c r="O396" i="1"/>
  <c r="O1124" i="1"/>
  <c r="O1016" i="1"/>
  <c r="O927" i="1"/>
  <c r="O437" i="1"/>
  <c r="O332" i="1"/>
  <c r="O944" i="1"/>
  <c r="O945" i="1"/>
  <c r="O183" i="1"/>
  <c r="O100" i="1"/>
  <c r="O146" i="1"/>
  <c r="O1222" i="1"/>
  <c r="O754" i="1"/>
  <c r="O889" i="1"/>
  <c r="O1069" i="1"/>
  <c r="O347" i="1"/>
  <c r="O210" i="1"/>
  <c r="O806" i="1"/>
  <c r="O29" i="1"/>
  <c r="O1089" i="1"/>
  <c r="O641" i="1"/>
  <c r="O1255" i="1"/>
  <c r="O913" i="1"/>
  <c r="O757" i="1"/>
  <c r="O495" i="1"/>
  <c r="O946" i="1"/>
  <c r="O513" i="1"/>
  <c r="O269" i="1"/>
  <c r="O326" i="1"/>
  <c r="O1235" i="1"/>
  <c r="O920" i="1"/>
  <c r="O898" i="1"/>
  <c r="O1038" i="1"/>
  <c r="O42" i="1"/>
  <c r="O764" i="1"/>
  <c r="O914" i="1"/>
  <c r="O876" i="1"/>
  <c r="O601" i="1"/>
  <c r="O171" i="1"/>
  <c r="O322" i="1"/>
  <c r="O947" i="1"/>
  <c r="O627" i="1"/>
  <c r="O599" i="1"/>
  <c r="O209" i="1"/>
  <c r="O1039" i="1"/>
  <c r="O502" i="1"/>
  <c r="O1095" i="1"/>
  <c r="O821" i="1"/>
  <c r="O646" i="1"/>
  <c r="O1224" i="1"/>
  <c r="O40" i="1"/>
  <c r="O227" i="1"/>
  <c r="O815" i="1"/>
  <c r="O977" i="1"/>
  <c r="O867" i="1"/>
  <c r="O996" i="1"/>
  <c r="O841" i="1"/>
  <c r="O926" i="1"/>
  <c r="O120" i="1"/>
  <c r="O881" i="1"/>
  <c r="O855" i="1"/>
  <c r="O279" i="1"/>
  <c r="O1159" i="1"/>
  <c r="O1284" i="1"/>
  <c r="O339" i="1"/>
  <c r="O1223" i="1"/>
  <c r="O582" i="1"/>
  <c r="O453" i="1"/>
  <c r="O246" i="1"/>
  <c r="O1275" i="1"/>
  <c r="O553" i="1"/>
  <c r="O1266" i="1"/>
  <c r="O1270" i="1"/>
  <c r="O89" i="1"/>
  <c r="O62" i="1"/>
  <c r="O1053" i="1"/>
  <c r="O697" i="1"/>
  <c r="O117" i="1"/>
  <c r="O854" i="1"/>
  <c r="O1250" i="1"/>
  <c r="O123" i="1"/>
  <c r="O380" i="1"/>
  <c r="O1280" i="1"/>
  <c r="O711" i="1"/>
  <c r="O180" i="1"/>
  <c r="O1155" i="1"/>
  <c r="O891" i="1"/>
  <c r="O267" i="1"/>
  <c r="O206" i="1"/>
  <c r="O1049" i="1"/>
  <c r="O775" i="1"/>
  <c r="O774" i="1"/>
  <c r="O614" i="1"/>
  <c r="O287" i="1"/>
  <c r="O191" i="1"/>
  <c r="O232" i="1"/>
  <c r="O835" i="1"/>
  <c r="O592" i="1"/>
  <c r="O985" i="1"/>
  <c r="O517" i="1"/>
  <c r="O1079" i="1"/>
  <c r="O625" i="1"/>
  <c r="O937" i="1"/>
  <c r="O506" i="1"/>
  <c r="O512" i="1"/>
  <c r="O391" i="1"/>
  <c r="O777" i="1"/>
  <c r="O793" i="1"/>
  <c r="O708" i="1"/>
  <c r="O1006" i="1"/>
  <c r="O549" i="1"/>
  <c r="O1210" i="1"/>
  <c r="O773" i="1"/>
  <c r="O1037" i="1"/>
  <c r="O1142" i="1"/>
  <c r="O371" i="1"/>
  <c r="O727" i="1"/>
  <c r="O692" i="1"/>
  <c r="O584" i="1"/>
  <c r="O1063" i="1"/>
  <c r="O130" i="1"/>
  <c r="O991" i="1"/>
  <c r="O896" i="1"/>
  <c r="O1073" i="1"/>
  <c r="O524" i="1"/>
  <c r="O1061" i="1"/>
  <c r="O622" i="1"/>
  <c r="O557" i="1"/>
  <c r="O435" i="1"/>
  <c r="O486" i="1"/>
  <c r="O1100" i="1"/>
  <c r="O304" i="1"/>
  <c r="O571" i="1"/>
  <c r="O970" i="1"/>
  <c r="O1074" i="1"/>
  <c r="O465" i="1"/>
  <c r="O1035" i="1"/>
  <c r="O813" i="1"/>
  <c r="O20" i="1"/>
  <c r="O112" i="1"/>
  <c r="O57" i="1"/>
  <c r="O844" i="1"/>
  <c r="O1267" i="1"/>
  <c r="O1198" i="1"/>
  <c r="O69" i="1"/>
  <c r="O930" i="1"/>
  <c r="O220" i="1"/>
  <c r="O315" i="1"/>
  <c r="O1005" i="1"/>
  <c r="O1017" i="1"/>
  <c r="O615" i="1"/>
  <c r="O33" i="1"/>
  <c r="O360" i="1"/>
  <c r="O160" i="1"/>
  <c r="O962" i="1"/>
  <c r="O187" i="1"/>
  <c r="O983" i="1"/>
  <c r="O705" i="1"/>
  <c r="O1085" i="1"/>
  <c r="O4" i="1"/>
  <c r="O845" i="1"/>
  <c r="O1057" i="1"/>
  <c r="O624" i="1"/>
  <c r="O343" i="1"/>
  <c r="O969" i="1"/>
  <c r="O13" i="1"/>
  <c r="O273" i="1"/>
  <c r="O636" i="1"/>
  <c r="O150" i="1"/>
  <c r="O1286" i="1"/>
  <c r="O387" i="1"/>
  <c r="O182" i="1"/>
  <c r="O1097" i="1"/>
  <c r="O98" i="1"/>
  <c r="O1183" i="1"/>
  <c r="O194" i="1"/>
  <c r="O1144" i="1"/>
  <c r="O200" i="1"/>
  <c r="O139" i="1"/>
  <c r="O1125" i="1"/>
  <c r="O201" i="1"/>
  <c r="O791" i="1"/>
  <c r="O96" i="1"/>
  <c r="O583" i="1"/>
  <c r="O312" i="1"/>
  <c r="O1141" i="1"/>
  <c r="O87" i="1"/>
  <c r="O419" i="1"/>
  <c r="O424" i="1"/>
  <c r="O994" i="1"/>
  <c r="O997" i="1"/>
  <c r="O1011" i="1"/>
  <c r="O408" i="1"/>
  <c r="O1269" i="1"/>
  <c r="O1116" i="1"/>
  <c r="O1277" i="1"/>
  <c r="O1226" i="1"/>
  <c r="O856" i="1"/>
  <c r="O1234" i="1"/>
  <c r="O1150" i="1"/>
  <c r="O693" i="1"/>
  <c r="O814" i="1"/>
  <c r="O353" i="1"/>
  <c r="O430" i="1"/>
  <c r="O1112" i="1"/>
  <c r="O743" i="1"/>
  <c r="O126" i="1"/>
  <c r="O497" i="1"/>
  <c r="O1204" i="1"/>
  <c r="O22" i="1"/>
  <c r="O1105" i="1"/>
  <c r="O156" i="1"/>
  <c r="O1113" i="1"/>
  <c r="O1233" i="1"/>
  <c r="O133" i="1"/>
  <c r="O1102" i="1"/>
  <c r="O893" i="1"/>
  <c r="O747" i="1"/>
  <c r="O829" i="1"/>
  <c r="O713" i="1"/>
  <c r="O938" i="1"/>
  <c r="O916" i="1"/>
  <c r="O1243" i="1"/>
  <c r="O515" i="1"/>
  <c r="O686" i="1"/>
  <c r="O281" i="1"/>
  <c r="O1151" i="1"/>
  <c r="O416" i="1"/>
  <c r="O823" i="1"/>
  <c r="O472" i="1"/>
  <c r="O617" i="1"/>
  <c r="O719" i="1"/>
  <c r="O746" i="1"/>
  <c r="O1265" i="1"/>
  <c r="O987" i="1"/>
  <c r="O124" i="1"/>
  <c r="O47" i="1"/>
  <c r="O219" i="1"/>
  <c r="O1212" i="1"/>
  <c r="O1195" i="1"/>
  <c r="O942" i="1"/>
  <c r="O824" i="1"/>
  <c r="O779" i="1"/>
  <c r="O319" i="1"/>
  <c r="O174" i="1"/>
  <c r="O1045" i="1"/>
  <c r="O872" i="1"/>
  <c r="O1245" i="1"/>
  <c r="O107" i="1"/>
  <c r="O365" i="1"/>
  <c r="O132" i="1"/>
  <c r="O168" i="1"/>
  <c r="O481" i="1"/>
  <c r="O1023" i="1"/>
  <c r="O334" i="1"/>
  <c r="O148" i="1"/>
  <c r="O409" i="1"/>
  <c r="O739" i="1"/>
  <c r="O1257" i="1"/>
  <c r="O72" i="1"/>
  <c r="O1180" i="1"/>
  <c r="O51" i="1"/>
  <c r="O781" i="1"/>
  <c r="O1249" i="1"/>
  <c r="O561" i="1"/>
  <c r="O1252" i="1"/>
  <c r="O1145" i="1"/>
  <c r="O108" i="1"/>
  <c r="O541" i="1"/>
  <c r="O350" i="1"/>
  <c r="O389" i="1"/>
  <c r="O1163" i="1"/>
  <c r="O1121" i="1"/>
  <c r="O440" i="1"/>
  <c r="O414" i="1"/>
  <c r="O979" i="1"/>
  <c r="O1194" i="1"/>
  <c r="O162" i="1"/>
  <c r="O801" i="1"/>
  <c r="O516" i="1"/>
  <c r="O1021" i="1"/>
  <c r="O1030" i="1"/>
  <c r="O742" i="1"/>
  <c r="O425" i="1"/>
  <c r="O447" i="1"/>
  <c r="O676" i="1"/>
  <c r="O44" i="1"/>
  <c r="O383" i="1"/>
  <c r="O606" i="1"/>
  <c r="O525" i="1"/>
  <c r="O1253" i="1"/>
  <c r="O1203" i="1"/>
  <c r="O511" i="1"/>
  <c r="O768" i="1"/>
  <c r="O871" i="1"/>
  <c r="O1071" i="1"/>
  <c r="O810" i="1"/>
  <c r="O373" i="1"/>
  <c r="O736" i="1"/>
  <c r="O1240" i="1"/>
  <c r="O602" i="1"/>
  <c r="O129" i="1"/>
  <c r="O323" i="1"/>
  <c r="O826" i="1"/>
  <c r="O1167" i="1"/>
  <c r="O477" i="1"/>
  <c r="O240" i="1"/>
  <c r="O564" i="1"/>
  <c r="O795" i="1"/>
  <c r="O38" i="1"/>
  <c r="O612" i="1"/>
  <c r="O422" i="1"/>
  <c r="O245" i="1"/>
  <c r="O749" i="1"/>
  <c r="O735" i="1"/>
  <c r="O1254" i="1"/>
  <c r="O1162" i="1"/>
  <c r="O135" i="1"/>
  <c r="O52" i="1"/>
  <c r="O197" i="1"/>
  <c r="O249" i="1"/>
  <c r="O1065" i="1"/>
  <c r="O503" i="1"/>
  <c r="O1236" i="1"/>
  <c r="O616" i="1"/>
  <c r="O825" i="1"/>
  <c r="O386" i="1"/>
  <c r="O498" i="1"/>
  <c r="O1123" i="1"/>
  <c r="O433" i="1"/>
  <c r="O485" i="1"/>
  <c r="O64" i="1"/>
  <c r="O733" i="1"/>
  <c r="O628" i="1"/>
  <c r="O1251" i="1"/>
  <c r="O723" i="1"/>
  <c r="O276" i="1"/>
  <c r="O1096" i="1"/>
  <c r="O473" i="1"/>
  <c r="O1070" i="1"/>
  <c r="O905" i="1"/>
  <c r="O1199" i="1"/>
  <c r="O670" i="1"/>
  <c r="O348" i="1"/>
  <c r="O376" i="1"/>
  <c r="O999" i="1"/>
  <c r="O1060" i="1"/>
  <c r="O720" i="1"/>
  <c r="O738" i="1"/>
  <c r="O24" i="1"/>
  <c r="O1052" i="1"/>
  <c r="O637" i="1"/>
  <c r="O60" i="1"/>
  <c r="O295" i="1"/>
  <c r="O1268" i="1"/>
  <c r="O1229" i="1"/>
  <c r="O204" i="1"/>
  <c r="O510" i="1"/>
  <c r="O900" i="1"/>
  <c r="O957" i="1"/>
  <c r="O885" i="1"/>
  <c r="O531" i="1"/>
  <c r="O521" i="1"/>
  <c r="O151" i="1"/>
  <c r="O1015" i="1"/>
  <c r="O1169" i="1"/>
  <c r="O327" i="1"/>
  <c r="O688" i="1"/>
  <c r="O35" i="1"/>
  <c r="O394" i="1"/>
  <c r="O172" i="1"/>
  <c r="O237" i="1"/>
  <c r="O822" i="1"/>
  <c r="O963" i="1"/>
  <c r="O650" i="1"/>
  <c r="O1278" i="1"/>
  <c r="O1050" i="1"/>
  <c r="O1091" i="1"/>
  <c r="O880" i="1"/>
  <c r="O292" i="1"/>
  <c r="O1238" i="1"/>
  <c r="O633" i="1"/>
  <c r="O536" i="1"/>
  <c r="O741" i="1"/>
  <c r="O417" i="1"/>
  <c r="O1072" i="1"/>
  <c r="O374" i="1"/>
  <c r="O58" i="1"/>
  <c r="O538" i="1"/>
  <c r="O362" i="1"/>
  <c r="O559" i="1"/>
  <c r="O181" i="1"/>
  <c r="O1128" i="1"/>
  <c r="O229" i="1"/>
  <c r="O94" i="1"/>
  <c r="O1201" i="1"/>
  <c r="O703" i="1"/>
  <c r="O454" i="1"/>
  <c r="O401" i="1"/>
  <c r="O919" i="1"/>
  <c r="O621" i="1"/>
  <c r="O177" i="1"/>
  <c r="O873" i="1"/>
  <c r="O1080" i="1"/>
  <c r="O311" i="1"/>
  <c r="O1020" i="1"/>
  <c r="O903" i="1"/>
  <c r="O968" i="1"/>
  <c r="O1187" i="1"/>
  <c r="O817" i="1"/>
  <c r="O321" i="1"/>
  <c r="O423" i="1"/>
  <c r="O167" i="1"/>
  <c r="O317" i="1"/>
  <c r="O1258" i="1"/>
  <c r="O1262" i="1"/>
  <c r="O1230" i="1"/>
  <c r="O574" i="1"/>
  <c r="O534" i="1"/>
  <c r="O452" i="1"/>
  <c r="O846" i="1"/>
  <c r="O674" i="1"/>
  <c r="O1215" i="1"/>
  <c r="O1114" i="1"/>
  <c r="O567" i="1"/>
  <c r="O859" i="1"/>
  <c r="O1205" i="1"/>
  <c r="O529" i="1"/>
  <c r="O262" i="1"/>
  <c r="O877" i="1"/>
  <c r="O266" i="1"/>
  <c r="O847" i="1"/>
  <c r="O961" i="1"/>
  <c r="O932" i="1"/>
  <c r="O702" i="1"/>
  <c r="O1127" i="1"/>
  <c r="O941" i="1"/>
  <c r="O546" i="1"/>
  <c r="O921" i="1"/>
  <c r="O379" i="1"/>
  <c r="O403" i="1"/>
  <c r="O54" i="1"/>
  <c r="O638" i="1"/>
  <c r="O285" i="1"/>
  <c r="O277" i="1"/>
  <c r="O1216" i="1"/>
  <c r="O142" i="1"/>
  <c r="O88" i="1"/>
  <c r="O478" i="1"/>
  <c r="O666" i="1"/>
  <c r="O820" i="1"/>
  <c r="O1175" i="1"/>
  <c r="O1172" i="1"/>
  <c r="O426" i="1"/>
  <c r="O1196" i="1"/>
  <c r="O656" i="1"/>
  <c r="O1186" i="1"/>
  <c r="O848" i="1"/>
  <c r="O639" i="1"/>
  <c r="O224" i="1"/>
  <c r="O333" i="1"/>
  <c r="O196" i="1"/>
  <c r="O1264" i="1"/>
  <c r="O870" i="1"/>
  <c r="O8" i="1"/>
  <c r="O540" i="1"/>
  <c r="O1282" i="1"/>
  <c r="O393" i="1"/>
  <c r="O82" i="1"/>
  <c r="O929" i="1"/>
  <c r="O545" i="1"/>
  <c r="O952" i="1"/>
  <c r="O707" i="1"/>
  <c r="O853" i="1"/>
  <c r="O935" i="1"/>
  <c r="O695" i="1"/>
  <c r="O1256" i="1"/>
  <c r="O208" i="1"/>
  <c r="O980" i="1"/>
  <c r="O922" i="1"/>
  <c r="O359" i="1"/>
  <c r="O1283" i="1"/>
  <c r="O988" i="1"/>
  <c r="O212" i="1"/>
  <c r="O404" i="1"/>
  <c r="O527" i="1"/>
  <c r="O1273" i="1"/>
  <c r="O1292" i="1"/>
  <c r="O508" i="1"/>
  <c r="O483" i="1"/>
  <c r="O790" i="1"/>
  <c r="O730" i="1"/>
  <c r="O786" i="1"/>
  <c r="O673" i="1"/>
  <c r="O1004" i="1"/>
  <c r="O1126" i="1"/>
  <c r="O1219" i="1"/>
  <c r="O325" i="1"/>
  <c r="O965" i="1"/>
  <c r="O576" i="1"/>
  <c r="O243" i="1"/>
  <c r="O796" i="1"/>
  <c r="O364" i="1"/>
  <c r="O548" i="1"/>
  <c r="O577" i="1"/>
  <c r="O895" i="1"/>
  <c r="O85" i="1"/>
  <c r="O613" i="1"/>
  <c r="O1211" i="1"/>
  <c r="O1288" i="1"/>
  <c r="O170" i="1"/>
  <c r="O948" i="1"/>
  <c r="O691" i="1"/>
  <c r="O699" i="1"/>
  <c r="O1289" i="1"/>
  <c r="O189" i="1"/>
  <c r="O1104" i="1"/>
  <c r="O672" i="1"/>
  <c r="O48" i="1"/>
  <c r="O694" i="1"/>
  <c r="O578" i="1"/>
  <c r="O836" i="1"/>
  <c r="O155" i="1"/>
  <c r="O1133" i="1"/>
  <c r="O158" i="1"/>
  <c r="O28" i="1"/>
  <c r="O106" i="1"/>
  <c r="O255" i="1"/>
  <c r="O493" i="1"/>
  <c r="O1184" i="1"/>
  <c r="O147" i="1"/>
  <c r="O1285" i="1"/>
  <c r="O782" i="1"/>
  <c r="O596" i="1"/>
  <c r="O218" i="1"/>
  <c r="O569" i="1"/>
  <c r="O1027" i="1"/>
  <c r="O808" i="1"/>
  <c r="O131" i="1"/>
  <c r="O1287" i="1"/>
  <c r="E3" i="2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C4" i="2"/>
  <c r="C2" i="2"/>
  <c r="C3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AM291" i="1"/>
  <c r="AM883" i="1"/>
  <c r="AM71" i="1"/>
  <c r="AM1182" i="1"/>
  <c r="AM252" i="1"/>
  <c r="AM558" i="1"/>
  <c r="AM318" i="1"/>
  <c r="AM1058" i="1"/>
  <c r="AM349" i="1"/>
  <c r="AM205" i="1"/>
  <c r="AM619" i="1"/>
  <c r="AM186" i="1"/>
  <c r="AM18" i="1"/>
  <c r="AM32" i="1"/>
  <c r="AM1242" i="1"/>
  <c r="AM912" i="1"/>
  <c r="AM10" i="1"/>
  <c r="AM878" i="1"/>
  <c r="AM462" i="1"/>
  <c r="AM284" i="1"/>
  <c r="AM784" i="1"/>
  <c r="AM83" i="1"/>
  <c r="AM271" i="1"/>
  <c r="AM1208" i="1"/>
  <c r="AM61" i="1"/>
  <c r="AM111" i="1"/>
  <c r="AM1147" i="1"/>
  <c r="AM314" i="1"/>
  <c r="AM118" i="1"/>
  <c r="AM235" i="1"/>
  <c r="AM1076" i="1"/>
  <c r="AM976" i="1"/>
  <c r="AM550" i="1"/>
  <c r="AM630" i="1"/>
  <c r="AM90" i="1"/>
  <c r="AM470" i="1"/>
  <c r="AM67" i="1"/>
  <c r="AM626" i="1"/>
  <c r="AM70" i="1"/>
  <c r="AM690" i="1"/>
  <c r="AM590" i="1"/>
  <c r="AM23" i="1"/>
  <c r="AM1217" i="1"/>
  <c r="AM675" i="1"/>
  <c r="AM76" i="1"/>
  <c r="AM744" i="1"/>
  <c r="AM16" i="1"/>
  <c r="AM36" i="1"/>
  <c r="AM297" i="1"/>
  <c r="AM1092" i="1"/>
  <c r="AM105" i="1"/>
  <c r="AM143" i="1"/>
  <c r="AM954" i="1"/>
  <c r="AM1106" i="1"/>
  <c r="AM682" i="1"/>
  <c r="AM647" i="1"/>
  <c r="AM890" i="1"/>
  <c r="AM804" i="1"/>
  <c r="AM247" i="1"/>
  <c r="AM231" i="1"/>
  <c r="AM888" i="1"/>
  <c r="AM598" i="1"/>
  <c r="AM469" i="1"/>
  <c r="AM667" i="1"/>
  <c r="AM522" i="1"/>
  <c r="AM514" i="1"/>
  <c r="AM643" i="1"/>
  <c r="AM56" i="1"/>
  <c r="AM803" i="1"/>
  <c r="AM256" i="1"/>
  <c r="AM1042" i="1"/>
  <c r="AM455" i="1"/>
  <c r="AM642" i="1"/>
  <c r="AM981" i="1"/>
  <c r="AM226" i="1"/>
  <c r="AM745" i="1"/>
  <c r="AM998" i="1"/>
  <c r="AM351" i="1"/>
  <c r="AM443" i="1"/>
  <c r="AM610" i="1"/>
  <c r="AM116" i="1"/>
  <c r="AM286" i="1"/>
  <c r="AM114" i="1"/>
  <c r="AM530" i="1"/>
  <c r="AM413" i="1"/>
  <c r="AM591" i="1"/>
  <c r="AM581" i="1"/>
  <c r="AM441" i="1"/>
  <c r="AM726" i="1"/>
  <c r="AM984" i="1"/>
  <c r="AM257" i="1"/>
  <c r="AM1009" i="1"/>
  <c r="AM505" i="1"/>
  <c r="AM457" i="1"/>
  <c r="AM518" i="1"/>
  <c r="AM837" i="1"/>
  <c r="AM377" i="1"/>
  <c r="AM704" i="1"/>
  <c r="AM532" i="1"/>
  <c r="AM2" i="1"/>
  <c r="AM384" i="1"/>
  <c r="AM1156" i="1"/>
  <c r="AM953" i="1"/>
  <c r="AM623" i="1"/>
  <c r="AM248" i="1"/>
  <c r="AM185" i="1"/>
  <c r="AM59" i="1"/>
  <c r="AM354" i="1"/>
  <c r="AM1066" i="1"/>
  <c r="AM950" i="1"/>
  <c r="AM1193" i="1"/>
  <c r="AM274" i="1"/>
  <c r="AM792" i="1"/>
  <c r="AM153" i="1"/>
  <c r="AM1022" i="1"/>
  <c r="AM1131" i="1"/>
  <c r="AM484" i="1"/>
  <c r="AM309" i="1"/>
  <c r="AM671" i="1"/>
  <c r="AM238" i="1"/>
  <c r="AM1103" i="1"/>
  <c r="AM471" i="1"/>
  <c r="AM1062" i="1"/>
  <c r="AM555" i="1"/>
  <c r="AM382" i="1"/>
  <c r="AM444" i="1"/>
  <c r="AM594" i="1"/>
  <c r="AM137" i="1"/>
  <c r="AM603" i="1"/>
  <c r="AM537" i="1"/>
  <c r="AM864" i="1"/>
  <c r="AM1117" i="1"/>
  <c r="AM242" i="1"/>
  <c r="AM264" i="1"/>
  <c r="AM933" i="1"/>
  <c r="AM127" i="1"/>
  <c r="AM1149" i="1"/>
  <c r="AM1129" i="1"/>
  <c r="AM405" i="1"/>
  <c r="AM520" i="1"/>
  <c r="AM542" i="1"/>
  <c r="AM715" i="1"/>
  <c r="AM74" i="1"/>
  <c r="AM886" i="1"/>
  <c r="AM175" i="1"/>
  <c r="AM313" i="1"/>
  <c r="AM166" i="1"/>
  <c r="AM737" i="1"/>
  <c r="AM776" i="1"/>
  <c r="AM1136" i="1"/>
  <c r="AM202" i="1"/>
  <c r="AM547" i="1"/>
  <c r="AM434" i="1"/>
  <c r="AM251" i="1"/>
  <c r="AM294" i="1"/>
  <c r="AM533" i="1"/>
  <c r="AM1082" i="1"/>
  <c r="AM766" i="1"/>
  <c r="AM399" i="1"/>
  <c r="AM909" i="1"/>
  <c r="AM234" i="1"/>
  <c r="AM214" i="1"/>
  <c r="AM875" i="1"/>
  <c r="AM978" i="1"/>
  <c r="AM253" i="1"/>
  <c r="AM254" i="1"/>
  <c r="AM336" i="1"/>
  <c r="AM109" i="1"/>
  <c r="AM134" i="1"/>
  <c r="AM342" i="1"/>
  <c r="AM490" i="1"/>
  <c r="AM519" i="1"/>
  <c r="AM634" i="1"/>
  <c r="AM1139" i="1"/>
  <c r="AM53" i="1"/>
  <c r="AM662" i="1"/>
  <c r="AM1246" i="1"/>
  <c r="AM1143" i="1"/>
  <c r="AM1218" i="1"/>
  <c r="AM1165" i="1"/>
  <c r="AM372" i="1"/>
  <c r="AM1200" i="1"/>
  <c r="AM936" i="1"/>
  <c r="AM974" i="1"/>
  <c r="AM420" i="1"/>
  <c r="AM330" i="1"/>
  <c r="AM1261" i="1"/>
  <c r="AM236" i="1"/>
  <c r="AM203" i="1"/>
  <c r="AM45" i="1"/>
  <c r="AM450" i="1"/>
  <c r="AM369" i="1"/>
  <c r="AM1179" i="1"/>
  <c r="AM41" i="1"/>
  <c r="AM122" i="1"/>
  <c r="AM1228" i="1"/>
  <c r="AM1028" i="1"/>
  <c r="AM103" i="1"/>
  <c r="AM128" i="1"/>
  <c r="AM923" i="1"/>
  <c r="AM964" i="1"/>
  <c r="AM55" i="1"/>
  <c r="AM157" i="1"/>
  <c r="AM709" i="1"/>
  <c r="AM698" i="1"/>
  <c r="AM858" i="1"/>
  <c r="AM367" i="1"/>
  <c r="AM544" i="1"/>
  <c r="AM19" i="1"/>
  <c r="AM797" i="1"/>
  <c r="AM678" i="1"/>
  <c r="AM282" i="1"/>
  <c r="AM966" i="1"/>
  <c r="AM299" i="1"/>
  <c r="AM363" i="1"/>
  <c r="AM464" i="1"/>
  <c r="AM714" i="1"/>
  <c r="AM25" i="1"/>
  <c r="AM897" i="1"/>
  <c r="AM331" i="1"/>
  <c r="AM213" i="1"/>
  <c r="AM1012" i="1"/>
  <c r="AM640" i="1"/>
  <c r="AM956" i="1"/>
  <c r="AM1170" i="1"/>
  <c r="AM1271" i="1"/>
  <c r="AM293" i="1"/>
  <c r="AM710" i="1"/>
  <c r="AM580" i="1"/>
  <c r="AM1056" i="1"/>
  <c r="AM910" i="1"/>
  <c r="AM838" i="1"/>
  <c r="AM303" i="1"/>
  <c r="AM807" i="1"/>
  <c r="AM600" i="1"/>
  <c r="AM1188" i="1"/>
  <c r="AM1153" i="1"/>
  <c r="AM432" i="1"/>
  <c r="AM268" i="1"/>
  <c r="AM1008" i="1"/>
  <c r="AM990" i="1"/>
  <c r="AM758" i="1"/>
  <c r="AM324" i="1"/>
  <c r="AM800" i="1"/>
  <c r="AM1109" i="1"/>
  <c r="AM316" i="1"/>
  <c r="AM1220" i="1"/>
  <c r="AM597" i="1"/>
  <c r="AM827" i="1"/>
  <c r="AM489" i="1"/>
  <c r="AM125" i="1"/>
  <c r="AM1067" i="1"/>
  <c r="AM605" i="1"/>
  <c r="AM230" i="1"/>
  <c r="AM1003" i="1"/>
  <c r="AM1083" i="1"/>
  <c r="AM492" i="1"/>
  <c r="AM740" i="1"/>
  <c r="AM1191" i="1"/>
  <c r="AM972" i="1"/>
  <c r="AM562" i="1"/>
  <c r="AM65" i="1"/>
  <c r="AM683" i="1"/>
  <c r="AM199" i="1"/>
  <c r="AM140" i="1"/>
  <c r="AM755" i="1"/>
  <c r="AM879" i="1"/>
  <c r="AM772" i="1"/>
  <c r="AM442" i="1"/>
  <c r="AM586" i="1"/>
  <c r="AM809" i="1"/>
  <c r="AM178" i="1"/>
  <c r="AM729" i="1"/>
  <c r="AM1202" i="1"/>
  <c r="AM43" i="1"/>
  <c r="AM154" i="1"/>
  <c r="AM328" i="1"/>
  <c r="AM263" i="1"/>
  <c r="AM1054" i="1"/>
  <c r="AM491" i="1"/>
  <c r="AM904" i="1"/>
  <c r="AM361" i="1"/>
  <c r="AM700" i="1"/>
  <c r="AM843" i="1"/>
  <c r="AM1232" i="1"/>
  <c r="AM995" i="1"/>
  <c r="AM1291" i="1"/>
  <c r="AM1173" i="1"/>
  <c r="AM66" i="1"/>
  <c r="AM1081" i="1"/>
  <c r="AM724" i="1"/>
  <c r="AM660" i="1"/>
  <c r="AM78" i="1"/>
  <c r="AM1181" i="1"/>
  <c r="AM563" i="1"/>
  <c r="AM26" i="1"/>
  <c r="AM1059" i="1"/>
  <c r="AM901" i="1"/>
  <c r="AM1247" i="1"/>
  <c r="AM104" i="1"/>
  <c r="AM1237" i="1"/>
  <c r="AM84" i="1"/>
  <c r="AM346" i="1"/>
  <c r="AM211" i="1"/>
  <c r="AM830" i="1"/>
  <c r="AM1018" i="1"/>
  <c r="AM973" i="1"/>
  <c r="AM648" i="1"/>
  <c r="AM487" i="1"/>
  <c r="AM849" i="1"/>
  <c r="AM1276" i="1"/>
  <c r="AM573" i="1"/>
  <c r="AM102" i="1"/>
  <c r="AM1084" i="1"/>
  <c r="AM50" i="1"/>
  <c r="AM1164" i="1"/>
  <c r="AM278" i="1"/>
  <c r="AM1047" i="1"/>
  <c r="AM579" i="1"/>
  <c r="AM868" i="1"/>
  <c r="AM302" i="1"/>
  <c r="AM338" i="1"/>
  <c r="AM37" i="1"/>
  <c r="AM193" i="1"/>
  <c r="AM458" i="1"/>
  <c r="AM1040" i="1"/>
  <c r="AM6" i="1"/>
  <c r="AM1031" i="1"/>
  <c r="AM1014" i="1"/>
  <c r="AM834" i="1"/>
  <c r="AM358" i="1"/>
  <c r="AM1108" i="1"/>
  <c r="AM355" i="1"/>
  <c r="AM839" i="1"/>
  <c r="AM1025" i="1"/>
  <c r="AM552" i="1"/>
  <c r="AM79" i="1"/>
  <c r="AM459" i="1"/>
  <c r="AM400" i="1"/>
  <c r="AM395" i="1"/>
  <c r="AM949" i="1"/>
  <c r="AM356" i="1"/>
  <c r="AM402" i="1"/>
  <c r="AM931" i="1"/>
  <c r="AM449" i="1"/>
  <c r="AM1068" i="1"/>
  <c r="AM1024" i="1"/>
  <c r="AM289" i="1"/>
  <c r="AM925" i="1"/>
  <c r="AM1043" i="1"/>
  <c r="AM589" i="1"/>
  <c r="AM14" i="1"/>
  <c r="AM421" i="1"/>
  <c r="AM595" i="1"/>
  <c r="AM418" i="1"/>
  <c r="AM1090" i="1"/>
  <c r="AM874" i="1"/>
  <c r="AM554" i="1"/>
  <c r="AM967" i="1"/>
  <c r="AM310" i="1"/>
  <c r="AM288" i="1"/>
  <c r="AM110" i="1"/>
  <c r="AM1101" i="1"/>
  <c r="AM466" i="1"/>
  <c r="AM1048" i="1"/>
  <c r="AM971" i="1"/>
  <c r="AM1119" i="1"/>
  <c r="AM986" i="1"/>
  <c r="AM101" i="1"/>
  <c r="AM225" i="1"/>
  <c r="AM679" i="1"/>
  <c r="AM918" i="1"/>
  <c r="AM593" i="1"/>
  <c r="AM989" i="1"/>
  <c r="AM341" i="1"/>
  <c r="AM568" i="1"/>
  <c r="AM280" i="1"/>
  <c r="AM1260" i="1"/>
  <c r="AM138" i="1"/>
  <c r="AM1032" i="1"/>
  <c r="AM476" i="1"/>
  <c r="AM39" i="1"/>
  <c r="AM632" i="1"/>
  <c r="AM198" i="1"/>
  <c r="AM467" i="1"/>
  <c r="AM1029" i="1"/>
  <c r="AM260" i="1"/>
  <c r="AM352" i="1"/>
  <c r="AM828" i="1"/>
  <c r="AM752" i="1"/>
  <c r="AM1231" i="1"/>
  <c r="AM1176" i="1"/>
  <c r="AM480" i="1"/>
  <c r="AM93" i="1"/>
  <c r="AM765" i="1"/>
  <c r="AM1161" i="1"/>
  <c r="AM689" i="1"/>
  <c r="AM769" i="1"/>
  <c r="AM1190" i="1"/>
  <c r="AM31" i="1"/>
  <c r="AM165" i="1"/>
  <c r="AM121" i="1"/>
  <c r="AM290" i="1"/>
  <c r="AM732" i="1"/>
  <c r="AM270" i="1"/>
  <c r="AM866" i="1"/>
  <c r="AM306" i="1"/>
  <c r="AM460" i="1"/>
  <c r="AM604" i="1"/>
  <c r="AM1044" i="1"/>
  <c r="AM1209" i="1"/>
  <c r="AM27" i="1"/>
  <c r="AM80" i="1"/>
  <c r="AM366" i="1"/>
  <c r="AM136" i="1"/>
  <c r="AM1290" i="1"/>
  <c r="AM239" i="1"/>
  <c r="AM169" i="1"/>
  <c r="AM657" i="1"/>
  <c r="AM216" i="1"/>
  <c r="AM152" i="1"/>
  <c r="AM1019" i="1"/>
  <c r="AM1132" i="1"/>
  <c r="AM427" i="1"/>
  <c r="AM159" i="1"/>
  <c r="AM68" i="1"/>
  <c r="AM305" i="1"/>
  <c r="AM651" i="1"/>
  <c r="AM869" i="1"/>
  <c r="AM385" i="1"/>
  <c r="AM734" i="1"/>
  <c r="AM113" i="1"/>
  <c r="AM1077" i="1"/>
  <c r="AM479" i="1"/>
  <c r="AM504" i="1"/>
  <c r="AM857" i="1"/>
  <c r="AM993" i="1"/>
  <c r="AM850" i="1"/>
  <c r="AM173" i="1"/>
  <c r="AM30" i="1"/>
  <c r="AM1244" i="1"/>
  <c r="AM81" i="1"/>
  <c r="AM585" i="1"/>
  <c r="AM217" i="1"/>
  <c r="AM145" i="1"/>
  <c r="AM535" i="1"/>
  <c r="AM731" i="1"/>
  <c r="AM451" i="1"/>
  <c r="AM119" i="1"/>
  <c r="AM894" i="1"/>
  <c r="AM780" i="1"/>
  <c r="AM272" i="1"/>
  <c r="AM195" i="1"/>
  <c r="AM696" i="1"/>
  <c r="AM250" i="1"/>
  <c r="AM783" i="1"/>
  <c r="AM144" i="1"/>
  <c r="AM863" i="1"/>
  <c r="AM608" i="1"/>
  <c r="AM1078" i="1"/>
  <c r="AM509" i="1"/>
  <c r="AM767" i="1"/>
  <c r="AM618" i="1"/>
  <c r="AM474" i="1"/>
  <c r="AM115" i="1"/>
  <c r="AM207" i="1"/>
  <c r="AM750" i="1"/>
  <c r="AM892" i="1"/>
  <c r="AM862" i="1"/>
  <c r="AM300" i="1"/>
  <c r="AM91" i="1"/>
  <c r="AM1046" i="1"/>
  <c r="AM1130" i="1"/>
  <c r="AM307" i="1"/>
  <c r="AM390" i="1"/>
  <c r="AM663" i="1"/>
  <c r="AM661" i="1"/>
  <c r="AM851" i="1"/>
  <c r="AM1227" i="1"/>
  <c r="AM852" i="1"/>
  <c r="AM494" i="1"/>
  <c r="AM706" i="1"/>
  <c r="AM1111" i="1"/>
  <c r="AM811" i="1"/>
  <c r="AM11" i="1"/>
  <c r="AM1007" i="1"/>
  <c r="AM1189" i="1"/>
  <c r="AM329" i="1"/>
  <c r="AM375" i="1"/>
  <c r="AM609" i="1"/>
  <c r="AM1154" i="1"/>
  <c r="AM751" i="1"/>
  <c r="AM728" i="1"/>
  <c r="AM1026" i="1"/>
  <c r="AM1137" i="1"/>
  <c r="AM819" i="1"/>
  <c r="AM46" i="1"/>
  <c r="AM716" i="1"/>
  <c r="AM438" i="1"/>
  <c r="AM551" i="1"/>
  <c r="AM1221" i="1"/>
  <c r="AM572" i="1"/>
  <c r="AM644" i="1"/>
  <c r="AM507" i="1"/>
  <c r="AM428" i="1"/>
  <c r="AM296" i="1"/>
  <c r="AM1107" i="1"/>
  <c r="AM500" i="1"/>
  <c r="AM1259" i="1"/>
  <c r="AM1272" i="1"/>
  <c r="AM771" i="1"/>
  <c r="AM1041" i="1"/>
  <c r="AM1174" i="1"/>
  <c r="AM543" i="1"/>
  <c r="AM759" i="1"/>
  <c r="AM763" i="1"/>
  <c r="AM1001" i="1"/>
  <c r="AM73" i="1"/>
  <c r="AM499" i="1"/>
  <c r="AM164" i="1"/>
  <c r="AM1033" i="1"/>
  <c r="AM184" i="1"/>
  <c r="AM1171" i="1"/>
  <c r="AM223" i="1"/>
  <c r="AM884" i="1"/>
  <c r="AM911" i="1"/>
  <c r="AM1146" i="1"/>
  <c r="AM939" i="1"/>
  <c r="AM1122" i="1"/>
  <c r="AM770" i="1"/>
  <c r="AM1248" i="1"/>
  <c r="AM388" i="1"/>
  <c r="AM461" i="1"/>
  <c r="AM907" i="1"/>
  <c r="AM439" i="1"/>
  <c r="AM840" i="1"/>
  <c r="AM556" i="1"/>
  <c r="AM560" i="1"/>
  <c r="AM1168" i="1"/>
  <c r="AM410" i="1"/>
  <c r="AM1115" i="1"/>
  <c r="AM915" i="1"/>
  <c r="AM1099" i="1"/>
  <c r="AM899" i="1"/>
  <c r="AM233" i="1"/>
  <c r="AM357" i="1"/>
  <c r="AM635" i="1"/>
  <c r="AM805" i="1"/>
  <c r="AM1051" i="1"/>
  <c r="AM812" i="1"/>
  <c r="AM902" i="1"/>
  <c r="AM799" i="1"/>
  <c r="AM77" i="1"/>
  <c r="AM397" i="1"/>
  <c r="AM308" i="1"/>
  <c r="AM17" i="1"/>
  <c r="AM655" i="1"/>
  <c r="AM1120" i="1"/>
  <c r="AM215" i="1"/>
  <c r="AM221" i="1"/>
  <c r="AM861" i="1"/>
  <c r="AM97" i="1"/>
  <c r="AM1118" i="1"/>
  <c r="AM760" i="1"/>
  <c r="AM722" i="1"/>
  <c r="AM275" i="1"/>
  <c r="AM539" i="1"/>
  <c r="AM34" i="1"/>
  <c r="AM176" i="1"/>
  <c r="AM429" i="1"/>
  <c r="AM488" i="1"/>
  <c r="AM415" i="1"/>
  <c r="AM1086" i="1"/>
  <c r="AM99" i="1"/>
  <c r="AM631" i="1"/>
  <c r="AM1055" i="1"/>
  <c r="AM620" i="1"/>
  <c r="AM411" i="1"/>
  <c r="AM668" i="1"/>
  <c r="AM1274" i="1"/>
  <c r="AM344" i="1"/>
  <c r="AM258" i="1"/>
  <c r="AM649" i="1"/>
  <c r="AM1036" i="1"/>
  <c r="AM917" i="1"/>
  <c r="AM1135" i="1"/>
  <c r="AM1138" i="1"/>
  <c r="AM190" i="1"/>
  <c r="AM1160" i="1"/>
  <c r="AM1013" i="1"/>
  <c r="AM1197" i="1"/>
  <c r="AM712" i="1"/>
  <c r="AM680" i="1"/>
  <c r="AM788" i="1"/>
  <c r="AM526" i="1"/>
  <c r="AM298" i="1"/>
  <c r="AM787" i="1"/>
  <c r="AM924" i="1"/>
  <c r="AM652" i="1"/>
  <c r="AM816" i="1"/>
  <c r="AM95" i="1"/>
  <c r="AM761" i="1"/>
  <c r="AM320" i="1"/>
  <c r="AM629" i="1"/>
  <c r="AM407" i="1"/>
  <c r="AM717" i="1"/>
  <c r="AM1088" i="1"/>
  <c r="AM958" i="1"/>
  <c r="AM928" i="1"/>
  <c r="AM222" i="1"/>
  <c r="AM842" i="1"/>
  <c r="AM1177" i="1"/>
  <c r="AM1094" i="1"/>
  <c r="AM960" i="1"/>
  <c r="AM436" i="1"/>
  <c r="AM244" i="1"/>
  <c r="AM1152" i="1"/>
  <c r="AM228" i="1"/>
  <c r="AM860" i="1"/>
  <c r="AM9" i="1"/>
  <c r="AM265" i="1"/>
  <c r="AM1034" i="1"/>
  <c r="AM1000" i="1"/>
  <c r="AM721" i="1"/>
  <c r="AM681" i="1"/>
  <c r="AM7" i="1"/>
  <c r="AM1134" i="1"/>
  <c r="AM1263" i="1"/>
  <c r="AM1214" i="1"/>
  <c r="AM21" i="1"/>
  <c r="AM798" i="1"/>
  <c r="AM1178" i="1"/>
  <c r="AM456" i="1"/>
  <c r="AM1087" i="1"/>
  <c r="AM1166" i="1"/>
  <c r="AM49" i="1"/>
  <c r="AM283" i="1"/>
  <c r="AM1110" i="1"/>
  <c r="AM345" i="1"/>
  <c r="AM1239" i="1"/>
  <c r="AM468" i="1"/>
  <c r="AM645" i="1"/>
  <c r="AM482" i="1"/>
  <c r="AM241" i="1"/>
  <c r="AM687" i="1"/>
  <c r="AM908" i="1"/>
  <c r="AM653" i="1"/>
  <c r="AM378" i="1"/>
  <c r="AM431" i="1"/>
  <c r="AM802" i="1"/>
  <c r="AM1206" i="1"/>
  <c r="AM789" i="1"/>
  <c r="AM1093" i="1"/>
  <c r="AM753" i="1"/>
  <c r="AM475" i="1"/>
  <c r="AM92" i="1"/>
  <c r="AM748" i="1"/>
  <c r="AM141" i="1"/>
  <c r="AM337" i="1"/>
  <c r="AM86" i="1"/>
  <c r="AM955" i="1"/>
  <c r="AM528" i="1"/>
  <c r="AM3" i="1"/>
  <c r="AM1279" i="1"/>
  <c r="AM718" i="1"/>
  <c r="AM179" i="1"/>
  <c r="AM1148" i="1"/>
  <c r="AM992" i="1"/>
  <c r="AM1075" i="1"/>
  <c r="AM833" i="1"/>
  <c r="AM188" i="1"/>
  <c r="AM566" i="1"/>
  <c r="AM1010" i="1"/>
  <c r="AM1064" i="1"/>
  <c r="AM261" i="1"/>
  <c r="AM301" i="1"/>
  <c r="AM5" i="1"/>
  <c r="AM1002" i="1"/>
  <c r="AM398" i="1"/>
  <c r="AM756" i="1"/>
  <c r="AM762" i="1"/>
  <c r="AM448" i="1"/>
  <c r="AM818" i="1"/>
  <c r="AM335" i="1"/>
  <c r="AM368" i="1"/>
  <c r="AM975" i="1"/>
  <c r="AM12" i="1"/>
  <c r="AM1158" i="1"/>
  <c r="AM611" i="1"/>
  <c r="AM832" i="1"/>
  <c r="AM1293" i="1"/>
  <c r="AM149" i="1"/>
  <c r="AM951" i="1"/>
  <c r="AM607" i="1"/>
  <c r="AM658" i="1"/>
  <c r="AM412" i="1"/>
  <c r="AM1192" i="1"/>
  <c r="AM446" i="1"/>
  <c r="AM906" i="1"/>
  <c r="AM665" i="1"/>
  <c r="AM778" i="1"/>
  <c r="AM725" i="1"/>
  <c r="AM163" i="1"/>
  <c r="AM1207" i="1"/>
  <c r="AM259" i="1"/>
  <c r="AM1140" i="1"/>
  <c r="AM659" i="1"/>
  <c r="AM785" i="1"/>
  <c r="AM406" i="1"/>
  <c r="AM392" i="1"/>
  <c r="AM463" i="1"/>
  <c r="AM63" i="1"/>
  <c r="AM669" i="1"/>
  <c r="AM588" i="1"/>
  <c r="AM1098" i="1"/>
  <c r="AM15" i="1"/>
  <c r="AM794" i="1"/>
  <c r="AM1157" i="1"/>
  <c r="AM654" i="1"/>
  <c r="AM831" i="1"/>
  <c r="AM1225" i="1"/>
  <c r="AM523" i="1"/>
  <c r="AM575" i="1"/>
  <c r="AM982" i="1"/>
  <c r="AM501" i="1"/>
  <c r="AM161" i="1"/>
  <c r="AM1185" i="1"/>
  <c r="AM565" i="1"/>
  <c r="AM677" i="1"/>
  <c r="AM685" i="1"/>
  <c r="AM865" i="1"/>
  <c r="AM940" i="1"/>
  <c r="AM381" i="1"/>
  <c r="AM340" i="1"/>
  <c r="AM445" i="1"/>
  <c r="AM1281" i="1"/>
  <c r="AM701" i="1"/>
  <c r="AM192" i="1"/>
  <c r="AM370" i="1"/>
  <c r="AM882" i="1"/>
  <c r="AM664" i="1"/>
  <c r="AM496" i="1"/>
  <c r="AM934" i="1"/>
  <c r="AM943" i="1"/>
  <c r="AM1213" i="1"/>
  <c r="AM959" i="1"/>
  <c r="AM570" i="1"/>
  <c r="AM887" i="1"/>
  <c r="AM587" i="1"/>
  <c r="AM75" i="1"/>
  <c r="AM1241" i="1"/>
  <c r="AM684" i="1"/>
  <c r="AM396" i="1"/>
  <c r="AM1124" i="1"/>
  <c r="AM1016" i="1"/>
  <c r="AM927" i="1"/>
  <c r="AM437" i="1"/>
  <c r="AM332" i="1"/>
  <c r="AM944" i="1"/>
  <c r="AM945" i="1"/>
  <c r="AM183" i="1"/>
  <c r="AM100" i="1"/>
  <c r="AM146" i="1"/>
  <c r="AM1222" i="1"/>
  <c r="AM754" i="1"/>
  <c r="AM889" i="1"/>
  <c r="AM1069" i="1"/>
  <c r="AM347" i="1"/>
  <c r="AM210" i="1"/>
  <c r="AM806" i="1"/>
  <c r="AM29" i="1"/>
  <c r="AM1089" i="1"/>
  <c r="AM641" i="1"/>
  <c r="AM1255" i="1"/>
  <c r="AM913" i="1"/>
  <c r="AM757" i="1"/>
  <c r="AM495" i="1"/>
  <c r="AM946" i="1"/>
  <c r="AM513" i="1"/>
  <c r="AM269" i="1"/>
  <c r="AM326" i="1"/>
  <c r="AM1235" i="1"/>
  <c r="AM920" i="1"/>
  <c r="AM898" i="1"/>
  <c r="AM1038" i="1"/>
  <c r="AM42" i="1"/>
  <c r="AM764" i="1"/>
  <c r="AM914" i="1"/>
  <c r="AM876" i="1"/>
  <c r="AM601" i="1"/>
  <c r="AM171" i="1"/>
  <c r="AM322" i="1"/>
  <c r="AM947" i="1"/>
  <c r="AM627" i="1"/>
  <c r="AM599" i="1"/>
  <c r="AM209" i="1"/>
  <c r="AM1039" i="1"/>
  <c r="AM502" i="1"/>
  <c r="AM1095" i="1"/>
  <c r="AM821" i="1"/>
  <c r="AM646" i="1"/>
  <c r="AM1224" i="1"/>
  <c r="AM40" i="1"/>
  <c r="AM227" i="1"/>
  <c r="AM815" i="1"/>
  <c r="AM977" i="1"/>
  <c r="AM867" i="1"/>
  <c r="AM996" i="1"/>
  <c r="AM841" i="1"/>
  <c r="AM926" i="1"/>
  <c r="AM120" i="1"/>
  <c r="AM881" i="1"/>
  <c r="AM855" i="1"/>
  <c r="AM279" i="1"/>
  <c r="AM1159" i="1"/>
  <c r="AM1284" i="1"/>
  <c r="AM339" i="1"/>
  <c r="AM1223" i="1"/>
  <c r="AM582" i="1"/>
  <c r="AM453" i="1"/>
  <c r="AM246" i="1"/>
  <c r="AM1275" i="1"/>
  <c r="AM553" i="1"/>
  <c r="AM1266" i="1"/>
  <c r="AM1270" i="1"/>
  <c r="AM89" i="1"/>
  <c r="AM62" i="1"/>
  <c r="AM1053" i="1"/>
  <c r="AM697" i="1"/>
  <c r="AM117" i="1"/>
  <c r="AM854" i="1"/>
  <c r="AM1250" i="1"/>
  <c r="AM123" i="1"/>
  <c r="AM380" i="1"/>
  <c r="AM1280" i="1"/>
  <c r="AM711" i="1"/>
  <c r="AM180" i="1"/>
  <c r="AM1155" i="1"/>
  <c r="AM891" i="1"/>
  <c r="AM267" i="1"/>
  <c r="AM206" i="1"/>
  <c r="AM1049" i="1"/>
  <c r="AM775" i="1"/>
  <c r="AM774" i="1"/>
  <c r="AM614" i="1"/>
  <c r="AM287" i="1"/>
  <c r="AM191" i="1"/>
  <c r="AM232" i="1"/>
  <c r="AM835" i="1"/>
  <c r="AM592" i="1"/>
  <c r="AM985" i="1"/>
  <c r="AM517" i="1"/>
  <c r="AM1079" i="1"/>
  <c r="AM625" i="1"/>
  <c r="AM937" i="1"/>
  <c r="AM506" i="1"/>
  <c r="AM512" i="1"/>
  <c r="AM391" i="1"/>
  <c r="AM777" i="1"/>
  <c r="AM793" i="1"/>
  <c r="AM708" i="1"/>
  <c r="AM1006" i="1"/>
  <c r="AM549" i="1"/>
  <c r="AM1210" i="1"/>
  <c r="AM773" i="1"/>
  <c r="AM1037" i="1"/>
  <c r="AM1142" i="1"/>
  <c r="AM371" i="1"/>
  <c r="AM727" i="1"/>
  <c r="AM692" i="1"/>
  <c r="AM584" i="1"/>
  <c r="AM1063" i="1"/>
  <c r="AM130" i="1"/>
  <c r="AM991" i="1"/>
  <c r="AM896" i="1"/>
  <c r="AM1073" i="1"/>
  <c r="AM524" i="1"/>
  <c r="AM1061" i="1"/>
  <c r="AM622" i="1"/>
  <c r="AM557" i="1"/>
  <c r="AM435" i="1"/>
  <c r="AM486" i="1"/>
  <c r="AM1100" i="1"/>
  <c r="AM304" i="1"/>
  <c r="AM571" i="1"/>
  <c r="AM970" i="1"/>
  <c r="AM1074" i="1"/>
  <c r="AM465" i="1"/>
  <c r="AM1035" i="1"/>
  <c r="AM813" i="1"/>
  <c r="AM20" i="1"/>
  <c r="AM112" i="1"/>
  <c r="AM57" i="1"/>
  <c r="AM844" i="1"/>
  <c r="AM1267" i="1"/>
  <c r="AM1198" i="1"/>
  <c r="AM69" i="1"/>
  <c r="AM930" i="1"/>
  <c r="AM220" i="1"/>
  <c r="AM315" i="1"/>
  <c r="AM1005" i="1"/>
  <c r="AM1017" i="1"/>
  <c r="AM615" i="1"/>
  <c r="AM33" i="1"/>
  <c r="AM360" i="1"/>
  <c r="AM160" i="1"/>
  <c r="AM962" i="1"/>
  <c r="AM187" i="1"/>
  <c r="AM983" i="1"/>
  <c r="AM705" i="1"/>
  <c r="AM1085" i="1"/>
  <c r="AM4" i="1"/>
  <c r="AM845" i="1"/>
  <c r="AM1057" i="1"/>
  <c r="AM624" i="1"/>
  <c r="AM343" i="1"/>
  <c r="AM969" i="1"/>
  <c r="AM13" i="1"/>
  <c r="AM273" i="1"/>
  <c r="AM636" i="1"/>
  <c r="AM150" i="1"/>
  <c r="AM1286" i="1"/>
  <c r="AM387" i="1"/>
  <c r="AM182" i="1"/>
  <c r="AM1097" i="1"/>
  <c r="AM98" i="1"/>
  <c r="AM1183" i="1"/>
  <c r="AM194" i="1"/>
  <c r="AM1144" i="1"/>
  <c r="AM200" i="1"/>
  <c r="AM139" i="1"/>
  <c r="AM1125" i="1"/>
  <c r="AM201" i="1"/>
  <c r="AM791" i="1"/>
  <c r="AM96" i="1"/>
  <c r="AM583" i="1"/>
  <c r="AM312" i="1"/>
  <c r="AM1141" i="1"/>
  <c r="AM87" i="1"/>
  <c r="AM419" i="1"/>
  <c r="AM424" i="1"/>
  <c r="AM994" i="1"/>
  <c r="AM997" i="1"/>
  <c r="AM1011" i="1"/>
  <c r="AM408" i="1"/>
  <c r="AM1269" i="1"/>
  <c r="AM1116" i="1"/>
  <c r="AM1277" i="1"/>
  <c r="AM1226" i="1"/>
  <c r="AM856" i="1"/>
  <c r="AM1234" i="1"/>
  <c r="AM1150" i="1"/>
  <c r="AM693" i="1"/>
  <c r="AM814" i="1"/>
  <c r="AM353" i="1"/>
  <c r="AM430" i="1"/>
  <c r="AM1112" i="1"/>
  <c r="AM743" i="1"/>
  <c r="AM126" i="1"/>
  <c r="AM497" i="1"/>
  <c r="AM1204" i="1"/>
  <c r="AM22" i="1"/>
  <c r="AM1105" i="1"/>
  <c r="AM156" i="1"/>
  <c r="AM1113" i="1"/>
  <c r="AM1233" i="1"/>
  <c r="AM133" i="1"/>
  <c r="AM1102" i="1"/>
  <c r="AM893" i="1"/>
  <c r="AM747" i="1"/>
  <c r="AM829" i="1"/>
  <c r="AM713" i="1"/>
  <c r="AM938" i="1"/>
  <c r="AM916" i="1"/>
  <c r="AM1243" i="1"/>
  <c r="AM515" i="1"/>
  <c r="AM686" i="1"/>
  <c r="AM281" i="1"/>
  <c r="AM1151" i="1"/>
  <c r="AM416" i="1"/>
  <c r="AM823" i="1"/>
  <c r="AM472" i="1"/>
  <c r="AM617" i="1"/>
  <c r="AM719" i="1"/>
  <c r="AM746" i="1"/>
  <c r="AM1265" i="1"/>
  <c r="AM987" i="1"/>
  <c r="AM124" i="1"/>
  <c r="AM47" i="1"/>
  <c r="AM219" i="1"/>
  <c r="AM1212" i="1"/>
  <c r="AM1195" i="1"/>
  <c r="AM942" i="1"/>
  <c r="AM824" i="1"/>
  <c r="AM779" i="1"/>
  <c r="AM319" i="1"/>
  <c r="AM174" i="1"/>
  <c r="AM1045" i="1"/>
  <c r="AM872" i="1"/>
  <c r="AM1245" i="1"/>
  <c r="AM107" i="1"/>
  <c r="AM365" i="1"/>
  <c r="AM132" i="1"/>
  <c r="AM168" i="1"/>
  <c r="AM481" i="1"/>
  <c r="AM1023" i="1"/>
  <c r="AM334" i="1"/>
  <c r="AM148" i="1"/>
  <c r="AM409" i="1"/>
  <c r="AM739" i="1"/>
  <c r="AM1257" i="1"/>
  <c r="AM72" i="1"/>
  <c r="AM1180" i="1"/>
  <c r="AM51" i="1"/>
  <c r="AM781" i="1"/>
  <c r="AM1249" i="1"/>
  <c r="AM561" i="1"/>
  <c r="AM1252" i="1"/>
  <c r="AM1145" i="1"/>
  <c r="AM108" i="1"/>
  <c r="AM541" i="1"/>
  <c r="AM350" i="1"/>
  <c r="AM389" i="1"/>
  <c r="AM1163" i="1"/>
  <c r="AM1121" i="1"/>
  <c r="AM440" i="1"/>
  <c r="AM414" i="1"/>
  <c r="AM979" i="1"/>
  <c r="AM1194" i="1"/>
  <c r="AM162" i="1"/>
  <c r="AM801" i="1"/>
  <c r="AM516" i="1"/>
  <c r="AM1021" i="1"/>
  <c r="AM1030" i="1"/>
  <c r="AM742" i="1"/>
  <c r="AM425" i="1"/>
  <c r="AM447" i="1"/>
  <c r="AM676" i="1"/>
  <c r="AM44" i="1"/>
  <c r="AM383" i="1"/>
  <c r="AM606" i="1"/>
  <c r="AM525" i="1"/>
  <c r="AM1253" i="1"/>
  <c r="AM1203" i="1"/>
  <c r="AM511" i="1"/>
  <c r="AM768" i="1"/>
  <c r="AM871" i="1"/>
  <c r="AM1071" i="1"/>
  <c r="AM810" i="1"/>
  <c r="AM373" i="1"/>
  <c r="AM736" i="1"/>
  <c r="AM1240" i="1"/>
  <c r="AM602" i="1"/>
  <c r="AM129" i="1"/>
  <c r="AM323" i="1"/>
  <c r="AM826" i="1"/>
  <c r="AM1167" i="1"/>
  <c r="AM477" i="1"/>
  <c r="AM240" i="1"/>
  <c r="AM564" i="1"/>
  <c r="AM795" i="1"/>
  <c r="AM38" i="1"/>
  <c r="AM612" i="1"/>
  <c r="AM422" i="1"/>
  <c r="AM245" i="1"/>
  <c r="AM749" i="1"/>
  <c r="AM735" i="1"/>
  <c r="AM1254" i="1"/>
  <c r="AM1162" i="1"/>
  <c r="AM135" i="1"/>
  <c r="AM52" i="1"/>
  <c r="AM197" i="1"/>
  <c r="AM249" i="1"/>
  <c r="AM1065" i="1"/>
  <c r="AM503" i="1"/>
  <c r="AM1236" i="1"/>
  <c r="AM616" i="1"/>
  <c r="AM825" i="1"/>
  <c r="AM386" i="1"/>
  <c r="AM498" i="1"/>
  <c r="AM1123" i="1"/>
  <c r="AM433" i="1"/>
  <c r="AM485" i="1"/>
  <c r="AM64" i="1"/>
  <c r="AM733" i="1"/>
  <c r="AM628" i="1"/>
  <c r="AM1251" i="1"/>
  <c r="AM723" i="1"/>
  <c r="AM276" i="1"/>
  <c r="AM1096" i="1"/>
  <c r="AM473" i="1"/>
  <c r="AM1070" i="1"/>
  <c r="AM905" i="1"/>
  <c r="AM1199" i="1"/>
  <c r="AM670" i="1"/>
  <c r="AM348" i="1"/>
  <c r="AM376" i="1"/>
  <c r="AM999" i="1"/>
  <c r="AM1060" i="1"/>
  <c r="AM720" i="1"/>
  <c r="AM738" i="1"/>
  <c r="AM24" i="1"/>
  <c r="AM1052" i="1"/>
  <c r="AM637" i="1"/>
  <c r="AM60" i="1"/>
  <c r="AM295" i="1"/>
  <c r="AM1268" i="1"/>
  <c r="AM1229" i="1"/>
  <c r="AM204" i="1"/>
  <c r="AM510" i="1"/>
  <c r="AM900" i="1"/>
  <c r="AM957" i="1"/>
  <c r="AM885" i="1"/>
  <c r="AM531" i="1"/>
  <c r="AM521" i="1"/>
  <c r="AM151" i="1"/>
  <c r="AM1015" i="1"/>
  <c r="AM1169" i="1"/>
  <c r="AM327" i="1"/>
  <c r="AM688" i="1"/>
  <c r="AM35" i="1"/>
  <c r="AM394" i="1"/>
  <c r="AM172" i="1"/>
  <c r="AM237" i="1"/>
  <c r="AM822" i="1"/>
  <c r="AM963" i="1"/>
  <c r="AM650" i="1"/>
  <c r="AM1278" i="1"/>
  <c r="AM1050" i="1"/>
  <c r="AM1091" i="1"/>
  <c r="AM880" i="1"/>
  <c r="AM292" i="1"/>
  <c r="AM1238" i="1"/>
  <c r="AM633" i="1"/>
  <c r="AM536" i="1"/>
  <c r="AM741" i="1"/>
  <c r="AM417" i="1"/>
  <c r="AM1072" i="1"/>
  <c r="AM374" i="1"/>
  <c r="AM58" i="1"/>
  <c r="AM538" i="1"/>
  <c r="AM362" i="1"/>
  <c r="AM559" i="1"/>
  <c r="AM181" i="1"/>
  <c r="AM1128" i="1"/>
  <c r="AM229" i="1"/>
  <c r="AM94" i="1"/>
  <c r="AM1201" i="1"/>
  <c r="AM703" i="1"/>
  <c r="AM454" i="1"/>
  <c r="AM401" i="1"/>
  <c r="AM919" i="1"/>
  <c r="AM621" i="1"/>
  <c r="AM177" i="1"/>
  <c r="AM873" i="1"/>
  <c r="AM1080" i="1"/>
  <c r="AM311" i="1"/>
  <c r="AM1020" i="1"/>
  <c r="AM903" i="1"/>
  <c r="AM968" i="1"/>
  <c r="AM1187" i="1"/>
  <c r="AM817" i="1"/>
  <c r="AM321" i="1"/>
  <c r="AM423" i="1"/>
  <c r="AM167" i="1"/>
  <c r="AM317" i="1"/>
  <c r="AM1258" i="1"/>
  <c r="AM1262" i="1"/>
  <c r="AM1230" i="1"/>
  <c r="AM574" i="1"/>
  <c r="AM534" i="1"/>
  <c r="AM452" i="1"/>
  <c r="AM846" i="1"/>
  <c r="AM674" i="1"/>
  <c r="AM1215" i="1"/>
  <c r="AM1114" i="1"/>
  <c r="AM567" i="1"/>
  <c r="AM859" i="1"/>
  <c r="AM1205" i="1"/>
  <c r="AM529" i="1"/>
  <c r="AM262" i="1"/>
  <c r="AM877" i="1"/>
  <c r="AM266" i="1"/>
  <c r="AM847" i="1"/>
  <c r="AM961" i="1"/>
  <c r="AM932" i="1"/>
  <c r="AM702" i="1"/>
  <c r="AM1127" i="1"/>
  <c r="AM941" i="1"/>
  <c r="AM546" i="1"/>
  <c r="AM921" i="1"/>
  <c r="AM379" i="1"/>
  <c r="AM403" i="1"/>
  <c r="AM54" i="1"/>
  <c r="AM638" i="1"/>
  <c r="AM285" i="1"/>
  <c r="AM277" i="1"/>
  <c r="AM1216" i="1"/>
  <c r="AM142" i="1"/>
  <c r="AM88" i="1"/>
  <c r="AM478" i="1"/>
  <c r="AM666" i="1"/>
  <c r="AM820" i="1"/>
  <c r="AM1175" i="1"/>
  <c r="AM1172" i="1"/>
  <c r="AM426" i="1"/>
  <c r="AM1196" i="1"/>
  <c r="AM656" i="1"/>
  <c r="AM1186" i="1"/>
  <c r="AM848" i="1"/>
  <c r="AM639" i="1"/>
  <c r="AM224" i="1"/>
  <c r="AM333" i="1"/>
  <c r="AM196" i="1"/>
  <c r="AM1264" i="1"/>
  <c r="AM870" i="1"/>
  <c r="AM8" i="1"/>
  <c r="AM540" i="1"/>
  <c r="AM1282" i="1"/>
  <c r="AM393" i="1"/>
  <c r="AM82" i="1"/>
  <c r="AM929" i="1"/>
  <c r="AM545" i="1"/>
  <c r="AM952" i="1"/>
  <c r="AM707" i="1"/>
  <c r="AM853" i="1"/>
  <c r="AM935" i="1"/>
  <c r="AM695" i="1"/>
  <c r="AM1256" i="1"/>
  <c r="AM208" i="1"/>
  <c r="AM980" i="1"/>
  <c r="AM922" i="1"/>
  <c r="AM359" i="1"/>
  <c r="AM1283" i="1"/>
  <c r="AM988" i="1"/>
  <c r="AM212" i="1"/>
  <c r="AM404" i="1"/>
  <c r="AM527" i="1"/>
  <c r="AM1273" i="1"/>
  <c r="AM1292" i="1"/>
  <c r="AM508" i="1"/>
  <c r="AM483" i="1"/>
  <c r="AM790" i="1"/>
  <c r="AM730" i="1"/>
  <c r="AM786" i="1"/>
  <c r="AM673" i="1"/>
  <c r="AM1004" i="1"/>
  <c r="AM1126" i="1"/>
  <c r="AM1219" i="1"/>
  <c r="AM325" i="1"/>
  <c r="AM965" i="1"/>
  <c r="AM576" i="1"/>
  <c r="AM243" i="1"/>
  <c r="AM796" i="1"/>
  <c r="AM364" i="1"/>
  <c r="AM548" i="1"/>
  <c r="AM577" i="1"/>
  <c r="AM895" i="1"/>
  <c r="AM85" i="1"/>
  <c r="AM613" i="1"/>
  <c r="AM1211" i="1"/>
  <c r="AM1288" i="1"/>
  <c r="AM170" i="1"/>
  <c r="AM948" i="1"/>
  <c r="AM691" i="1"/>
  <c r="AM699" i="1"/>
  <c r="AM1289" i="1"/>
  <c r="AM189" i="1"/>
  <c r="AM1104" i="1"/>
  <c r="AM672" i="1"/>
  <c r="AM48" i="1"/>
  <c r="AM694" i="1"/>
  <c r="AM578" i="1"/>
  <c r="AM836" i="1"/>
  <c r="AM155" i="1"/>
  <c r="AM1133" i="1"/>
  <c r="AM158" i="1"/>
  <c r="AM28" i="1"/>
  <c r="AM106" i="1"/>
  <c r="AM255" i="1"/>
  <c r="AM493" i="1"/>
  <c r="AM1184" i="1"/>
  <c r="AM147" i="1"/>
  <c r="AM1285" i="1"/>
  <c r="AM782" i="1"/>
  <c r="AM596" i="1"/>
  <c r="AM218" i="1"/>
  <c r="AM569" i="1"/>
  <c r="AM1027" i="1"/>
  <c r="AM808" i="1"/>
  <c r="AM131" i="1"/>
  <c r="AM1287" i="1"/>
  <c r="AK291" i="1"/>
  <c r="AK883" i="1"/>
  <c r="AK71" i="1"/>
  <c r="AK1182" i="1"/>
  <c r="AK252" i="1"/>
  <c r="AK558" i="1"/>
  <c r="AK318" i="1"/>
  <c r="AK1058" i="1"/>
  <c r="AK349" i="1"/>
  <c r="AK205" i="1"/>
  <c r="AK619" i="1"/>
  <c r="AK186" i="1"/>
  <c r="AK18" i="1"/>
  <c r="AK32" i="1"/>
  <c r="AK1242" i="1"/>
  <c r="AK912" i="1"/>
  <c r="AK10" i="1"/>
  <c r="AK878" i="1"/>
  <c r="AK462" i="1"/>
  <c r="AK284" i="1"/>
  <c r="AK784" i="1"/>
  <c r="AK83" i="1"/>
  <c r="AK271" i="1"/>
  <c r="AK1208" i="1"/>
  <c r="AK61" i="1"/>
  <c r="AK111" i="1"/>
  <c r="AK1147" i="1"/>
  <c r="AK314" i="1"/>
  <c r="AK118" i="1"/>
  <c r="AK235" i="1"/>
  <c r="AK1076" i="1"/>
  <c r="AK976" i="1"/>
  <c r="AK550" i="1"/>
  <c r="AK630" i="1"/>
  <c r="AK90" i="1"/>
  <c r="AK470" i="1"/>
  <c r="AK67" i="1"/>
  <c r="AK626" i="1"/>
  <c r="AK70" i="1"/>
  <c r="AK690" i="1"/>
  <c r="AK590" i="1"/>
  <c r="AK23" i="1"/>
  <c r="AK1217" i="1"/>
  <c r="AK675" i="1"/>
  <c r="AK76" i="1"/>
  <c r="AK744" i="1"/>
  <c r="AK16" i="1"/>
  <c r="AK36" i="1"/>
  <c r="AK297" i="1"/>
  <c r="AK1092" i="1"/>
  <c r="AK105" i="1"/>
  <c r="AK143" i="1"/>
  <c r="AK954" i="1"/>
  <c r="AK1106" i="1"/>
  <c r="AK682" i="1"/>
  <c r="AK647" i="1"/>
  <c r="AK890" i="1"/>
  <c r="AK804" i="1"/>
  <c r="AK247" i="1"/>
  <c r="AK231" i="1"/>
  <c r="AK888" i="1"/>
  <c r="AK598" i="1"/>
  <c r="AK469" i="1"/>
  <c r="AK667" i="1"/>
  <c r="AK522" i="1"/>
  <c r="AK514" i="1"/>
  <c r="AK643" i="1"/>
  <c r="AK56" i="1"/>
  <c r="AK803" i="1"/>
  <c r="AK256" i="1"/>
  <c r="AK1042" i="1"/>
  <c r="AK455" i="1"/>
  <c r="AK642" i="1"/>
  <c r="AK981" i="1"/>
  <c r="AK226" i="1"/>
  <c r="AK745" i="1"/>
  <c r="AK998" i="1"/>
  <c r="AK351" i="1"/>
  <c r="AK443" i="1"/>
  <c r="AK610" i="1"/>
  <c r="AK116" i="1"/>
  <c r="AK286" i="1"/>
  <c r="AK114" i="1"/>
  <c r="AK530" i="1"/>
  <c r="AK413" i="1"/>
  <c r="AK591" i="1"/>
  <c r="AK581" i="1"/>
  <c r="AK441" i="1"/>
  <c r="AK726" i="1"/>
  <c r="AK984" i="1"/>
  <c r="AK257" i="1"/>
  <c r="AK1009" i="1"/>
  <c r="AK505" i="1"/>
  <c r="AK457" i="1"/>
  <c r="AK518" i="1"/>
  <c r="AK837" i="1"/>
  <c r="AK377" i="1"/>
  <c r="AK704" i="1"/>
  <c r="AK532" i="1"/>
  <c r="AK2" i="1"/>
  <c r="AK384" i="1"/>
  <c r="AK1156" i="1"/>
  <c r="AK953" i="1"/>
  <c r="AK623" i="1"/>
  <c r="AK248" i="1"/>
  <c r="AK185" i="1"/>
  <c r="AK59" i="1"/>
  <c r="AK354" i="1"/>
  <c r="AK1066" i="1"/>
  <c r="AK950" i="1"/>
  <c r="AK1193" i="1"/>
  <c r="AK274" i="1"/>
  <c r="AK792" i="1"/>
  <c r="AK153" i="1"/>
  <c r="AK1022" i="1"/>
  <c r="AK1131" i="1"/>
  <c r="AK484" i="1"/>
  <c r="AK309" i="1"/>
  <c r="AK671" i="1"/>
  <c r="AK238" i="1"/>
  <c r="AK1103" i="1"/>
  <c r="AK471" i="1"/>
  <c r="AK1062" i="1"/>
  <c r="AK555" i="1"/>
  <c r="AK382" i="1"/>
  <c r="AK444" i="1"/>
  <c r="AK594" i="1"/>
  <c r="AK137" i="1"/>
  <c r="AK603" i="1"/>
  <c r="AK537" i="1"/>
  <c r="AK864" i="1"/>
  <c r="AK1117" i="1"/>
  <c r="AK242" i="1"/>
  <c r="AK264" i="1"/>
  <c r="AK933" i="1"/>
  <c r="AK127" i="1"/>
  <c r="AK1149" i="1"/>
  <c r="AK1129" i="1"/>
  <c r="AK405" i="1"/>
  <c r="AK520" i="1"/>
  <c r="AK542" i="1"/>
  <c r="AK715" i="1"/>
  <c r="AK74" i="1"/>
  <c r="AK886" i="1"/>
  <c r="AK175" i="1"/>
  <c r="AK313" i="1"/>
  <c r="AK166" i="1"/>
  <c r="AK737" i="1"/>
  <c r="AK776" i="1"/>
  <c r="AK1136" i="1"/>
  <c r="AK202" i="1"/>
  <c r="AK547" i="1"/>
  <c r="AK434" i="1"/>
  <c r="AK251" i="1"/>
  <c r="AK294" i="1"/>
  <c r="AK533" i="1"/>
  <c r="AK1082" i="1"/>
  <c r="AK766" i="1"/>
  <c r="AK399" i="1"/>
  <c r="AK909" i="1"/>
  <c r="AK234" i="1"/>
  <c r="AK214" i="1"/>
  <c r="AK875" i="1"/>
  <c r="AK978" i="1"/>
  <c r="AK253" i="1"/>
  <c r="AK254" i="1"/>
  <c r="AK336" i="1"/>
  <c r="AK109" i="1"/>
  <c r="AK134" i="1"/>
  <c r="AK342" i="1"/>
  <c r="AK490" i="1"/>
  <c r="AK519" i="1"/>
  <c r="AK634" i="1"/>
  <c r="AK1139" i="1"/>
  <c r="AK53" i="1"/>
  <c r="AK662" i="1"/>
  <c r="AK1246" i="1"/>
  <c r="AK1143" i="1"/>
  <c r="AK1218" i="1"/>
  <c r="AK1165" i="1"/>
  <c r="AK372" i="1"/>
  <c r="AK1200" i="1"/>
  <c r="AK936" i="1"/>
  <c r="AK974" i="1"/>
  <c r="AK420" i="1"/>
  <c r="AK330" i="1"/>
  <c r="AK1261" i="1"/>
  <c r="AK236" i="1"/>
  <c r="AK203" i="1"/>
  <c r="AK45" i="1"/>
  <c r="AK450" i="1"/>
  <c r="AK369" i="1"/>
  <c r="AK1179" i="1"/>
  <c r="AK41" i="1"/>
  <c r="AK122" i="1"/>
  <c r="AK1228" i="1"/>
  <c r="AK1028" i="1"/>
  <c r="AK103" i="1"/>
  <c r="AK128" i="1"/>
  <c r="AK923" i="1"/>
  <c r="AK964" i="1"/>
  <c r="AK55" i="1"/>
  <c r="AK157" i="1"/>
  <c r="AK709" i="1"/>
  <c r="AK698" i="1"/>
  <c r="AK858" i="1"/>
  <c r="AK367" i="1"/>
  <c r="AK544" i="1"/>
  <c r="AK19" i="1"/>
  <c r="AK797" i="1"/>
  <c r="AK678" i="1"/>
  <c r="AK282" i="1"/>
  <c r="AK966" i="1"/>
  <c r="AK299" i="1"/>
  <c r="AK363" i="1"/>
  <c r="AK464" i="1"/>
  <c r="AK714" i="1"/>
  <c r="AK25" i="1"/>
  <c r="AK897" i="1"/>
  <c r="AK331" i="1"/>
  <c r="AK213" i="1"/>
  <c r="AK1012" i="1"/>
  <c r="AK640" i="1"/>
  <c r="AK956" i="1"/>
  <c r="AK1170" i="1"/>
  <c r="AK1271" i="1"/>
  <c r="AK293" i="1"/>
  <c r="AK710" i="1"/>
  <c r="AK580" i="1"/>
  <c r="AK1056" i="1"/>
  <c r="AK910" i="1"/>
  <c r="AK838" i="1"/>
  <c r="AK303" i="1"/>
  <c r="AK807" i="1"/>
  <c r="AK600" i="1"/>
  <c r="AK1188" i="1"/>
  <c r="AK1153" i="1"/>
  <c r="AK432" i="1"/>
  <c r="AK268" i="1"/>
  <c r="AK1008" i="1"/>
  <c r="AK990" i="1"/>
  <c r="AK758" i="1"/>
  <c r="AK324" i="1"/>
  <c r="AK800" i="1"/>
  <c r="AK1109" i="1"/>
  <c r="AK316" i="1"/>
  <c r="AK1220" i="1"/>
  <c r="AK597" i="1"/>
  <c r="AK827" i="1"/>
  <c r="AK489" i="1"/>
  <c r="AK125" i="1"/>
  <c r="AK1067" i="1"/>
  <c r="AK605" i="1"/>
  <c r="AK230" i="1"/>
  <c r="AK1003" i="1"/>
  <c r="AK1083" i="1"/>
  <c r="AK492" i="1"/>
  <c r="AK740" i="1"/>
  <c r="AK1191" i="1"/>
  <c r="AK972" i="1"/>
  <c r="AK562" i="1"/>
  <c r="AK65" i="1"/>
  <c r="AK683" i="1"/>
  <c r="AK199" i="1"/>
  <c r="AK140" i="1"/>
  <c r="AK755" i="1"/>
  <c r="AK879" i="1"/>
  <c r="AK772" i="1"/>
  <c r="AK442" i="1"/>
  <c r="AK586" i="1"/>
  <c r="AK809" i="1"/>
  <c r="AK178" i="1"/>
  <c r="AK729" i="1"/>
  <c r="AK1202" i="1"/>
  <c r="AK43" i="1"/>
  <c r="AK154" i="1"/>
  <c r="AK328" i="1"/>
  <c r="AK263" i="1"/>
  <c r="AK1054" i="1"/>
  <c r="AK491" i="1"/>
  <c r="AK904" i="1"/>
  <c r="AK361" i="1"/>
  <c r="AK700" i="1"/>
  <c r="AK843" i="1"/>
  <c r="AK1232" i="1"/>
  <c r="AK995" i="1"/>
  <c r="AK1291" i="1"/>
  <c r="AK1173" i="1"/>
  <c r="AK66" i="1"/>
  <c r="AK1081" i="1"/>
  <c r="AK724" i="1"/>
  <c r="AK660" i="1"/>
  <c r="AK78" i="1"/>
  <c r="AK1181" i="1"/>
  <c r="AK563" i="1"/>
  <c r="AK26" i="1"/>
  <c r="AK1059" i="1"/>
  <c r="AK901" i="1"/>
  <c r="AK1247" i="1"/>
  <c r="AK104" i="1"/>
  <c r="AK1237" i="1"/>
  <c r="AK84" i="1"/>
  <c r="AK346" i="1"/>
  <c r="AK211" i="1"/>
  <c r="AK830" i="1"/>
  <c r="AK1018" i="1"/>
  <c r="AK973" i="1"/>
  <c r="AK648" i="1"/>
  <c r="AK487" i="1"/>
  <c r="AK849" i="1"/>
  <c r="AK1276" i="1"/>
  <c r="AK573" i="1"/>
  <c r="AK102" i="1"/>
  <c r="AK1084" i="1"/>
  <c r="AK50" i="1"/>
  <c r="AK1164" i="1"/>
  <c r="AK278" i="1"/>
  <c r="AK1047" i="1"/>
  <c r="AK579" i="1"/>
  <c r="AK868" i="1"/>
  <c r="AK302" i="1"/>
  <c r="AK338" i="1"/>
  <c r="AK37" i="1"/>
  <c r="AK193" i="1"/>
  <c r="AK458" i="1"/>
  <c r="AK1040" i="1"/>
  <c r="AK6" i="1"/>
  <c r="AK1031" i="1"/>
  <c r="AK1014" i="1"/>
  <c r="AK834" i="1"/>
  <c r="AK358" i="1"/>
  <c r="AK1108" i="1"/>
  <c r="AK355" i="1"/>
  <c r="AK839" i="1"/>
  <c r="AK1025" i="1"/>
  <c r="AK552" i="1"/>
  <c r="AK79" i="1"/>
  <c r="AK459" i="1"/>
  <c r="AK400" i="1"/>
  <c r="AK395" i="1"/>
  <c r="AK949" i="1"/>
  <c r="AK356" i="1"/>
  <c r="AK402" i="1"/>
  <c r="AK931" i="1"/>
  <c r="AK449" i="1"/>
  <c r="AK1068" i="1"/>
  <c r="AK1024" i="1"/>
  <c r="AK289" i="1"/>
  <c r="AK925" i="1"/>
  <c r="AK1043" i="1"/>
  <c r="AK589" i="1"/>
  <c r="AK14" i="1"/>
  <c r="AK421" i="1"/>
  <c r="AK595" i="1"/>
  <c r="AK418" i="1"/>
  <c r="AK1090" i="1"/>
  <c r="AK874" i="1"/>
  <c r="AK554" i="1"/>
  <c r="AK967" i="1"/>
  <c r="AK310" i="1"/>
  <c r="AK288" i="1"/>
  <c r="AK110" i="1"/>
  <c r="AK1101" i="1"/>
  <c r="AK466" i="1"/>
  <c r="AK1048" i="1"/>
  <c r="AK971" i="1"/>
  <c r="AK1119" i="1"/>
  <c r="AK986" i="1"/>
  <c r="AK101" i="1"/>
  <c r="AK225" i="1"/>
  <c r="AK679" i="1"/>
  <c r="AK918" i="1"/>
  <c r="AK593" i="1"/>
  <c r="AK989" i="1"/>
  <c r="AK341" i="1"/>
  <c r="AK568" i="1"/>
  <c r="AK280" i="1"/>
  <c r="AK1260" i="1"/>
  <c r="AK138" i="1"/>
  <c r="AK1032" i="1"/>
  <c r="AK476" i="1"/>
  <c r="AK39" i="1"/>
  <c r="AK632" i="1"/>
  <c r="AK198" i="1"/>
  <c r="AK467" i="1"/>
  <c r="AK1029" i="1"/>
  <c r="AK260" i="1"/>
  <c r="AK352" i="1"/>
  <c r="AK828" i="1"/>
  <c r="AK752" i="1"/>
  <c r="AK1231" i="1"/>
  <c r="AK1176" i="1"/>
  <c r="AK480" i="1"/>
  <c r="AK93" i="1"/>
  <c r="AK765" i="1"/>
  <c r="AK1161" i="1"/>
  <c r="AK689" i="1"/>
  <c r="AK769" i="1"/>
  <c r="AK1190" i="1"/>
  <c r="AK31" i="1"/>
  <c r="AK165" i="1"/>
  <c r="AK121" i="1"/>
  <c r="AK290" i="1"/>
  <c r="AK732" i="1"/>
  <c r="AK270" i="1"/>
  <c r="AK866" i="1"/>
  <c r="AK306" i="1"/>
  <c r="AK460" i="1"/>
  <c r="AK604" i="1"/>
  <c r="AK1044" i="1"/>
  <c r="AK1209" i="1"/>
  <c r="AK27" i="1"/>
  <c r="AK80" i="1"/>
  <c r="AK366" i="1"/>
  <c r="AK136" i="1"/>
  <c r="AK1290" i="1"/>
  <c r="AK239" i="1"/>
  <c r="AK169" i="1"/>
  <c r="AK657" i="1"/>
  <c r="AK216" i="1"/>
  <c r="AK152" i="1"/>
  <c r="AK1019" i="1"/>
  <c r="AK1132" i="1"/>
  <c r="AK427" i="1"/>
  <c r="AK159" i="1"/>
  <c r="AK68" i="1"/>
  <c r="AK305" i="1"/>
  <c r="AK651" i="1"/>
  <c r="AK869" i="1"/>
  <c r="AK385" i="1"/>
  <c r="AK734" i="1"/>
  <c r="AK113" i="1"/>
  <c r="AK1077" i="1"/>
  <c r="AK479" i="1"/>
  <c r="AK504" i="1"/>
  <c r="AK857" i="1"/>
  <c r="AK993" i="1"/>
  <c r="AK850" i="1"/>
  <c r="AK173" i="1"/>
  <c r="AK30" i="1"/>
  <c r="AK1244" i="1"/>
  <c r="AK81" i="1"/>
  <c r="AK585" i="1"/>
  <c r="AK217" i="1"/>
  <c r="AK145" i="1"/>
  <c r="AK535" i="1"/>
  <c r="AK731" i="1"/>
  <c r="AK451" i="1"/>
  <c r="AK119" i="1"/>
  <c r="AK894" i="1"/>
  <c r="AK780" i="1"/>
  <c r="AK272" i="1"/>
  <c r="AK195" i="1"/>
  <c r="AK696" i="1"/>
  <c r="AK250" i="1"/>
  <c r="AK783" i="1"/>
  <c r="AK144" i="1"/>
  <c r="AK863" i="1"/>
  <c r="AK608" i="1"/>
  <c r="AK1078" i="1"/>
  <c r="AK509" i="1"/>
  <c r="AK767" i="1"/>
  <c r="AK618" i="1"/>
  <c r="AK474" i="1"/>
  <c r="AK115" i="1"/>
  <c r="AK207" i="1"/>
  <c r="AK750" i="1"/>
  <c r="AK892" i="1"/>
  <c r="AK862" i="1"/>
  <c r="AK300" i="1"/>
  <c r="AK91" i="1"/>
  <c r="AK1046" i="1"/>
  <c r="AK1130" i="1"/>
  <c r="AK307" i="1"/>
  <c r="AK390" i="1"/>
  <c r="AK663" i="1"/>
  <c r="AK661" i="1"/>
  <c r="AK851" i="1"/>
  <c r="AK1227" i="1"/>
  <c r="AK852" i="1"/>
  <c r="AK494" i="1"/>
  <c r="AK706" i="1"/>
  <c r="AK1111" i="1"/>
  <c r="AK811" i="1"/>
  <c r="AK11" i="1"/>
  <c r="AK1007" i="1"/>
  <c r="AK1189" i="1"/>
  <c r="AK329" i="1"/>
  <c r="AK375" i="1"/>
  <c r="AK609" i="1"/>
  <c r="AK1154" i="1"/>
  <c r="AK751" i="1"/>
  <c r="AK728" i="1"/>
  <c r="AK1026" i="1"/>
  <c r="AK1137" i="1"/>
  <c r="AK819" i="1"/>
  <c r="AK46" i="1"/>
  <c r="AK716" i="1"/>
  <c r="AK438" i="1"/>
  <c r="AK551" i="1"/>
  <c r="AK1221" i="1"/>
  <c r="AK572" i="1"/>
  <c r="AK644" i="1"/>
  <c r="AK507" i="1"/>
  <c r="AK428" i="1"/>
  <c r="AK296" i="1"/>
  <c r="AK1107" i="1"/>
  <c r="AK500" i="1"/>
  <c r="AK1259" i="1"/>
  <c r="AK1272" i="1"/>
  <c r="AK771" i="1"/>
  <c r="AK1041" i="1"/>
  <c r="AK1174" i="1"/>
  <c r="AK543" i="1"/>
  <c r="AK759" i="1"/>
  <c r="AK763" i="1"/>
  <c r="AK1001" i="1"/>
  <c r="AK73" i="1"/>
  <c r="AK499" i="1"/>
  <c r="AK164" i="1"/>
  <c r="AK1033" i="1"/>
  <c r="AK184" i="1"/>
  <c r="AK1171" i="1"/>
  <c r="AK223" i="1"/>
  <c r="AK884" i="1"/>
  <c r="AK911" i="1"/>
  <c r="AK1146" i="1"/>
  <c r="AK939" i="1"/>
  <c r="AK1122" i="1"/>
  <c r="AK770" i="1"/>
  <c r="AK1248" i="1"/>
  <c r="AK388" i="1"/>
  <c r="AK461" i="1"/>
  <c r="AK907" i="1"/>
  <c r="AK439" i="1"/>
  <c r="AK840" i="1"/>
  <c r="AK556" i="1"/>
  <c r="AK560" i="1"/>
  <c r="AK1168" i="1"/>
  <c r="AK410" i="1"/>
  <c r="AK1115" i="1"/>
  <c r="AK915" i="1"/>
  <c r="AK1099" i="1"/>
  <c r="AK899" i="1"/>
  <c r="AK233" i="1"/>
  <c r="AK357" i="1"/>
  <c r="AK635" i="1"/>
  <c r="AK805" i="1"/>
  <c r="AK1051" i="1"/>
  <c r="AK812" i="1"/>
  <c r="AK902" i="1"/>
  <c r="AK799" i="1"/>
  <c r="AK77" i="1"/>
  <c r="AK397" i="1"/>
  <c r="AK308" i="1"/>
  <c r="AK17" i="1"/>
  <c r="AK655" i="1"/>
  <c r="AK1120" i="1"/>
  <c r="AK215" i="1"/>
  <c r="AK221" i="1"/>
  <c r="AK861" i="1"/>
  <c r="AK97" i="1"/>
  <c r="AK1118" i="1"/>
  <c r="AK760" i="1"/>
  <c r="AK722" i="1"/>
  <c r="AK275" i="1"/>
  <c r="AK539" i="1"/>
  <c r="AK34" i="1"/>
  <c r="AK176" i="1"/>
  <c r="AK429" i="1"/>
  <c r="AK488" i="1"/>
  <c r="AK415" i="1"/>
  <c r="AK1086" i="1"/>
  <c r="AK99" i="1"/>
  <c r="AK631" i="1"/>
  <c r="AK1055" i="1"/>
  <c r="AK620" i="1"/>
  <c r="AK411" i="1"/>
  <c r="AK668" i="1"/>
  <c r="AK1274" i="1"/>
  <c r="AK344" i="1"/>
  <c r="AK258" i="1"/>
  <c r="AK649" i="1"/>
  <c r="AK1036" i="1"/>
  <c r="AK917" i="1"/>
  <c r="AK1135" i="1"/>
  <c r="AK1138" i="1"/>
  <c r="AK190" i="1"/>
  <c r="AK1160" i="1"/>
  <c r="AK1013" i="1"/>
  <c r="AK1197" i="1"/>
  <c r="AK712" i="1"/>
  <c r="AK680" i="1"/>
  <c r="AK788" i="1"/>
  <c r="AK526" i="1"/>
  <c r="AK298" i="1"/>
  <c r="AK787" i="1"/>
  <c r="AK924" i="1"/>
  <c r="AK652" i="1"/>
  <c r="AK816" i="1"/>
  <c r="AK95" i="1"/>
  <c r="AK761" i="1"/>
  <c r="AK320" i="1"/>
  <c r="AK629" i="1"/>
  <c r="AK407" i="1"/>
  <c r="AK717" i="1"/>
  <c r="AK1088" i="1"/>
  <c r="AK958" i="1"/>
  <c r="AK928" i="1"/>
  <c r="AK222" i="1"/>
  <c r="AK842" i="1"/>
  <c r="AK1177" i="1"/>
  <c r="AK1094" i="1"/>
  <c r="AK960" i="1"/>
  <c r="AK436" i="1"/>
  <c r="AK244" i="1"/>
  <c r="AK1152" i="1"/>
  <c r="AK228" i="1"/>
  <c r="AK860" i="1"/>
  <c r="AK9" i="1"/>
  <c r="AK265" i="1"/>
  <c r="AK1034" i="1"/>
  <c r="AK1000" i="1"/>
  <c r="AK721" i="1"/>
  <c r="AK681" i="1"/>
  <c r="AK7" i="1"/>
  <c r="AK1134" i="1"/>
  <c r="AK1263" i="1"/>
  <c r="AK1214" i="1"/>
  <c r="AK21" i="1"/>
  <c r="AK798" i="1"/>
  <c r="AK1178" i="1"/>
  <c r="AK456" i="1"/>
  <c r="AK1087" i="1"/>
  <c r="AK1166" i="1"/>
  <c r="AK49" i="1"/>
  <c r="AK283" i="1"/>
  <c r="AK1110" i="1"/>
  <c r="AK345" i="1"/>
  <c r="AK1239" i="1"/>
  <c r="AK468" i="1"/>
  <c r="AK645" i="1"/>
  <c r="AK482" i="1"/>
  <c r="AK241" i="1"/>
  <c r="AK687" i="1"/>
  <c r="AK908" i="1"/>
  <c r="AK653" i="1"/>
  <c r="AK378" i="1"/>
  <c r="AK431" i="1"/>
  <c r="AK802" i="1"/>
  <c r="AK1206" i="1"/>
  <c r="AK789" i="1"/>
  <c r="AK1093" i="1"/>
  <c r="AK753" i="1"/>
  <c r="AK475" i="1"/>
  <c r="AK92" i="1"/>
  <c r="AK748" i="1"/>
  <c r="AK141" i="1"/>
  <c r="AK337" i="1"/>
  <c r="AK86" i="1"/>
  <c r="AK955" i="1"/>
  <c r="AK528" i="1"/>
  <c r="AK3" i="1"/>
  <c r="AK1279" i="1"/>
  <c r="AK718" i="1"/>
  <c r="AK179" i="1"/>
  <c r="AK1148" i="1"/>
  <c r="AK992" i="1"/>
  <c r="AK1075" i="1"/>
  <c r="AK833" i="1"/>
  <c r="AK188" i="1"/>
  <c r="AK566" i="1"/>
  <c r="AK1010" i="1"/>
  <c r="AK1064" i="1"/>
  <c r="AK261" i="1"/>
  <c r="AK301" i="1"/>
  <c r="AK5" i="1"/>
  <c r="AK1002" i="1"/>
  <c r="AK398" i="1"/>
  <c r="AK756" i="1"/>
  <c r="AK762" i="1"/>
  <c r="AK448" i="1"/>
  <c r="AK818" i="1"/>
  <c r="AK335" i="1"/>
  <c r="AK368" i="1"/>
  <c r="AK975" i="1"/>
  <c r="AK12" i="1"/>
  <c r="AK1158" i="1"/>
  <c r="AK611" i="1"/>
  <c r="AK832" i="1"/>
  <c r="AK1293" i="1"/>
  <c r="AK149" i="1"/>
  <c r="AK951" i="1"/>
  <c r="AK607" i="1"/>
  <c r="AK658" i="1"/>
  <c r="AK412" i="1"/>
  <c r="AK1192" i="1"/>
  <c r="AK446" i="1"/>
  <c r="AK906" i="1"/>
  <c r="AK665" i="1"/>
  <c r="AK778" i="1"/>
  <c r="AK725" i="1"/>
  <c r="AK163" i="1"/>
  <c r="AK1207" i="1"/>
  <c r="AK259" i="1"/>
  <c r="AK1140" i="1"/>
  <c r="AK659" i="1"/>
  <c r="AK785" i="1"/>
  <c r="AK406" i="1"/>
  <c r="AK392" i="1"/>
  <c r="AK463" i="1"/>
  <c r="AK63" i="1"/>
  <c r="AK669" i="1"/>
  <c r="AK588" i="1"/>
  <c r="AK1098" i="1"/>
  <c r="AK15" i="1"/>
  <c r="AK794" i="1"/>
  <c r="AK1157" i="1"/>
  <c r="AK654" i="1"/>
  <c r="AK831" i="1"/>
  <c r="AK1225" i="1"/>
  <c r="AK523" i="1"/>
  <c r="AK575" i="1"/>
  <c r="AK982" i="1"/>
  <c r="AK501" i="1"/>
  <c r="AK161" i="1"/>
  <c r="AK1185" i="1"/>
  <c r="AK565" i="1"/>
  <c r="AK677" i="1"/>
  <c r="AK685" i="1"/>
  <c r="AK865" i="1"/>
  <c r="AK940" i="1"/>
  <c r="AK381" i="1"/>
  <c r="AK340" i="1"/>
  <c r="AK445" i="1"/>
  <c r="AK1281" i="1"/>
  <c r="AK701" i="1"/>
  <c r="AK192" i="1"/>
  <c r="AK370" i="1"/>
  <c r="AK882" i="1"/>
  <c r="AK664" i="1"/>
  <c r="AK496" i="1"/>
  <c r="AK934" i="1"/>
  <c r="AK943" i="1"/>
  <c r="AK1213" i="1"/>
  <c r="AK959" i="1"/>
  <c r="AK570" i="1"/>
  <c r="AK887" i="1"/>
  <c r="AK587" i="1"/>
  <c r="AK75" i="1"/>
  <c r="AK1241" i="1"/>
  <c r="AK684" i="1"/>
  <c r="AK396" i="1"/>
  <c r="AK1124" i="1"/>
  <c r="AK1016" i="1"/>
  <c r="AK927" i="1"/>
  <c r="AK437" i="1"/>
  <c r="AK332" i="1"/>
  <c r="AK944" i="1"/>
  <c r="AK945" i="1"/>
  <c r="AK183" i="1"/>
  <c r="AK100" i="1"/>
  <c r="AK146" i="1"/>
  <c r="AK1222" i="1"/>
  <c r="AK754" i="1"/>
  <c r="AK889" i="1"/>
  <c r="AK1069" i="1"/>
  <c r="AK347" i="1"/>
  <c r="AK210" i="1"/>
  <c r="AK806" i="1"/>
  <c r="AK29" i="1"/>
  <c r="AK1089" i="1"/>
  <c r="AK641" i="1"/>
  <c r="AK1255" i="1"/>
  <c r="AK913" i="1"/>
  <c r="AK757" i="1"/>
  <c r="AK495" i="1"/>
  <c r="AK946" i="1"/>
  <c r="AK513" i="1"/>
  <c r="AK269" i="1"/>
  <c r="AK326" i="1"/>
  <c r="AK1235" i="1"/>
  <c r="AK920" i="1"/>
  <c r="AK898" i="1"/>
  <c r="AK1038" i="1"/>
  <c r="AK42" i="1"/>
  <c r="AK764" i="1"/>
  <c r="AK914" i="1"/>
  <c r="AK876" i="1"/>
  <c r="AK601" i="1"/>
  <c r="AK171" i="1"/>
  <c r="AK322" i="1"/>
  <c r="AK947" i="1"/>
  <c r="AK627" i="1"/>
  <c r="AK599" i="1"/>
  <c r="AK209" i="1"/>
  <c r="AK1039" i="1"/>
  <c r="AK502" i="1"/>
  <c r="AK1095" i="1"/>
  <c r="AK821" i="1"/>
  <c r="AK646" i="1"/>
  <c r="AK1224" i="1"/>
  <c r="AK40" i="1"/>
  <c r="AK227" i="1"/>
  <c r="AK815" i="1"/>
  <c r="AK977" i="1"/>
  <c r="AK867" i="1"/>
  <c r="AK996" i="1"/>
  <c r="AK841" i="1"/>
  <c r="AK926" i="1"/>
  <c r="AK120" i="1"/>
  <c r="AK881" i="1"/>
  <c r="AK855" i="1"/>
  <c r="AK279" i="1"/>
  <c r="AK1159" i="1"/>
  <c r="AK1284" i="1"/>
  <c r="AK339" i="1"/>
  <c r="AK1223" i="1"/>
  <c r="AK582" i="1"/>
  <c r="AK453" i="1"/>
  <c r="AK246" i="1"/>
  <c r="AK1275" i="1"/>
  <c r="AK553" i="1"/>
  <c r="AK1266" i="1"/>
  <c r="AK1270" i="1"/>
  <c r="AK89" i="1"/>
  <c r="AK62" i="1"/>
  <c r="AK1053" i="1"/>
  <c r="AK697" i="1"/>
  <c r="AK117" i="1"/>
  <c r="AK854" i="1"/>
  <c r="AK1250" i="1"/>
  <c r="AK123" i="1"/>
  <c r="AK380" i="1"/>
  <c r="AK1280" i="1"/>
  <c r="AK711" i="1"/>
  <c r="AK180" i="1"/>
  <c r="AK1155" i="1"/>
  <c r="AK891" i="1"/>
  <c r="AK267" i="1"/>
  <c r="AK206" i="1"/>
  <c r="AK1049" i="1"/>
  <c r="AK775" i="1"/>
  <c r="AK774" i="1"/>
  <c r="AK614" i="1"/>
  <c r="AK287" i="1"/>
  <c r="AK191" i="1"/>
  <c r="AK232" i="1"/>
  <c r="AK835" i="1"/>
  <c r="AK592" i="1"/>
  <c r="AK985" i="1"/>
  <c r="AK517" i="1"/>
  <c r="AK1079" i="1"/>
  <c r="AK625" i="1"/>
  <c r="AK937" i="1"/>
  <c r="AK506" i="1"/>
  <c r="AK512" i="1"/>
  <c r="AK391" i="1"/>
  <c r="AK777" i="1"/>
  <c r="AK793" i="1"/>
  <c r="AK708" i="1"/>
  <c r="AK1006" i="1"/>
  <c r="AK549" i="1"/>
  <c r="AK1210" i="1"/>
  <c r="AK773" i="1"/>
  <c r="AK1037" i="1"/>
  <c r="AK1142" i="1"/>
  <c r="AK371" i="1"/>
  <c r="AK727" i="1"/>
  <c r="AK692" i="1"/>
  <c r="AK584" i="1"/>
  <c r="AK1063" i="1"/>
  <c r="AK130" i="1"/>
  <c r="AK991" i="1"/>
  <c r="AK896" i="1"/>
  <c r="AK1073" i="1"/>
  <c r="AK524" i="1"/>
  <c r="AK1061" i="1"/>
  <c r="AK622" i="1"/>
  <c r="AK557" i="1"/>
  <c r="AK435" i="1"/>
  <c r="AK486" i="1"/>
  <c r="AK1100" i="1"/>
  <c r="AK304" i="1"/>
  <c r="AK571" i="1"/>
  <c r="AK970" i="1"/>
  <c r="AK1074" i="1"/>
  <c r="AK465" i="1"/>
  <c r="AK1035" i="1"/>
  <c r="AK813" i="1"/>
  <c r="AK20" i="1"/>
  <c r="AK112" i="1"/>
  <c r="AK57" i="1"/>
  <c r="AK844" i="1"/>
  <c r="AK1267" i="1"/>
  <c r="AK1198" i="1"/>
  <c r="AK69" i="1"/>
  <c r="AK930" i="1"/>
  <c r="AK220" i="1"/>
  <c r="AK315" i="1"/>
  <c r="AK1005" i="1"/>
  <c r="AK1017" i="1"/>
  <c r="AK615" i="1"/>
  <c r="AK33" i="1"/>
  <c r="AK360" i="1"/>
  <c r="AK160" i="1"/>
  <c r="AK962" i="1"/>
  <c r="AK187" i="1"/>
  <c r="AK983" i="1"/>
  <c r="AK705" i="1"/>
  <c r="AK1085" i="1"/>
  <c r="AK4" i="1"/>
  <c r="AK845" i="1"/>
  <c r="AK1057" i="1"/>
  <c r="AK624" i="1"/>
  <c r="AK343" i="1"/>
  <c r="AK969" i="1"/>
  <c r="AK13" i="1"/>
  <c r="AK273" i="1"/>
  <c r="AK636" i="1"/>
  <c r="AK150" i="1"/>
  <c r="AK1286" i="1"/>
  <c r="AK387" i="1"/>
  <c r="AK182" i="1"/>
  <c r="AK1097" i="1"/>
  <c r="AK98" i="1"/>
  <c r="AK1183" i="1"/>
  <c r="AK194" i="1"/>
  <c r="AK1144" i="1"/>
  <c r="AK200" i="1"/>
  <c r="AK139" i="1"/>
  <c r="AK1125" i="1"/>
  <c r="AK201" i="1"/>
  <c r="AK791" i="1"/>
  <c r="AK96" i="1"/>
  <c r="AK583" i="1"/>
  <c r="AK312" i="1"/>
  <c r="AK1141" i="1"/>
  <c r="AK87" i="1"/>
  <c r="AK419" i="1"/>
  <c r="AK424" i="1"/>
  <c r="AK994" i="1"/>
  <c r="AK997" i="1"/>
  <c r="AK1011" i="1"/>
  <c r="AK408" i="1"/>
  <c r="AK1269" i="1"/>
  <c r="AK1116" i="1"/>
  <c r="AK1277" i="1"/>
  <c r="AK1226" i="1"/>
  <c r="AK856" i="1"/>
  <c r="AK1234" i="1"/>
  <c r="AK1150" i="1"/>
  <c r="AK693" i="1"/>
  <c r="AK814" i="1"/>
  <c r="AK353" i="1"/>
  <c r="AK430" i="1"/>
  <c r="AK1112" i="1"/>
  <c r="AK743" i="1"/>
  <c r="AK126" i="1"/>
  <c r="AK497" i="1"/>
  <c r="AK1204" i="1"/>
  <c r="AK22" i="1"/>
  <c r="AK1105" i="1"/>
  <c r="AK156" i="1"/>
  <c r="AK1113" i="1"/>
  <c r="AK1233" i="1"/>
  <c r="AK133" i="1"/>
  <c r="AK1102" i="1"/>
  <c r="AK893" i="1"/>
  <c r="AK747" i="1"/>
  <c r="AK829" i="1"/>
  <c r="AK713" i="1"/>
  <c r="AK938" i="1"/>
  <c r="AK916" i="1"/>
  <c r="AK1243" i="1"/>
  <c r="AK515" i="1"/>
  <c r="AK686" i="1"/>
  <c r="AK281" i="1"/>
  <c r="AK1151" i="1"/>
  <c r="AK416" i="1"/>
  <c r="AK823" i="1"/>
  <c r="AK472" i="1"/>
  <c r="AK617" i="1"/>
  <c r="AK719" i="1"/>
  <c r="AK746" i="1"/>
  <c r="AK1265" i="1"/>
  <c r="AK987" i="1"/>
  <c r="AK124" i="1"/>
  <c r="AK47" i="1"/>
  <c r="AK219" i="1"/>
  <c r="AK1212" i="1"/>
  <c r="AK1195" i="1"/>
  <c r="AK942" i="1"/>
  <c r="AK824" i="1"/>
  <c r="AK779" i="1"/>
  <c r="AK319" i="1"/>
  <c r="AK174" i="1"/>
  <c r="AK1045" i="1"/>
  <c r="AK872" i="1"/>
  <c r="AK1245" i="1"/>
  <c r="AK107" i="1"/>
  <c r="AK365" i="1"/>
  <c r="AK132" i="1"/>
  <c r="AK168" i="1"/>
  <c r="AK481" i="1"/>
  <c r="AK1023" i="1"/>
  <c r="AK334" i="1"/>
  <c r="AK148" i="1"/>
  <c r="AK409" i="1"/>
  <c r="AK739" i="1"/>
  <c r="AK1257" i="1"/>
  <c r="AK72" i="1"/>
  <c r="AK1180" i="1"/>
  <c r="AK51" i="1"/>
  <c r="AK781" i="1"/>
  <c r="AK1249" i="1"/>
  <c r="AK561" i="1"/>
  <c r="AK1252" i="1"/>
  <c r="AK1145" i="1"/>
  <c r="AK108" i="1"/>
  <c r="AK541" i="1"/>
  <c r="AK350" i="1"/>
  <c r="AK389" i="1"/>
  <c r="AK1163" i="1"/>
  <c r="AK1121" i="1"/>
  <c r="AK440" i="1"/>
  <c r="AK414" i="1"/>
  <c r="AK979" i="1"/>
  <c r="AK1194" i="1"/>
  <c r="AK162" i="1"/>
  <c r="AK801" i="1"/>
  <c r="AK516" i="1"/>
  <c r="AK1021" i="1"/>
  <c r="AK1030" i="1"/>
  <c r="AK742" i="1"/>
  <c r="AK425" i="1"/>
  <c r="AK447" i="1"/>
  <c r="AK676" i="1"/>
  <c r="AK44" i="1"/>
  <c r="AK383" i="1"/>
  <c r="AK606" i="1"/>
  <c r="AK525" i="1"/>
  <c r="AK1253" i="1"/>
  <c r="AK1203" i="1"/>
  <c r="AK511" i="1"/>
  <c r="AK768" i="1"/>
  <c r="AK871" i="1"/>
  <c r="AK1071" i="1"/>
  <c r="AK810" i="1"/>
  <c r="AK373" i="1"/>
  <c r="AK736" i="1"/>
  <c r="AK1240" i="1"/>
  <c r="AK602" i="1"/>
  <c r="AK129" i="1"/>
  <c r="AK323" i="1"/>
  <c r="AK826" i="1"/>
  <c r="AK1167" i="1"/>
  <c r="AK477" i="1"/>
  <c r="AK240" i="1"/>
  <c r="AK564" i="1"/>
  <c r="AK795" i="1"/>
  <c r="AK38" i="1"/>
  <c r="AK612" i="1"/>
  <c r="AK422" i="1"/>
  <c r="AK245" i="1"/>
  <c r="AK749" i="1"/>
  <c r="AK735" i="1"/>
  <c r="AK1254" i="1"/>
  <c r="AK1162" i="1"/>
  <c r="AK135" i="1"/>
  <c r="AK52" i="1"/>
  <c r="AK197" i="1"/>
  <c r="AK249" i="1"/>
  <c r="AK1065" i="1"/>
  <c r="AK503" i="1"/>
  <c r="AK1236" i="1"/>
  <c r="AK616" i="1"/>
  <c r="AK825" i="1"/>
  <c r="AK386" i="1"/>
  <c r="AK498" i="1"/>
  <c r="AK1123" i="1"/>
  <c r="AK433" i="1"/>
  <c r="AK485" i="1"/>
  <c r="AK64" i="1"/>
  <c r="AK733" i="1"/>
  <c r="AK628" i="1"/>
  <c r="AK1251" i="1"/>
  <c r="AK723" i="1"/>
  <c r="AK276" i="1"/>
  <c r="AK1096" i="1"/>
  <c r="AK473" i="1"/>
  <c r="AK1070" i="1"/>
  <c r="AK905" i="1"/>
  <c r="AK1199" i="1"/>
  <c r="AK670" i="1"/>
  <c r="AK348" i="1"/>
  <c r="AK376" i="1"/>
  <c r="AK999" i="1"/>
  <c r="AK1060" i="1"/>
  <c r="AK720" i="1"/>
  <c r="AK738" i="1"/>
  <c r="AK24" i="1"/>
  <c r="AK1052" i="1"/>
  <c r="AK637" i="1"/>
  <c r="AK60" i="1"/>
  <c r="AK295" i="1"/>
  <c r="AK1268" i="1"/>
  <c r="AK1229" i="1"/>
  <c r="AK204" i="1"/>
  <c r="AK510" i="1"/>
  <c r="AK900" i="1"/>
  <c r="AK957" i="1"/>
  <c r="AK885" i="1"/>
  <c r="AK531" i="1"/>
  <c r="AK521" i="1"/>
  <c r="AK151" i="1"/>
  <c r="AK1015" i="1"/>
  <c r="AK1169" i="1"/>
  <c r="AK327" i="1"/>
  <c r="AK688" i="1"/>
  <c r="AK35" i="1"/>
  <c r="AK394" i="1"/>
  <c r="AK172" i="1"/>
  <c r="AK237" i="1"/>
  <c r="AK822" i="1"/>
  <c r="AK963" i="1"/>
  <c r="AK650" i="1"/>
  <c r="AK1278" i="1"/>
  <c r="AK1050" i="1"/>
  <c r="AK1091" i="1"/>
  <c r="AK880" i="1"/>
  <c r="AK292" i="1"/>
  <c r="AK1238" i="1"/>
  <c r="AK633" i="1"/>
  <c r="AK536" i="1"/>
  <c r="AK741" i="1"/>
  <c r="AK417" i="1"/>
  <c r="AK1072" i="1"/>
  <c r="AK374" i="1"/>
  <c r="AK58" i="1"/>
  <c r="AK538" i="1"/>
  <c r="AK362" i="1"/>
  <c r="AK559" i="1"/>
  <c r="AK181" i="1"/>
  <c r="AK1128" i="1"/>
  <c r="AK229" i="1"/>
  <c r="AK94" i="1"/>
  <c r="AK1201" i="1"/>
  <c r="AK703" i="1"/>
  <c r="AK454" i="1"/>
  <c r="AK401" i="1"/>
  <c r="AK919" i="1"/>
  <c r="AK621" i="1"/>
  <c r="AK177" i="1"/>
  <c r="AK873" i="1"/>
  <c r="AK1080" i="1"/>
  <c r="AK311" i="1"/>
  <c r="AK1020" i="1"/>
  <c r="AK903" i="1"/>
  <c r="AK968" i="1"/>
  <c r="AK1187" i="1"/>
  <c r="AK817" i="1"/>
  <c r="AK321" i="1"/>
  <c r="AK423" i="1"/>
  <c r="AK167" i="1"/>
  <c r="AK317" i="1"/>
  <c r="AK1258" i="1"/>
  <c r="AK1262" i="1"/>
  <c r="AK1230" i="1"/>
  <c r="AK574" i="1"/>
  <c r="AK534" i="1"/>
  <c r="AK452" i="1"/>
  <c r="AK846" i="1"/>
  <c r="AK674" i="1"/>
  <c r="AK1215" i="1"/>
  <c r="AK1114" i="1"/>
  <c r="AK567" i="1"/>
  <c r="AK859" i="1"/>
  <c r="AK1205" i="1"/>
  <c r="AK529" i="1"/>
  <c r="AK262" i="1"/>
  <c r="AK877" i="1"/>
  <c r="AK266" i="1"/>
  <c r="AK847" i="1"/>
  <c r="AK961" i="1"/>
  <c r="AK932" i="1"/>
  <c r="AK702" i="1"/>
  <c r="AK1127" i="1"/>
  <c r="AK941" i="1"/>
  <c r="AK546" i="1"/>
  <c r="AK921" i="1"/>
  <c r="AK379" i="1"/>
  <c r="AK403" i="1"/>
  <c r="AK54" i="1"/>
  <c r="AK638" i="1"/>
  <c r="AK285" i="1"/>
  <c r="AK277" i="1"/>
  <c r="AK1216" i="1"/>
  <c r="AK142" i="1"/>
  <c r="AK88" i="1"/>
  <c r="AK478" i="1"/>
  <c r="AK666" i="1"/>
  <c r="AK820" i="1"/>
  <c r="AK1175" i="1"/>
  <c r="AK1172" i="1"/>
  <c r="AK426" i="1"/>
  <c r="AK1196" i="1"/>
  <c r="AK656" i="1"/>
  <c r="AK1186" i="1"/>
  <c r="AK848" i="1"/>
  <c r="AK639" i="1"/>
  <c r="AK224" i="1"/>
  <c r="AK333" i="1"/>
  <c r="AK196" i="1"/>
  <c r="AK1264" i="1"/>
  <c r="AK870" i="1"/>
  <c r="AK8" i="1"/>
  <c r="AK540" i="1"/>
  <c r="AK1282" i="1"/>
  <c r="AK393" i="1"/>
  <c r="AK82" i="1"/>
  <c r="AK929" i="1"/>
  <c r="AK545" i="1"/>
  <c r="AK952" i="1"/>
  <c r="AK707" i="1"/>
  <c r="AK853" i="1"/>
  <c r="AK935" i="1"/>
  <c r="AK695" i="1"/>
  <c r="AK1256" i="1"/>
  <c r="AK208" i="1"/>
  <c r="AK980" i="1"/>
  <c r="AK922" i="1"/>
  <c r="AK359" i="1"/>
  <c r="AK1283" i="1"/>
  <c r="AK988" i="1"/>
  <c r="AK212" i="1"/>
  <c r="AK404" i="1"/>
  <c r="AK527" i="1"/>
  <c r="AK1273" i="1"/>
  <c r="AK1292" i="1"/>
  <c r="AK508" i="1"/>
  <c r="AK483" i="1"/>
  <c r="AK790" i="1"/>
  <c r="AK730" i="1"/>
  <c r="AK786" i="1"/>
  <c r="AK673" i="1"/>
  <c r="AK1004" i="1"/>
  <c r="AK1126" i="1"/>
  <c r="AK1219" i="1"/>
  <c r="AK325" i="1"/>
  <c r="AK965" i="1"/>
  <c r="AK576" i="1"/>
  <c r="AK243" i="1"/>
  <c r="AK796" i="1"/>
  <c r="AK364" i="1"/>
  <c r="AK548" i="1"/>
  <c r="AK577" i="1"/>
  <c r="AK895" i="1"/>
  <c r="AK85" i="1"/>
  <c r="AK613" i="1"/>
  <c r="AK1211" i="1"/>
  <c r="AK1288" i="1"/>
  <c r="AK170" i="1"/>
  <c r="AK948" i="1"/>
  <c r="AK691" i="1"/>
  <c r="AK699" i="1"/>
  <c r="AK1289" i="1"/>
  <c r="AK189" i="1"/>
  <c r="AK1104" i="1"/>
  <c r="AK672" i="1"/>
  <c r="AK48" i="1"/>
  <c r="AK694" i="1"/>
  <c r="AK578" i="1"/>
  <c r="AK836" i="1"/>
  <c r="AK155" i="1"/>
  <c r="AK1133" i="1"/>
  <c r="AK158" i="1"/>
  <c r="AK28" i="1"/>
  <c r="AK106" i="1"/>
  <c r="AK255" i="1"/>
  <c r="AK493" i="1"/>
  <c r="AK1184" i="1"/>
  <c r="AK147" i="1"/>
  <c r="AK1285" i="1"/>
  <c r="AK782" i="1"/>
  <c r="AK596" i="1"/>
  <c r="AK218" i="1"/>
  <c r="AK569" i="1"/>
  <c r="AK1027" i="1"/>
  <c r="AK808" i="1"/>
  <c r="AK131" i="1"/>
  <c r="AK1287" i="1"/>
  <c r="AF291" i="1"/>
  <c r="AF883" i="1"/>
  <c r="AF71" i="1"/>
  <c r="AF1182" i="1"/>
  <c r="AF252" i="1"/>
  <c r="AF558" i="1"/>
  <c r="AF318" i="1"/>
  <c r="AF1058" i="1"/>
  <c r="AF349" i="1"/>
  <c r="AF205" i="1"/>
  <c r="AF619" i="1"/>
  <c r="AF186" i="1"/>
  <c r="AF18" i="1"/>
  <c r="AF32" i="1"/>
  <c r="AF1242" i="1"/>
  <c r="AF912" i="1"/>
  <c r="AF10" i="1"/>
  <c r="AF878" i="1"/>
  <c r="AF462" i="1"/>
  <c r="AF284" i="1"/>
  <c r="AF784" i="1"/>
  <c r="AF83" i="1"/>
  <c r="AF271" i="1"/>
  <c r="AF1208" i="1"/>
  <c r="AF61" i="1"/>
  <c r="AF111" i="1"/>
  <c r="AF1147" i="1"/>
  <c r="AF314" i="1"/>
  <c r="AF118" i="1"/>
  <c r="AF235" i="1"/>
  <c r="AF1076" i="1"/>
  <c r="AF976" i="1"/>
  <c r="AF550" i="1"/>
  <c r="AF630" i="1"/>
  <c r="AF90" i="1"/>
  <c r="AF470" i="1"/>
  <c r="AF67" i="1"/>
  <c r="AF626" i="1"/>
  <c r="AF70" i="1"/>
  <c r="AF690" i="1"/>
  <c r="AF590" i="1"/>
  <c r="AF23" i="1"/>
  <c r="AF1217" i="1"/>
  <c r="AF675" i="1"/>
  <c r="AF76" i="1"/>
  <c r="AF744" i="1"/>
  <c r="AF16" i="1"/>
  <c r="AF36" i="1"/>
  <c r="AF297" i="1"/>
  <c r="AF1092" i="1"/>
  <c r="AF105" i="1"/>
  <c r="AF143" i="1"/>
  <c r="AF954" i="1"/>
  <c r="AF1106" i="1"/>
  <c r="AF682" i="1"/>
  <c r="AF647" i="1"/>
  <c r="AF890" i="1"/>
  <c r="AF804" i="1"/>
  <c r="AF247" i="1"/>
  <c r="AF231" i="1"/>
  <c r="AF888" i="1"/>
  <c r="AF598" i="1"/>
  <c r="AF469" i="1"/>
  <c r="AF667" i="1"/>
  <c r="AF522" i="1"/>
  <c r="AF514" i="1"/>
  <c r="AF643" i="1"/>
  <c r="AF56" i="1"/>
  <c r="AF803" i="1"/>
  <c r="AF256" i="1"/>
  <c r="AF1042" i="1"/>
  <c r="AF455" i="1"/>
  <c r="AF642" i="1"/>
  <c r="AF981" i="1"/>
  <c r="AF226" i="1"/>
  <c r="AF745" i="1"/>
  <c r="AF998" i="1"/>
  <c r="AF351" i="1"/>
  <c r="AF443" i="1"/>
  <c r="AF610" i="1"/>
  <c r="AF116" i="1"/>
  <c r="AF286" i="1"/>
  <c r="AF114" i="1"/>
  <c r="AF530" i="1"/>
  <c r="AF413" i="1"/>
  <c r="AF591" i="1"/>
  <c r="AF581" i="1"/>
  <c r="AF441" i="1"/>
  <c r="AF726" i="1"/>
  <c r="AF984" i="1"/>
  <c r="AF257" i="1"/>
  <c r="AF1009" i="1"/>
  <c r="AF505" i="1"/>
  <c r="AF457" i="1"/>
  <c r="AF518" i="1"/>
  <c r="AF837" i="1"/>
  <c r="AF377" i="1"/>
  <c r="AF704" i="1"/>
  <c r="AF532" i="1"/>
  <c r="AF2" i="1"/>
  <c r="AF384" i="1"/>
  <c r="AF1156" i="1"/>
  <c r="AF953" i="1"/>
  <c r="AF623" i="1"/>
  <c r="AF248" i="1"/>
  <c r="AF185" i="1"/>
  <c r="AF59" i="1"/>
  <c r="AF354" i="1"/>
  <c r="AF1066" i="1"/>
  <c r="AF950" i="1"/>
  <c r="AF1193" i="1"/>
  <c r="AF274" i="1"/>
  <c r="AF792" i="1"/>
  <c r="AF153" i="1"/>
  <c r="AF1022" i="1"/>
  <c r="AF1131" i="1"/>
  <c r="AF484" i="1"/>
  <c r="AF309" i="1"/>
  <c r="AF671" i="1"/>
  <c r="AF238" i="1"/>
  <c r="AF1103" i="1"/>
  <c r="AF471" i="1"/>
  <c r="AF1062" i="1"/>
  <c r="AF555" i="1"/>
  <c r="AF382" i="1"/>
  <c r="AF444" i="1"/>
  <c r="AF594" i="1"/>
  <c r="AF137" i="1"/>
  <c r="AF603" i="1"/>
  <c r="AF537" i="1"/>
  <c r="AF864" i="1"/>
  <c r="AF1117" i="1"/>
  <c r="AF242" i="1"/>
  <c r="AF264" i="1"/>
  <c r="AF933" i="1"/>
  <c r="AF127" i="1"/>
  <c r="AF1149" i="1"/>
  <c r="AF1129" i="1"/>
  <c r="AF405" i="1"/>
  <c r="AF520" i="1"/>
  <c r="AF542" i="1"/>
  <c r="AF715" i="1"/>
  <c r="AF74" i="1"/>
  <c r="AF886" i="1"/>
  <c r="AF175" i="1"/>
  <c r="AF313" i="1"/>
  <c r="AF166" i="1"/>
  <c r="AF737" i="1"/>
  <c r="AF776" i="1"/>
  <c r="AF1136" i="1"/>
  <c r="AF202" i="1"/>
  <c r="AF547" i="1"/>
  <c r="AF434" i="1"/>
  <c r="AF251" i="1"/>
  <c r="AF294" i="1"/>
  <c r="AF533" i="1"/>
  <c r="AF1082" i="1"/>
  <c r="AF766" i="1"/>
  <c r="AF399" i="1"/>
  <c r="AF909" i="1"/>
  <c r="AF234" i="1"/>
  <c r="AF214" i="1"/>
  <c r="AF875" i="1"/>
  <c r="AF978" i="1"/>
  <c r="AF253" i="1"/>
  <c r="AF254" i="1"/>
  <c r="AF336" i="1"/>
  <c r="AF109" i="1"/>
  <c r="AF134" i="1"/>
  <c r="AF342" i="1"/>
  <c r="AF490" i="1"/>
  <c r="AF519" i="1"/>
  <c r="AF634" i="1"/>
  <c r="AF1139" i="1"/>
  <c r="AF53" i="1"/>
  <c r="AF662" i="1"/>
  <c r="AF1246" i="1"/>
  <c r="AF1143" i="1"/>
  <c r="AF1218" i="1"/>
  <c r="AF1165" i="1"/>
  <c r="AF372" i="1"/>
  <c r="AF1200" i="1"/>
  <c r="AF936" i="1"/>
  <c r="AF974" i="1"/>
  <c r="AF420" i="1"/>
  <c r="AF330" i="1"/>
  <c r="AF1261" i="1"/>
  <c r="AF236" i="1"/>
  <c r="AF203" i="1"/>
  <c r="AF45" i="1"/>
  <c r="AF450" i="1"/>
  <c r="AF369" i="1"/>
  <c r="AF1179" i="1"/>
  <c r="AF41" i="1"/>
  <c r="AF122" i="1"/>
  <c r="AF1228" i="1"/>
  <c r="AF1028" i="1"/>
  <c r="AF103" i="1"/>
  <c r="AF128" i="1"/>
  <c r="AF923" i="1"/>
  <c r="AF964" i="1"/>
  <c r="AF55" i="1"/>
  <c r="AF157" i="1"/>
  <c r="AF709" i="1"/>
  <c r="AF698" i="1"/>
  <c r="AF858" i="1"/>
  <c r="AF367" i="1"/>
  <c r="AF544" i="1"/>
  <c r="AF19" i="1"/>
  <c r="AF797" i="1"/>
  <c r="AF678" i="1"/>
  <c r="AF282" i="1"/>
  <c r="AF966" i="1"/>
  <c r="AF299" i="1"/>
  <c r="AF363" i="1"/>
  <c r="AF464" i="1"/>
  <c r="AF714" i="1"/>
  <c r="AF25" i="1"/>
  <c r="AF897" i="1"/>
  <c r="AF331" i="1"/>
  <c r="AF213" i="1"/>
  <c r="AF1012" i="1"/>
  <c r="AF640" i="1"/>
  <c r="AF956" i="1"/>
  <c r="AF1170" i="1"/>
  <c r="AF1271" i="1"/>
  <c r="AF293" i="1"/>
  <c r="AF710" i="1"/>
  <c r="AF580" i="1"/>
  <c r="AF1056" i="1"/>
  <c r="AF910" i="1"/>
  <c r="AF838" i="1"/>
  <c r="AF303" i="1"/>
  <c r="AF807" i="1"/>
  <c r="AF600" i="1"/>
  <c r="AF1188" i="1"/>
  <c r="AF1153" i="1"/>
  <c r="AF432" i="1"/>
  <c r="AF268" i="1"/>
  <c r="AF1008" i="1"/>
  <c r="AF990" i="1"/>
  <c r="AF758" i="1"/>
  <c r="AF324" i="1"/>
  <c r="AF800" i="1"/>
  <c r="AF1109" i="1"/>
  <c r="AF316" i="1"/>
  <c r="AF1220" i="1"/>
  <c r="AF597" i="1"/>
  <c r="AF827" i="1"/>
  <c r="AF489" i="1"/>
  <c r="AF125" i="1"/>
  <c r="AF1067" i="1"/>
  <c r="AF605" i="1"/>
  <c r="AF230" i="1"/>
  <c r="AF1003" i="1"/>
  <c r="AF1083" i="1"/>
  <c r="AF492" i="1"/>
  <c r="AF740" i="1"/>
  <c r="AF1191" i="1"/>
  <c r="AF972" i="1"/>
  <c r="AF562" i="1"/>
  <c r="AF65" i="1"/>
  <c r="AF683" i="1"/>
  <c r="AF199" i="1"/>
  <c r="AF140" i="1"/>
  <c r="AF755" i="1"/>
  <c r="AF879" i="1"/>
  <c r="AF772" i="1"/>
  <c r="AF442" i="1"/>
  <c r="AF586" i="1"/>
  <c r="AF809" i="1"/>
  <c r="AF178" i="1"/>
  <c r="AF729" i="1"/>
  <c r="AF1202" i="1"/>
  <c r="AF43" i="1"/>
  <c r="AF154" i="1"/>
  <c r="AF328" i="1"/>
  <c r="AF263" i="1"/>
  <c r="AF1054" i="1"/>
  <c r="AF491" i="1"/>
  <c r="AF904" i="1"/>
  <c r="AF361" i="1"/>
  <c r="AF700" i="1"/>
  <c r="AF843" i="1"/>
  <c r="AF1232" i="1"/>
  <c r="AF995" i="1"/>
  <c r="AF1291" i="1"/>
  <c r="AF1173" i="1"/>
  <c r="AF66" i="1"/>
  <c r="AF1081" i="1"/>
  <c r="AF724" i="1"/>
  <c r="AF660" i="1"/>
  <c r="AF78" i="1"/>
  <c r="AF1181" i="1"/>
  <c r="AF563" i="1"/>
  <c r="AF26" i="1"/>
  <c r="AF1059" i="1"/>
  <c r="AF901" i="1"/>
  <c r="AF1247" i="1"/>
  <c r="AF104" i="1"/>
  <c r="AF1237" i="1"/>
  <c r="AF84" i="1"/>
  <c r="AF346" i="1"/>
  <c r="AF211" i="1"/>
  <c r="AF830" i="1"/>
  <c r="AF1018" i="1"/>
  <c r="AF973" i="1"/>
  <c r="AF648" i="1"/>
  <c r="AF487" i="1"/>
  <c r="AF849" i="1"/>
  <c r="AF1276" i="1"/>
  <c r="AF573" i="1"/>
  <c r="AF102" i="1"/>
  <c r="AF1084" i="1"/>
  <c r="AF50" i="1"/>
  <c r="AF1164" i="1"/>
  <c r="AF278" i="1"/>
  <c r="AF1047" i="1"/>
  <c r="AF579" i="1"/>
  <c r="AF868" i="1"/>
  <c r="AF302" i="1"/>
  <c r="AF338" i="1"/>
  <c r="AF37" i="1"/>
  <c r="AF193" i="1"/>
  <c r="AF458" i="1"/>
  <c r="AF1040" i="1"/>
  <c r="AF6" i="1"/>
  <c r="AF1031" i="1"/>
  <c r="AF1014" i="1"/>
  <c r="AF834" i="1"/>
  <c r="AF358" i="1"/>
  <c r="AF1108" i="1"/>
  <c r="AF355" i="1"/>
  <c r="AF839" i="1"/>
  <c r="AF1025" i="1"/>
  <c r="AF552" i="1"/>
  <c r="AF79" i="1"/>
  <c r="AF459" i="1"/>
  <c r="AF400" i="1"/>
  <c r="AF395" i="1"/>
  <c r="AF949" i="1"/>
  <c r="AF356" i="1"/>
  <c r="AF402" i="1"/>
  <c r="AF931" i="1"/>
  <c r="AF449" i="1"/>
  <c r="AF1068" i="1"/>
  <c r="AF1024" i="1"/>
  <c r="AF289" i="1"/>
  <c r="AF925" i="1"/>
  <c r="AF1043" i="1"/>
  <c r="AF589" i="1"/>
  <c r="AF14" i="1"/>
  <c r="AF421" i="1"/>
  <c r="AF595" i="1"/>
  <c r="AF418" i="1"/>
  <c r="AF1090" i="1"/>
  <c r="AF874" i="1"/>
  <c r="AF554" i="1"/>
  <c r="AF967" i="1"/>
  <c r="AF310" i="1"/>
  <c r="AF288" i="1"/>
  <c r="AF110" i="1"/>
  <c r="AF1101" i="1"/>
  <c r="AF466" i="1"/>
  <c r="AF1048" i="1"/>
  <c r="AF971" i="1"/>
  <c r="AF1119" i="1"/>
  <c r="AF986" i="1"/>
  <c r="AF101" i="1"/>
  <c r="AF225" i="1"/>
  <c r="AF679" i="1"/>
  <c r="AF918" i="1"/>
  <c r="AF593" i="1"/>
  <c r="AF989" i="1"/>
  <c r="AF341" i="1"/>
  <c r="AF568" i="1"/>
  <c r="AF280" i="1"/>
  <c r="AF1260" i="1"/>
  <c r="AF138" i="1"/>
  <c r="AF1032" i="1"/>
  <c r="AF476" i="1"/>
  <c r="AF39" i="1"/>
  <c r="AF632" i="1"/>
  <c r="AF198" i="1"/>
  <c r="AF467" i="1"/>
  <c r="AF1029" i="1"/>
  <c r="AF260" i="1"/>
  <c r="AF352" i="1"/>
  <c r="AF828" i="1"/>
  <c r="AF752" i="1"/>
  <c r="AF1231" i="1"/>
  <c r="AF1176" i="1"/>
  <c r="AF480" i="1"/>
  <c r="AF93" i="1"/>
  <c r="AF765" i="1"/>
  <c r="AF1161" i="1"/>
  <c r="AF689" i="1"/>
  <c r="AF769" i="1"/>
  <c r="AF1190" i="1"/>
  <c r="AF31" i="1"/>
  <c r="AF165" i="1"/>
  <c r="AF121" i="1"/>
  <c r="AF290" i="1"/>
  <c r="AF732" i="1"/>
  <c r="AF270" i="1"/>
  <c r="AF866" i="1"/>
  <c r="AF306" i="1"/>
  <c r="AF460" i="1"/>
  <c r="AF604" i="1"/>
  <c r="AF1044" i="1"/>
  <c r="AF1209" i="1"/>
  <c r="AF27" i="1"/>
  <c r="AF80" i="1"/>
  <c r="AF366" i="1"/>
  <c r="AF136" i="1"/>
  <c r="AF1290" i="1"/>
  <c r="AF239" i="1"/>
  <c r="AF169" i="1"/>
  <c r="AF657" i="1"/>
  <c r="AF216" i="1"/>
  <c r="AF152" i="1"/>
  <c r="AF1019" i="1"/>
  <c r="AF1132" i="1"/>
  <c r="AF427" i="1"/>
  <c r="AF159" i="1"/>
  <c r="AF68" i="1"/>
  <c r="AF305" i="1"/>
  <c r="AF651" i="1"/>
  <c r="AF869" i="1"/>
  <c r="AF385" i="1"/>
  <c r="AF734" i="1"/>
  <c r="AF113" i="1"/>
  <c r="AF1077" i="1"/>
  <c r="AF479" i="1"/>
  <c r="AF504" i="1"/>
  <c r="AF857" i="1"/>
  <c r="AF993" i="1"/>
  <c r="AF850" i="1"/>
  <c r="AF173" i="1"/>
  <c r="AF30" i="1"/>
  <c r="AF1244" i="1"/>
  <c r="AF81" i="1"/>
  <c r="AF585" i="1"/>
  <c r="AF217" i="1"/>
  <c r="AF145" i="1"/>
  <c r="AF535" i="1"/>
  <c r="AF731" i="1"/>
  <c r="AF451" i="1"/>
  <c r="AF119" i="1"/>
  <c r="AF894" i="1"/>
  <c r="AF780" i="1"/>
  <c r="AF272" i="1"/>
  <c r="AF195" i="1"/>
  <c r="AF696" i="1"/>
  <c r="AF250" i="1"/>
  <c r="AF783" i="1"/>
  <c r="AF144" i="1"/>
  <c r="AF863" i="1"/>
  <c r="AF608" i="1"/>
  <c r="AF1078" i="1"/>
  <c r="AF509" i="1"/>
  <c r="AF767" i="1"/>
  <c r="AF618" i="1"/>
  <c r="AF474" i="1"/>
  <c r="AF115" i="1"/>
  <c r="AF207" i="1"/>
  <c r="AF750" i="1"/>
  <c r="AF892" i="1"/>
  <c r="AF862" i="1"/>
  <c r="AF300" i="1"/>
  <c r="AF91" i="1"/>
  <c r="AF1046" i="1"/>
  <c r="AF1130" i="1"/>
  <c r="AF307" i="1"/>
  <c r="AF390" i="1"/>
  <c r="AF663" i="1"/>
  <c r="AF661" i="1"/>
  <c r="AF851" i="1"/>
  <c r="AF1227" i="1"/>
  <c r="AF852" i="1"/>
  <c r="AF494" i="1"/>
  <c r="AF706" i="1"/>
  <c r="AF1111" i="1"/>
  <c r="AF811" i="1"/>
  <c r="AF11" i="1"/>
  <c r="AF1007" i="1"/>
  <c r="AF1189" i="1"/>
  <c r="AF329" i="1"/>
  <c r="AF375" i="1"/>
  <c r="AF609" i="1"/>
  <c r="AF1154" i="1"/>
  <c r="AF751" i="1"/>
  <c r="AF728" i="1"/>
  <c r="AF1026" i="1"/>
  <c r="AF1137" i="1"/>
  <c r="AF819" i="1"/>
  <c r="AF46" i="1"/>
  <c r="AF716" i="1"/>
  <c r="AF438" i="1"/>
  <c r="AF551" i="1"/>
  <c r="AF1221" i="1"/>
  <c r="AF572" i="1"/>
  <c r="AF644" i="1"/>
  <c r="AF507" i="1"/>
  <c r="AF428" i="1"/>
  <c r="AF296" i="1"/>
  <c r="AF1107" i="1"/>
  <c r="AF500" i="1"/>
  <c r="AF1259" i="1"/>
  <c r="AF1272" i="1"/>
  <c r="AF771" i="1"/>
  <c r="AF1041" i="1"/>
  <c r="AF1174" i="1"/>
  <c r="AF543" i="1"/>
  <c r="AF759" i="1"/>
  <c r="AF763" i="1"/>
  <c r="AF1001" i="1"/>
  <c r="AF73" i="1"/>
  <c r="AF499" i="1"/>
  <c r="AF164" i="1"/>
  <c r="AF1033" i="1"/>
  <c r="AF184" i="1"/>
  <c r="AF1171" i="1"/>
  <c r="AF223" i="1"/>
  <c r="AF884" i="1"/>
  <c r="AF911" i="1"/>
  <c r="AF1146" i="1"/>
  <c r="AF939" i="1"/>
  <c r="AF1122" i="1"/>
  <c r="AF770" i="1"/>
  <c r="AF1248" i="1"/>
  <c r="AF388" i="1"/>
  <c r="AF461" i="1"/>
  <c r="AF907" i="1"/>
  <c r="AF439" i="1"/>
  <c r="AF840" i="1"/>
  <c r="AF556" i="1"/>
  <c r="AF560" i="1"/>
  <c r="AF1168" i="1"/>
  <c r="AF410" i="1"/>
  <c r="AF1115" i="1"/>
  <c r="AF915" i="1"/>
  <c r="AF1099" i="1"/>
  <c r="AF899" i="1"/>
  <c r="AF233" i="1"/>
  <c r="AF357" i="1"/>
  <c r="AF635" i="1"/>
  <c r="AF805" i="1"/>
  <c r="AF1051" i="1"/>
  <c r="AF812" i="1"/>
  <c r="AF902" i="1"/>
  <c r="AF799" i="1"/>
  <c r="AF77" i="1"/>
  <c r="AF397" i="1"/>
  <c r="AF308" i="1"/>
  <c r="AF17" i="1"/>
  <c r="AF655" i="1"/>
  <c r="AF1120" i="1"/>
  <c r="AF215" i="1"/>
  <c r="AF221" i="1"/>
  <c r="AF861" i="1"/>
  <c r="AF97" i="1"/>
  <c r="AF1118" i="1"/>
  <c r="AF760" i="1"/>
  <c r="AF722" i="1"/>
  <c r="AF275" i="1"/>
  <c r="AF539" i="1"/>
  <c r="AF34" i="1"/>
  <c r="AF176" i="1"/>
  <c r="AF429" i="1"/>
  <c r="AF488" i="1"/>
  <c r="AF415" i="1"/>
  <c r="AF1086" i="1"/>
  <c r="AF99" i="1"/>
  <c r="AF631" i="1"/>
  <c r="AF1055" i="1"/>
  <c r="AF620" i="1"/>
  <c r="AF411" i="1"/>
  <c r="AF668" i="1"/>
  <c r="AF1274" i="1"/>
  <c r="AF344" i="1"/>
  <c r="AF258" i="1"/>
  <c r="AF649" i="1"/>
  <c r="AF1036" i="1"/>
  <c r="AF917" i="1"/>
  <c r="AF1135" i="1"/>
  <c r="AF1138" i="1"/>
  <c r="AF190" i="1"/>
  <c r="AF1160" i="1"/>
  <c r="AF1013" i="1"/>
  <c r="AF1197" i="1"/>
  <c r="AF712" i="1"/>
  <c r="AF680" i="1"/>
  <c r="AF788" i="1"/>
  <c r="AF526" i="1"/>
  <c r="AF298" i="1"/>
  <c r="AF787" i="1"/>
  <c r="AF924" i="1"/>
  <c r="AF652" i="1"/>
  <c r="AF816" i="1"/>
  <c r="AF95" i="1"/>
  <c r="AF761" i="1"/>
  <c r="AF320" i="1"/>
  <c r="AF629" i="1"/>
  <c r="AF407" i="1"/>
  <c r="AF717" i="1"/>
  <c r="AF1088" i="1"/>
  <c r="AF958" i="1"/>
  <c r="AF928" i="1"/>
  <c r="AF222" i="1"/>
  <c r="AF842" i="1"/>
  <c r="AF1177" i="1"/>
  <c r="AF1094" i="1"/>
  <c r="AF960" i="1"/>
  <c r="AF436" i="1"/>
  <c r="AF244" i="1"/>
  <c r="AF1152" i="1"/>
  <c r="AF228" i="1"/>
  <c r="AF860" i="1"/>
  <c r="AF9" i="1"/>
  <c r="AF265" i="1"/>
  <c r="AF1034" i="1"/>
  <c r="AF1000" i="1"/>
  <c r="AF721" i="1"/>
  <c r="AF681" i="1"/>
  <c r="AF7" i="1"/>
  <c r="AF1134" i="1"/>
  <c r="AF1263" i="1"/>
  <c r="AF1214" i="1"/>
  <c r="AF21" i="1"/>
  <c r="AF798" i="1"/>
  <c r="AF1178" i="1"/>
  <c r="AF456" i="1"/>
  <c r="AF1087" i="1"/>
  <c r="AF1166" i="1"/>
  <c r="AF49" i="1"/>
  <c r="AF283" i="1"/>
  <c r="AF1110" i="1"/>
  <c r="AF345" i="1"/>
  <c r="AF1239" i="1"/>
  <c r="AF468" i="1"/>
  <c r="AF645" i="1"/>
  <c r="AF482" i="1"/>
  <c r="AF241" i="1"/>
  <c r="AF687" i="1"/>
  <c r="AF908" i="1"/>
  <c r="AF653" i="1"/>
  <c r="AF378" i="1"/>
  <c r="AF431" i="1"/>
  <c r="AF802" i="1"/>
  <c r="AF1206" i="1"/>
  <c r="AF789" i="1"/>
  <c r="AF1093" i="1"/>
  <c r="AF753" i="1"/>
  <c r="AF475" i="1"/>
  <c r="AF92" i="1"/>
  <c r="AF748" i="1"/>
  <c r="AF141" i="1"/>
  <c r="AF337" i="1"/>
  <c r="AF86" i="1"/>
  <c r="AF955" i="1"/>
  <c r="AF528" i="1"/>
  <c r="AF3" i="1"/>
  <c r="AF1279" i="1"/>
  <c r="AF718" i="1"/>
  <c r="AF179" i="1"/>
  <c r="AF1148" i="1"/>
  <c r="AF992" i="1"/>
  <c r="AF1075" i="1"/>
  <c r="AF833" i="1"/>
  <c r="AF188" i="1"/>
  <c r="AF566" i="1"/>
  <c r="AF1010" i="1"/>
  <c r="AF1064" i="1"/>
  <c r="AF261" i="1"/>
  <c r="AF301" i="1"/>
  <c r="AF5" i="1"/>
  <c r="AF1002" i="1"/>
  <c r="AF398" i="1"/>
  <c r="AF756" i="1"/>
  <c r="AF762" i="1"/>
  <c r="AF448" i="1"/>
  <c r="AF818" i="1"/>
  <c r="AF335" i="1"/>
  <c r="AF368" i="1"/>
  <c r="AF975" i="1"/>
  <c r="AF12" i="1"/>
  <c r="AF1158" i="1"/>
  <c r="AF611" i="1"/>
  <c r="AF832" i="1"/>
  <c r="AF1293" i="1"/>
  <c r="AF149" i="1"/>
  <c r="AF951" i="1"/>
  <c r="AF607" i="1"/>
  <c r="AF658" i="1"/>
  <c r="AF412" i="1"/>
  <c r="AF1192" i="1"/>
  <c r="AF446" i="1"/>
  <c r="AF906" i="1"/>
  <c r="AF665" i="1"/>
  <c r="AF778" i="1"/>
  <c r="AF725" i="1"/>
  <c r="AF163" i="1"/>
  <c r="AF1207" i="1"/>
  <c r="AF259" i="1"/>
  <c r="AF1140" i="1"/>
  <c r="AF659" i="1"/>
  <c r="AF785" i="1"/>
  <c r="AF406" i="1"/>
  <c r="AF392" i="1"/>
  <c r="AF463" i="1"/>
  <c r="AF63" i="1"/>
  <c r="AF669" i="1"/>
  <c r="AF588" i="1"/>
  <c r="AF1098" i="1"/>
  <c r="AF15" i="1"/>
  <c r="AF794" i="1"/>
  <c r="AF1157" i="1"/>
  <c r="AF654" i="1"/>
  <c r="AF831" i="1"/>
  <c r="AF1225" i="1"/>
  <c r="AF523" i="1"/>
  <c r="AF575" i="1"/>
  <c r="AF982" i="1"/>
  <c r="AF501" i="1"/>
  <c r="AF161" i="1"/>
  <c r="AF1185" i="1"/>
  <c r="AF565" i="1"/>
  <c r="AF677" i="1"/>
  <c r="AF685" i="1"/>
  <c r="AF865" i="1"/>
  <c r="AF940" i="1"/>
  <c r="AF381" i="1"/>
  <c r="AF340" i="1"/>
  <c r="AF445" i="1"/>
  <c r="AF1281" i="1"/>
  <c r="AF701" i="1"/>
  <c r="AF192" i="1"/>
  <c r="AF370" i="1"/>
  <c r="AF882" i="1"/>
  <c r="AF664" i="1"/>
  <c r="AF496" i="1"/>
  <c r="AF934" i="1"/>
  <c r="AF943" i="1"/>
  <c r="AF1213" i="1"/>
  <c r="AF959" i="1"/>
  <c r="AF570" i="1"/>
  <c r="AF887" i="1"/>
  <c r="AF587" i="1"/>
  <c r="AF75" i="1"/>
  <c r="AF1241" i="1"/>
  <c r="AF684" i="1"/>
  <c r="AF396" i="1"/>
  <c r="AF1124" i="1"/>
  <c r="AF1016" i="1"/>
  <c r="AF927" i="1"/>
  <c r="AF437" i="1"/>
  <c r="AF332" i="1"/>
  <c r="AF944" i="1"/>
  <c r="AF945" i="1"/>
  <c r="AF183" i="1"/>
  <c r="AF100" i="1"/>
  <c r="AF146" i="1"/>
  <c r="AF1222" i="1"/>
  <c r="AF754" i="1"/>
  <c r="AF889" i="1"/>
  <c r="AF1069" i="1"/>
  <c r="AF347" i="1"/>
  <c r="AF210" i="1"/>
  <c r="AF806" i="1"/>
  <c r="AF29" i="1"/>
  <c r="AF1089" i="1"/>
  <c r="AF641" i="1"/>
  <c r="AF1255" i="1"/>
  <c r="AF913" i="1"/>
  <c r="AF757" i="1"/>
  <c r="AF495" i="1"/>
  <c r="AF946" i="1"/>
  <c r="AF513" i="1"/>
  <c r="AF269" i="1"/>
  <c r="AF326" i="1"/>
  <c r="AF1235" i="1"/>
  <c r="AF920" i="1"/>
  <c r="AF898" i="1"/>
  <c r="AF1038" i="1"/>
  <c r="AF42" i="1"/>
  <c r="AF764" i="1"/>
  <c r="AF914" i="1"/>
  <c r="AF876" i="1"/>
  <c r="AF601" i="1"/>
  <c r="AF171" i="1"/>
  <c r="AF322" i="1"/>
  <c r="AF947" i="1"/>
  <c r="AF627" i="1"/>
  <c r="AF599" i="1"/>
  <c r="AF209" i="1"/>
  <c r="AF1039" i="1"/>
  <c r="AF502" i="1"/>
  <c r="AF1095" i="1"/>
  <c r="AF821" i="1"/>
  <c r="AF646" i="1"/>
  <c r="AF1224" i="1"/>
  <c r="AF40" i="1"/>
  <c r="AF227" i="1"/>
  <c r="AF815" i="1"/>
  <c r="AF977" i="1"/>
  <c r="AF867" i="1"/>
  <c r="AF996" i="1"/>
  <c r="AF841" i="1"/>
  <c r="AF926" i="1"/>
  <c r="AF120" i="1"/>
  <c r="AF881" i="1"/>
  <c r="AF855" i="1"/>
  <c r="AF279" i="1"/>
  <c r="AF1159" i="1"/>
  <c r="AF1284" i="1"/>
  <c r="AF339" i="1"/>
  <c r="AF1223" i="1"/>
  <c r="AF582" i="1"/>
  <c r="AF453" i="1"/>
  <c r="AF246" i="1"/>
  <c r="AF1275" i="1"/>
  <c r="AF553" i="1"/>
  <c r="AF1266" i="1"/>
  <c r="AF1270" i="1"/>
  <c r="AF89" i="1"/>
  <c r="AF62" i="1"/>
  <c r="AF1053" i="1"/>
  <c r="AF697" i="1"/>
  <c r="AF117" i="1"/>
  <c r="AF854" i="1"/>
  <c r="AF1250" i="1"/>
  <c r="AF123" i="1"/>
  <c r="AF380" i="1"/>
  <c r="AF1280" i="1"/>
  <c r="AF711" i="1"/>
  <c r="AF180" i="1"/>
  <c r="AF1155" i="1"/>
  <c r="AF891" i="1"/>
  <c r="AF267" i="1"/>
  <c r="AF206" i="1"/>
  <c r="AF1049" i="1"/>
  <c r="AF775" i="1"/>
  <c r="AF774" i="1"/>
  <c r="AF614" i="1"/>
  <c r="AF287" i="1"/>
  <c r="AF191" i="1"/>
  <c r="AF232" i="1"/>
  <c r="AF835" i="1"/>
  <c r="AF592" i="1"/>
  <c r="AF985" i="1"/>
  <c r="AF517" i="1"/>
  <c r="AF1079" i="1"/>
  <c r="AF625" i="1"/>
  <c r="AF937" i="1"/>
  <c r="AF506" i="1"/>
  <c r="AF512" i="1"/>
  <c r="AF391" i="1"/>
  <c r="AF777" i="1"/>
  <c r="AF793" i="1"/>
  <c r="AF708" i="1"/>
  <c r="AF1006" i="1"/>
  <c r="AF549" i="1"/>
  <c r="AF1210" i="1"/>
  <c r="AF773" i="1"/>
  <c r="AF1037" i="1"/>
  <c r="AF1142" i="1"/>
  <c r="AF371" i="1"/>
  <c r="AF727" i="1"/>
  <c r="AF692" i="1"/>
  <c r="AF584" i="1"/>
  <c r="AF1063" i="1"/>
  <c r="AF130" i="1"/>
  <c r="AF991" i="1"/>
  <c r="AF896" i="1"/>
  <c r="AF1073" i="1"/>
  <c r="AF524" i="1"/>
  <c r="AF1061" i="1"/>
  <c r="AF622" i="1"/>
  <c r="AF557" i="1"/>
  <c r="AF435" i="1"/>
  <c r="AF486" i="1"/>
  <c r="AF1100" i="1"/>
  <c r="AF304" i="1"/>
  <c r="AF571" i="1"/>
  <c r="AF970" i="1"/>
  <c r="AF1074" i="1"/>
  <c r="AF465" i="1"/>
  <c r="AF1035" i="1"/>
  <c r="AF813" i="1"/>
  <c r="AF20" i="1"/>
  <c r="AF112" i="1"/>
  <c r="AF57" i="1"/>
  <c r="AF844" i="1"/>
  <c r="AF1267" i="1"/>
  <c r="AF1198" i="1"/>
  <c r="AF69" i="1"/>
  <c r="AF930" i="1"/>
  <c r="AF220" i="1"/>
  <c r="AF315" i="1"/>
  <c r="AF1005" i="1"/>
  <c r="AF1017" i="1"/>
  <c r="AF615" i="1"/>
  <c r="AF33" i="1"/>
  <c r="AF360" i="1"/>
  <c r="AF160" i="1"/>
  <c r="AF962" i="1"/>
  <c r="AF187" i="1"/>
  <c r="AF983" i="1"/>
  <c r="AF705" i="1"/>
  <c r="AF1085" i="1"/>
  <c r="AF4" i="1"/>
  <c r="AF845" i="1"/>
  <c r="AF1057" i="1"/>
  <c r="AF624" i="1"/>
  <c r="AF343" i="1"/>
  <c r="AF969" i="1"/>
  <c r="AF13" i="1"/>
  <c r="AF273" i="1"/>
  <c r="AF636" i="1"/>
  <c r="AF150" i="1"/>
  <c r="AF1286" i="1"/>
  <c r="AF387" i="1"/>
  <c r="AF182" i="1"/>
  <c r="AF1097" i="1"/>
  <c r="AF98" i="1"/>
  <c r="AF1183" i="1"/>
  <c r="AF194" i="1"/>
  <c r="AF1144" i="1"/>
  <c r="AF200" i="1"/>
  <c r="AF139" i="1"/>
  <c r="AF1125" i="1"/>
  <c r="AF201" i="1"/>
  <c r="AF791" i="1"/>
  <c r="AF96" i="1"/>
  <c r="AF583" i="1"/>
  <c r="AF312" i="1"/>
  <c r="AF1141" i="1"/>
  <c r="AF87" i="1"/>
  <c r="AF419" i="1"/>
  <c r="AF424" i="1"/>
  <c r="AF994" i="1"/>
  <c r="AF997" i="1"/>
  <c r="AF1011" i="1"/>
  <c r="AF408" i="1"/>
  <c r="AF1269" i="1"/>
  <c r="AF1116" i="1"/>
  <c r="AF1277" i="1"/>
  <c r="AF1226" i="1"/>
  <c r="AF856" i="1"/>
  <c r="AF1234" i="1"/>
  <c r="AF1150" i="1"/>
  <c r="AF693" i="1"/>
  <c r="AF814" i="1"/>
  <c r="AF353" i="1"/>
  <c r="AF430" i="1"/>
  <c r="AF1112" i="1"/>
  <c r="AF743" i="1"/>
  <c r="AF126" i="1"/>
  <c r="AF497" i="1"/>
  <c r="AF1204" i="1"/>
  <c r="AF22" i="1"/>
  <c r="AF1105" i="1"/>
  <c r="AF156" i="1"/>
  <c r="AF1113" i="1"/>
  <c r="AF1233" i="1"/>
  <c r="AF133" i="1"/>
  <c r="AF1102" i="1"/>
  <c r="AF893" i="1"/>
  <c r="AF747" i="1"/>
  <c r="AF829" i="1"/>
  <c r="AF713" i="1"/>
  <c r="AF938" i="1"/>
  <c r="AF916" i="1"/>
  <c r="AF1243" i="1"/>
  <c r="AF515" i="1"/>
  <c r="AF686" i="1"/>
  <c r="AF281" i="1"/>
  <c r="AF1151" i="1"/>
  <c r="AF416" i="1"/>
  <c r="AF823" i="1"/>
  <c r="AF472" i="1"/>
  <c r="AF617" i="1"/>
  <c r="AF719" i="1"/>
  <c r="AF746" i="1"/>
  <c r="AF1265" i="1"/>
  <c r="AF987" i="1"/>
  <c r="AF124" i="1"/>
  <c r="AF47" i="1"/>
  <c r="AF219" i="1"/>
  <c r="AF1212" i="1"/>
  <c r="AF1195" i="1"/>
  <c r="AF942" i="1"/>
  <c r="AF824" i="1"/>
  <c r="AF779" i="1"/>
  <c r="AF319" i="1"/>
  <c r="AF174" i="1"/>
  <c r="AF1045" i="1"/>
  <c r="AF872" i="1"/>
  <c r="AF1245" i="1"/>
  <c r="AF107" i="1"/>
  <c r="AF365" i="1"/>
  <c r="AF132" i="1"/>
  <c r="AF168" i="1"/>
  <c r="AF481" i="1"/>
  <c r="AF1023" i="1"/>
  <c r="AF334" i="1"/>
  <c r="AF148" i="1"/>
  <c r="AF409" i="1"/>
  <c r="AF739" i="1"/>
  <c r="AF1257" i="1"/>
  <c r="AF72" i="1"/>
  <c r="AF1180" i="1"/>
  <c r="AF51" i="1"/>
  <c r="AF781" i="1"/>
  <c r="AF1249" i="1"/>
  <c r="AF561" i="1"/>
  <c r="AF1252" i="1"/>
  <c r="AF1145" i="1"/>
  <c r="AF108" i="1"/>
  <c r="AF541" i="1"/>
  <c r="AF350" i="1"/>
  <c r="AF389" i="1"/>
  <c r="AF1163" i="1"/>
  <c r="AF1121" i="1"/>
  <c r="AF440" i="1"/>
  <c r="AF414" i="1"/>
  <c r="AF979" i="1"/>
  <c r="AF1194" i="1"/>
  <c r="AF162" i="1"/>
  <c r="AF801" i="1"/>
  <c r="AF516" i="1"/>
  <c r="AF1021" i="1"/>
  <c r="AF1030" i="1"/>
  <c r="AF742" i="1"/>
  <c r="AF425" i="1"/>
  <c r="AF447" i="1"/>
  <c r="AF676" i="1"/>
  <c r="AF44" i="1"/>
  <c r="AF383" i="1"/>
  <c r="AF606" i="1"/>
  <c r="AF525" i="1"/>
  <c r="AF1253" i="1"/>
  <c r="AF1203" i="1"/>
  <c r="AF511" i="1"/>
  <c r="AF768" i="1"/>
  <c r="AF871" i="1"/>
  <c r="AF1071" i="1"/>
  <c r="AF810" i="1"/>
  <c r="AF373" i="1"/>
  <c r="AF736" i="1"/>
  <c r="AF1240" i="1"/>
  <c r="AF602" i="1"/>
  <c r="AF129" i="1"/>
  <c r="AF323" i="1"/>
  <c r="AF826" i="1"/>
  <c r="AF1167" i="1"/>
  <c r="AF477" i="1"/>
  <c r="AF240" i="1"/>
  <c r="AF564" i="1"/>
  <c r="AF795" i="1"/>
  <c r="AF38" i="1"/>
  <c r="AF612" i="1"/>
  <c r="AF422" i="1"/>
  <c r="AF245" i="1"/>
  <c r="AF749" i="1"/>
  <c r="AF735" i="1"/>
  <c r="AF1254" i="1"/>
  <c r="AF1162" i="1"/>
  <c r="AF135" i="1"/>
  <c r="AF52" i="1"/>
  <c r="AF197" i="1"/>
  <c r="AF249" i="1"/>
  <c r="AF1065" i="1"/>
  <c r="AF503" i="1"/>
  <c r="AF1236" i="1"/>
  <c r="AF616" i="1"/>
  <c r="AF825" i="1"/>
  <c r="AF386" i="1"/>
  <c r="AF498" i="1"/>
  <c r="AF1123" i="1"/>
  <c r="AF433" i="1"/>
  <c r="AF485" i="1"/>
  <c r="AF64" i="1"/>
  <c r="AF733" i="1"/>
  <c r="AF628" i="1"/>
  <c r="AF1251" i="1"/>
  <c r="AF723" i="1"/>
  <c r="AF276" i="1"/>
  <c r="AF1096" i="1"/>
  <c r="AF473" i="1"/>
  <c r="AF1070" i="1"/>
  <c r="AF905" i="1"/>
  <c r="AF1199" i="1"/>
  <c r="AF670" i="1"/>
  <c r="AF348" i="1"/>
  <c r="AF376" i="1"/>
  <c r="AF999" i="1"/>
  <c r="AF1060" i="1"/>
  <c r="AF720" i="1"/>
  <c r="AF738" i="1"/>
  <c r="AF24" i="1"/>
  <c r="AF1052" i="1"/>
  <c r="AF637" i="1"/>
  <c r="AF60" i="1"/>
  <c r="AF295" i="1"/>
  <c r="AF1268" i="1"/>
  <c r="AF1229" i="1"/>
  <c r="AF204" i="1"/>
  <c r="AF510" i="1"/>
  <c r="AF900" i="1"/>
  <c r="AF957" i="1"/>
  <c r="AF885" i="1"/>
  <c r="AF531" i="1"/>
  <c r="AF521" i="1"/>
  <c r="AF151" i="1"/>
  <c r="AF1015" i="1"/>
  <c r="AF1169" i="1"/>
  <c r="AF327" i="1"/>
  <c r="AF688" i="1"/>
  <c r="AF35" i="1"/>
  <c r="AF394" i="1"/>
  <c r="AF172" i="1"/>
  <c r="AF237" i="1"/>
  <c r="AF822" i="1"/>
  <c r="AF963" i="1"/>
  <c r="AF650" i="1"/>
  <c r="AF1278" i="1"/>
  <c r="AF1050" i="1"/>
  <c r="AF1091" i="1"/>
  <c r="AF880" i="1"/>
  <c r="AF292" i="1"/>
  <c r="AF1238" i="1"/>
  <c r="AF633" i="1"/>
  <c r="AF536" i="1"/>
  <c r="AF741" i="1"/>
  <c r="AF417" i="1"/>
  <c r="AF1072" i="1"/>
  <c r="AF374" i="1"/>
  <c r="AF58" i="1"/>
  <c r="AF538" i="1"/>
  <c r="AF362" i="1"/>
  <c r="AF559" i="1"/>
  <c r="AF181" i="1"/>
  <c r="AF1128" i="1"/>
  <c r="AF229" i="1"/>
  <c r="AF94" i="1"/>
  <c r="AF1201" i="1"/>
  <c r="AF703" i="1"/>
  <c r="AF454" i="1"/>
  <c r="AF401" i="1"/>
  <c r="AF919" i="1"/>
  <c r="AF621" i="1"/>
  <c r="AF177" i="1"/>
  <c r="AF873" i="1"/>
  <c r="AF1080" i="1"/>
  <c r="AF311" i="1"/>
  <c r="AF1020" i="1"/>
  <c r="AF903" i="1"/>
  <c r="AF968" i="1"/>
  <c r="AF1187" i="1"/>
  <c r="AF817" i="1"/>
  <c r="AF321" i="1"/>
  <c r="AF423" i="1"/>
  <c r="AF167" i="1"/>
  <c r="AF317" i="1"/>
  <c r="AF1258" i="1"/>
  <c r="AF1262" i="1"/>
  <c r="AF1230" i="1"/>
  <c r="AF574" i="1"/>
  <c r="AF534" i="1"/>
  <c r="AF452" i="1"/>
  <c r="AF846" i="1"/>
  <c r="AF674" i="1"/>
  <c r="AF1215" i="1"/>
  <c r="AF1114" i="1"/>
  <c r="AF567" i="1"/>
  <c r="AF859" i="1"/>
  <c r="AF1205" i="1"/>
  <c r="AF529" i="1"/>
  <c r="AF262" i="1"/>
  <c r="AF877" i="1"/>
  <c r="AF266" i="1"/>
  <c r="AF847" i="1"/>
  <c r="AF961" i="1"/>
  <c r="AF932" i="1"/>
  <c r="AF702" i="1"/>
  <c r="AF1127" i="1"/>
  <c r="AF941" i="1"/>
  <c r="AF546" i="1"/>
  <c r="AF921" i="1"/>
  <c r="AF379" i="1"/>
  <c r="AF403" i="1"/>
  <c r="AF54" i="1"/>
  <c r="AF638" i="1"/>
  <c r="AF285" i="1"/>
  <c r="AF277" i="1"/>
  <c r="AF1216" i="1"/>
  <c r="AF142" i="1"/>
  <c r="AF88" i="1"/>
  <c r="AF478" i="1"/>
  <c r="AF666" i="1"/>
  <c r="AF820" i="1"/>
  <c r="AF1175" i="1"/>
  <c r="AF1172" i="1"/>
  <c r="AF426" i="1"/>
  <c r="AF1196" i="1"/>
  <c r="AF656" i="1"/>
  <c r="AF1186" i="1"/>
  <c r="AF848" i="1"/>
  <c r="AF639" i="1"/>
  <c r="AF224" i="1"/>
  <c r="AF333" i="1"/>
  <c r="AF196" i="1"/>
  <c r="AF1264" i="1"/>
  <c r="AF870" i="1"/>
  <c r="AF8" i="1"/>
  <c r="AF540" i="1"/>
  <c r="AF1282" i="1"/>
  <c r="AF393" i="1"/>
  <c r="AF82" i="1"/>
  <c r="AF929" i="1"/>
  <c r="AF545" i="1"/>
  <c r="AF952" i="1"/>
  <c r="AF707" i="1"/>
  <c r="AF853" i="1"/>
  <c r="AF935" i="1"/>
  <c r="AF695" i="1"/>
  <c r="AF1256" i="1"/>
  <c r="AF208" i="1"/>
  <c r="AF980" i="1"/>
  <c r="AF922" i="1"/>
  <c r="AF359" i="1"/>
  <c r="AF1283" i="1"/>
  <c r="AF988" i="1"/>
  <c r="AF212" i="1"/>
  <c r="AF404" i="1"/>
  <c r="AF527" i="1"/>
  <c r="AF1273" i="1"/>
  <c r="AF1292" i="1"/>
  <c r="AF508" i="1"/>
  <c r="AF483" i="1"/>
  <c r="AF790" i="1"/>
  <c r="AF730" i="1"/>
  <c r="AF786" i="1"/>
  <c r="AF673" i="1"/>
  <c r="AF1004" i="1"/>
  <c r="AF1126" i="1"/>
  <c r="AF1219" i="1"/>
  <c r="AF325" i="1"/>
  <c r="AF965" i="1"/>
  <c r="AF576" i="1"/>
  <c r="AF243" i="1"/>
  <c r="AF796" i="1"/>
  <c r="AF364" i="1"/>
  <c r="AF548" i="1"/>
  <c r="AF577" i="1"/>
  <c r="AF895" i="1"/>
  <c r="AF85" i="1"/>
  <c r="AF613" i="1"/>
  <c r="AF1211" i="1"/>
  <c r="AF1288" i="1"/>
  <c r="AF170" i="1"/>
  <c r="AF948" i="1"/>
  <c r="AF691" i="1"/>
  <c r="AF699" i="1"/>
  <c r="AF1289" i="1"/>
  <c r="AF189" i="1"/>
  <c r="AF1104" i="1"/>
  <c r="AF672" i="1"/>
  <c r="AF48" i="1"/>
  <c r="AF694" i="1"/>
  <c r="AF578" i="1"/>
  <c r="AF836" i="1"/>
  <c r="AF155" i="1"/>
  <c r="AF1133" i="1"/>
  <c r="AF158" i="1"/>
  <c r="AF28" i="1"/>
  <c r="AF106" i="1"/>
  <c r="AF255" i="1"/>
  <c r="AF493" i="1"/>
  <c r="AF1184" i="1"/>
  <c r="AF147" i="1"/>
  <c r="AF1285" i="1"/>
  <c r="AF782" i="1"/>
  <c r="AF596" i="1"/>
  <c r="AF218" i="1"/>
  <c r="AF569" i="1"/>
  <c r="AF1027" i="1"/>
  <c r="AF808" i="1"/>
  <c r="AF131" i="1"/>
  <c r="AF1287" i="1"/>
  <c r="AB291" i="1"/>
  <c r="AB883" i="1"/>
  <c r="AB71" i="1"/>
  <c r="AB1182" i="1"/>
  <c r="AB252" i="1"/>
  <c r="AB558" i="1"/>
  <c r="AB318" i="1"/>
  <c r="AB1058" i="1"/>
  <c r="AB349" i="1"/>
  <c r="AB205" i="1"/>
  <c r="AB619" i="1"/>
  <c r="AB186" i="1"/>
  <c r="AB18" i="1"/>
  <c r="AB32" i="1"/>
  <c r="AB1242" i="1"/>
  <c r="AB912" i="1"/>
  <c r="AB10" i="1"/>
  <c r="AB878" i="1"/>
  <c r="AB462" i="1"/>
  <c r="AB284" i="1"/>
  <c r="AB784" i="1"/>
  <c r="AB83" i="1"/>
  <c r="AB271" i="1"/>
  <c r="AB1208" i="1"/>
  <c r="AB61" i="1"/>
  <c r="AB111" i="1"/>
  <c r="AB1147" i="1"/>
  <c r="AB314" i="1"/>
  <c r="AB118" i="1"/>
  <c r="AB235" i="1"/>
  <c r="AB1076" i="1"/>
  <c r="AB976" i="1"/>
  <c r="AB550" i="1"/>
  <c r="AB630" i="1"/>
  <c r="AB90" i="1"/>
  <c r="AB470" i="1"/>
  <c r="AB67" i="1"/>
  <c r="AB626" i="1"/>
  <c r="AB70" i="1"/>
  <c r="AB690" i="1"/>
  <c r="AB590" i="1"/>
  <c r="AB23" i="1"/>
  <c r="AB1217" i="1"/>
  <c r="AB675" i="1"/>
  <c r="AB76" i="1"/>
  <c r="AB744" i="1"/>
  <c r="AB16" i="1"/>
  <c r="AB36" i="1"/>
  <c r="AB297" i="1"/>
  <c r="AB1092" i="1"/>
  <c r="AB105" i="1"/>
  <c r="AB143" i="1"/>
  <c r="AB954" i="1"/>
  <c r="AB1106" i="1"/>
  <c r="AB682" i="1"/>
  <c r="AB647" i="1"/>
  <c r="AB890" i="1"/>
  <c r="AB804" i="1"/>
  <c r="AB247" i="1"/>
  <c r="AB231" i="1"/>
  <c r="AB888" i="1"/>
  <c r="AB598" i="1"/>
  <c r="AB469" i="1"/>
  <c r="AB667" i="1"/>
  <c r="AB522" i="1"/>
  <c r="AB514" i="1"/>
  <c r="AB643" i="1"/>
  <c r="AB56" i="1"/>
  <c r="AB803" i="1"/>
  <c r="AB256" i="1"/>
  <c r="AB1042" i="1"/>
  <c r="AB455" i="1"/>
  <c r="AB642" i="1"/>
  <c r="AB981" i="1"/>
  <c r="AB226" i="1"/>
  <c r="AB745" i="1"/>
  <c r="AB998" i="1"/>
  <c r="AB351" i="1"/>
  <c r="AB443" i="1"/>
  <c r="AB610" i="1"/>
  <c r="AB116" i="1"/>
  <c r="AB286" i="1"/>
  <c r="AB114" i="1"/>
  <c r="AB530" i="1"/>
  <c r="AB413" i="1"/>
  <c r="AB591" i="1"/>
  <c r="AB581" i="1"/>
  <c r="AB441" i="1"/>
  <c r="AB726" i="1"/>
  <c r="AB984" i="1"/>
  <c r="AB257" i="1"/>
  <c r="AB1009" i="1"/>
  <c r="AB505" i="1"/>
  <c r="AB457" i="1"/>
  <c r="AB518" i="1"/>
  <c r="AB837" i="1"/>
  <c r="AB377" i="1"/>
  <c r="AB704" i="1"/>
  <c r="AB532" i="1"/>
  <c r="AB2" i="1"/>
  <c r="AB384" i="1"/>
  <c r="AB1156" i="1"/>
  <c r="AB953" i="1"/>
  <c r="AB623" i="1"/>
  <c r="AB248" i="1"/>
  <c r="AB185" i="1"/>
  <c r="AB59" i="1"/>
  <c r="AB354" i="1"/>
  <c r="AB1066" i="1"/>
  <c r="AB950" i="1"/>
  <c r="AB1193" i="1"/>
  <c r="AB274" i="1"/>
  <c r="AB792" i="1"/>
  <c r="AB153" i="1"/>
  <c r="AB1022" i="1"/>
  <c r="AB1131" i="1"/>
  <c r="AB484" i="1"/>
  <c r="AB309" i="1"/>
  <c r="AB671" i="1"/>
  <c r="AB238" i="1"/>
  <c r="AB1103" i="1"/>
  <c r="AB471" i="1"/>
  <c r="AB1062" i="1"/>
  <c r="AB555" i="1"/>
  <c r="AB382" i="1"/>
  <c r="AB444" i="1"/>
  <c r="AB594" i="1"/>
  <c r="AB137" i="1"/>
  <c r="AB603" i="1"/>
  <c r="AB537" i="1"/>
  <c r="AB864" i="1"/>
  <c r="AB1117" i="1"/>
  <c r="AB242" i="1"/>
  <c r="AB264" i="1"/>
  <c r="AB933" i="1"/>
  <c r="AB127" i="1"/>
  <c r="AB1149" i="1"/>
  <c r="AB1129" i="1"/>
  <c r="AB405" i="1"/>
  <c r="AB520" i="1"/>
  <c r="AB542" i="1"/>
  <c r="AB715" i="1"/>
  <c r="AB74" i="1"/>
  <c r="AB886" i="1"/>
  <c r="AB175" i="1"/>
  <c r="AB313" i="1"/>
  <c r="AB166" i="1"/>
  <c r="AB737" i="1"/>
  <c r="AB776" i="1"/>
  <c r="AB1136" i="1"/>
  <c r="AB202" i="1"/>
  <c r="AB547" i="1"/>
  <c r="AB434" i="1"/>
  <c r="AB251" i="1"/>
  <c r="AB294" i="1"/>
  <c r="AB533" i="1"/>
  <c r="AB1082" i="1"/>
  <c r="AB766" i="1"/>
  <c r="AB399" i="1"/>
  <c r="AB909" i="1"/>
  <c r="AB234" i="1"/>
  <c r="AB214" i="1"/>
  <c r="AB875" i="1"/>
  <c r="AB978" i="1"/>
  <c r="AB253" i="1"/>
  <c r="AB254" i="1"/>
  <c r="AB336" i="1"/>
  <c r="AB109" i="1"/>
  <c r="AB134" i="1"/>
  <c r="AB342" i="1"/>
  <c r="AB490" i="1"/>
  <c r="AB519" i="1"/>
  <c r="AB634" i="1"/>
  <c r="AB1139" i="1"/>
  <c r="AB53" i="1"/>
  <c r="AB662" i="1"/>
  <c r="AB1246" i="1"/>
  <c r="AB1143" i="1"/>
  <c r="AB1218" i="1"/>
  <c r="AB1165" i="1"/>
  <c r="AB372" i="1"/>
  <c r="AB1200" i="1"/>
  <c r="AB936" i="1"/>
  <c r="AB974" i="1"/>
  <c r="AB420" i="1"/>
  <c r="AB330" i="1"/>
  <c r="AB1261" i="1"/>
  <c r="AB236" i="1"/>
  <c r="AB203" i="1"/>
  <c r="AB45" i="1"/>
  <c r="AB450" i="1"/>
  <c r="AB369" i="1"/>
  <c r="AB1179" i="1"/>
  <c r="AB41" i="1"/>
  <c r="AB122" i="1"/>
  <c r="AB1228" i="1"/>
  <c r="AB1028" i="1"/>
  <c r="AB103" i="1"/>
  <c r="AB128" i="1"/>
  <c r="AB923" i="1"/>
  <c r="AB964" i="1"/>
  <c r="AB55" i="1"/>
  <c r="AB157" i="1"/>
  <c r="AB709" i="1"/>
  <c r="AB698" i="1"/>
  <c r="AB858" i="1"/>
  <c r="AB367" i="1"/>
  <c r="AB544" i="1"/>
  <c r="AB19" i="1"/>
  <c r="AB797" i="1"/>
  <c r="AB678" i="1"/>
  <c r="AB282" i="1"/>
  <c r="AB966" i="1"/>
  <c r="AB299" i="1"/>
  <c r="AB363" i="1"/>
  <c r="AB464" i="1"/>
  <c r="AB714" i="1"/>
  <c r="AB25" i="1"/>
  <c r="AB897" i="1"/>
  <c r="AB331" i="1"/>
  <c r="AB213" i="1"/>
  <c r="AB1012" i="1"/>
  <c r="AB640" i="1"/>
  <c r="AB956" i="1"/>
  <c r="AB1170" i="1"/>
  <c r="AB1271" i="1"/>
  <c r="AB293" i="1"/>
  <c r="AB710" i="1"/>
  <c r="AB580" i="1"/>
  <c r="AB1056" i="1"/>
  <c r="AB910" i="1"/>
  <c r="AB838" i="1"/>
  <c r="AB303" i="1"/>
  <c r="AB807" i="1"/>
  <c r="AB600" i="1"/>
  <c r="AB1188" i="1"/>
  <c r="AB1153" i="1"/>
  <c r="AB432" i="1"/>
  <c r="AB268" i="1"/>
  <c r="AB1008" i="1"/>
  <c r="AB990" i="1"/>
  <c r="AB758" i="1"/>
  <c r="AB324" i="1"/>
  <c r="AB800" i="1"/>
  <c r="AB1109" i="1"/>
  <c r="AB316" i="1"/>
  <c r="AB1220" i="1"/>
  <c r="AB597" i="1"/>
  <c r="AB827" i="1"/>
  <c r="AB489" i="1"/>
  <c r="AB125" i="1"/>
  <c r="AB1067" i="1"/>
  <c r="AB605" i="1"/>
  <c r="AB230" i="1"/>
  <c r="AB1003" i="1"/>
  <c r="AB1083" i="1"/>
  <c r="AB492" i="1"/>
  <c r="AB740" i="1"/>
  <c r="AB1191" i="1"/>
  <c r="AB972" i="1"/>
  <c r="AB562" i="1"/>
  <c r="AB65" i="1"/>
  <c r="AB683" i="1"/>
  <c r="AB199" i="1"/>
  <c r="AB140" i="1"/>
  <c r="AB755" i="1"/>
  <c r="AB879" i="1"/>
  <c r="AB772" i="1"/>
  <c r="AB442" i="1"/>
  <c r="AB586" i="1"/>
  <c r="AB809" i="1"/>
  <c r="AB178" i="1"/>
  <c r="AB729" i="1"/>
  <c r="AB1202" i="1"/>
  <c r="AB43" i="1"/>
  <c r="AB154" i="1"/>
  <c r="AB328" i="1"/>
  <c r="AB263" i="1"/>
  <c r="AB1054" i="1"/>
  <c r="AB491" i="1"/>
  <c r="AB904" i="1"/>
  <c r="AB361" i="1"/>
  <c r="AB700" i="1"/>
  <c r="AB843" i="1"/>
  <c r="AB1232" i="1"/>
  <c r="AB995" i="1"/>
  <c r="AB1291" i="1"/>
  <c r="AB1173" i="1"/>
  <c r="AB66" i="1"/>
  <c r="AB1081" i="1"/>
  <c r="AB724" i="1"/>
  <c r="AB660" i="1"/>
  <c r="AB78" i="1"/>
  <c r="AB1181" i="1"/>
  <c r="AB563" i="1"/>
  <c r="AB26" i="1"/>
  <c r="AB1059" i="1"/>
  <c r="AB901" i="1"/>
  <c r="AB1247" i="1"/>
  <c r="AB104" i="1"/>
  <c r="AB1237" i="1"/>
  <c r="AB84" i="1"/>
  <c r="AB346" i="1"/>
  <c r="AB211" i="1"/>
  <c r="AB830" i="1"/>
  <c r="AB1018" i="1"/>
  <c r="AB973" i="1"/>
  <c r="AB648" i="1"/>
  <c r="AB487" i="1"/>
  <c r="AB849" i="1"/>
  <c r="AB1276" i="1"/>
  <c r="AB573" i="1"/>
  <c r="AB102" i="1"/>
  <c r="AB1084" i="1"/>
  <c r="AB50" i="1"/>
  <c r="AB1164" i="1"/>
  <c r="AB278" i="1"/>
  <c r="AB1047" i="1"/>
  <c r="AB579" i="1"/>
  <c r="AB868" i="1"/>
  <c r="AB302" i="1"/>
  <c r="AB338" i="1"/>
  <c r="AB37" i="1"/>
  <c r="AB193" i="1"/>
  <c r="AB458" i="1"/>
  <c r="AB1040" i="1"/>
  <c r="AB6" i="1"/>
  <c r="AB1031" i="1"/>
  <c r="AB1014" i="1"/>
  <c r="AB834" i="1"/>
  <c r="AB358" i="1"/>
  <c r="AB1108" i="1"/>
  <c r="AB355" i="1"/>
  <c r="AB839" i="1"/>
  <c r="AB1025" i="1"/>
  <c r="AB552" i="1"/>
  <c r="AB79" i="1"/>
  <c r="AB459" i="1"/>
  <c r="AB400" i="1"/>
  <c r="AB395" i="1"/>
  <c r="AB949" i="1"/>
  <c r="AB356" i="1"/>
  <c r="AB402" i="1"/>
  <c r="AB931" i="1"/>
  <c r="AB449" i="1"/>
  <c r="AB1068" i="1"/>
  <c r="AB1024" i="1"/>
  <c r="AB289" i="1"/>
  <c r="AB925" i="1"/>
  <c r="AB1043" i="1"/>
  <c r="AB589" i="1"/>
  <c r="AB14" i="1"/>
  <c r="AB421" i="1"/>
  <c r="AB595" i="1"/>
  <c r="AB418" i="1"/>
  <c r="AB1090" i="1"/>
  <c r="AB874" i="1"/>
  <c r="AB554" i="1"/>
  <c r="AB967" i="1"/>
  <c r="AB310" i="1"/>
  <c r="AB288" i="1"/>
  <c r="AB110" i="1"/>
  <c r="AB1101" i="1"/>
  <c r="AB466" i="1"/>
  <c r="AB1048" i="1"/>
  <c r="AB971" i="1"/>
  <c r="AB1119" i="1"/>
  <c r="AB986" i="1"/>
  <c r="AB101" i="1"/>
  <c r="AB225" i="1"/>
  <c r="AB679" i="1"/>
  <c r="AB918" i="1"/>
  <c r="AB593" i="1"/>
  <c r="AB989" i="1"/>
  <c r="AB341" i="1"/>
  <c r="AB568" i="1"/>
  <c r="AB280" i="1"/>
  <c r="AB1260" i="1"/>
  <c r="AB138" i="1"/>
  <c r="AB1032" i="1"/>
  <c r="AB476" i="1"/>
  <c r="AB39" i="1"/>
  <c r="AB632" i="1"/>
  <c r="AB198" i="1"/>
  <c r="AB467" i="1"/>
  <c r="AB1029" i="1"/>
  <c r="AB260" i="1"/>
  <c r="AB352" i="1"/>
  <c r="AB828" i="1"/>
  <c r="AB752" i="1"/>
  <c r="AB1231" i="1"/>
  <c r="AB1176" i="1"/>
  <c r="AB480" i="1"/>
  <c r="AB93" i="1"/>
  <c r="AB765" i="1"/>
  <c r="AB1161" i="1"/>
  <c r="AB689" i="1"/>
  <c r="AB769" i="1"/>
  <c r="AB1190" i="1"/>
  <c r="AB31" i="1"/>
  <c r="AB165" i="1"/>
  <c r="AB121" i="1"/>
  <c r="AB290" i="1"/>
  <c r="AB732" i="1"/>
  <c r="AB270" i="1"/>
  <c r="AB866" i="1"/>
  <c r="AB306" i="1"/>
  <c r="AB460" i="1"/>
  <c r="AB604" i="1"/>
  <c r="AB1044" i="1"/>
  <c r="AB1209" i="1"/>
  <c r="AB27" i="1"/>
  <c r="AB80" i="1"/>
  <c r="AB366" i="1"/>
  <c r="AB136" i="1"/>
  <c r="AB1290" i="1"/>
  <c r="AB239" i="1"/>
  <c r="AB169" i="1"/>
  <c r="AB657" i="1"/>
  <c r="AB216" i="1"/>
  <c r="AB152" i="1"/>
  <c r="AB1019" i="1"/>
  <c r="AB1132" i="1"/>
  <c r="AB427" i="1"/>
  <c r="AB159" i="1"/>
  <c r="AB68" i="1"/>
  <c r="AB305" i="1"/>
  <c r="AB651" i="1"/>
  <c r="AB869" i="1"/>
  <c r="AB385" i="1"/>
  <c r="AB734" i="1"/>
  <c r="AB113" i="1"/>
  <c r="AB1077" i="1"/>
  <c r="AB479" i="1"/>
  <c r="AB504" i="1"/>
  <c r="AB857" i="1"/>
  <c r="AB993" i="1"/>
  <c r="AB850" i="1"/>
  <c r="AB173" i="1"/>
  <c r="AB30" i="1"/>
  <c r="AB1244" i="1"/>
  <c r="AB81" i="1"/>
  <c r="AB585" i="1"/>
  <c r="AB217" i="1"/>
  <c r="AB145" i="1"/>
  <c r="AB535" i="1"/>
  <c r="AB731" i="1"/>
  <c r="AB451" i="1"/>
  <c r="AB119" i="1"/>
  <c r="AB894" i="1"/>
  <c r="AB780" i="1"/>
  <c r="AB272" i="1"/>
  <c r="AB195" i="1"/>
  <c r="AB696" i="1"/>
  <c r="AB250" i="1"/>
  <c r="AB783" i="1"/>
  <c r="AB144" i="1"/>
  <c r="AB863" i="1"/>
  <c r="AB608" i="1"/>
  <c r="AB1078" i="1"/>
  <c r="AB509" i="1"/>
  <c r="AB767" i="1"/>
  <c r="AB618" i="1"/>
  <c r="AB474" i="1"/>
  <c r="AB115" i="1"/>
  <c r="AB207" i="1"/>
  <c r="AB750" i="1"/>
  <c r="AB892" i="1"/>
  <c r="AB862" i="1"/>
  <c r="AB300" i="1"/>
  <c r="AB91" i="1"/>
  <c r="AB1046" i="1"/>
  <c r="AB1130" i="1"/>
  <c r="AB307" i="1"/>
  <c r="AB390" i="1"/>
  <c r="AB663" i="1"/>
  <c r="AB661" i="1"/>
  <c r="AB851" i="1"/>
  <c r="AB1227" i="1"/>
  <c r="AB852" i="1"/>
  <c r="AB494" i="1"/>
  <c r="AB706" i="1"/>
  <c r="AB1111" i="1"/>
  <c r="AB811" i="1"/>
  <c r="AB11" i="1"/>
  <c r="AB1007" i="1"/>
  <c r="AB1189" i="1"/>
  <c r="AB329" i="1"/>
  <c r="AB375" i="1"/>
  <c r="AB609" i="1"/>
  <c r="AB1154" i="1"/>
  <c r="AB751" i="1"/>
  <c r="AB728" i="1"/>
  <c r="AB1026" i="1"/>
  <c r="AB1137" i="1"/>
  <c r="AB819" i="1"/>
  <c r="AB46" i="1"/>
  <c r="AB716" i="1"/>
  <c r="AB438" i="1"/>
  <c r="AB551" i="1"/>
  <c r="AB1221" i="1"/>
  <c r="AB572" i="1"/>
  <c r="AB644" i="1"/>
  <c r="AB507" i="1"/>
  <c r="AB428" i="1"/>
  <c r="AB296" i="1"/>
  <c r="AB1107" i="1"/>
  <c r="AB500" i="1"/>
  <c r="AB1259" i="1"/>
  <c r="AB1272" i="1"/>
  <c r="AB771" i="1"/>
  <c r="AB1041" i="1"/>
  <c r="AB1174" i="1"/>
  <c r="AB543" i="1"/>
  <c r="AB759" i="1"/>
  <c r="AB763" i="1"/>
  <c r="AB1001" i="1"/>
  <c r="AB73" i="1"/>
  <c r="AB499" i="1"/>
  <c r="AB164" i="1"/>
  <c r="AB1033" i="1"/>
  <c r="AB184" i="1"/>
  <c r="AB1171" i="1"/>
  <c r="AB223" i="1"/>
  <c r="AB884" i="1"/>
  <c r="AB911" i="1"/>
  <c r="AB1146" i="1"/>
  <c r="AB939" i="1"/>
  <c r="AB1122" i="1"/>
  <c r="AB770" i="1"/>
  <c r="AB1248" i="1"/>
  <c r="AB388" i="1"/>
  <c r="AB461" i="1"/>
  <c r="AB907" i="1"/>
  <c r="AB439" i="1"/>
  <c r="AB840" i="1"/>
  <c r="AB556" i="1"/>
  <c r="AB560" i="1"/>
  <c r="AB1168" i="1"/>
  <c r="AB410" i="1"/>
  <c r="AB1115" i="1"/>
  <c r="AB915" i="1"/>
  <c r="AB1099" i="1"/>
  <c r="AB899" i="1"/>
  <c r="AB233" i="1"/>
  <c r="AB357" i="1"/>
  <c r="AB635" i="1"/>
  <c r="AB805" i="1"/>
  <c r="AB1051" i="1"/>
  <c r="AB812" i="1"/>
  <c r="AB902" i="1"/>
  <c r="AB799" i="1"/>
  <c r="AB77" i="1"/>
  <c r="AB397" i="1"/>
  <c r="AB308" i="1"/>
  <c r="AB17" i="1"/>
  <c r="AB655" i="1"/>
  <c r="AB1120" i="1"/>
  <c r="AB215" i="1"/>
  <c r="AB221" i="1"/>
  <c r="AB861" i="1"/>
  <c r="AB97" i="1"/>
  <c r="AB1118" i="1"/>
  <c r="AB760" i="1"/>
  <c r="AB722" i="1"/>
  <c r="AB275" i="1"/>
  <c r="AB539" i="1"/>
  <c r="AB34" i="1"/>
  <c r="AB176" i="1"/>
  <c r="AB429" i="1"/>
  <c r="AB488" i="1"/>
  <c r="AB415" i="1"/>
  <c r="AB1086" i="1"/>
  <c r="AB99" i="1"/>
  <c r="AB631" i="1"/>
  <c r="AB1055" i="1"/>
  <c r="AB620" i="1"/>
  <c r="AB411" i="1"/>
  <c r="AB668" i="1"/>
  <c r="AB1274" i="1"/>
  <c r="AB344" i="1"/>
  <c r="AB258" i="1"/>
  <c r="AB649" i="1"/>
  <c r="AB1036" i="1"/>
  <c r="AB917" i="1"/>
  <c r="AB1135" i="1"/>
  <c r="AB1138" i="1"/>
  <c r="AB190" i="1"/>
  <c r="AB1160" i="1"/>
  <c r="AB1013" i="1"/>
  <c r="AB1197" i="1"/>
  <c r="AB712" i="1"/>
  <c r="AB680" i="1"/>
  <c r="AB788" i="1"/>
  <c r="AB526" i="1"/>
  <c r="AB298" i="1"/>
  <c r="AB787" i="1"/>
  <c r="AB924" i="1"/>
  <c r="AB652" i="1"/>
  <c r="AB816" i="1"/>
  <c r="AB95" i="1"/>
  <c r="AB761" i="1"/>
  <c r="AB320" i="1"/>
  <c r="AB629" i="1"/>
  <c r="AB407" i="1"/>
  <c r="AB717" i="1"/>
  <c r="AB1088" i="1"/>
  <c r="AB958" i="1"/>
  <c r="AB928" i="1"/>
  <c r="AB222" i="1"/>
  <c r="AB842" i="1"/>
  <c r="AB1177" i="1"/>
  <c r="AB1094" i="1"/>
  <c r="AB960" i="1"/>
  <c r="AB436" i="1"/>
  <c r="AB244" i="1"/>
  <c r="AB1152" i="1"/>
  <c r="AB228" i="1"/>
  <c r="AB860" i="1"/>
  <c r="AB9" i="1"/>
  <c r="AB265" i="1"/>
  <c r="AB1034" i="1"/>
  <c r="AB1000" i="1"/>
  <c r="AB721" i="1"/>
  <c r="AB681" i="1"/>
  <c r="AB7" i="1"/>
  <c r="AB1134" i="1"/>
  <c r="AB1263" i="1"/>
  <c r="AB1214" i="1"/>
  <c r="AB21" i="1"/>
  <c r="AB798" i="1"/>
  <c r="AB1178" i="1"/>
  <c r="AB456" i="1"/>
  <c r="AB1087" i="1"/>
  <c r="AB1166" i="1"/>
  <c r="AB49" i="1"/>
  <c r="AB283" i="1"/>
  <c r="AB1110" i="1"/>
  <c r="AB345" i="1"/>
  <c r="AB1239" i="1"/>
  <c r="AB468" i="1"/>
  <c r="AB645" i="1"/>
  <c r="AB482" i="1"/>
  <c r="AB241" i="1"/>
  <c r="AB687" i="1"/>
  <c r="AB908" i="1"/>
  <c r="AB653" i="1"/>
  <c r="AB378" i="1"/>
  <c r="AB431" i="1"/>
  <c r="AB802" i="1"/>
  <c r="AB1206" i="1"/>
  <c r="AB789" i="1"/>
  <c r="AB1093" i="1"/>
  <c r="AB753" i="1"/>
  <c r="AB475" i="1"/>
  <c r="AB92" i="1"/>
  <c r="AB748" i="1"/>
  <c r="AB141" i="1"/>
  <c r="AB337" i="1"/>
  <c r="AB86" i="1"/>
  <c r="AB955" i="1"/>
  <c r="AB528" i="1"/>
  <c r="AB3" i="1"/>
  <c r="AB1279" i="1"/>
  <c r="AB718" i="1"/>
  <c r="AB179" i="1"/>
  <c r="AB1148" i="1"/>
  <c r="AB992" i="1"/>
  <c r="AB1075" i="1"/>
  <c r="AB833" i="1"/>
  <c r="AB188" i="1"/>
  <c r="AB566" i="1"/>
  <c r="AB1010" i="1"/>
  <c r="AB1064" i="1"/>
  <c r="AB261" i="1"/>
  <c r="AB301" i="1"/>
  <c r="AB5" i="1"/>
  <c r="AB1002" i="1"/>
  <c r="AB398" i="1"/>
  <c r="AB756" i="1"/>
  <c r="AB762" i="1"/>
  <c r="AB448" i="1"/>
  <c r="AB818" i="1"/>
  <c r="AB335" i="1"/>
  <c r="AB368" i="1"/>
  <c r="AB975" i="1"/>
  <c r="AB12" i="1"/>
  <c r="AB1158" i="1"/>
  <c r="AB611" i="1"/>
  <c r="AB832" i="1"/>
  <c r="AB1293" i="1"/>
  <c r="AB149" i="1"/>
  <c r="AB951" i="1"/>
  <c r="AB607" i="1"/>
  <c r="AB658" i="1"/>
  <c r="AB412" i="1"/>
  <c r="AB1192" i="1"/>
  <c r="AB446" i="1"/>
  <c r="AB906" i="1"/>
  <c r="AB665" i="1"/>
  <c r="AB778" i="1"/>
  <c r="AB725" i="1"/>
  <c r="AB163" i="1"/>
  <c r="AB1207" i="1"/>
  <c r="AB259" i="1"/>
  <c r="AB1140" i="1"/>
  <c r="AB659" i="1"/>
  <c r="AB785" i="1"/>
  <c r="AB406" i="1"/>
  <c r="AB392" i="1"/>
  <c r="AB463" i="1"/>
  <c r="AB63" i="1"/>
  <c r="AB669" i="1"/>
  <c r="AB588" i="1"/>
  <c r="AB1098" i="1"/>
  <c r="AB15" i="1"/>
  <c r="AB794" i="1"/>
  <c r="AB1157" i="1"/>
  <c r="AB654" i="1"/>
  <c r="AB831" i="1"/>
  <c r="AB1225" i="1"/>
  <c r="AB523" i="1"/>
  <c r="AB575" i="1"/>
  <c r="AB982" i="1"/>
  <c r="AB501" i="1"/>
  <c r="AB161" i="1"/>
  <c r="AB1185" i="1"/>
  <c r="AB565" i="1"/>
  <c r="AB677" i="1"/>
  <c r="AB685" i="1"/>
  <c r="AB865" i="1"/>
  <c r="AB940" i="1"/>
  <c r="AB381" i="1"/>
  <c r="AB340" i="1"/>
  <c r="AB445" i="1"/>
  <c r="AB1281" i="1"/>
  <c r="AB701" i="1"/>
  <c r="AB192" i="1"/>
  <c r="AB370" i="1"/>
  <c r="AB882" i="1"/>
  <c r="AB664" i="1"/>
  <c r="AB496" i="1"/>
  <c r="AB934" i="1"/>
  <c r="AB943" i="1"/>
  <c r="AB1213" i="1"/>
  <c r="AB959" i="1"/>
  <c r="AB570" i="1"/>
  <c r="AB887" i="1"/>
  <c r="AB587" i="1"/>
  <c r="AB75" i="1"/>
  <c r="AB1241" i="1"/>
  <c r="AB684" i="1"/>
  <c r="AB396" i="1"/>
  <c r="AB1124" i="1"/>
  <c r="AB1016" i="1"/>
  <c r="AB927" i="1"/>
  <c r="AB437" i="1"/>
  <c r="AB332" i="1"/>
  <c r="AB944" i="1"/>
  <c r="AB945" i="1"/>
  <c r="AB183" i="1"/>
  <c r="AB100" i="1"/>
  <c r="AB146" i="1"/>
  <c r="AB1222" i="1"/>
  <c r="AB754" i="1"/>
  <c r="AB889" i="1"/>
  <c r="AB1069" i="1"/>
  <c r="AB347" i="1"/>
  <c r="AB210" i="1"/>
  <c r="AB806" i="1"/>
  <c r="AB29" i="1"/>
  <c r="AB1089" i="1"/>
  <c r="AB641" i="1"/>
  <c r="AB1255" i="1"/>
  <c r="AB913" i="1"/>
  <c r="AB757" i="1"/>
  <c r="AB495" i="1"/>
  <c r="AB946" i="1"/>
  <c r="AB513" i="1"/>
  <c r="AB269" i="1"/>
  <c r="AB326" i="1"/>
  <c r="AB1235" i="1"/>
  <c r="AB920" i="1"/>
  <c r="AB898" i="1"/>
  <c r="AB1038" i="1"/>
  <c r="AB42" i="1"/>
  <c r="AB764" i="1"/>
  <c r="AB914" i="1"/>
  <c r="AB876" i="1"/>
  <c r="AB601" i="1"/>
  <c r="AB171" i="1"/>
  <c r="AB322" i="1"/>
  <c r="AB947" i="1"/>
  <c r="AB627" i="1"/>
  <c r="AB599" i="1"/>
  <c r="AB209" i="1"/>
  <c r="AB1039" i="1"/>
  <c r="AB502" i="1"/>
  <c r="AB1095" i="1"/>
  <c r="AB821" i="1"/>
  <c r="AB646" i="1"/>
  <c r="AB1224" i="1"/>
  <c r="AB40" i="1"/>
  <c r="AB227" i="1"/>
  <c r="AB815" i="1"/>
  <c r="AB977" i="1"/>
  <c r="AB867" i="1"/>
  <c r="AB996" i="1"/>
  <c r="AB841" i="1"/>
  <c r="AB926" i="1"/>
  <c r="AB120" i="1"/>
  <c r="AB881" i="1"/>
  <c r="AB855" i="1"/>
  <c r="AB279" i="1"/>
  <c r="AB1159" i="1"/>
  <c r="AB1284" i="1"/>
  <c r="AB339" i="1"/>
  <c r="AB1223" i="1"/>
  <c r="AB582" i="1"/>
  <c r="AB453" i="1"/>
  <c r="AB246" i="1"/>
  <c r="AB1275" i="1"/>
  <c r="AB553" i="1"/>
  <c r="AB1266" i="1"/>
  <c r="AB1270" i="1"/>
  <c r="AB89" i="1"/>
  <c r="AB62" i="1"/>
  <c r="AB1053" i="1"/>
  <c r="AB697" i="1"/>
  <c r="AB117" i="1"/>
  <c r="AB854" i="1"/>
  <c r="AB1250" i="1"/>
  <c r="AB123" i="1"/>
  <c r="AB380" i="1"/>
  <c r="AB1280" i="1"/>
  <c r="AB711" i="1"/>
  <c r="AB180" i="1"/>
  <c r="AB1155" i="1"/>
  <c r="AB891" i="1"/>
  <c r="AB267" i="1"/>
  <c r="AB206" i="1"/>
  <c r="AB1049" i="1"/>
  <c r="AB775" i="1"/>
  <c r="AB774" i="1"/>
  <c r="AB614" i="1"/>
  <c r="AB287" i="1"/>
  <c r="AB191" i="1"/>
  <c r="AB232" i="1"/>
  <c r="AB835" i="1"/>
  <c r="AB592" i="1"/>
  <c r="AB985" i="1"/>
  <c r="AB517" i="1"/>
  <c r="AB1079" i="1"/>
  <c r="AB625" i="1"/>
  <c r="AB937" i="1"/>
  <c r="AB506" i="1"/>
  <c r="AB512" i="1"/>
  <c r="AB391" i="1"/>
  <c r="AB777" i="1"/>
  <c r="AB793" i="1"/>
  <c r="AB708" i="1"/>
  <c r="AB1006" i="1"/>
  <c r="AB549" i="1"/>
  <c r="AB1210" i="1"/>
  <c r="AB773" i="1"/>
  <c r="AB1037" i="1"/>
  <c r="AB1142" i="1"/>
  <c r="AB371" i="1"/>
  <c r="AB727" i="1"/>
  <c r="AB692" i="1"/>
  <c r="AB584" i="1"/>
  <c r="AB1063" i="1"/>
  <c r="AB130" i="1"/>
  <c r="AB991" i="1"/>
  <c r="AB896" i="1"/>
  <c r="AB1073" i="1"/>
  <c r="AB524" i="1"/>
  <c r="AB1061" i="1"/>
  <c r="AB622" i="1"/>
  <c r="AB557" i="1"/>
  <c r="AB435" i="1"/>
  <c r="AB486" i="1"/>
  <c r="AB1100" i="1"/>
  <c r="AB304" i="1"/>
  <c r="AB571" i="1"/>
  <c r="AB970" i="1"/>
  <c r="AB1074" i="1"/>
  <c r="AB465" i="1"/>
  <c r="AB1035" i="1"/>
  <c r="AB813" i="1"/>
  <c r="AB20" i="1"/>
  <c r="AB112" i="1"/>
  <c r="AB57" i="1"/>
  <c r="AB844" i="1"/>
  <c r="AB1267" i="1"/>
  <c r="AB1198" i="1"/>
  <c r="AB69" i="1"/>
  <c r="AB930" i="1"/>
  <c r="AB220" i="1"/>
  <c r="AB315" i="1"/>
  <c r="AB1005" i="1"/>
  <c r="AB1017" i="1"/>
  <c r="AB615" i="1"/>
  <c r="AB33" i="1"/>
  <c r="AB360" i="1"/>
  <c r="AB160" i="1"/>
  <c r="AB962" i="1"/>
  <c r="AB187" i="1"/>
  <c r="AB983" i="1"/>
  <c r="AB705" i="1"/>
  <c r="AB1085" i="1"/>
  <c r="AB4" i="1"/>
  <c r="AB845" i="1"/>
  <c r="AB1057" i="1"/>
  <c r="AB624" i="1"/>
  <c r="AB343" i="1"/>
  <c r="AB969" i="1"/>
  <c r="AB13" i="1"/>
  <c r="AB273" i="1"/>
  <c r="AB636" i="1"/>
  <c r="AB150" i="1"/>
  <c r="AB1286" i="1"/>
  <c r="AB387" i="1"/>
  <c r="AB182" i="1"/>
  <c r="AB1097" i="1"/>
  <c r="AB98" i="1"/>
  <c r="AB1183" i="1"/>
  <c r="AB194" i="1"/>
  <c r="AB1144" i="1"/>
  <c r="AB200" i="1"/>
  <c r="AB139" i="1"/>
  <c r="AB1125" i="1"/>
  <c r="AB201" i="1"/>
  <c r="AB791" i="1"/>
  <c r="AB96" i="1"/>
  <c r="AB583" i="1"/>
  <c r="AB312" i="1"/>
  <c r="AB1141" i="1"/>
  <c r="AB87" i="1"/>
  <c r="AB419" i="1"/>
  <c r="AB424" i="1"/>
  <c r="AB994" i="1"/>
  <c r="AB997" i="1"/>
  <c r="AB1011" i="1"/>
  <c r="AB408" i="1"/>
  <c r="AB1269" i="1"/>
  <c r="AB1116" i="1"/>
  <c r="AB1277" i="1"/>
  <c r="AB1226" i="1"/>
  <c r="AB856" i="1"/>
  <c r="AB1234" i="1"/>
  <c r="AB1150" i="1"/>
  <c r="AB693" i="1"/>
  <c r="AB814" i="1"/>
  <c r="AB353" i="1"/>
  <c r="AB430" i="1"/>
  <c r="AB1112" i="1"/>
  <c r="AB743" i="1"/>
  <c r="AB126" i="1"/>
  <c r="AB497" i="1"/>
  <c r="AB1204" i="1"/>
  <c r="AB22" i="1"/>
  <c r="AB1105" i="1"/>
  <c r="AB156" i="1"/>
  <c r="AB1113" i="1"/>
  <c r="AB1233" i="1"/>
  <c r="AB133" i="1"/>
  <c r="AB1102" i="1"/>
  <c r="AB893" i="1"/>
  <c r="AB747" i="1"/>
  <c r="AB829" i="1"/>
  <c r="AB713" i="1"/>
  <c r="AB938" i="1"/>
  <c r="AB916" i="1"/>
  <c r="AB1243" i="1"/>
  <c r="AB515" i="1"/>
  <c r="AB686" i="1"/>
  <c r="AB281" i="1"/>
  <c r="AB1151" i="1"/>
  <c r="AB416" i="1"/>
  <c r="AB823" i="1"/>
  <c r="AB472" i="1"/>
  <c r="AB617" i="1"/>
  <c r="AB719" i="1"/>
  <c r="AB746" i="1"/>
  <c r="AB1265" i="1"/>
  <c r="AB987" i="1"/>
  <c r="AB124" i="1"/>
  <c r="AB47" i="1"/>
  <c r="AB219" i="1"/>
  <c r="AB1212" i="1"/>
  <c r="AB1195" i="1"/>
  <c r="AB942" i="1"/>
  <c r="AB824" i="1"/>
  <c r="AB779" i="1"/>
  <c r="AB319" i="1"/>
  <c r="AB174" i="1"/>
  <c r="AB1045" i="1"/>
  <c r="AB872" i="1"/>
  <c r="AB1245" i="1"/>
  <c r="AB107" i="1"/>
  <c r="AB365" i="1"/>
  <c r="AB132" i="1"/>
  <c r="AB168" i="1"/>
  <c r="AB481" i="1"/>
  <c r="AB1023" i="1"/>
  <c r="AB334" i="1"/>
  <c r="AB148" i="1"/>
  <c r="AB409" i="1"/>
  <c r="AB739" i="1"/>
  <c r="AB1257" i="1"/>
  <c r="AB72" i="1"/>
  <c r="AB1180" i="1"/>
  <c r="AB51" i="1"/>
  <c r="AB781" i="1"/>
  <c r="AB1249" i="1"/>
  <c r="AB561" i="1"/>
  <c r="AB1252" i="1"/>
  <c r="AB1145" i="1"/>
  <c r="AB108" i="1"/>
  <c r="AB541" i="1"/>
  <c r="AB350" i="1"/>
  <c r="AB389" i="1"/>
  <c r="AB1163" i="1"/>
  <c r="AB1121" i="1"/>
  <c r="AB440" i="1"/>
  <c r="AB414" i="1"/>
  <c r="AB979" i="1"/>
  <c r="AB1194" i="1"/>
  <c r="AB162" i="1"/>
  <c r="AB801" i="1"/>
  <c r="AB516" i="1"/>
  <c r="AB1021" i="1"/>
  <c r="AB1030" i="1"/>
  <c r="AB742" i="1"/>
  <c r="AB425" i="1"/>
  <c r="AB447" i="1"/>
  <c r="AB676" i="1"/>
  <c r="AB44" i="1"/>
  <c r="AB383" i="1"/>
  <c r="AB606" i="1"/>
  <c r="AB525" i="1"/>
  <c r="AB1253" i="1"/>
  <c r="AB1203" i="1"/>
  <c r="AB511" i="1"/>
  <c r="AB768" i="1"/>
  <c r="AB871" i="1"/>
  <c r="AB1071" i="1"/>
  <c r="AB810" i="1"/>
  <c r="AB373" i="1"/>
  <c r="AB736" i="1"/>
  <c r="AB1240" i="1"/>
  <c r="AB602" i="1"/>
  <c r="AB129" i="1"/>
  <c r="AB323" i="1"/>
  <c r="AB826" i="1"/>
  <c r="AB1167" i="1"/>
  <c r="AB477" i="1"/>
  <c r="AB240" i="1"/>
  <c r="AB564" i="1"/>
  <c r="AB795" i="1"/>
  <c r="AB38" i="1"/>
  <c r="AB612" i="1"/>
  <c r="AB422" i="1"/>
  <c r="AB245" i="1"/>
  <c r="AB749" i="1"/>
  <c r="AB735" i="1"/>
  <c r="AB1254" i="1"/>
  <c r="AB1162" i="1"/>
  <c r="AB135" i="1"/>
  <c r="AB52" i="1"/>
  <c r="AB197" i="1"/>
  <c r="AB249" i="1"/>
  <c r="AB1065" i="1"/>
  <c r="AB503" i="1"/>
  <c r="AB1236" i="1"/>
  <c r="AB616" i="1"/>
  <c r="AB825" i="1"/>
  <c r="AB386" i="1"/>
  <c r="AB498" i="1"/>
  <c r="AB1123" i="1"/>
  <c r="AB433" i="1"/>
  <c r="AB485" i="1"/>
  <c r="AB64" i="1"/>
  <c r="AB733" i="1"/>
  <c r="AB628" i="1"/>
  <c r="AB1251" i="1"/>
  <c r="AB723" i="1"/>
  <c r="AB276" i="1"/>
  <c r="AB1096" i="1"/>
  <c r="AB473" i="1"/>
  <c r="AB1070" i="1"/>
  <c r="AB905" i="1"/>
  <c r="AB1199" i="1"/>
  <c r="AB670" i="1"/>
  <c r="AB348" i="1"/>
  <c r="AB376" i="1"/>
  <c r="AB999" i="1"/>
  <c r="AB1060" i="1"/>
  <c r="AB720" i="1"/>
  <c r="AB738" i="1"/>
  <c r="AB24" i="1"/>
  <c r="AB1052" i="1"/>
  <c r="AB637" i="1"/>
  <c r="AB60" i="1"/>
  <c r="AB295" i="1"/>
  <c r="AB1268" i="1"/>
  <c r="AB1229" i="1"/>
  <c r="AB204" i="1"/>
  <c r="AB510" i="1"/>
  <c r="AB900" i="1"/>
  <c r="AB957" i="1"/>
  <c r="AB885" i="1"/>
  <c r="AB531" i="1"/>
  <c r="AB521" i="1"/>
  <c r="AB151" i="1"/>
  <c r="AB1015" i="1"/>
  <c r="AB1169" i="1"/>
  <c r="AB327" i="1"/>
  <c r="AB688" i="1"/>
  <c r="AB35" i="1"/>
  <c r="AB394" i="1"/>
  <c r="AB172" i="1"/>
  <c r="AB237" i="1"/>
  <c r="AB822" i="1"/>
  <c r="AB963" i="1"/>
  <c r="AB650" i="1"/>
  <c r="AB1278" i="1"/>
  <c r="AB1050" i="1"/>
  <c r="AB1091" i="1"/>
  <c r="AB880" i="1"/>
  <c r="AB292" i="1"/>
  <c r="AB1238" i="1"/>
  <c r="AB633" i="1"/>
  <c r="AB536" i="1"/>
  <c r="AB741" i="1"/>
  <c r="AB417" i="1"/>
  <c r="AB1072" i="1"/>
  <c r="AB374" i="1"/>
  <c r="AB58" i="1"/>
  <c r="AB538" i="1"/>
  <c r="AB362" i="1"/>
  <c r="AB559" i="1"/>
  <c r="AB181" i="1"/>
  <c r="AB1128" i="1"/>
  <c r="AB229" i="1"/>
  <c r="AB94" i="1"/>
  <c r="AB1201" i="1"/>
  <c r="AB703" i="1"/>
  <c r="AB454" i="1"/>
  <c r="AB401" i="1"/>
  <c r="AB919" i="1"/>
  <c r="AB621" i="1"/>
  <c r="AB177" i="1"/>
  <c r="AB873" i="1"/>
  <c r="AB1080" i="1"/>
  <c r="AB311" i="1"/>
  <c r="AB1020" i="1"/>
  <c r="AB903" i="1"/>
  <c r="AB968" i="1"/>
  <c r="AB1187" i="1"/>
  <c r="AB817" i="1"/>
  <c r="AB321" i="1"/>
  <c r="AB423" i="1"/>
  <c r="AB167" i="1"/>
  <c r="AB317" i="1"/>
  <c r="AB1258" i="1"/>
  <c r="AB1262" i="1"/>
  <c r="AB1230" i="1"/>
  <c r="AB574" i="1"/>
  <c r="AB534" i="1"/>
  <c r="AB452" i="1"/>
  <c r="AB846" i="1"/>
  <c r="AB674" i="1"/>
  <c r="AB1215" i="1"/>
  <c r="AB1114" i="1"/>
  <c r="AB567" i="1"/>
  <c r="AB859" i="1"/>
  <c r="AB1205" i="1"/>
  <c r="AB529" i="1"/>
  <c r="AB262" i="1"/>
  <c r="AB877" i="1"/>
  <c r="AB266" i="1"/>
  <c r="AB847" i="1"/>
  <c r="AB961" i="1"/>
  <c r="AB932" i="1"/>
  <c r="AB702" i="1"/>
  <c r="AB1127" i="1"/>
  <c r="AB941" i="1"/>
  <c r="AB546" i="1"/>
  <c r="AB921" i="1"/>
  <c r="AB379" i="1"/>
  <c r="AB403" i="1"/>
  <c r="AB54" i="1"/>
  <c r="AB638" i="1"/>
  <c r="AB285" i="1"/>
  <c r="AB277" i="1"/>
  <c r="AB1216" i="1"/>
  <c r="AB142" i="1"/>
  <c r="AB88" i="1"/>
  <c r="AB478" i="1"/>
  <c r="AB666" i="1"/>
  <c r="AB820" i="1"/>
  <c r="AB1175" i="1"/>
  <c r="AB1172" i="1"/>
  <c r="AB426" i="1"/>
  <c r="AB1196" i="1"/>
  <c r="AB656" i="1"/>
  <c r="AB1186" i="1"/>
  <c r="AB848" i="1"/>
  <c r="AB639" i="1"/>
  <c r="AB224" i="1"/>
  <c r="AB333" i="1"/>
  <c r="AB196" i="1"/>
  <c r="AB1264" i="1"/>
  <c r="AB870" i="1"/>
  <c r="AB8" i="1"/>
  <c r="AB540" i="1"/>
  <c r="AB1282" i="1"/>
  <c r="AB393" i="1"/>
  <c r="AB82" i="1"/>
  <c r="AB929" i="1"/>
  <c r="AB545" i="1"/>
  <c r="AB952" i="1"/>
  <c r="AB707" i="1"/>
  <c r="AB853" i="1"/>
  <c r="AB935" i="1"/>
  <c r="AB695" i="1"/>
  <c r="AB1256" i="1"/>
  <c r="AB208" i="1"/>
  <c r="AB980" i="1"/>
  <c r="AB922" i="1"/>
  <c r="AB359" i="1"/>
  <c r="AB1283" i="1"/>
  <c r="AB988" i="1"/>
  <c r="AB212" i="1"/>
  <c r="AB404" i="1"/>
  <c r="AB527" i="1"/>
  <c r="AB1273" i="1"/>
  <c r="AB1292" i="1"/>
  <c r="AB508" i="1"/>
  <c r="AB483" i="1"/>
  <c r="AB790" i="1"/>
  <c r="AB730" i="1"/>
  <c r="AB786" i="1"/>
  <c r="AB673" i="1"/>
  <c r="AB1004" i="1"/>
  <c r="AB1126" i="1"/>
  <c r="AB1219" i="1"/>
  <c r="AB325" i="1"/>
  <c r="AB965" i="1"/>
  <c r="AB576" i="1"/>
  <c r="AB243" i="1"/>
  <c r="AB796" i="1"/>
  <c r="AB364" i="1"/>
  <c r="AB548" i="1"/>
  <c r="AB577" i="1"/>
  <c r="AB895" i="1"/>
  <c r="AB85" i="1"/>
  <c r="AB613" i="1"/>
  <c r="AB1211" i="1"/>
  <c r="AB1288" i="1"/>
  <c r="AB170" i="1"/>
  <c r="AB948" i="1"/>
  <c r="AB691" i="1"/>
  <c r="AB699" i="1"/>
  <c r="AB1289" i="1"/>
  <c r="AB189" i="1"/>
  <c r="AB1104" i="1"/>
  <c r="AB672" i="1"/>
  <c r="AB48" i="1"/>
  <c r="AB694" i="1"/>
  <c r="AB578" i="1"/>
  <c r="AB836" i="1"/>
  <c r="AB155" i="1"/>
  <c r="AB1133" i="1"/>
  <c r="AB158" i="1"/>
  <c r="AB28" i="1"/>
  <c r="AB106" i="1"/>
  <c r="AB255" i="1"/>
  <c r="AB493" i="1"/>
  <c r="AB1184" i="1"/>
  <c r="AB147" i="1"/>
  <c r="AB1285" i="1"/>
  <c r="AB782" i="1"/>
  <c r="AB596" i="1"/>
  <c r="AB218" i="1"/>
  <c r="AB569" i="1"/>
  <c r="AB1027" i="1"/>
  <c r="AB808" i="1"/>
  <c r="AB131" i="1"/>
  <c r="AB1287" i="1"/>
  <c r="X291" i="1"/>
  <c r="Z291" i="1" s="1"/>
  <c r="Y291" i="1" s="1"/>
  <c r="X883" i="1"/>
  <c r="X71" i="1"/>
  <c r="X1182" i="1"/>
  <c r="X252" i="1"/>
  <c r="X558" i="1"/>
  <c r="X318" i="1"/>
  <c r="X1058" i="1"/>
  <c r="X349" i="1"/>
  <c r="X205" i="1"/>
  <c r="X619" i="1"/>
  <c r="X186" i="1"/>
  <c r="X18" i="1"/>
  <c r="Z18" i="1" s="1"/>
  <c r="Y18" i="1" s="1"/>
  <c r="X32" i="1"/>
  <c r="X1242" i="1"/>
  <c r="X912" i="1"/>
  <c r="Z912" i="1" s="1"/>
  <c r="Y912" i="1" s="1"/>
  <c r="X10" i="1"/>
  <c r="Z10" i="1" s="1"/>
  <c r="Y10" i="1" s="1"/>
  <c r="X878" i="1"/>
  <c r="Z878" i="1" s="1"/>
  <c r="Y878" i="1" s="1"/>
  <c r="X462" i="1"/>
  <c r="Z462" i="1" s="1"/>
  <c r="Y462" i="1" s="1"/>
  <c r="X284" i="1"/>
  <c r="Z284" i="1" s="1"/>
  <c r="Y284" i="1" s="1"/>
  <c r="X784" i="1"/>
  <c r="Z784" i="1" s="1"/>
  <c r="Y784" i="1" s="1"/>
  <c r="X83" i="1"/>
  <c r="Z83" i="1" s="1"/>
  <c r="Y83" i="1" s="1"/>
  <c r="X271" i="1"/>
  <c r="Z271" i="1" s="1"/>
  <c r="Y271" i="1" s="1"/>
  <c r="X1208" i="1"/>
  <c r="X61" i="1"/>
  <c r="Z61" i="1" s="1"/>
  <c r="Y61" i="1" s="1"/>
  <c r="X111" i="1"/>
  <c r="Z111" i="1" s="1"/>
  <c r="Y111" i="1" s="1"/>
  <c r="X1147" i="1"/>
  <c r="Z1147" i="1" s="1"/>
  <c r="Y1147" i="1" s="1"/>
  <c r="X314" i="1"/>
  <c r="Z314" i="1" s="1"/>
  <c r="Y314" i="1" s="1"/>
  <c r="X118" i="1"/>
  <c r="Z118" i="1" s="1"/>
  <c r="Y118" i="1" s="1"/>
  <c r="X235" i="1"/>
  <c r="X1076" i="1"/>
  <c r="X976" i="1"/>
  <c r="X550" i="1"/>
  <c r="X630" i="1"/>
  <c r="X90" i="1"/>
  <c r="X470" i="1"/>
  <c r="X67" i="1"/>
  <c r="X626" i="1"/>
  <c r="X70" i="1"/>
  <c r="X690" i="1"/>
  <c r="X590" i="1"/>
  <c r="X23" i="1"/>
  <c r="X1217" i="1"/>
  <c r="X675" i="1"/>
  <c r="X76" i="1"/>
  <c r="Z76" i="1" s="1"/>
  <c r="Y76" i="1" s="1"/>
  <c r="X744" i="1"/>
  <c r="Z744" i="1" s="1"/>
  <c r="Y744" i="1" s="1"/>
  <c r="X16" i="1"/>
  <c r="Z16" i="1" s="1"/>
  <c r="Y16" i="1" s="1"/>
  <c r="X36" i="1"/>
  <c r="Z36" i="1" s="1"/>
  <c r="Y36" i="1" s="1"/>
  <c r="X297" i="1"/>
  <c r="Z297" i="1" s="1"/>
  <c r="Y297" i="1" s="1"/>
  <c r="X1092" i="1"/>
  <c r="Z1092" i="1" s="1"/>
  <c r="Y1092" i="1" s="1"/>
  <c r="X105" i="1"/>
  <c r="Z105" i="1" s="1"/>
  <c r="Y105" i="1" s="1"/>
  <c r="X143" i="1"/>
  <c r="X954" i="1"/>
  <c r="Z954" i="1" s="1"/>
  <c r="Y954" i="1" s="1"/>
  <c r="X1106" i="1"/>
  <c r="Z1106" i="1" s="1"/>
  <c r="Y1106" i="1" s="1"/>
  <c r="X682" i="1"/>
  <c r="Z682" i="1" s="1"/>
  <c r="Y682" i="1" s="1"/>
  <c r="X647" i="1"/>
  <c r="Z647" i="1" s="1"/>
  <c r="Y647" i="1" s="1"/>
  <c r="X890" i="1"/>
  <c r="Z890" i="1" s="1"/>
  <c r="Y890" i="1" s="1"/>
  <c r="X804" i="1"/>
  <c r="X247" i="1"/>
  <c r="X231" i="1"/>
  <c r="X888" i="1"/>
  <c r="X598" i="1"/>
  <c r="X469" i="1"/>
  <c r="X667" i="1"/>
  <c r="X522" i="1"/>
  <c r="X514" i="1"/>
  <c r="X643" i="1"/>
  <c r="X56" i="1"/>
  <c r="X803" i="1"/>
  <c r="Z803" i="1" s="1"/>
  <c r="Y803" i="1" s="1"/>
  <c r="X256" i="1"/>
  <c r="X1042" i="1"/>
  <c r="X455" i="1"/>
  <c r="Z455" i="1" s="1"/>
  <c r="Y455" i="1" s="1"/>
  <c r="X642" i="1"/>
  <c r="X981" i="1"/>
  <c r="Z981" i="1" s="1"/>
  <c r="Y981" i="1" s="1"/>
  <c r="X226" i="1"/>
  <c r="Z226" i="1" s="1"/>
  <c r="Y226" i="1" s="1"/>
  <c r="X745" i="1"/>
  <c r="Z745" i="1" s="1"/>
  <c r="Y745" i="1" s="1"/>
  <c r="X998" i="1"/>
  <c r="Z998" i="1" s="1"/>
  <c r="Y998" i="1" s="1"/>
  <c r="X351" i="1"/>
  <c r="X443" i="1"/>
  <c r="X610" i="1"/>
  <c r="X116" i="1"/>
  <c r="Z116" i="1" s="1"/>
  <c r="Y116" i="1" s="1"/>
  <c r="X286" i="1"/>
  <c r="Z286" i="1" s="1"/>
  <c r="Y286" i="1" s="1"/>
  <c r="X114" i="1"/>
  <c r="Z114" i="1" s="1"/>
  <c r="Y114" i="1" s="1"/>
  <c r="X530" i="1"/>
  <c r="Z530" i="1" s="1"/>
  <c r="Y530" i="1" s="1"/>
  <c r="X413" i="1"/>
  <c r="Z413" i="1" s="1"/>
  <c r="Y413" i="1" s="1"/>
  <c r="X591" i="1"/>
  <c r="X581" i="1"/>
  <c r="X441" i="1"/>
  <c r="X726" i="1"/>
  <c r="X984" i="1"/>
  <c r="X257" i="1"/>
  <c r="X1009" i="1"/>
  <c r="X505" i="1"/>
  <c r="X457" i="1"/>
  <c r="X518" i="1"/>
  <c r="X837" i="1"/>
  <c r="X377" i="1"/>
  <c r="Z377" i="1" s="1"/>
  <c r="Y377" i="1" s="1"/>
  <c r="X704" i="1"/>
  <c r="X532" i="1"/>
  <c r="X2" i="1"/>
  <c r="Z2" i="1" s="1"/>
  <c r="Y2" i="1" s="1"/>
  <c r="X384" i="1"/>
  <c r="X1156" i="1"/>
  <c r="Z1156" i="1" s="1"/>
  <c r="Y1156" i="1" s="1"/>
  <c r="X953" i="1"/>
  <c r="Z953" i="1" s="1"/>
  <c r="Y953" i="1" s="1"/>
  <c r="X623" i="1"/>
  <c r="Z623" i="1" s="1"/>
  <c r="Y623" i="1" s="1"/>
  <c r="X248" i="1"/>
  <c r="Z248" i="1" s="1"/>
  <c r="Y248" i="1" s="1"/>
  <c r="X185" i="1"/>
  <c r="X59" i="1"/>
  <c r="X354" i="1"/>
  <c r="X1066" i="1"/>
  <c r="Z1066" i="1" s="1"/>
  <c r="Y1066" i="1" s="1"/>
  <c r="X950" i="1"/>
  <c r="Z950" i="1" s="1"/>
  <c r="Y950" i="1" s="1"/>
  <c r="X1193" i="1"/>
  <c r="Z1193" i="1" s="1"/>
  <c r="Y1193" i="1" s="1"/>
  <c r="X274" i="1"/>
  <c r="Z274" i="1" s="1"/>
  <c r="Y274" i="1" s="1"/>
  <c r="X792" i="1"/>
  <c r="Z792" i="1" s="1"/>
  <c r="Y792" i="1" s="1"/>
  <c r="X153" i="1"/>
  <c r="X1022" i="1"/>
  <c r="X1131" i="1"/>
  <c r="X484" i="1"/>
  <c r="X309" i="1"/>
  <c r="X671" i="1"/>
  <c r="X238" i="1"/>
  <c r="X1103" i="1"/>
  <c r="X471" i="1"/>
  <c r="X1062" i="1"/>
  <c r="X555" i="1"/>
  <c r="X382" i="1"/>
  <c r="Z382" i="1" s="1"/>
  <c r="Y382" i="1" s="1"/>
  <c r="X444" i="1"/>
  <c r="X594" i="1"/>
  <c r="X137" i="1"/>
  <c r="Z137" i="1" s="1"/>
  <c r="Y137" i="1" s="1"/>
  <c r="X603" i="1"/>
  <c r="X537" i="1"/>
  <c r="Z537" i="1" s="1"/>
  <c r="Y537" i="1" s="1"/>
  <c r="X864" i="1"/>
  <c r="Z864" i="1" s="1"/>
  <c r="Y864" i="1" s="1"/>
  <c r="X1117" i="1"/>
  <c r="X242" i="1"/>
  <c r="Z242" i="1" s="1"/>
  <c r="Y242" i="1" s="1"/>
  <c r="X264" i="1"/>
  <c r="Z264" i="1" s="1"/>
  <c r="Y264" i="1" s="1"/>
  <c r="X933" i="1"/>
  <c r="Z933" i="1" s="1"/>
  <c r="Y933" i="1" s="1"/>
  <c r="X127" i="1"/>
  <c r="Z127" i="1" s="1"/>
  <c r="Y127" i="1" s="1"/>
  <c r="X1149" i="1"/>
  <c r="Z1149" i="1" s="1"/>
  <c r="Y1149" i="1" s="1"/>
  <c r="X1129" i="1"/>
  <c r="Z1129" i="1" s="1"/>
  <c r="Y1129" i="1" s="1"/>
  <c r="X405" i="1"/>
  <c r="Z405" i="1" s="1"/>
  <c r="Y405" i="1" s="1"/>
  <c r="X520" i="1"/>
  <c r="Z520" i="1" s="1"/>
  <c r="Y520" i="1" s="1"/>
  <c r="X542" i="1"/>
  <c r="X715" i="1"/>
  <c r="X74" i="1"/>
  <c r="X886" i="1"/>
  <c r="X175" i="1"/>
  <c r="X313" i="1"/>
  <c r="X166" i="1"/>
  <c r="X737" i="1"/>
  <c r="X776" i="1"/>
  <c r="X1136" i="1"/>
  <c r="X202" i="1"/>
  <c r="X547" i="1"/>
  <c r="X434" i="1"/>
  <c r="X251" i="1"/>
  <c r="X294" i="1"/>
  <c r="Z294" i="1" s="1"/>
  <c r="Y294" i="1" s="1"/>
  <c r="X533" i="1"/>
  <c r="X1082" i="1"/>
  <c r="Z1082" i="1" s="1"/>
  <c r="Y1082" i="1" s="1"/>
  <c r="X766" i="1"/>
  <c r="Z766" i="1" s="1"/>
  <c r="Y766" i="1" s="1"/>
  <c r="X399" i="1"/>
  <c r="Z399" i="1" s="1"/>
  <c r="Y399" i="1" s="1"/>
  <c r="X909" i="1"/>
  <c r="X234" i="1"/>
  <c r="X214" i="1"/>
  <c r="X875" i="1"/>
  <c r="X978" i="1"/>
  <c r="Z978" i="1" s="1"/>
  <c r="Y978" i="1" s="1"/>
  <c r="X253" i="1"/>
  <c r="Z253" i="1" s="1"/>
  <c r="Y253" i="1" s="1"/>
  <c r="X254" i="1"/>
  <c r="Z254" i="1" s="1"/>
  <c r="Y254" i="1" s="1"/>
  <c r="X336" i="1"/>
  <c r="Z336" i="1" s="1"/>
  <c r="Y336" i="1" s="1"/>
  <c r="X109" i="1"/>
  <c r="Z109" i="1" s="1"/>
  <c r="Y109" i="1" s="1"/>
  <c r="X134" i="1"/>
  <c r="X342" i="1"/>
  <c r="X490" i="1"/>
  <c r="X519" i="1"/>
  <c r="X634" i="1"/>
  <c r="X1139" i="1"/>
  <c r="X53" i="1"/>
  <c r="X662" i="1"/>
  <c r="X1246" i="1"/>
  <c r="X1143" i="1"/>
  <c r="X1218" i="1"/>
  <c r="Z1218" i="1" s="1"/>
  <c r="Y1218" i="1" s="1"/>
  <c r="X1165" i="1"/>
  <c r="X372" i="1"/>
  <c r="X1200" i="1"/>
  <c r="Z1200" i="1" s="1"/>
  <c r="Y1200" i="1" s="1"/>
  <c r="X936" i="1"/>
  <c r="X974" i="1"/>
  <c r="Z974" i="1" s="1"/>
  <c r="Y974" i="1" s="1"/>
  <c r="X420" i="1"/>
  <c r="Z420" i="1" s="1"/>
  <c r="Y420" i="1" s="1"/>
  <c r="X330" i="1"/>
  <c r="Z330" i="1" s="1"/>
  <c r="Y330" i="1" s="1"/>
  <c r="X1261" i="1"/>
  <c r="X236" i="1"/>
  <c r="X203" i="1"/>
  <c r="X45" i="1"/>
  <c r="X450" i="1"/>
  <c r="Z450" i="1" s="1"/>
  <c r="Y450" i="1" s="1"/>
  <c r="X369" i="1"/>
  <c r="Z369" i="1" s="1"/>
  <c r="Y369" i="1" s="1"/>
  <c r="X1179" i="1"/>
  <c r="Z1179" i="1" s="1"/>
  <c r="Y1179" i="1" s="1"/>
  <c r="X41" i="1"/>
  <c r="Z41" i="1" s="1"/>
  <c r="Y41" i="1" s="1"/>
  <c r="X122" i="1"/>
  <c r="Z122" i="1" s="1"/>
  <c r="Y122" i="1" s="1"/>
  <c r="X1228" i="1"/>
  <c r="X1028" i="1"/>
  <c r="X103" i="1"/>
  <c r="X128" i="1"/>
  <c r="X923" i="1"/>
  <c r="X964" i="1"/>
  <c r="X55" i="1"/>
  <c r="X157" i="1"/>
  <c r="X709" i="1"/>
  <c r="X698" i="1"/>
  <c r="X858" i="1"/>
  <c r="X367" i="1"/>
  <c r="X544" i="1"/>
  <c r="X19" i="1"/>
  <c r="X797" i="1"/>
  <c r="Z797" i="1" s="1"/>
  <c r="Y797" i="1" s="1"/>
  <c r="X678" i="1"/>
  <c r="X282" i="1"/>
  <c r="Z282" i="1" s="1"/>
  <c r="Y282" i="1" s="1"/>
  <c r="X966" i="1"/>
  <c r="Z966" i="1" s="1"/>
  <c r="Y966" i="1" s="1"/>
  <c r="X299" i="1"/>
  <c r="Z299" i="1" s="1"/>
  <c r="Y299" i="1" s="1"/>
  <c r="X363" i="1"/>
  <c r="X464" i="1"/>
  <c r="X714" i="1"/>
  <c r="X25" i="1"/>
  <c r="X897" i="1"/>
  <c r="Z897" i="1" s="1"/>
  <c r="Y897" i="1" s="1"/>
  <c r="X331" i="1"/>
  <c r="Z331" i="1" s="1"/>
  <c r="Y331" i="1" s="1"/>
  <c r="X213" i="1"/>
  <c r="Z213" i="1" s="1"/>
  <c r="Y213" i="1" s="1"/>
  <c r="X1012" i="1"/>
  <c r="Z1012" i="1" s="1"/>
  <c r="Y1012" i="1" s="1"/>
  <c r="X640" i="1"/>
  <c r="Z640" i="1" s="1"/>
  <c r="Y640" i="1" s="1"/>
  <c r="X956" i="1"/>
  <c r="X1170" i="1"/>
  <c r="X1271" i="1"/>
  <c r="X293" i="1"/>
  <c r="X710" i="1"/>
  <c r="X580" i="1"/>
  <c r="X1056" i="1"/>
  <c r="X910" i="1"/>
  <c r="X838" i="1"/>
  <c r="X303" i="1"/>
  <c r="X807" i="1"/>
  <c r="X600" i="1"/>
  <c r="Z600" i="1" s="1"/>
  <c r="Y600" i="1" s="1"/>
  <c r="X1188" i="1"/>
  <c r="X1153" i="1"/>
  <c r="X432" i="1"/>
  <c r="Z432" i="1" s="1"/>
  <c r="Y432" i="1" s="1"/>
  <c r="X268" i="1"/>
  <c r="X1008" i="1"/>
  <c r="Z1008" i="1" s="1"/>
  <c r="Y1008" i="1" s="1"/>
  <c r="X990" i="1"/>
  <c r="Z990" i="1" s="1"/>
  <c r="Y990" i="1" s="1"/>
  <c r="X758" i="1"/>
  <c r="Z758" i="1" s="1"/>
  <c r="Y758" i="1" s="1"/>
  <c r="X324" i="1"/>
  <c r="X800" i="1"/>
  <c r="X1109" i="1"/>
  <c r="X316" i="1"/>
  <c r="X1220" i="1"/>
  <c r="Z1220" i="1" s="1"/>
  <c r="Y1220" i="1" s="1"/>
  <c r="X597" i="1"/>
  <c r="Z597" i="1" s="1"/>
  <c r="Y597" i="1" s="1"/>
  <c r="X827" i="1"/>
  <c r="Z827" i="1" s="1"/>
  <c r="Y827" i="1" s="1"/>
  <c r="X489" i="1"/>
  <c r="Z489" i="1" s="1"/>
  <c r="Y489" i="1" s="1"/>
  <c r="X125" i="1"/>
  <c r="Z125" i="1" s="1"/>
  <c r="Y125" i="1" s="1"/>
  <c r="X1067" i="1"/>
  <c r="X605" i="1"/>
  <c r="X230" i="1"/>
  <c r="X1003" i="1"/>
  <c r="X1083" i="1"/>
  <c r="X492" i="1"/>
  <c r="X740" i="1"/>
  <c r="X1191" i="1"/>
  <c r="X972" i="1"/>
  <c r="X562" i="1"/>
  <c r="X65" i="1"/>
  <c r="X683" i="1"/>
  <c r="Z683" i="1" s="1"/>
  <c r="Y683" i="1" s="1"/>
  <c r="X199" i="1"/>
  <c r="X140" i="1"/>
  <c r="X755" i="1"/>
  <c r="X879" i="1"/>
  <c r="X772" i="1"/>
  <c r="Z772" i="1" s="1"/>
  <c r="Y772" i="1" s="1"/>
  <c r="X442" i="1"/>
  <c r="Z442" i="1" s="1"/>
  <c r="Y442" i="1" s="1"/>
  <c r="X586" i="1"/>
  <c r="Z586" i="1" s="1"/>
  <c r="Y586" i="1" s="1"/>
  <c r="X809" i="1"/>
  <c r="Z809" i="1" s="1"/>
  <c r="Y809" i="1" s="1"/>
  <c r="X178" i="1"/>
  <c r="X729" i="1"/>
  <c r="X1202" i="1"/>
  <c r="X43" i="1"/>
  <c r="Z43" i="1" s="1"/>
  <c r="Y43" i="1" s="1"/>
  <c r="X154" i="1"/>
  <c r="Z154" i="1" s="1"/>
  <c r="Y154" i="1" s="1"/>
  <c r="X328" i="1"/>
  <c r="Z328" i="1" s="1"/>
  <c r="Y328" i="1" s="1"/>
  <c r="X263" i="1"/>
  <c r="Z263" i="1" s="1"/>
  <c r="Y263" i="1" s="1"/>
  <c r="X1054" i="1"/>
  <c r="Z1054" i="1" s="1"/>
  <c r="Y1054" i="1" s="1"/>
  <c r="X491" i="1"/>
  <c r="X904" i="1"/>
  <c r="X361" i="1"/>
  <c r="X700" i="1"/>
  <c r="X843" i="1"/>
  <c r="X1232" i="1"/>
  <c r="X995" i="1"/>
  <c r="X1291" i="1"/>
  <c r="X1173" i="1"/>
  <c r="X66" i="1"/>
  <c r="X1081" i="1"/>
  <c r="X724" i="1"/>
  <c r="X660" i="1"/>
  <c r="X78" i="1"/>
  <c r="X1181" i="1"/>
  <c r="X563" i="1"/>
  <c r="Z563" i="1" s="1"/>
  <c r="Y563" i="1" s="1"/>
  <c r="X26" i="1"/>
  <c r="X1059" i="1"/>
  <c r="Z1059" i="1" s="1"/>
  <c r="Y1059" i="1" s="1"/>
  <c r="X901" i="1"/>
  <c r="X1247" i="1"/>
  <c r="X104" i="1"/>
  <c r="X1237" i="1"/>
  <c r="X84" i="1"/>
  <c r="Z84" i="1" s="1"/>
  <c r="Y84" i="1" s="1"/>
  <c r="X346" i="1"/>
  <c r="Z346" i="1" s="1"/>
  <c r="Y346" i="1" s="1"/>
  <c r="X211" i="1"/>
  <c r="Z211" i="1" s="1"/>
  <c r="Y211" i="1" s="1"/>
  <c r="X830" i="1"/>
  <c r="X1018" i="1"/>
  <c r="Z1018" i="1" s="1"/>
  <c r="Y1018" i="1" s="1"/>
  <c r="X973" i="1"/>
  <c r="X648" i="1"/>
  <c r="X487" i="1"/>
  <c r="X849" i="1"/>
  <c r="X1276" i="1"/>
  <c r="X573" i="1"/>
  <c r="X102" i="1"/>
  <c r="X1084" i="1"/>
  <c r="X50" i="1"/>
  <c r="X1164" i="1"/>
  <c r="X278" i="1"/>
  <c r="X1047" i="1"/>
  <c r="Z1047" i="1" s="1"/>
  <c r="Y1047" i="1" s="1"/>
  <c r="X579" i="1"/>
  <c r="X868" i="1"/>
  <c r="X302" i="1"/>
  <c r="X338" i="1"/>
  <c r="X37" i="1"/>
  <c r="Z37" i="1" s="1"/>
  <c r="Y37" i="1" s="1"/>
  <c r="X193" i="1"/>
  <c r="Z193" i="1" s="1"/>
  <c r="Y193" i="1" s="1"/>
  <c r="X458" i="1"/>
  <c r="Z458" i="1" s="1"/>
  <c r="Y458" i="1" s="1"/>
  <c r="X1040" i="1"/>
  <c r="X6" i="1"/>
  <c r="Z6" i="1" s="1"/>
  <c r="Y6" i="1" s="1"/>
  <c r="X1031" i="1"/>
  <c r="Z1031" i="1" s="1"/>
  <c r="Y1031" i="1" s="1"/>
  <c r="X1014" i="1"/>
  <c r="Z1014" i="1" s="1"/>
  <c r="Y1014" i="1" s="1"/>
  <c r="X834" i="1"/>
  <c r="Z834" i="1" s="1"/>
  <c r="Y834" i="1" s="1"/>
  <c r="X358" i="1"/>
  <c r="Z358" i="1" s="1"/>
  <c r="Y358" i="1" s="1"/>
  <c r="X1108" i="1"/>
  <c r="Z1108" i="1" s="1"/>
  <c r="Y1108" i="1" s="1"/>
  <c r="X355" i="1"/>
  <c r="Z355" i="1" s="1"/>
  <c r="Y355" i="1" s="1"/>
  <c r="X839" i="1"/>
  <c r="Z839" i="1" s="1"/>
  <c r="Y839" i="1" s="1"/>
  <c r="X1025" i="1"/>
  <c r="X552" i="1"/>
  <c r="X79" i="1"/>
  <c r="X459" i="1"/>
  <c r="X400" i="1"/>
  <c r="X395" i="1"/>
  <c r="X949" i="1"/>
  <c r="X356" i="1"/>
  <c r="X402" i="1"/>
  <c r="X931" i="1"/>
  <c r="X449" i="1"/>
  <c r="X1068" i="1"/>
  <c r="Z1068" i="1" s="1"/>
  <c r="Y1068" i="1" s="1"/>
  <c r="X1024" i="1"/>
  <c r="X289" i="1"/>
  <c r="X925" i="1"/>
  <c r="X1043" i="1"/>
  <c r="X589" i="1"/>
  <c r="Z589" i="1" s="1"/>
  <c r="Y589" i="1" s="1"/>
  <c r="X14" i="1"/>
  <c r="Z14" i="1" s="1"/>
  <c r="Y14" i="1" s="1"/>
  <c r="X421" i="1"/>
  <c r="Z421" i="1" s="1"/>
  <c r="Y421" i="1" s="1"/>
  <c r="X595" i="1"/>
  <c r="X418" i="1"/>
  <c r="X1090" i="1"/>
  <c r="X874" i="1"/>
  <c r="X554" i="1"/>
  <c r="Z554" i="1" s="1"/>
  <c r="Y554" i="1" s="1"/>
  <c r="X967" i="1"/>
  <c r="Z967" i="1" s="1"/>
  <c r="Y967" i="1" s="1"/>
  <c r="X310" i="1"/>
  <c r="Z310" i="1" s="1"/>
  <c r="Y310" i="1" s="1"/>
  <c r="X288" i="1"/>
  <c r="Z288" i="1" s="1"/>
  <c r="Y288" i="1" s="1"/>
  <c r="X110" i="1"/>
  <c r="X1101" i="1"/>
  <c r="X466" i="1"/>
  <c r="X1048" i="1"/>
  <c r="X971" i="1"/>
  <c r="X1119" i="1"/>
  <c r="X986" i="1"/>
  <c r="X101" i="1"/>
  <c r="X225" i="1"/>
  <c r="X679" i="1"/>
  <c r="X918" i="1"/>
  <c r="X593" i="1"/>
  <c r="Z593" i="1" s="1"/>
  <c r="Y593" i="1" s="1"/>
  <c r="X989" i="1"/>
  <c r="X341" i="1"/>
  <c r="X568" i="1"/>
  <c r="X280" i="1"/>
  <c r="X1260" i="1"/>
  <c r="Z1260" i="1" s="1"/>
  <c r="Y1260" i="1" s="1"/>
  <c r="X138" i="1"/>
  <c r="Z138" i="1" s="1"/>
  <c r="Y138" i="1" s="1"/>
  <c r="X1032" i="1"/>
  <c r="Z1032" i="1" s="1"/>
  <c r="Y1032" i="1" s="1"/>
  <c r="X476" i="1"/>
  <c r="X39" i="1"/>
  <c r="X632" i="1"/>
  <c r="X198" i="1"/>
  <c r="X467" i="1"/>
  <c r="Z467" i="1" s="1"/>
  <c r="Y467" i="1" s="1"/>
  <c r="X1029" i="1"/>
  <c r="Z1029" i="1" s="1"/>
  <c r="Y1029" i="1" s="1"/>
  <c r="X260" i="1"/>
  <c r="Z260" i="1" s="1"/>
  <c r="Y260" i="1" s="1"/>
  <c r="X352" i="1"/>
  <c r="Z352" i="1" s="1"/>
  <c r="Y352" i="1" s="1"/>
  <c r="X828" i="1"/>
  <c r="Z828" i="1" s="1"/>
  <c r="Y828" i="1" s="1"/>
  <c r="X752" i="1"/>
  <c r="X1231" i="1"/>
  <c r="X1176" i="1"/>
  <c r="X480" i="1"/>
  <c r="X93" i="1"/>
  <c r="X765" i="1"/>
  <c r="X1161" i="1"/>
  <c r="X689" i="1"/>
  <c r="X769" i="1"/>
  <c r="X1190" i="1"/>
  <c r="X31" i="1"/>
  <c r="X165" i="1"/>
  <c r="X121" i="1"/>
  <c r="X290" i="1"/>
  <c r="X732" i="1"/>
  <c r="X270" i="1"/>
  <c r="Z270" i="1" s="1"/>
  <c r="Y270" i="1" s="1"/>
  <c r="X866" i="1"/>
  <c r="Z866" i="1" s="1"/>
  <c r="Y866" i="1" s="1"/>
  <c r="X306" i="1"/>
  <c r="Z306" i="1" s="1"/>
  <c r="Y306" i="1" s="1"/>
  <c r="X460" i="1"/>
  <c r="X604" i="1"/>
  <c r="X1044" i="1"/>
  <c r="X1209" i="1"/>
  <c r="X27" i="1"/>
  <c r="Z27" i="1" s="1"/>
  <c r="Y27" i="1" s="1"/>
  <c r="X80" i="1"/>
  <c r="Z80" i="1" s="1"/>
  <c r="Y80" i="1" s="1"/>
  <c r="X366" i="1"/>
  <c r="Z366" i="1" s="1"/>
  <c r="Y366" i="1" s="1"/>
  <c r="X136" i="1"/>
  <c r="Z136" i="1" s="1"/>
  <c r="Y136" i="1" s="1"/>
  <c r="X1290" i="1"/>
  <c r="Z1290" i="1" s="1"/>
  <c r="Y1290" i="1" s="1"/>
  <c r="X239" i="1"/>
  <c r="X169" i="1"/>
  <c r="X657" i="1"/>
  <c r="X216" i="1"/>
  <c r="X152" i="1"/>
  <c r="X1019" i="1"/>
  <c r="X1132" i="1"/>
  <c r="X427" i="1"/>
  <c r="X159" i="1"/>
  <c r="X68" i="1"/>
  <c r="X305" i="1"/>
  <c r="X651" i="1"/>
  <c r="Z651" i="1" s="1"/>
  <c r="Y651" i="1" s="1"/>
  <c r="X869" i="1"/>
  <c r="X385" i="1"/>
  <c r="X734" i="1"/>
  <c r="X113" i="1"/>
  <c r="X1077" i="1"/>
  <c r="Z1077" i="1" s="1"/>
  <c r="Y1077" i="1" s="1"/>
  <c r="X479" i="1"/>
  <c r="Z479" i="1" s="1"/>
  <c r="Y479" i="1" s="1"/>
  <c r="X504" i="1"/>
  <c r="X857" i="1"/>
  <c r="X993" i="1"/>
  <c r="X850" i="1"/>
  <c r="X173" i="1"/>
  <c r="Z173" i="1" s="1"/>
  <c r="Y173" i="1" s="1"/>
  <c r="X30" i="1"/>
  <c r="Z30" i="1" s="1"/>
  <c r="Y30" i="1" s="1"/>
  <c r="X1244" i="1"/>
  <c r="Z1244" i="1" s="1"/>
  <c r="Y1244" i="1" s="1"/>
  <c r="X81" i="1"/>
  <c r="X585" i="1"/>
  <c r="Z585" i="1" s="1"/>
  <c r="Y585" i="1" s="1"/>
  <c r="X217" i="1"/>
  <c r="X145" i="1"/>
  <c r="X535" i="1"/>
  <c r="X731" i="1"/>
  <c r="X451" i="1"/>
  <c r="X119" i="1"/>
  <c r="X894" i="1"/>
  <c r="X780" i="1"/>
  <c r="X272" i="1"/>
  <c r="X195" i="1"/>
  <c r="X696" i="1"/>
  <c r="X250" i="1"/>
  <c r="Z250" i="1" s="1"/>
  <c r="Y250" i="1" s="1"/>
  <c r="X783" i="1"/>
  <c r="X144" i="1"/>
  <c r="X863" i="1"/>
  <c r="X608" i="1"/>
  <c r="X1078" i="1"/>
  <c r="X509" i="1"/>
  <c r="X767" i="1"/>
  <c r="Z767" i="1" s="1"/>
  <c r="Y767" i="1" s="1"/>
  <c r="X618" i="1"/>
  <c r="Z618" i="1" s="1"/>
  <c r="Y618" i="1" s="1"/>
  <c r="X474" i="1"/>
  <c r="X115" i="1"/>
  <c r="X207" i="1"/>
  <c r="X750" i="1"/>
  <c r="Z750" i="1" s="1"/>
  <c r="Y750" i="1" s="1"/>
  <c r="X892" i="1"/>
  <c r="X862" i="1"/>
  <c r="Z862" i="1" s="1"/>
  <c r="Y862" i="1" s="1"/>
  <c r="X300" i="1"/>
  <c r="Z300" i="1" s="1"/>
  <c r="Y300" i="1" s="1"/>
  <c r="X91" i="1"/>
  <c r="Z91" i="1" s="1"/>
  <c r="Y91" i="1" s="1"/>
  <c r="X1046" i="1"/>
  <c r="X1130" i="1"/>
  <c r="X307" i="1"/>
  <c r="X390" i="1"/>
  <c r="X663" i="1"/>
  <c r="X661" i="1"/>
  <c r="X851" i="1"/>
  <c r="X1227" i="1"/>
  <c r="X852" i="1"/>
  <c r="X494" i="1"/>
  <c r="X706" i="1"/>
  <c r="X1111" i="1"/>
  <c r="Z1111" i="1" s="1"/>
  <c r="Y1111" i="1" s="1"/>
  <c r="X811" i="1"/>
  <c r="X11" i="1"/>
  <c r="X1007" i="1"/>
  <c r="X1189" i="1"/>
  <c r="X329" i="1"/>
  <c r="Z329" i="1" s="1"/>
  <c r="Y329" i="1" s="1"/>
  <c r="X375" i="1"/>
  <c r="Z375" i="1" s="1"/>
  <c r="Y375" i="1" s="1"/>
  <c r="X609" i="1"/>
  <c r="Z609" i="1" s="1"/>
  <c r="Y609" i="1" s="1"/>
  <c r="X1154" i="1"/>
  <c r="X751" i="1"/>
  <c r="X728" i="1"/>
  <c r="X1026" i="1"/>
  <c r="X1137" i="1"/>
  <c r="Z1137" i="1" s="1"/>
  <c r="Y1137" i="1" s="1"/>
  <c r="X819" i="1"/>
  <c r="Z819" i="1" s="1"/>
  <c r="Y819" i="1" s="1"/>
  <c r="X46" i="1"/>
  <c r="Z46" i="1" s="1"/>
  <c r="Y46" i="1" s="1"/>
  <c r="X716" i="1"/>
  <c r="Z716" i="1" s="1"/>
  <c r="Y716" i="1" s="1"/>
  <c r="X438" i="1"/>
  <c r="Z438" i="1" s="1"/>
  <c r="Y438" i="1" s="1"/>
  <c r="X551" i="1"/>
  <c r="X1221" i="1"/>
  <c r="X572" i="1"/>
  <c r="X644" i="1"/>
  <c r="X507" i="1"/>
  <c r="X428" i="1"/>
  <c r="X296" i="1"/>
  <c r="X1107" i="1"/>
  <c r="X500" i="1"/>
  <c r="X1259" i="1"/>
  <c r="X1272" i="1"/>
  <c r="X771" i="1"/>
  <c r="X1041" i="1"/>
  <c r="X1174" i="1"/>
  <c r="X543" i="1"/>
  <c r="X759" i="1"/>
  <c r="X763" i="1"/>
  <c r="Z763" i="1" s="1"/>
  <c r="Y763" i="1" s="1"/>
  <c r="X1001" i="1"/>
  <c r="Z1001" i="1" s="1"/>
  <c r="Y1001" i="1" s="1"/>
  <c r="X73" i="1"/>
  <c r="Z73" i="1" s="1"/>
  <c r="Y73" i="1" s="1"/>
  <c r="X499" i="1"/>
  <c r="X164" i="1"/>
  <c r="Z164" i="1" s="1"/>
  <c r="Y164" i="1" s="1"/>
  <c r="X1033" i="1"/>
  <c r="Z1033" i="1" s="1"/>
  <c r="Y1033" i="1" s="1"/>
  <c r="X184" i="1"/>
  <c r="Z184" i="1" s="1"/>
  <c r="Y184" i="1" s="1"/>
  <c r="X1171" i="1"/>
  <c r="Z1171" i="1" s="1"/>
  <c r="Y1171" i="1" s="1"/>
  <c r="X223" i="1"/>
  <c r="Z223" i="1" s="1"/>
  <c r="Y223" i="1" s="1"/>
  <c r="X884" i="1"/>
  <c r="Z884" i="1" s="1"/>
  <c r="Y884" i="1" s="1"/>
  <c r="X911" i="1"/>
  <c r="Z911" i="1" s="1"/>
  <c r="Y911" i="1" s="1"/>
  <c r="X1146" i="1"/>
  <c r="Z1146" i="1" s="1"/>
  <c r="Y1146" i="1" s="1"/>
  <c r="X939" i="1"/>
  <c r="X1122" i="1"/>
  <c r="X770" i="1"/>
  <c r="X1248" i="1"/>
  <c r="X388" i="1"/>
  <c r="X461" i="1"/>
  <c r="X907" i="1"/>
  <c r="X439" i="1"/>
  <c r="X840" i="1"/>
  <c r="X556" i="1"/>
  <c r="X560" i="1"/>
  <c r="X1168" i="1"/>
  <c r="Z1168" i="1" s="1"/>
  <c r="Y1168" i="1" s="1"/>
  <c r="X410" i="1"/>
  <c r="X1115" i="1"/>
  <c r="X915" i="1"/>
  <c r="X1099" i="1"/>
  <c r="X899" i="1"/>
  <c r="Z899" i="1" s="1"/>
  <c r="Y899" i="1" s="1"/>
  <c r="X233" i="1"/>
  <c r="Z233" i="1" s="1"/>
  <c r="Y233" i="1" s="1"/>
  <c r="X357" i="1"/>
  <c r="Z357" i="1" s="1"/>
  <c r="Y357" i="1" s="1"/>
  <c r="X635" i="1"/>
  <c r="X805" i="1"/>
  <c r="X1051" i="1"/>
  <c r="X812" i="1"/>
  <c r="X902" i="1"/>
  <c r="Z902" i="1" s="1"/>
  <c r="Y902" i="1" s="1"/>
  <c r="X799" i="1"/>
  <c r="Z799" i="1" s="1"/>
  <c r="Y799" i="1" s="1"/>
  <c r="X77" i="1"/>
  <c r="Z77" i="1" s="1"/>
  <c r="Y77" i="1" s="1"/>
  <c r="X397" i="1"/>
  <c r="Z397" i="1" s="1"/>
  <c r="Y397" i="1" s="1"/>
  <c r="X308" i="1"/>
  <c r="Z308" i="1" s="1"/>
  <c r="Y308" i="1" s="1"/>
  <c r="X17" i="1"/>
  <c r="X655" i="1"/>
  <c r="X1120" i="1"/>
  <c r="X215" i="1"/>
  <c r="X221" i="1"/>
  <c r="X861" i="1"/>
  <c r="X97" i="1"/>
  <c r="X1118" i="1"/>
  <c r="X760" i="1"/>
  <c r="X722" i="1"/>
  <c r="X275" i="1"/>
  <c r="X539" i="1"/>
  <c r="Z539" i="1" s="1"/>
  <c r="Y539" i="1" s="1"/>
  <c r="X34" i="1"/>
  <c r="X176" i="1"/>
  <c r="X429" i="1"/>
  <c r="X488" i="1"/>
  <c r="X415" i="1"/>
  <c r="Z415" i="1" s="1"/>
  <c r="Y415" i="1" s="1"/>
  <c r="X1086" i="1"/>
  <c r="Z1086" i="1" s="1"/>
  <c r="Y1086" i="1" s="1"/>
  <c r="X99" i="1"/>
  <c r="Z99" i="1" s="1"/>
  <c r="Y99" i="1" s="1"/>
  <c r="X631" i="1"/>
  <c r="X1055" i="1"/>
  <c r="X620" i="1"/>
  <c r="X411" i="1"/>
  <c r="X668" i="1"/>
  <c r="Z668" i="1" s="1"/>
  <c r="Y668" i="1" s="1"/>
  <c r="X1274" i="1"/>
  <c r="Z1274" i="1" s="1"/>
  <c r="Y1274" i="1" s="1"/>
  <c r="X344" i="1"/>
  <c r="Z344" i="1" s="1"/>
  <c r="Y344" i="1" s="1"/>
  <c r="X258" i="1"/>
  <c r="Z258" i="1" s="1"/>
  <c r="Y258" i="1" s="1"/>
  <c r="X649" i="1"/>
  <c r="Z649" i="1" s="1"/>
  <c r="Y649" i="1" s="1"/>
  <c r="X1036" i="1"/>
  <c r="X917" i="1"/>
  <c r="X1135" i="1"/>
  <c r="X1138" i="1"/>
  <c r="X190" i="1"/>
  <c r="X1160" i="1"/>
  <c r="X1013" i="1"/>
  <c r="X1197" i="1"/>
  <c r="X712" i="1"/>
  <c r="X680" i="1"/>
  <c r="X788" i="1"/>
  <c r="X526" i="1"/>
  <c r="Z526" i="1" s="1"/>
  <c r="Y526" i="1" s="1"/>
  <c r="X298" i="1"/>
  <c r="X787" i="1"/>
  <c r="X924" i="1"/>
  <c r="X652" i="1"/>
  <c r="X816" i="1"/>
  <c r="X95" i="1"/>
  <c r="X761" i="1"/>
  <c r="Z761" i="1" s="1"/>
  <c r="Y761" i="1" s="1"/>
  <c r="X320" i="1"/>
  <c r="X629" i="1"/>
  <c r="X407" i="1"/>
  <c r="X717" i="1"/>
  <c r="X1088" i="1"/>
  <c r="Z1088" i="1" s="1"/>
  <c r="Y1088" i="1" s="1"/>
  <c r="X958" i="1"/>
  <c r="Z958" i="1" s="1"/>
  <c r="Y958" i="1" s="1"/>
  <c r="X928" i="1"/>
  <c r="Z928" i="1" s="1"/>
  <c r="Y928" i="1" s="1"/>
  <c r="X222" i="1"/>
  <c r="X842" i="1"/>
  <c r="Z842" i="1" s="1"/>
  <c r="Y842" i="1" s="1"/>
  <c r="X1177" i="1"/>
  <c r="X1094" i="1"/>
  <c r="X960" i="1"/>
  <c r="X436" i="1"/>
  <c r="X244" i="1"/>
  <c r="X1152" i="1"/>
  <c r="X228" i="1"/>
  <c r="X860" i="1"/>
  <c r="X9" i="1"/>
  <c r="X265" i="1"/>
  <c r="X1034" i="1"/>
  <c r="X1000" i="1"/>
  <c r="X721" i="1"/>
  <c r="X681" i="1"/>
  <c r="X7" i="1"/>
  <c r="X1134" i="1"/>
  <c r="X1263" i="1"/>
  <c r="X1214" i="1"/>
  <c r="Z1214" i="1" s="1"/>
  <c r="Y1214" i="1" s="1"/>
  <c r="X21" i="1"/>
  <c r="Z21" i="1" s="1"/>
  <c r="Y21" i="1" s="1"/>
  <c r="X798" i="1"/>
  <c r="X1178" i="1"/>
  <c r="X456" i="1"/>
  <c r="X1087" i="1"/>
  <c r="Z1087" i="1" s="1"/>
  <c r="Y1087" i="1" s="1"/>
  <c r="X1166" i="1"/>
  <c r="Z1166" i="1" s="1"/>
  <c r="Y1166" i="1" s="1"/>
  <c r="X49" i="1"/>
  <c r="Z49" i="1" s="1"/>
  <c r="Y49" i="1" s="1"/>
  <c r="X283" i="1"/>
  <c r="Z283" i="1" s="1"/>
  <c r="Y283" i="1" s="1"/>
  <c r="X1110" i="1"/>
  <c r="Z1110" i="1" s="1"/>
  <c r="Y1110" i="1" s="1"/>
  <c r="X345" i="1"/>
  <c r="X1239" i="1"/>
  <c r="X468" i="1"/>
  <c r="X645" i="1"/>
  <c r="X482" i="1"/>
  <c r="X241" i="1"/>
  <c r="X687" i="1"/>
  <c r="X908" i="1"/>
  <c r="X653" i="1"/>
  <c r="X378" i="1"/>
  <c r="X431" i="1"/>
  <c r="X802" i="1"/>
  <c r="X1206" i="1"/>
  <c r="X789" i="1"/>
  <c r="X1093" i="1"/>
  <c r="X753" i="1"/>
  <c r="Z753" i="1" s="1"/>
  <c r="Y753" i="1" s="1"/>
  <c r="X475" i="1"/>
  <c r="Z475" i="1" s="1"/>
  <c r="Y475" i="1" s="1"/>
  <c r="X92" i="1"/>
  <c r="Z92" i="1" s="1"/>
  <c r="Y92" i="1" s="1"/>
  <c r="X748" i="1"/>
  <c r="Z748" i="1" s="1"/>
  <c r="Y748" i="1" s="1"/>
  <c r="X141" i="1"/>
  <c r="X337" i="1"/>
  <c r="X86" i="1"/>
  <c r="X955" i="1"/>
  <c r="Z955" i="1" s="1"/>
  <c r="Y955" i="1" s="1"/>
  <c r="X528" i="1"/>
  <c r="Z528" i="1" s="1"/>
  <c r="Y528" i="1" s="1"/>
  <c r="X3" i="1"/>
  <c r="Z3" i="1" s="1"/>
  <c r="Y3" i="1" s="1"/>
  <c r="X1279" i="1"/>
  <c r="Z1279" i="1" s="1"/>
  <c r="Y1279" i="1" s="1"/>
  <c r="X718" i="1"/>
  <c r="Z718" i="1" s="1"/>
  <c r="Y718" i="1" s="1"/>
  <c r="X179" i="1"/>
  <c r="X1148" i="1"/>
  <c r="X992" i="1"/>
  <c r="X1075" i="1"/>
  <c r="X833" i="1"/>
  <c r="X188" i="1"/>
  <c r="X566" i="1"/>
  <c r="X1010" i="1"/>
  <c r="X1064" i="1"/>
  <c r="X261" i="1"/>
  <c r="X301" i="1"/>
  <c r="X5" i="1"/>
  <c r="X1002" i="1"/>
  <c r="X398" i="1"/>
  <c r="X756" i="1"/>
  <c r="X762" i="1"/>
  <c r="X448" i="1"/>
  <c r="Z448" i="1" s="1"/>
  <c r="Y448" i="1" s="1"/>
  <c r="X818" i="1"/>
  <c r="Z818" i="1" s="1"/>
  <c r="Y818" i="1" s="1"/>
  <c r="X335" i="1"/>
  <c r="Z335" i="1" s="1"/>
  <c r="Y335" i="1" s="1"/>
  <c r="X368" i="1"/>
  <c r="X975" i="1"/>
  <c r="X12" i="1"/>
  <c r="X1158" i="1"/>
  <c r="X611" i="1"/>
  <c r="Z611" i="1" s="1"/>
  <c r="Y611" i="1" s="1"/>
  <c r="X832" i="1"/>
  <c r="Z832" i="1" s="1"/>
  <c r="Y832" i="1" s="1"/>
  <c r="X1293" i="1"/>
  <c r="Z1293" i="1" s="1"/>
  <c r="Y1293" i="1" s="1"/>
  <c r="X149" i="1"/>
  <c r="Z149" i="1" s="1"/>
  <c r="Y149" i="1" s="1"/>
  <c r="X951" i="1"/>
  <c r="Z951" i="1" s="1"/>
  <c r="Y951" i="1" s="1"/>
  <c r="X607" i="1"/>
  <c r="X658" i="1"/>
  <c r="X412" i="1"/>
  <c r="X1192" i="1"/>
  <c r="X446" i="1"/>
  <c r="X906" i="1"/>
  <c r="X665" i="1"/>
  <c r="X778" i="1"/>
  <c r="X725" i="1"/>
  <c r="X163" i="1"/>
  <c r="X1207" i="1"/>
  <c r="X259" i="1"/>
  <c r="Z259" i="1" s="1"/>
  <c r="Y259" i="1" s="1"/>
  <c r="X1140" i="1"/>
  <c r="X659" i="1"/>
  <c r="X785" i="1"/>
  <c r="X406" i="1"/>
  <c r="X392" i="1"/>
  <c r="Z392" i="1" s="1"/>
  <c r="Y392" i="1" s="1"/>
  <c r="X463" i="1"/>
  <c r="Z463" i="1" s="1"/>
  <c r="Y463" i="1" s="1"/>
  <c r="X63" i="1"/>
  <c r="Z63" i="1" s="1"/>
  <c r="Y63" i="1" s="1"/>
  <c r="X669" i="1"/>
  <c r="X588" i="1"/>
  <c r="Z588" i="1" s="1"/>
  <c r="Y588" i="1" s="1"/>
  <c r="X1098" i="1"/>
  <c r="Z1098" i="1" s="1"/>
  <c r="Y1098" i="1" s="1"/>
  <c r="X15" i="1"/>
  <c r="Z15" i="1" s="1"/>
  <c r="Y15" i="1" s="1"/>
  <c r="X794" i="1"/>
  <c r="Z794" i="1" s="1"/>
  <c r="Y794" i="1" s="1"/>
  <c r="X1157" i="1"/>
  <c r="Z1157" i="1" s="1"/>
  <c r="Y1157" i="1" s="1"/>
  <c r="X654" i="1"/>
  <c r="Z654" i="1" s="1"/>
  <c r="Y654" i="1" s="1"/>
  <c r="X831" i="1"/>
  <c r="Z831" i="1" s="1"/>
  <c r="Y831" i="1" s="1"/>
  <c r="X1225" i="1"/>
  <c r="Z1225" i="1" s="1"/>
  <c r="Y1225" i="1" s="1"/>
  <c r="X523" i="1"/>
  <c r="X575" i="1"/>
  <c r="X982" i="1"/>
  <c r="X501" i="1"/>
  <c r="X161" i="1"/>
  <c r="X1185" i="1"/>
  <c r="X565" i="1"/>
  <c r="X677" i="1"/>
  <c r="X685" i="1"/>
  <c r="X865" i="1"/>
  <c r="X940" i="1"/>
  <c r="X381" i="1"/>
  <c r="X340" i="1"/>
  <c r="X445" i="1"/>
  <c r="X1281" i="1"/>
  <c r="X701" i="1"/>
  <c r="X192" i="1"/>
  <c r="Z192" i="1" s="1"/>
  <c r="Y192" i="1" s="1"/>
  <c r="X370" i="1"/>
  <c r="X882" i="1"/>
  <c r="Z882" i="1" s="1"/>
  <c r="Y882" i="1" s="1"/>
  <c r="X664" i="1"/>
  <c r="X496" i="1"/>
  <c r="X934" i="1"/>
  <c r="X943" i="1"/>
  <c r="X1213" i="1"/>
  <c r="Z1213" i="1" s="1"/>
  <c r="Y1213" i="1" s="1"/>
  <c r="X959" i="1"/>
  <c r="Z959" i="1" s="1"/>
  <c r="Y959" i="1" s="1"/>
  <c r="X570" i="1"/>
  <c r="Z570" i="1" s="1"/>
  <c r="Y570" i="1" s="1"/>
  <c r="X887" i="1"/>
  <c r="X587" i="1"/>
  <c r="Z587" i="1" s="1"/>
  <c r="Y587" i="1" s="1"/>
  <c r="X75" i="1"/>
  <c r="X1241" i="1"/>
  <c r="X684" i="1"/>
  <c r="X396" i="1"/>
  <c r="X1124" i="1"/>
  <c r="X1016" i="1"/>
  <c r="X927" i="1"/>
  <c r="X437" i="1"/>
  <c r="X332" i="1"/>
  <c r="X944" i="1"/>
  <c r="X945" i="1"/>
  <c r="X183" i="1"/>
  <c r="X100" i="1"/>
  <c r="X146" i="1"/>
  <c r="X1222" i="1"/>
  <c r="X754" i="1"/>
  <c r="X889" i="1"/>
  <c r="X1069" i="1"/>
  <c r="X347" i="1"/>
  <c r="Z347" i="1" s="1"/>
  <c r="Y347" i="1" s="1"/>
  <c r="X210" i="1"/>
  <c r="X806" i="1"/>
  <c r="X29" i="1"/>
  <c r="X1089" i="1"/>
  <c r="X641" i="1"/>
  <c r="Z641" i="1" s="1"/>
  <c r="Y641" i="1" s="1"/>
  <c r="X1255" i="1"/>
  <c r="Z1255" i="1" s="1"/>
  <c r="Y1255" i="1" s="1"/>
  <c r="X913" i="1"/>
  <c r="Z913" i="1" s="1"/>
  <c r="Y913" i="1" s="1"/>
  <c r="X757" i="1"/>
  <c r="Z757" i="1" s="1"/>
  <c r="Y757" i="1" s="1"/>
  <c r="X495" i="1"/>
  <c r="Z495" i="1" s="1"/>
  <c r="Y495" i="1" s="1"/>
  <c r="X946" i="1"/>
  <c r="X513" i="1"/>
  <c r="X269" i="1"/>
  <c r="X326" i="1"/>
  <c r="X1235" i="1"/>
  <c r="X920" i="1"/>
  <c r="X898" i="1"/>
  <c r="X1038" i="1"/>
  <c r="X42" i="1"/>
  <c r="X764" i="1"/>
  <c r="X914" i="1"/>
  <c r="Z914" i="1" s="1"/>
  <c r="Y914" i="1" s="1"/>
  <c r="X876" i="1"/>
  <c r="X601" i="1"/>
  <c r="X171" i="1"/>
  <c r="X322" i="1"/>
  <c r="X947" i="1"/>
  <c r="Z947" i="1" s="1"/>
  <c r="Y947" i="1" s="1"/>
  <c r="X627" i="1"/>
  <c r="Z627" i="1" s="1"/>
  <c r="Y627" i="1" s="1"/>
  <c r="X599" i="1"/>
  <c r="Z599" i="1" s="1"/>
  <c r="Y599" i="1" s="1"/>
  <c r="X209" i="1"/>
  <c r="X1039" i="1"/>
  <c r="X502" i="1"/>
  <c r="X1095" i="1"/>
  <c r="X821" i="1"/>
  <c r="Z821" i="1" s="1"/>
  <c r="Y821" i="1" s="1"/>
  <c r="X646" i="1"/>
  <c r="Z646" i="1" s="1"/>
  <c r="Y646" i="1" s="1"/>
  <c r="X1224" i="1"/>
  <c r="Z1224" i="1" s="1"/>
  <c r="Y1224" i="1" s="1"/>
  <c r="X40" i="1"/>
  <c r="Z40" i="1" s="1"/>
  <c r="Y40" i="1" s="1"/>
  <c r="X227" i="1"/>
  <c r="Z227" i="1" s="1"/>
  <c r="Y227" i="1" s="1"/>
  <c r="X815" i="1"/>
  <c r="X977" i="1"/>
  <c r="X867" i="1"/>
  <c r="X996" i="1"/>
  <c r="X841" i="1"/>
  <c r="X926" i="1"/>
  <c r="X120" i="1"/>
  <c r="X881" i="1"/>
  <c r="X855" i="1"/>
  <c r="X279" i="1"/>
  <c r="X1159" i="1"/>
  <c r="X1284" i="1"/>
  <c r="Z1284" i="1" s="1"/>
  <c r="Y1284" i="1" s="1"/>
  <c r="X339" i="1"/>
  <c r="X1223" i="1"/>
  <c r="X582" i="1"/>
  <c r="X453" i="1"/>
  <c r="X246" i="1"/>
  <c r="Z246" i="1" s="1"/>
  <c r="Y246" i="1" s="1"/>
  <c r="X1275" i="1"/>
  <c r="Z1275" i="1" s="1"/>
  <c r="Y1275" i="1" s="1"/>
  <c r="X553" i="1"/>
  <c r="Z553" i="1" s="1"/>
  <c r="Y553" i="1" s="1"/>
  <c r="X1266" i="1"/>
  <c r="X1270" i="1"/>
  <c r="X89" i="1"/>
  <c r="X62" i="1"/>
  <c r="X1053" i="1"/>
  <c r="Z1053" i="1" s="1"/>
  <c r="Y1053" i="1" s="1"/>
  <c r="X697" i="1"/>
  <c r="Z697" i="1" s="1"/>
  <c r="Y697" i="1" s="1"/>
  <c r="X117" i="1"/>
  <c r="Z117" i="1" s="1"/>
  <c r="Y117" i="1" s="1"/>
  <c r="X854" i="1"/>
  <c r="Z854" i="1" s="1"/>
  <c r="Y854" i="1" s="1"/>
  <c r="X1250" i="1"/>
  <c r="Z1250" i="1" s="1"/>
  <c r="Y1250" i="1" s="1"/>
  <c r="X123" i="1"/>
  <c r="X380" i="1"/>
  <c r="X1280" i="1"/>
  <c r="X711" i="1"/>
  <c r="X180" i="1"/>
  <c r="X1155" i="1"/>
  <c r="X891" i="1"/>
  <c r="X267" i="1"/>
  <c r="X206" i="1"/>
  <c r="X1049" i="1"/>
  <c r="X775" i="1"/>
  <c r="X774" i="1"/>
  <c r="Z774" i="1" s="1"/>
  <c r="Y774" i="1" s="1"/>
  <c r="X614" i="1"/>
  <c r="X287" i="1"/>
  <c r="X191" i="1"/>
  <c r="X232" i="1"/>
  <c r="X835" i="1"/>
  <c r="Z835" i="1" s="1"/>
  <c r="Y835" i="1" s="1"/>
  <c r="X592" i="1"/>
  <c r="Z592" i="1" s="1"/>
  <c r="Y592" i="1" s="1"/>
  <c r="X985" i="1"/>
  <c r="Z985" i="1" s="1"/>
  <c r="Y985" i="1" s="1"/>
  <c r="X517" i="1"/>
  <c r="Z517" i="1" s="1"/>
  <c r="Y517" i="1" s="1"/>
  <c r="X1079" i="1"/>
  <c r="X625" i="1"/>
  <c r="X937" i="1"/>
  <c r="X506" i="1"/>
  <c r="Z506" i="1" s="1"/>
  <c r="Y506" i="1" s="1"/>
  <c r="X512" i="1"/>
  <c r="Z512" i="1" s="1"/>
  <c r="Y512" i="1" s="1"/>
  <c r="X391" i="1"/>
  <c r="Z391" i="1" s="1"/>
  <c r="Y391" i="1" s="1"/>
  <c r="X777" i="1"/>
  <c r="Z777" i="1" s="1"/>
  <c r="Y777" i="1" s="1"/>
  <c r="X793" i="1"/>
  <c r="Z793" i="1" s="1"/>
  <c r="Y793" i="1" s="1"/>
  <c r="X708" i="1"/>
  <c r="X1006" i="1"/>
  <c r="X549" i="1"/>
  <c r="X1210" i="1"/>
  <c r="X773" i="1"/>
  <c r="X1037" i="1"/>
  <c r="X1142" i="1"/>
  <c r="X371" i="1"/>
  <c r="X727" i="1"/>
  <c r="X692" i="1"/>
  <c r="X584" i="1"/>
  <c r="X1063" i="1"/>
  <c r="X130" i="1"/>
  <c r="X991" i="1"/>
  <c r="X896" i="1"/>
  <c r="X1073" i="1"/>
  <c r="Z1073" i="1" s="1"/>
  <c r="Y1073" i="1" s="1"/>
  <c r="X524" i="1"/>
  <c r="Z524" i="1" s="1"/>
  <c r="Y524" i="1" s="1"/>
  <c r="X1061" i="1"/>
  <c r="Z1061" i="1" s="1"/>
  <c r="Y1061" i="1" s="1"/>
  <c r="X622" i="1"/>
  <c r="X557" i="1"/>
  <c r="X435" i="1"/>
  <c r="X486" i="1"/>
  <c r="X1100" i="1"/>
  <c r="Z1100" i="1" s="1"/>
  <c r="Y1100" i="1" s="1"/>
  <c r="X304" i="1"/>
  <c r="Z304" i="1" s="1"/>
  <c r="Y304" i="1" s="1"/>
  <c r="X571" i="1"/>
  <c r="Z571" i="1" s="1"/>
  <c r="Y571" i="1" s="1"/>
  <c r="X970" i="1"/>
  <c r="X1074" i="1"/>
  <c r="Z1074" i="1" s="1"/>
  <c r="Y1074" i="1" s="1"/>
  <c r="X465" i="1"/>
  <c r="X1035" i="1"/>
  <c r="X813" i="1"/>
  <c r="X20" i="1"/>
  <c r="X112" i="1"/>
  <c r="X57" i="1"/>
  <c r="X844" i="1"/>
  <c r="X1267" i="1"/>
  <c r="X1198" i="1"/>
  <c r="X69" i="1"/>
  <c r="X930" i="1"/>
  <c r="X220" i="1"/>
  <c r="X315" i="1"/>
  <c r="X1005" i="1"/>
  <c r="X1017" i="1"/>
  <c r="X615" i="1"/>
  <c r="X33" i="1"/>
  <c r="Z33" i="1" s="1"/>
  <c r="Y33" i="1" s="1"/>
  <c r="X360" i="1"/>
  <c r="Z360" i="1" s="1"/>
  <c r="Y360" i="1" s="1"/>
  <c r="X160" i="1"/>
  <c r="X962" i="1"/>
  <c r="Z962" i="1" s="1"/>
  <c r="Y962" i="1" s="1"/>
  <c r="X187" i="1"/>
  <c r="Z187" i="1" s="1"/>
  <c r="Y187" i="1" s="1"/>
  <c r="X983" i="1"/>
  <c r="Z983" i="1" s="1"/>
  <c r="Y983" i="1" s="1"/>
  <c r="X705" i="1"/>
  <c r="Z705" i="1" s="1"/>
  <c r="Y705" i="1" s="1"/>
  <c r="X1085" i="1"/>
  <c r="Z1085" i="1" s="1"/>
  <c r="Y1085" i="1" s="1"/>
  <c r="X4" i="1"/>
  <c r="Z4" i="1" s="1"/>
  <c r="Y4" i="1" s="1"/>
  <c r="X845" i="1"/>
  <c r="Z845" i="1" s="1"/>
  <c r="Y845" i="1" s="1"/>
  <c r="X1057" i="1"/>
  <c r="Z1057" i="1" s="1"/>
  <c r="Y1057" i="1" s="1"/>
  <c r="X624" i="1"/>
  <c r="X343" i="1"/>
  <c r="X969" i="1"/>
  <c r="X13" i="1"/>
  <c r="X273" i="1"/>
  <c r="X636" i="1"/>
  <c r="X150" i="1"/>
  <c r="X1286" i="1"/>
  <c r="X387" i="1"/>
  <c r="X182" i="1"/>
  <c r="X1097" i="1"/>
  <c r="X98" i="1"/>
  <c r="X1183" i="1"/>
  <c r="X194" i="1"/>
  <c r="X1144" i="1"/>
  <c r="X200" i="1"/>
  <c r="Z200" i="1" s="1"/>
  <c r="Y200" i="1" s="1"/>
  <c r="X139" i="1"/>
  <c r="Z139" i="1" s="1"/>
  <c r="Y139" i="1" s="1"/>
  <c r="X1125" i="1"/>
  <c r="Z1125" i="1" s="1"/>
  <c r="Y1125" i="1" s="1"/>
  <c r="X201" i="1"/>
  <c r="X791" i="1"/>
  <c r="X96" i="1"/>
  <c r="X583" i="1"/>
  <c r="X312" i="1"/>
  <c r="Z312" i="1" s="1"/>
  <c r="Y312" i="1" s="1"/>
  <c r="X1141" i="1"/>
  <c r="Z1141" i="1" s="1"/>
  <c r="Y1141" i="1" s="1"/>
  <c r="X87" i="1"/>
  <c r="Z87" i="1" s="1"/>
  <c r="Y87" i="1" s="1"/>
  <c r="X419" i="1"/>
  <c r="Z419" i="1" s="1"/>
  <c r="Y419" i="1" s="1"/>
  <c r="X424" i="1"/>
  <c r="Z424" i="1" s="1"/>
  <c r="Y424" i="1" s="1"/>
  <c r="X994" i="1"/>
  <c r="X997" i="1"/>
  <c r="X1011" i="1"/>
  <c r="X408" i="1"/>
  <c r="X1269" i="1"/>
  <c r="X1116" i="1"/>
  <c r="X1277" i="1"/>
  <c r="X1226" i="1"/>
  <c r="X856" i="1"/>
  <c r="X1234" i="1"/>
  <c r="X1150" i="1"/>
  <c r="X693" i="1"/>
  <c r="X814" i="1"/>
  <c r="X353" i="1"/>
  <c r="X430" i="1"/>
  <c r="X1112" i="1"/>
  <c r="X743" i="1"/>
  <c r="Z743" i="1" s="1"/>
  <c r="Y743" i="1" s="1"/>
  <c r="X126" i="1"/>
  <c r="Z126" i="1" s="1"/>
  <c r="Y126" i="1" s="1"/>
  <c r="X497" i="1"/>
  <c r="Z497" i="1" s="1"/>
  <c r="Y497" i="1" s="1"/>
  <c r="X1204" i="1"/>
  <c r="X22" i="1"/>
  <c r="X1105" i="1"/>
  <c r="X156" i="1"/>
  <c r="X1113" i="1"/>
  <c r="Z1113" i="1" s="1"/>
  <c r="Y1113" i="1" s="1"/>
  <c r="X1233" i="1"/>
  <c r="Z1233" i="1" s="1"/>
  <c r="Y1233" i="1" s="1"/>
  <c r="X133" i="1"/>
  <c r="Z133" i="1" s="1"/>
  <c r="Y133" i="1" s="1"/>
  <c r="X1102" i="1"/>
  <c r="Z1102" i="1" s="1"/>
  <c r="Y1102" i="1" s="1"/>
  <c r="X893" i="1"/>
  <c r="Z893" i="1" s="1"/>
  <c r="Y893" i="1" s="1"/>
  <c r="X747" i="1"/>
  <c r="X829" i="1"/>
  <c r="X713" i="1"/>
  <c r="X938" i="1"/>
  <c r="X916" i="1"/>
  <c r="X1243" i="1"/>
  <c r="X515" i="1"/>
  <c r="X686" i="1"/>
  <c r="X281" i="1"/>
  <c r="X1151" i="1"/>
  <c r="X416" i="1"/>
  <c r="X823" i="1"/>
  <c r="X472" i="1"/>
  <c r="X617" i="1"/>
  <c r="X719" i="1"/>
  <c r="X746" i="1"/>
  <c r="X1265" i="1"/>
  <c r="Z1265" i="1" s="1"/>
  <c r="Y1265" i="1" s="1"/>
  <c r="X987" i="1"/>
  <c r="Z987" i="1" s="1"/>
  <c r="Y987" i="1" s="1"/>
  <c r="X124" i="1"/>
  <c r="Z124" i="1" s="1"/>
  <c r="Y124" i="1" s="1"/>
  <c r="X47" i="1"/>
  <c r="X219" i="1"/>
  <c r="X1212" i="1"/>
  <c r="X1195" i="1"/>
  <c r="X942" i="1"/>
  <c r="Z942" i="1" s="1"/>
  <c r="Y942" i="1" s="1"/>
  <c r="X824" i="1"/>
  <c r="Z824" i="1" s="1"/>
  <c r="Y824" i="1" s="1"/>
  <c r="X779" i="1"/>
  <c r="Z779" i="1" s="1"/>
  <c r="Y779" i="1" s="1"/>
  <c r="X319" i="1"/>
  <c r="Z319" i="1" s="1"/>
  <c r="Y319" i="1" s="1"/>
  <c r="X174" i="1"/>
  <c r="Z174" i="1" s="1"/>
  <c r="Y174" i="1" s="1"/>
  <c r="X1045" i="1"/>
  <c r="X872" i="1"/>
  <c r="X1245" i="1"/>
  <c r="X107" i="1"/>
  <c r="X365" i="1"/>
  <c r="X132" i="1"/>
  <c r="X168" i="1"/>
  <c r="X481" i="1"/>
  <c r="X1023" i="1"/>
  <c r="X334" i="1"/>
  <c r="X148" i="1"/>
  <c r="X409" i="1"/>
  <c r="X739" i="1"/>
  <c r="X1257" i="1"/>
  <c r="X72" i="1"/>
  <c r="X1180" i="1"/>
  <c r="X51" i="1"/>
  <c r="Z51" i="1" s="1"/>
  <c r="Y51" i="1" s="1"/>
  <c r="X781" i="1"/>
  <c r="Z781" i="1" s="1"/>
  <c r="Y781" i="1" s="1"/>
  <c r="X1249" i="1"/>
  <c r="Z1249" i="1" s="1"/>
  <c r="Y1249" i="1" s="1"/>
  <c r="X561" i="1"/>
  <c r="X1252" i="1"/>
  <c r="X1145" i="1"/>
  <c r="X108" i="1"/>
  <c r="X541" i="1"/>
  <c r="Z541" i="1" s="1"/>
  <c r="Y541" i="1" s="1"/>
  <c r="X350" i="1"/>
  <c r="Z350" i="1" s="1"/>
  <c r="Y350" i="1" s="1"/>
  <c r="X389" i="1"/>
  <c r="Z389" i="1" s="1"/>
  <c r="Y389" i="1" s="1"/>
  <c r="X1163" i="1"/>
  <c r="Z1163" i="1" s="1"/>
  <c r="Y1163" i="1" s="1"/>
  <c r="X1121" i="1"/>
  <c r="Z1121" i="1" s="1"/>
  <c r="Y1121" i="1" s="1"/>
  <c r="X440" i="1"/>
  <c r="X414" i="1"/>
  <c r="X979" i="1"/>
  <c r="X1194" i="1"/>
  <c r="X162" i="1"/>
  <c r="X801" i="1"/>
  <c r="X516" i="1"/>
  <c r="X1021" i="1"/>
  <c r="X1030" i="1"/>
  <c r="X742" i="1"/>
  <c r="X425" i="1"/>
  <c r="X447" i="1"/>
  <c r="X676" i="1"/>
  <c r="X44" i="1"/>
  <c r="X383" i="1"/>
  <c r="X606" i="1"/>
  <c r="Z606" i="1" s="1"/>
  <c r="Y606" i="1" s="1"/>
  <c r="X525" i="1"/>
  <c r="Z525" i="1" s="1"/>
  <c r="Y525" i="1" s="1"/>
  <c r="X1253" i="1"/>
  <c r="Z1253" i="1" s="1"/>
  <c r="Y1253" i="1" s="1"/>
  <c r="X1203" i="1"/>
  <c r="Z1203" i="1" s="1"/>
  <c r="Y1203" i="1" s="1"/>
  <c r="X511" i="1"/>
  <c r="X768" i="1"/>
  <c r="X871" i="1"/>
  <c r="X1071" i="1"/>
  <c r="Z1071" i="1" s="1"/>
  <c r="Y1071" i="1" s="1"/>
  <c r="X810" i="1"/>
  <c r="Z810" i="1" s="1"/>
  <c r="Y810" i="1" s="1"/>
  <c r="X373" i="1"/>
  <c r="Z373" i="1" s="1"/>
  <c r="Y373" i="1" s="1"/>
  <c r="X736" i="1"/>
  <c r="Z736" i="1" s="1"/>
  <c r="Y736" i="1" s="1"/>
  <c r="X1240" i="1"/>
  <c r="Z1240" i="1" s="1"/>
  <c r="Y1240" i="1" s="1"/>
  <c r="X602" i="1"/>
  <c r="X129" i="1"/>
  <c r="X323" i="1"/>
  <c r="X826" i="1"/>
  <c r="X1167" i="1"/>
  <c r="X477" i="1"/>
  <c r="X240" i="1"/>
  <c r="X564" i="1"/>
  <c r="X795" i="1"/>
  <c r="X38" i="1"/>
  <c r="X612" i="1"/>
  <c r="X422" i="1"/>
  <c r="X245" i="1"/>
  <c r="X749" i="1"/>
  <c r="X735" i="1"/>
  <c r="X1254" i="1"/>
  <c r="Z1254" i="1" s="1"/>
  <c r="Y1254" i="1" s="1"/>
  <c r="X1162" i="1"/>
  <c r="Z1162" i="1" s="1"/>
  <c r="Y1162" i="1" s="1"/>
  <c r="X135" i="1"/>
  <c r="Z135" i="1" s="1"/>
  <c r="Y135" i="1" s="1"/>
  <c r="X52" i="1"/>
  <c r="X197" i="1"/>
  <c r="X249" i="1"/>
  <c r="X1065" i="1"/>
  <c r="X503" i="1"/>
  <c r="Z503" i="1" s="1"/>
  <c r="Y503" i="1" s="1"/>
  <c r="X1236" i="1"/>
  <c r="Z1236" i="1" s="1"/>
  <c r="Y1236" i="1" s="1"/>
  <c r="X616" i="1"/>
  <c r="Z616" i="1" s="1"/>
  <c r="Y616" i="1" s="1"/>
  <c r="X825" i="1"/>
  <c r="Z825" i="1" s="1"/>
  <c r="Y825" i="1" s="1"/>
  <c r="X386" i="1"/>
  <c r="Z386" i="1" s="1"/>
  <c r="Y386" i="1" s="1"/>
  <c r="X498" i="1"/>
  <c r="X1123" i="1"/>
  <c r="X433" i="1"/>
  <c r="X485" i="1"/>
  <c r="X64" i="1"/>
  <c r="X733" i="1"/>
  <c r="X628" i="1"/>
  <c r="X1251" i="1"/>
  <c r="X723" i="1"/>
  <c r="X276" i="1"/>
  <c r="X1096" i="1"/>
  <c r="X473" i="1"/>
  <c r="X1070" i="1"/>
  <c r="X905" i="1"/>
  <c r="X1199" i="1"/>
  <c r="X670" i="1"/>
  <c r="X348" i="1"/>
  <c r="Z348" i="1" s="1"/>
  <c r="Y348" i="1" s="1"/>
  <c r="X376" i="1"/>
  <c r="Z376" i="1" s="1"/>
  <c r="Y376" i="1" s="1"/>
  <c r="X999" i="1"/>
  <c r="Z999" i="1" s="1"/>
  <c r="Y999" i="1" s="1"/>
  <c r="X1060" i="1"/>
  <c r="X720" i="1"/>
  <c r="Z720" i="1" s="1"/>
  <c r="Y720" i="1" s="1"/>
  <c r="X738" i="1"/>
  <c r="Z738" i="1" s="1"/>
  <c r="Y738" i="1" s="1"/>
  <c r="X24" i="1"/>
  <c r="Z24" i="1" s="1"/>
  <c r="Y24" i="1" s="1"/>
  <c r="X1052" i="1"/>
  <c r="Z1052" i="1" s="1"/>
  <c r="Y1052" i="1" s="1"/>
  <c r="X637" i="1"/>
  <c r="Z637" i="1" s="1"/>
  <c r="Y637" i="1" s="1"/>
  <c r="X60" i="1"/>
  <c r="Z60" i="1" s="1"/>
  <c r="Y60" i="1" s="1"/>
  <c r="X295" i="1"/>
  <c r="Z295" i="1" s="1"/>
  <c r="Y295" i="1" s="1"/>
  <c r="X1268" i="1"/>
  <c r="Z1268" i="1" s="1"/>
  <c r="Y1268" i="1" s="1"/>
  <c r="X1229" i="1"/>
  <c r="X204" i="1"/>
  <c r="X510" i="1"/>
  <c r="X900" i="1"/>
  <c r="X957" i="1"/>
  <c r="X885" i="1"/>
  <c r="X531" i="1"/>
  <c r="X521" i="1"/>
  <c r="X151" i="1"/>
  <c r="X1015" i="1"/>
  <c r="X1169" i="1"/>
  <c r="X327" i="1"/>
  <c r="X688" i="1"/>
  <c r="X35" i="1"/>
  <c r="X394" i="1"/>
  <c r="X172" i="1"/>
  <c r="X237" i="1"/>
  <c r="Z237" i="1" s="1"/>
  <c r="Y237" i="1" s="1"/>
  <c r="X822" i="1"/>
  <c r="Z822" i="1" s="1"/>
  <c r="Y822" i="1" s="1"/>
  <c r="X963" i="1"/>
  <c r="Z963" i="1" s="1"/>
  <c r="Y963" i="1" s="1"/>
  <c r="X650" i="1"/>
  <c r="X1278" i="1"/>
  <c r="X1050" i="1"/>
  <c r="X1091" i="1"/>
  <c r="X880" i="1"/>
  <c r="Z880" i="1" s="1"/>
  <c r="Y880" i="1" s="1"/>
  <c r="X292" i="1"/>
  <c r="Z292" i="1" s="1"/>
  <c r="Y292" i="1" s="1"/>
  <c r="X1238" i="1"/>
  <c r="Z1238" i="1" s="1"/>
  <c r="Y1238" i="1" s="1"/>
  <c r="X633" i="1"/>
  <c r="Z633" i="1" s="1"/>
  <c r="Y633" i="1" s="1"/>
  <c r="X536" i="1"/>
  <c r="Z536" i="1" s="1"/>
  <c r="Y536" i="1" s="1"/>
  <c r="X741" i="1"/>
  <c r="X417" i="1"/>
  <c r="X1072" i="1"/>
  <c r="X374" i="1"/>
  <c r="X58" i="1"/>
  <c r="X538" i="1"/>
  <c r="X362" i="1"/>
  <c r="X559" i="1"/>
  <c r="X181" i="1"/>
  <c r="X1128" i="1"/>
  <c r="X229" i="1"/>
  <c r="X94" i="1"/>
  <c r="X1201" i="1"/>
  <c r="X703" i="1"/>
  <c r="X454" i="1"/>
  <c r="X401" i="1"/>
  <c r="X919" i="1"/>
  <c r="Z919" i="1" s="1"/>
  <c r="Y919" i="1" s="1"/>
  <c r="X621" i="1"/>
  <c r="Z621" i="1" s="1"/>
  <c r="Y621" i="1" s="1"/>
  <c r="X177" i="1"/>
  <c r="Z177" i="1" s="1"/>
  <c r="Y177" i="1" s="1"/>
  <c r="X873" i="1"/>
  <c r="X1080" i="1"/>
  <c r="X311" i="1"/>
  <c r="X1020" i="1"/>
  <c r="X903" i="1"/>
  <c r="Z903" i="1" s="1"/>
  <c r="Y903" i="1" s="1"/>
  <c r="X968" i="1"/>
  <c r="Z968" i="1" s="1"/>
  <c r="Y968" i="1" s="1"/>
  <c r="X1187" i="1"/>
  <c r="Z1187" i="1" s="1"/>
  <c r="Y1187" i="1" s="1"/>
  <c r="X817" i="1"/>
  <c r="Z817" i="1" s="1"/>
  <c r="Y817" i="1" s="1"/>
  <c r="X321" i="1"/>
  <c r="Z321" i="1" s="1"/>
  <c r="Y321" i="1" s="1"/>
  <c r="X423" i="1"/>
  <c r="X167" i="1"/>
  <c r="X317" i="1"/>
  <c r="X1258" i="1"/>
  <c r="X1262" i="1"/>
  <c r="X1230" i="1"/>
  <c r="X574" i="1"/>
  <c r="X534" i="1"/>
  <c r="X452" i="1"/>
  <c r="X846" i="1"/>
  <c r="X674" i="1"/>
  <c r="X1215" i="1"/>
  <c r="X1114" i="1"/>
  <c r="X567" i="1"/>
  <c r="X859" i="1"/>
  <c r="X1205" i="1"/>
  <c r="Z1205" i="1" s="1"/>
  <c r="Y1205" i="1" s="1"/>
  <c r="X529" i="1"/>
  <c r="Z529" i="1" s="1"/>
  <c r="Y529" i="1" s="1"/>
  <c r="X262" i="1"/>
  <c r="Z262" i="1" s="1"/>
  <c r="Y262" i="1" s="1"/>
  <c r="X877" i="1"/>
  <c r="X266" i="1"/>
  <c r="X847" i="1"/>
  <c r="X961" i="1"/>
  <c r="X932" i="1"/>
  <c r="Z932" i="1" s="1"/>
  <c r="Y932" i="1" s="1"/>
  <c r="X702" i="1"/>
  <c r="Z702" i="1" s="1"/>
  <c r="Y702" i="1" s="1"/>
  <c r="X1127" i="1"/>
  <c r="Z1127" i="1" s="1"/>
  <c r="Y1127" i="1" s="1"/>
  <c r="X941" i="1"/>
  <c r="Z941" i="1" s="1"/>
  <c r="Y941" i="1" s="1"/>
  <c r="X546" i="1"/>
  <c r="Z546" i="1" s="1"/>
  <c r="Y546" i="1" s="1"/>
  <c r="X921" i="1"/>
  <c r="X379" i="1"/>
  <c r="X403" i="1"/>
  <c r="X54" i="1"/>
  <c r="X638" i="1"/>
  <c r="X285" i="1"/>
  <c r="X277" i="1"/>
  <c r="X1216" i="1"/>
  <c r="X142" i="1"/>
  <c r="X88" i="1"/>
  <c r="X478" i="1"/>
  <c r="X666" i="1"/>
  <c r="X820" i="1"/>
  <c r="X1175" i="1"/>
  <c r="X1172" i="1"/>
  <c r="X426" i="1"/>
  <c r="X1196" i="1"/>
  <c r="Z1196" i="1" s="1"/>
  <c r="Y1196" i="1" s="1"/>
  <c r="X656" i="1"/>
  <c r="Z656" i="1" s="1"/>
  <c r="Y656" i="1" s="1"/>
  <c r="X1186" i="1"/>
  <c r="Z1186" i="1" s="1"/>
  <c r="Y1186" i="1" s="1"/>
  <c r="X848" i="1"/>
  <c r="X639" i="1"/>
  <c r="X224" i="1"/>
  <c r="X333" i="1"/>
  <c r="X196" i="1"/>
  <c r="Z196" i="1" s="1"/>
  <c r="Y196" i="1" s="1"/>
  <c r="X1264" i="1"/>
  <c r="Z1264" i="1" s="1"/>
  <c r="Y1264" i="1" s="1"/>
  <c r="X870" i="1"/>
  <c r="Z870" i="1" s="1"/>
  <c r="Y870" i="1" s="1"/>
  <c r="X8" i="1"/>
  <c r="Z8" i="1" s="1"/>
  <c r="Y8" i="1" s="1"/>
  <c r="X540" i="1"/>
  <c r="Z540" i="1" s="1"/>
  <c r="Y540" i="1" s="1"/>
  <c r="X1282" i="1"/>
  <c r="X393" i="1"/>
  <c r="X82" i="1"/>
  <c r="X929" i="1"/>
  <c r="X545" i="1"/>
  <c r="X952" i="1"/>
  <c r="X707" i="1"/>
  <c r="X853" i="1"/>
  <c r="X935" i="1"/>
  <c r="X695" i="1"/>
  <c r="X1256" i="1"/>
  <c r="X208" i="1"/>
  <c r="X980" i="1"/>
  <c r="X922" i="1"/>
  <c r="X359" i="1"/>
  <c r="X1283" i="1"/>
  <c r="X988" i="1"/>
  <c r="Z988" i="1" s="1"/>
  <c r="Y988" i="1" s="1"/>
  <c r="X212" i="1"/>
  <c r="Z212" i="1" s="1"/>
  <c r="Y212" i="1" s="1"/>
  <c r="X404" i="1"/>
  <c r="Z404" i="1" s="1"/>
  <c r="Y404" i="1" s="1"/>
  <c r="X527" i="1"/>
  <c r="Z527" i="1" s="1"/>
  <c r="Y527" i="1" s="1"/>
  <c r="X1273" i="1"/>
  <c r="X1292" i="1"/>
  <c r="X508" i="1"/>
  <c r="X483" i="1"/>
  <c r="Z483" i="1" s="1"/>
  <c r="Y483" i="1" s="1"/>
  <c r="X790" i="1"/>
  <c r="Z790" i="1" s="1"/>
  <c r="Y790" i="1" s="1"/>
  <c r="X730" i="1"/>
  <c r="Z730" i="1" s="1"/>
  <c r="Y730" i="1" s="1"/>
  <c r="X786" i="1"/>
  <c r="Z786" i="1" s="1"/>
  <c r="Y786" i="1" s="1"/>
  <c r="X673" i="1"/>
  <c r="Z673" i="1" s="1"/>
  <c r="Y673" i="1" s="1"/>
  <c r="X1004" i="1"/>
  <c r="X1126" i="1"/>
  <c r="X1219" i="1"/>
  <c r="X325" i="1"/>
  <c r="X965" i="1"/>
  <c r="X576" i="1"/>
  <c r="X243" i="1"/>
  <c r="X796" i="1"/>
  <c r="X364" i="1"/>
  <c r="X548" i="1"/>
  <c r="X577" i="1"/>
  <c r="X895" i="1"/>
  <c r="X85" i="1"/>
  <c r="X613" i="1"/>
  <c r="X1211" i="1"/>
  <c r="X1288" i="1"/>
  <c r="Z1288" i="1" s="1"/>
  <c r="Y1288" i="1" s="1"/>
  <c r="X170" i="1"/>
  <c r="Z170" i="1" s="1"/>
  <c r="Y170" i="1" s="1"/>
  <c r="X948" i="1"/>
  <c r="Z948" i="1" s="1"/>
  <c r="Y948" i="1" s="1"/>
  <c r="X691" i="1"/>
  <c r="X699" i="1"/>
  <c r="X1289" i="1"/>
  <c r="X189" i="1"/>
  <c r="X1104" i="1"/>
  <c r="Z1104" i="1" s="1"/>
  <c r="Y1104" i="1" s="1"/>
  <c r="X672" i="1"/>
  <c r="Z672" i="1" s="1"/>
  <c r="Y672" i="1" s="1"/>
  <c r="X48" i="1"/>
  <c r="Z48" i="1" s="1"/>
  <c r="Y48" i="1" s="1"/>
  <c r="X694" i="1"/>
  <c r="Z694" i="1" s="1"/>
  <c r="Y694" i="1" s="1"/>
  <c r="X578" i="1"/>
  <c r="Z578" i="1" s="1"/>
  <c r="Y578" i="1" s="1"/>
  <c r="X836" i="1"/>
  <c r="X155" i="1"/>
  <c r="X1133" i="1"/>
  <c r="X158" i="1"/>
  <c r="X28" i="1"/>
  <c r="X106" i="1"/>
  <c r="X255" i="1"/>
  <c r="X493" i="1"/>
  <c r="X1184" i="1"/>
  <c r="X147" i="1"/>
  <c r="X1285" i="1"/>
  <c r="X782" i="1"/>
  <c r="X596" i="1"/>
  <c r="X218" i="1"/>
  <c r="X569" i="1"/>
  <c r="X1027" i="1"/>
  <c r="Z1027" i="1" s="1"/>
  <c r="Y1027" i="1" s="1"/>
  <c r="X808" i="1"/>
  <c r="Z808" i="1" s="1"/>
  <c r="Y808" i="1" s="1"/>
  <c r="X131" i="1"/>
  <c r="X1287" i="1"/>
  <c r="Z1287" i="1" s="1"/>
  <c r="Y1287" i="1" s="1"/>
  <c r="U291" i="1"/>
  <c r="U883" i="1"/>
  <c r="U71" i="1"/>
  <c r="U1182" i="1"/>
  <c r="U252" i="1"/>
  <c r="U558" i="1"/>
  <c r="U318" i="1"/>
  <c r="U1058" i="1"/>
  <c r="U349" i="1"/>
  <c r="U205" i="1"/>
  <c r="U619" i="1"/>
  <c r="U186" i="1"/>
  <c r="U18" i="1"/>
  <c r="U32" i="1"/>
  <c r="U1242" i="1"/>
  <c r="U912" i="1"/>
  <c r="U10" i="1"/>
  <c r="U878" i="1"/>
  <c r="U462" i="1"/>
  <c r="U284" i="1"/>
  <c r="U784" i="1"/>
  <c r="U83" i="1"/>
  <c r="U271" i="1"/>
  <c r="U1208" i="1"/>
  <c r="U61" i="1"/>
  <c r="U111" i="1"/>
  <c r="U1147" i="1"/>
  <c r="U314" i="1"/>
  <c r="U118" i="1"/>
  <c r="U235" i="1"/>
  <c r="U1076" i="1"/>
  <c r="U976" i="1"/>
  <c r="U550" i="1"/>
  <c r="U630" i="1"/>
  <c r="U90" i="1"/>
  <c r="U470" i="1"/>
  <c r="U67" i="1"/>
  <c r="U626" i="1"/>
  <c r="U70" i="1"/>
  <c r="U690" i="1"/>
  <c r="U590" i="1"/>
  <c r="U23" i="1"/>
  <c r="U1217" i="1"/>
  <c r="U675" i="1"/>
  <c r="U76" i="1"/>
  <c r="U744" i="1"/>
  <c r="AH744" i="1" s="1"/>
  <c r="AG744" i="1" s="1"/>
  <c r="U16" i="1"/>
  <c r="U36" i="1"/>
  <c r="U297" i="1"/>
  <c r="U1092" i="1"/>
  <c r="U105" i="1"/>
  <c r="U143" i="1"/>
  <c r="U954" i="1"/>
  <c r="U1106" i="1"/>
  <c r="U682" i="1"/>
  <c r="U647" i="1"/>
  <c r="U890" i="1"/>
  <c r="U804" i="1"/>
  <c r="U247" i="1"/>
  <c r="U231" i="1"/>
  <c r="U888" i="1"/>
  <c r="U598" i="1"/>
  <c r="U469" i="1"/>
  <c r="U667" i="1"/>
  <c r="U522" i="1"/>
  <c r="U514" i="1"/>
  <c r="U643" i="1"/>
  <c r="U56" i="1"/>
  <c r="U803" i="1"/>
  <c r="U256" i="1"/>
  <c r="U1042" i="1"/>
  <c r="U455" i="1"/>
  <c r="U642" i="1"/>
  <c r="U981" i="1"/>
  <c r="U226" i="1"/>
  <c r="U745" i="1"/>
  <c r="U998" i="1"/>
  <c r="U351" i="1"/>
  <c r="U443" i="1"/>
  <c r="U610" i="1"/>
  <c r="U116" i="1"/>
  <c r="U286" i="1"/>
  <c r="U114" i="1"/>
  <c r="U530" i="1"/>
  <c r="U413" i="1"/>
  <c r="U591" i="1"/>
  <c r="U581" i="1"/>
  <c r="U441" i="1"/>
  <c r="U726" i="1"/>
  <c r="U984" i="1"/>
  <c r="U257" i="1"/>
  <c r="U1009" i="1"/>
  <c r="U505" i="1"/>
  <c r="U457" i="1"/>
  <c r="U518" i="1"/>
  <c r="U837" i="1"/>
  <c r="U377" i="1"/>
  <c r="U704" i="1"/>
  <c r="U532" i="1"/>
  <c r="U2" i="1"/>
  <c r="U384" i="1"/>
  <c r="U1156" i="1"/>
  <c r="U953" i="1"/>
  <c r="U623" i="1"/>
  <c r="U248" i="1"/>
  <c r="U185" i="1"/>
  <c r="U59" i="1"/>
  <c r="U354" i="1"/>
  <c r="U1066" i="1"/>
  <c r="U950" i="1"/>
  <c r="U1193" i="1"/>
  <c r="U274" i="1"/>
  <c r="U792" i="1"/>
  <c r="U153" i="1"/>
  <c r="U1022" i="1"/>
  <c r="U1131" i="1"/>
  <c r="U484" i="1"/>
  <c r="U309" i="1"/>
  <c r="U671" i="1"/>
  <c r="U238" i="1"/>
  <c r="U1103" i="1"/>
  <c r="U471" i="1"/>
  <c r="U1062" i="1"/>
  <c r="U555" i="1"/>
  <c r="U382" i="1"/>
  <c r="U444" i="1"/>
  <c r="U594" i="1"/>
  <c r="U137" i="1"/>
  <c r="U603" i="1"/>
  <c r="U537" i="1"/>
  <c r="U864" i="1"/>
  <c r="U1117" i="1"/>
  <c r="U242" i="1"/>
  <c r="U264" i="1"/>
  <c r="U933" i="1"/>
  <c r="U127" i="1"/>
  <c r="U1149" i="1"/>
  <c r="U1129" i="1"/>
  <c r="U405" i="1"/>
  <c r="U520" i="1"/>
  <c r="U542" i="1"/>
  <c r="U715" i="1"/>
  <c r="U74" i="1"/>
  <c r="U886" i="1"/>
  <c r="U175" i="1"/>
  <c r="U313" i="1"/>
  <c r="U166" i="1"/>
  <c r="U737" i="1"/>
  <c r="U776" i="1"/>
  <c r="U1136" i="1"/>
  <c r="U202" i="1"/>
  <c r="U547" i="1"/>
  <c r="U434" i="1"/>
  <c r="U251" i="1"/>
  <c r="U294" i="1"/>
  <c r="U533" i="1"/>
  <c r="U1082" i="1"/>
  <c r="U766" i="1"/>
  <c r="U399" i="1"/>
  <c r="U909" i="1"/>
  <c r="U234" i="1"/>
  <c r="U214" i="1"/>
  <c r="U875" i="1"/>
  <c r="U978" i="1"/>
  <c r="U253" i="1"/>
  <c r="U254" i="1"/>
  <c r="U336" i="1"/>
  <c r="U109" i="1"/>
  <c r="U134" i="1"/>
  <c r="U342" i="1"/>
  <c r="U490" i="1"/>
  <c r="U519" i="1"/>
  <c r="U634" i="1"/>
  <c r="U1139" i="1"/>
  <c r="U53" i="1"/>
  <c r="U662" i="1"/>
  <c r="U1246" i="1"/>
  <c r="U1143" i="1"/>
  <c r="U1218" i="1"/>
  <c r="U1165" i="1"/>
  <c r="U372" i="1"/>
  <c r="U1200" i="1"/>
  <c r="U936" i="1"/>
  <c r="U974" i="1"/>
  <c r="U420" i="1"/>
  <c r="U330" i="1"/>
  <c r="U1261" i="1"/>
  <c r="U236" i="1"/>
  <c r="U203" i="1"/>
  <c r="U45" i="1"/>
  <c r="U450" i="1"/>
  <c r="U369" i="1"/>
  <c r="U1179" i="1"/>
  <c r="U41" i="1"/>
  <c r="U122" i="1"/>
  <c r="U1228" i="1"/>
  <c r="U1028" i="1"/>
  <c r="U103" i="1"/>
  <c r="U128" i="1"/>
  <c r="U923" i="1"/>
  <c r="U964" i="1"/>
  <c r="U55" i="1"/>
  <c r="U157" i="1"/>
  <c r="U709" i="1"/>
  <c r="U698" i="1"/>
  <c r="U858" i="1"/>
  <c r="U367" i="1"/>
  <c r="U544" i="1"/>
  <c r="U19" i="1"/>
  <c r="U797" i="1"/>
  <c r="U678" i="1"/>
  <c r="U282" i="1"/>
  <c r="U966" i="1"/>
  <c r="U299" i="1"/>
  <c r="U363" i="1"/>
  <c r="U464" i="1"/>
  <c r="U714" i="1"/>
  <c r="U25" i="1"/>
  <c r="U897" i="1"/>
  <c r="U331" i="1"/>
  <c r="U213" i="1"/>
  <c r="U1012" i="1"/>
  <c r="U640" i="1"/>
  <c r="U956" i="1"/>
  <c r="U1170" i="1"/>
  <c r="U1271" i="1"/>
  <c r="U293" i="1"/>
  <c r="U710" i="1"/>
  <c r="U580" i="1"/>
  <c r="U1056" i="1"/>
  <c r="U910" i="1"/>
  <c r="U838" i="1"/>
  <c r="U303" i="1"/>
  <c r="U807" i="1"/>
  <c r="U600" i="1"/>
  <c r="U1188" i="1"/>
  <c r="U1153" i="1"/>
  <c r="AH1153" i="1" s="1"/>
  <c r="AG1153" i="1" s="1"/>
  <c r="U432" i="1"/>
  <c r="U268" i="1"/>
  <c r="U1008" i="1"/>
  <c r="U990" i="1"/>
  <c r="U758" i="1"/>
  <c r="U324" i="1"/>
  <c r="U800" i="1"/>
  <c r="U1109" i="1"/>
  <c r="U316" i="1"/>
  <c r="U1220" i="1"/>
  <c r="U597" i="1"/>
  <c r="U827" i="1"/>
  <c r="U489" i="1"/>
  <c r="U125" i="1"/>
  <c r="U1067" i="1"/>
  <c r="U605" i="1"/>
  <c r="U230" i="1"/>
  <c r="U1003" i="1"/>
  <c r="U1083" i="1"/>
  <c r="U492" i="1"/>
  <c r="U740" i="1"/>
  <c r="U1191" i="1"/>
  <c r="U972" i="1"/>
  <c r="U562" i="1"/>
  <c r="U65" i="1"/>
  <c r="U683" i="1"/>
  <c r="U199" i="1"/>
  <c r="U140" i="1"/>
  <c r="U755" i="1"/>
  <c r="U879" i="1"/>
  <c r="U772" i="1"/>
  <c r="U442" i="1"/>
  <c r="U586" i="1"/>
  <c r="AH586" i="1" s="1"/>
  <c r="AG586" i="1" s="1"/>
  <c r="AE586" i="1" s="1"/>
  <c r="AC586" i="1" s="1"/>
  <c r="U809" i="1"/>
  <c r="U178" i="1"/>
  <c r="U729" i="1"/>
  <c r="U1202" i="1"/>
  <c r="U43" i="1"/>
  <c r="U154" i="1"/>
  <c r="U328" i="1"/>
  <c r="U263" i="1"/>
  <c r="U1054" i="1"/>
  <c r="U491" i="1"/>
  <c r="U904" i="1"/>
  <c r="U361" i="1"/>
  <c r="U700" i="1"/>
  <c r="U843" i="1"/>
  <c r="U1232" i="1"/>
  <c r="U995" i="1"/>
  <c r="U1291" i="1"/>
  <c r="U1173" i="1"/>
  <c r="U66" i="1"/>
  <c r="U1081" i="1"/>
  <c r="U724" i="1"/>
  <c r="U660" i="1"/>
  <c r="U78" i="1"/>
  <c r="U1181" i="1"/>
  <c r="U563" i="1"/>
  <c r="U26" i="1"/>
  <c r="U1059" i="1"/>
  <c r="U901" i="1"/>
  <c r="U1247" i="1"/>
  <c r="AH1247" i="1" s="1"/>
  <c r="AG1247" i="1" s="1"/>
  <c r="U104" i="1"/>
  <c r="U1237" i="1"/>
  <c r="U84" i="1"/>
  <c r="U346" i="1"/>
  <c r="U211" i="1"/>
  <c r="U830" i="1"/>
  <c r="U1018" i="1"/>
  <c r="U973" i="1"/>
  <c r="U648" i="1"/>
  <c r="U487" i="1"/>
  <c r="U849" i="1"/>
  <c r="U1276" i="1"/>
  <c r="U573" i="1"/>
  <c r="U102" i="1"/>
  <c r="U1084" i="1"/>
  <c r="U50" i="1"/>
  <c r="U1164" i="1"/>
  <c r="U278" i="1"/>
  <c r="U1047" i="1"/>
  <c r="U579" i="1"/>
  <c r="U868" i="1"/>
  <c r="U302" i="1"/>
  <c r="U338" i="1"/>
  <c r="U37" i="1"/>
  <c r="U193" i="1"/>
  <c r="U458" i="1"/>
  <c r="U1040" i="1"/>
  <c r="U6" i="1"/>
  <c r="U1031" i="1"/>
  <c r="U1014" i="1"/>
  <c r="U834" i="1"/>
  <c r="U358" i="1"/>
  <c r="U1108" i="1"/>
  <c r="U355" i="1"/>
  <c r="U839" i="1"/>
  <c r="U1025" i="1"/>
  <c r="U552" i="1"/>
  <c r="U79" i="1"/>
  <c r="U459" i="1"/>
  <c r="U400" i="1"/>
  <c r="U395" i="1"/>
  <c r="U949" i="1"/>
  <c r="U356" i="1"/>
  <c r="U402" i="1"/>
  <c r="U931" i="1"/>
  <c r="U449" i="1"/>
  <c r="U1068" i="1"/>
  <c r="U1024" i="1"/>
  <c r="U289" i="1"/>
  <c r="U925" i="1"/>
  <c r="U1043" i="1"/>
  <c r="U589" i="1"/>
  <c r="U14" i="1"/>
  <c r="U421" i="1"/>
  <c r="U595" i="1"/>
  <c r="U418" i="1"/>
  <c r="AH418" i="1" s="1"/>
  <c r="AG418" i="1" s="1"/>
  <c r="U1090" i="1"/>
  <c r="U874" i="1"/>
  <c r="U554" i="1"/>
  <c r="U967" i="1"/>
  <c r="U310" i="1"/>
  <c r="U288" i="1"/>
  <c r="U110" i="1"/>
  <c r="U1101" i="1"/>
  <c r="U466" i="1"/>
  <c r="U1048" i="1"/>
  <c r="U971" i="1"/>
  <c r="U1119" i="1"/>
  <c r="U986" i="1"/>
  <c r="U101" i="1"/>
  <c r="U225" i="1"/>
  <c r="U679" i="1"/>
  <c r="U918" i="1"/>
  <c r="U593" i="1"/>
  <c r="U989" i="1"/>
  <c r="U341" i="1"/>
  <c r="U568" i="1"/>
  <c r="U280" i="1"/>
  <c r="U1260" i="1"/>
  <c r="U138" i="1"/>
  <c r="U1032" i="1"/>
  <c r="U476" i="1"/>
  <c r="U39" i="1"/>
  <c r="U632" i="1"/>
  <c r="U198" i="1"/>
  <c r="U467" i="1"/>
  <c r="U1029" i="1"/>
  <c r="U260" i="1"/>
  <c r="U352" i="1"/>
  <c r="U828" i="1"/>
  <c r="U752" i="1"/>
  <c r="U1231" i="1"/>
  <c r="U1176" i="1"/>
  <c r="U480" i="1"/>
  <c r="U93" i="1"/>
  <c r="U765" i="1"/>
  <c r="U1161" i="1"/>
  <c r="U689" i="1"/>
  <c r="U769" i="1"/>
  <c r="U1190" i="1"/>
  <c r="U31" i="1"/>
  <c r="U165" i="1"/>
  <c r="U121" i="1"/>
  <c r="U290" i="1"/>
  <c r="U732" i="1"/>
  <c r="U270" i="1"/>
  <c r="U866" i="1"/>
  <c r="U306" i="1"/>
  <c r="U460" i="1"/>
  <c r="U604" i="1"/>
  <c r="U1044" i="1"/>
  <c r="U1209" i="1"/>
  <c r="U27" i="1"/>
  <c r="U80" i="1"/>
  <c r="U366" i="1"/>
  <c r="U136" i="1"/>
  <c r="U1290" i="1"/>
  <c r="U239" i="1"/>
  <c r="U169" i="1"/>
  <c r="U657" i="1"/>
  <c r="U216" i="1"/>
  <c r="U152" i="1"/>
  <c r="U1019" i="1"/>
  <c r="U1132" i="1"/>
  <c r="U427" i="1"/>
  <c r="U159" i="1"/>
  <c r="U68" i="1"/>
  <c r="U305" i="1"/>
  <c r="U651" i="1"/>
  <c r="U869" i="1"/>
  <c r="U385" i="1"/>
  <c r="U734" i="1"/>
  <c r="U113" i="1"/>
  <c r="U1077" i="1"/>
  <c r="U479" i="1"/>
  <c r="U504" i="1"/>
  <c r="U857" i="1"/>
  <c r="U993" i="1"/>
  <c r="U850" i="1"/>
  <c r="U173" i="1"/>
  <c r="U30" i="1"/>
  <c r="U1244" i="1"/>
  <c r="U81" i="1"/>
  <c r="U585" i="1"/>
  <c r="U217" i="1"/>
  <c r="U145" i="1"/>
  <c r="U535" i="1"/>
  <c r="U731" i="1"/>
  <c r="U451" i="1"/>
  <c r="U119" i="1"/>
  <c r="U894" i="1"/>
  <c r="U780" i="1"/>
  <c r="U272" i="1"/>
  <c r="U195" i="1"/>
  <c r="U696" i="1"/>
  <c r="U250" i="1"/>
  <c r="U783" i="1"/>
  <c r="U144" i="1"/>
  <c r="U863" i="1"/>
  <c r="U608" i="1"/>
  <c r="U1078" i="1"/>
  <c r="U509" i="1"/>
  <c r="U767" i="1"/>
  <c r="U618" i="1"/>
  <c r="U474" i="1"/>
  <c r="U115" i="1"/>
  <c r="U207" i="1"/>
  <c r="U750" i="1"/>
  <c r="U892" i="1"/>
  <c r="U862" i="1"/>
  <c r="U300" i="1"/>
  <c r="U91" i="1"/>
  <c r="U1046" i="1"/>
  <c r="U1130" i="1"/>
  <c r="U307" i="1"/>
  <c r="U390" i="1"/>
  <c r="U663" i="1"/>
  <c r="U661" i="1"/>
  <c r="U851" i="1"/>
  <c r="U1227" i="1"/>
  <c r="U852" i="1"/>
  <c r="U494" i="1"/>
  <c r="U706" i="1"/>
  <c r="U1111" i="1"/>
  <c r="U811" i="1"/>
  <c r="U11" i="1"/>
  <c r="U1007" i="1"/>
  <c r="U1189" i="1"/>
  <c r="U329" i="1"/>
  <c r="U375" i="1"/>
  <c r="U609" i="1"/>
  <c r="U1154" i="1"/>
  <c r="U751" i="1"/>
  <c r="U728" i="1"/>
  <c r="U1026" i="1"/>
  <c r="U1137" i="1"/>
  <c r="U819" i="1"/>
  <c r="U46" i="1"/>
  <c r="U716" i="1"/>
  <c r="U438" i="1"/>
  <c r="U551" i="1"/>
  <c r="U1221" i="1"/>
  <c r="U572" i="1"/>
  <c r="U644" i="1"/>
  <c r="U507" i="1"/>
  <c r="U428" i="1"/>
  <c r="U296" i="1"/>
  <c r="U1107" i="1"/>
  <c r="U500" i="1"/>
  <c r="U1259" i="1"/>
  <c r="U1272" i="1"/>
  <c r="U771" i="1"/>
  <c r="U1041" i="1"/>
  <c r="U1174" i="1"/>
  <c r="U543" i="1"/>
  <c r="U759" i="1"/>
  <c r="U763" i="1"/>
  <c r="U1001" i="1"/>
  <c r="U73" i="1"/>
  <c r="U499" i="1"/>
  <c r="U164" i="1"/>
  <c r="U1033" i="1"/>
  <c r="U184" i="1"/>
  <c r="U1171" i="1"/>
  <c r="U223" i="1"/>
  <c r="U884" i="1"/>
  <c r="U911" i="1"/>
  <c r="U1146" i="1"/>
  <c r="U939" i="1"/>
  <c r="U1122" i="1"/>
  <c r="U770" i="1"/>
  <c r="U1248" i="1"/>
  <c r="U388" i="1"/>
  <c r="U461" i="1"/>
  <c r="U907" i="1"/>
  <c r="U439" i="1"/>
  <c r="U840" i="1"/>
  <c r="U556" i="1"/>
  <c r="U560" i="1"/>
  <c r="U1168" i="1"/>
  <c r="U410" i="1"/>
  <c r="U1115" i="1"/>
  <c r="U915" i="1"/>
  <c r="U1099" i="1"/>
  <c r="U899" i="1"/>
  <c r="U233" i="1"/>
  <c r="U357" i="1"/>
  <c r="U635" i="1"/>
  <c r="U805" i="1"/>
  <c r="U1051" i="1"/>
  <c r="U812" i="1"/>
  <c r="AH812" i="1" s="1"/>
  <c r="AG812" i="1" s="1"/>
  <c r="U902" i="1"/>
  <c r="U799" i="1"/>
  <c r="U77" i="1"/>
  <c r="U397" i="1"/>
  <c r="U308" i="1"/>
  <c r="U17" i="1"/>
  <c r="U655" i="1"/>
  <c r="U1120" i="1"/>
  <c r="U215" i="1"/>
  <c r="U221" i="1"/>
  <c r="U861" i="1"/>
  <c r="U97" i="1"/>
  <c r="U1118" i="1"/>
  <c r="U760" i="1"/>
  <c r="U722" i="1"/>
  <c r="U275" i="1"/>
  <c r="U539" i="1"/>
  <c r="U34" i="1"/>
  <c r="U176" i="1"/>
  <c r="U429" i="1"/>
  <c r="U488" i="1"/>
  <c r="U415" i="1"/>
  <c r="U1086" i="1"/>
  <c r="U99" i="1"/>
  <c r="U631" i="1"/>
  <c r="U1055" i="1"/>
  <c r="U620" i="1"/>
  <c r="U411" i="1"/>
  <c r="U668" i="1"/>
  <c r="U1274" i="1"/>
  <c r="U344" i="1"/>
  <c r="U258" i="1"/>
  <c r="U649" i="1"/>
  <c r="U1036" i="1"/>
  <c r="U917" i="1"/>
  <c r="U1135" i="1"/>
  <c r="U1138" i="1"/>
  <c r="U190" i="1"/>
  <c r="U1160" i="1"/>
  <c r="U1013" i="1"/>
  <c r="U1197" i="1"/>
  <c r="U712" i="1"/>
  <c r="U680" i="1"/>
  <c r="U788" i="1"/>
  <c r="U526" i="1"/>
  <c r="U298" i="1"/>
  <c r="U787" i="1"/>
  <c r="U924" i="1"/>
  <c r="U652" i="1"/>
  <c r="U816" i="1"/>
  <c r="U95" i="1"/>
  <c r="U761" i="1"/>
  <c r="U320" i="1"/>
  <c r="U629" i="1"/>
  <c r="U407" i="1"/>
  <c r="U717" i="1"/>
  <c r="U1088" i="1"/>
  <c r="U958" i="1"/>
  <c r="U928" i="1"/>
  <c r="U222" i="1"/>
  <c r="U842" i="1"/>
  <c r="U1177" i="1"/>
  <c r="U1094" i="1"/>
  <c r="U960" i="1"/>
  <c r="U436" i="1"/>
  <c r="U244" i="1"/>
  <c r="U1152" i="1"/>
  <c r="U228" i="1"/>
  <c r="U860" i="1"/>
  <c r="U9" i="1"/>
  <c r="U265" i="1"/>
  <c r="U1034" i="1"/>
  <c r="U1000" i="1"/>
  <c r="U721" i="1"/>
  <c r="U681" i="1"/>
  <c r="U7" i="1"/>
  <c r="U1134" i="1"/>
  <c r="U1263" i="1"/>
  <c r="U1214" i="1"/>
  <c r="U21" i="1"/>
  <c r="U798" i="1"/>
  <c r="U1178" i="1"/>
  <c r="U456" i="1"/>
  <c r="U1087" i="1"/>
  <c r="U1166" i="1"/>
  <c r="U49" i="1"/>
  <c r="U283" i="1"/>
  <c r="U1110" i="1"/>
  <c r="U345" i="1"/>
  <c r="U1239" i="1"/>
  <c r="U468" i="1"/>
  <c r="U645" i="1"/>
  <c r="U482" i="1"/>
  <c r="U241" i="1"/>
  <c r="U687" i="1"/>
  <c r="U908" i="1"/>
  <c r="U653" i="1"/>
  <c r="U378" i="1"/>
  <c r="U431" i="1"/>
  <c r="U802" i="1"/>
  <c r="U1206" i="1"/>
  <c r="U789" i="1"/>
  <c r="U1093" i="1"/>
  <c r="U753" i="1"/>
  <c r="U475" i="1"/>
  <c r="U92" i="1"/>
  <c r="U748" i="1"/>
  <c r="U141" i="1"/>
  <c r="U337" i="1"/>
  <c r="U86" i="1"/>
  <c r="U955" i="1"/>
  <c r="U528" i="1"/>
  <c r="U3" i="1"/>
  <c r="U1279" i="1"/>
  <c r="U718" i="1"/>
  <c r="U179" i="1"/>
  <c r="U1148" i="1"/>
  <c r="U992" i="1"/>
  <c r="U1075" i="1"/>
  <c r="U833" i="1"/>
  <c r="U188" i="1"/>
  <c r="U566" i="1"/>
  <c r="U1010" i="1"/>
  <c r="U1064" i="1"/>
  <c r="U261" i="1"/>
  <c r="U301" i="1"/>
  <c r="U5" i="1"/>
  <c r="U1002" i="1"/>
  <c r="U398" i="1"/>
  <c r="U756" i="1"/>
  <c r="U762" i="1"/>
  <c r="U448" i="1"/>
  <c r="U818" i="1"/>
  <c r="U335" i="1"/>
  <c r="U368" i="1"/>
  <c r="U975" i="1"/>
  <c r="U12" i="1"/>
  <c r="U1158" i="1"/>
  <c r="U611" i="1"/>
  <c r="U832" i="1"/>
  <c r="U1293" i="1"/>
  <c r="AH1293" i="1" s="1"/>
  <c r="AG1293" i="1" s="1"/>
  <c r="U149" i="1"/>
  <c r="U951" i="1"/>
  <c r="U607" i="1"/>
  <c r="U658" i="1"/>
  <c r="U412" i="1"/>
  <c r="U1192" i="1"/>
  <c r="U446" i="1"/>
  <c r="U906" i="1"/>
  <c r="U665" i="1"/>
  <c r="U778" i="1"/>
  <c r="U725" i="1"/>
  <c r="U163" i="1"/>
  <c r="U1207" i="1"/>
  <c r="U259" i="1"/>
  <c r="U1140" i="1"/>
  <c r="U659" i="1"/>
  <c r="U785" i="1"/>
  <c r="U406" i="1"/>
  <c r="U392" i="1"/>
  <c r="U463" i="1"/>
  <c r="U63" i="1"/>
  <c r="U669" i="1"/>
  <c r="U588" i="1"/>
  <c r="U1098" i="1"/>
  <c r="U15" i="1"/>
  <c r="U794" i="1"/>
  <c r="U1157" i="1"/>
  <c r="U654" i="1"/>
  <c r="U831" i="1"/>
  <c r="U1225" i="1"/>
  <c r="U523" i="1"/>
  <c r="U575" i="1"/>
  <c r="U982" i="1"/>
  <c r="U501" i="1"/>
  <c r="U161" i="1"/>
  <c r="U1185" i="1"/>
  <c r="U565" i="1"/>
  <c r="U677" i="1"/>
  <c r="U685" i="1"/>
  <c r="U865" i="1"/>
  <c r="U940" i="1"/>
  <c r="U381" i="1"/>
  <c r="U340" i="1"/>
  <c r="U445" i="1"/>
  <c r="U1281" i="1"/>
  <c r="U701" i="1"/>
  <c r="U192" i="1"/>
  <c r="U370" i="1"/>
  <c r="U882" i="1"/>
  <c r="U664" i="1"/>
  <c r="U496" i="1"/>
  <c r="U934" i="1"/>
  <c r="U943" i="1"/>
  <c r="U1213" i="1"/>
  <c r="U959" i="1"/>
  <c r="U570" i="1"/>
  <c r="U887" i="1"/>
  <c r="U587" i="1"/>
  <c r="U75" i="1"/>
  <c r="U1241" i="1"/>
  <c r="U684" i="1"/>
  <c r="U396" i="1"/>
  <c r="U1124" i="1"/>
  <c r="U1016" i="1"/>
  <c r="U927" i="1"/>
  <c r="U437" i="1"/>
  <c r="U332" i="1"/>
  <c r="U944" i="1"/>
  <c r="U945" i="1"/>
  <c r="U183" i="1"/>
  <c r="U100" i="1"/>
  <c r="U146" i="1"/>
  <c r="U1222" i="1"/>
  <c r="U754" i="1"/>
  <c r="U889" i="1"/>
  <c r="U1069" i="1"/>
  <c r="U347" i="1"/>
  <c r="U210" i="1"/>
  <c r="U806" i="1"/>
  <c r="U29" i="1"/>
  <c r="U1089" i="1"/>
  <c r="U641" i="1"/>
  <c r="U1255" i="1"/>
  <c r="U913" i="1"/>
  <c r="U757" i="1"/>
  <c r="U495" i="1"/>
  <c r="U946" i="1"/>
  <c r="U513" i="1"/>
  <c r="U269" i="1"/>
  <c r="U326" i="1"/>
  <c r="U1235" i="1"/>
  <c r="U920" i="1"/>
  <c r="U898" i="1"/>
  <c r="U1038" i="1"/>
  <c r="U42" i="1"/>
  <c r="U764" i="1"/>
  <c r="U914" i="1"/>
  <c r="U876" i="1"/>
  <c r="U601" i="1"/>
  <c r="U171" i="1"/>
  <c r="U322" i="1"/>
  <c r="U947" i="1"/>
  <c r="U627" i="1"/>
  <c r="U599" i="1"/>
  <c r="U209" i="1"/>
  <c r="U1039" i="1"/>
  <c r="U502" i="1"/>
  <c r="U1095" i="1"/>
  <c r="U821" i="1"/>
  <c r="U646" i="1"/>
  <c r="U1224" i="1"/>
  <c r="U40" i="1"/>
  <c r="U227" i="1"/>
  <c r="U815" i="1"/>
  <c r="U977" i="1"/>
  <c r="U867" i="1"/>
  <c r="U996" i="1"/>
  <c r="U841" i="1"/>
  <c r="U926" i="1"/>
  <c r="U120" i="1"/>
  <c r="U881" i="1"/>
  <c r="U855" i="1"/>
  <c r="U279" i="1"/>
  <c r="U1159" i="1"/>
  <c r="U1284" i="1"/>
  <c r="U339" i="1"/>
  <c r="U1223" i="1"/>
  <c r="U582" i="1"/>
  <c r="U453" i="1"/>
  <c r="U246" i="1"/>
  <c r="U1275" i="1"/>
  <c r="U553" i="1"/>
  <c r="U1266" i="1"/>
  <c r="U1270" i="1"/>
  <c r="U89" i="1"/>
  <c r="U62" i="1"/>
  <c r="U1053" i="1"/>
  <c r="U697" i="1"/>
  <c r="U117" i="1"/>
  <c r="U854" i="1"/>
  <c r="U1250" i="1"/>
  <c r="U123" i="1"/>
  <c r="U380" i="1"/>
  <c r="U1280" i="1"/>
  <c r="U711" i="1"/>
  <c r="U180" i="1"/>
  <c r="U1155" i="1"/>
  <c r="U891" i="1"/>
  <c r="U267" i="1"/>
  <c r="U206" i="1"/>
  <c r="U1049" i="1"/>
  <c r="U775" i="1"/>
  <c r="U774" i="1"/>
  <c r="U614" i="1"/>
  <c r="U287" i="1"/>
  <c r="U191" i="1"/>
  <c r="U232" i="1"/>
  <c r="U835" i="1"/>
  <c r="U592" i="1"/>
  <c r="U985" i="1"/>
  <c r="U517" i="1"/>
  <c r="U1079" i="1"/>
  <c r="U625" i="1"/>
  <c r="U937" i="1"/>
  <c r="U506" i="1"/>
  <c r="U512" i="1"/>
  <c r="U391" i="1"/>
  <c r="U777" i="1"/>
  <c r="U793" i="1"/>
  <c r="U708" i="1"/>
  <c r="U1006" i="1"/>
  <c r="U549" i="1"/>
  <c r="U1210" i="1"/>
  <c r="U773" i="1"/>
  <c r="U1037" i="1"/>
  <c r="U1142" i="1"/>
  <c r="U371" i="1"/>
  <c r="U727" i="1"/>
  <c r="U692" i="1"/>
  <c r="U584" i="1"/>
  <c r="U1063" i="1"/>
  <c r="U130" i="1"/>
  <c r="U991" i="1"/>
  <c r="U896" i="1"/>
  <c r="U1073" i="1"/>
  <c r="U524" i="1"/>
  <c r="U1061" i="1"/>
  <c r="U622" i="1"/>
  <c r="U557" i="1"/>
  <c r="U435" i="1"/>
  <c r="U486" i="1"/>
  <c r="U1100" i="1"/>
  <c r="U304" i="1"/>
  <c r="U571" i="1"/>
  <c r="U970" i="1"/>
  <c r="AH970" i="1" s="1"/>
  <c r="AG970" i="1" s="1"/>
  <c r="U1074" i="1"/>
  <c r="U465" i="1"/>
  <c r="U1035" i="1"/>
  <c r="U813" i="1"/>
  <c r="U20" i="1"/>
  <c r="U112" i="1"/>
  <c r="U57" i="1"/>
  <c r="U844" i="1"/>
  <c r="U1267" i="1"/>
  <c r="U1198" i="1"/>
  <c r="U69" i="1"/>
  <c r="U930" i="1"/>
  <c r="U220" i="1"/>
  <c r="U315" i="1"/>
  <c r="U1005" i="1"/>
  <c r="U1017" i="1"/>
  <c r="U615" i="1"/>
  <c r="U33" i="1"/>
  <c r="U360" i="1"/>
  <c r="U160" i="1"/>
  <c r="U962" i="1"/>
  <c r="U187" i="1"/>
  <c r="U983" i="1"/>
  <c r="U705" i="1"/>
  <c r="U1085" i="1"/>
  <c r="U4" i="1"/>
  <c r="U845" i="1"/>
  <c r="U1057" i="1"/>
  <c r="U624" i="1"/>
  <c r="U343" i="1"/>
  <c r="U969" i="1"/>
  <c r="U13" i="1"/>
  <c r="U273" i="1"/>
  <c r="U636" i="1"/>
  <c r="U150" i="1"/>
  <c r="U1286" i="1"/>
  <c r="U387" i="1"/>
  <c r="U182" i="1"/>
  <c r="U1097" i="1"/>
  <c r="U98" i="1"/>
  <c r="U1183" i="1"/>
  <c r="U194" i="1"/>
  <c r="U1144" i="1"/>
  <c r="U200" i="1"/>
  <c r="U139" i="1"/>
  <c r="U1125" i="1"/>
  <c r="U201" i="1"/>
  <c r="U791" i="1"/>
  <c r="U96" i="1"/>
  <c r="U583" i="1"/>
  <c r="U312" i="1"/>
  <c r="U1141" i="1"/>
  <c r="U87" i="1"/>
  <c r="U419" i="1"/>
  <c r="U424" i="1"/>
  <c r="U994" i="1"/>
  <c r="U997" i="1"/>
  <c r="U1011" i="1"/>
  <c r="U408" i="1"/>
  <c r="U1269" i="1"/>
  <c r="U1116" i="1"/>
  <c r="U1277" i="1"/>
  <c r="U1226" i="1"/>
  <c r="U856" i="1"/>
  <c r="U1234" i="1"/>
  <c r="U1150" i="1"/>
  <c r="U693" i="1"/>
  <c r="U814" i="1"/>
  <c r="U353" i="1"/>
  <c r="U430" i="1"/>
  <c r="U1112" i="1"/>
  <c r="U743" i="1"/>
  <c r="U126" i="1"/>
  <c r="U497" i="1"/>
  <c r="U1204" i="1"/>
  <c r="U22" i="1"/>
  <c r="U1105" i="1"/>
  <c r="U156" i="1"/>
  <c r="U1113" i="1"/>
  <c r="U1233" i="1"/>
  <c r="U133" i="1"/>
  <c r="U1102" i="1"/>
  <c r="U893" i="1"/>
  <c r="U747" i="1"/>
  <c r="U829" i="1"/>
  <c r="AH829" i="1" s="1"/>
  <c r="AG829" i="1" s="1"/>
  <c r="U713" i="1"/>
  <c r="U938" i="1"/>
  <c r="U916" i="1"/>
  <c r="U1243" i="1"/>
  <c r="U515" i="1"/>
  <c r="U686" i="1"/>
  <c r="U281" i="1"/>
  <c r="U1151" i="1"/>
  <c r="U416" i="1"/>
  <c r="U823" i="1"/>
  <c r="U472" i="1"/>
  <c r="U617" i="1"/>
  <c r="U719" i="1"/>
  <c r="U746" i="1"/>
  <c r="U1265" i="1"/>
  <c r="U987" i="1"/>
  <c r="U124" i="1"/>
  <c r="U47" i="1"/>
  <c r="U219" i="1"/>
  <c r="U1212" i="1"/>
  <c r="U1195" i="1"/>
  <c r="U942" i="1"/>
  <c r="U824" i="1"/>
  <c r="U779" i="1"/>
  <c r="U319" i="1"/>
  <c r="U174" i="1"/>
  <c r="U1045" i="1"/>
  <c r="U872" i="1"/>
  <c r="U1245" i="1"/>
  <c r="U107" i="1"/>
  <c r="U365" i="1"/>
  <c r="U132" i="1"/>
  <c r="U168" i="1"/>
  <c r="U481" i="1"/>
  <c r="U1023" i="1"/>
  <c r="U334" i="1"/>
  <c r="U148" i="1"/>
  <c r="U409" i="1"/>
  <c r="U739" i="1"/>
  <c r="U1257" i="1"/>
  <c r="U72" i="1"/>
  <c r="U1180" i="1"/>
  <c r="U51" i="1"/>
  <c r="U781" i="1"/>
  <c r="U1249" i="1"/>
  <c r="U561" i="1"/>
  <c r="U1252" i="1"/>
  <c r="U1145" i="1"/>
  <c r="U108" i="1"/>
  <c r="U541" i="1"/>
  <c r="U350" i="1"/>
  <c r="U389" i="1"/>
  <c r="U1163" i="1"/>
  <c r="U1121" i="1"/>
  <c r="U440" i="1"/>
  <c r="U414" i="1"/>
  <c r="AH414" i="1" s="1"/>
  <c r="AG414" i="1" s="1"/>
  <c r="U979" i="1"/>
  <c r="U1194" i="1"/>
  <c r="U162" i="1"/>
  <c r="U801" i="1"/>
  <c r="U516" i="1"/>
  <c r="U1021" i="1"/>
  <c r="U1030" i="1"/>
  <c r="U742" i="1"/>
  <c r="U425" i="1"/>
  <c r="U447" i="1"/>
  <c r="U676" i="1"/>
  <c r="U44" i="1"/>
  <c r="U383" i="1"/>
  <c r="U606" i="1"/>
  <c r="U525" i="1"/>
  <c r="U1253" i="1"/>
  <c r="U1203" i="1"/>
  <c r="U511" i="1"/>
  <c r="U768" i="1"/>
  <c r="U871" i="1"/>
  <c r="U1071" i="1"/>
  <c r="U810" i="1"/>
  <c r="U373" i="1"/>
  <c r="U736" i="1"/>
  <c r="U1240" i="1"/>
  <c r="U602" i="1"/>
  <c r="U129" i="1"/>
  <c r="U323" i="1"/>
  <c r="U826" i="1"/>
  <c r="U1167" i="1"/>
  <c r="U477" i="1"/>
  <c r="U240" i="1"/>
  <c r="U564" i="1"/>
  <c r="U795" i="1"/>
  <c r="U38" i="1"/>
  <c r="U612" i="1"/>
  <c r="U422" i="1"/>
  <c r="U245" i="1"/>
  <c r="U749" i="1"/>
  <c r="U735" i="1"/>
  <c r="U1254" i="1"/>
  <c r="U1162" i="1"/>
  <c r="U135" i="1"/>
  <c r="U52" i="1"/>
  <c r="U197" i="1"/>
  <c r="U249" i="1"/>
  <c r="U1065" i="1"/>
  <c r="U503" i="1"/>
  <c r="U1236" i="1"/>
  <c r="U616" i="1"/>
  <c r="U825" i="1"/>
  <c r="U386" i="1"/>
  <c r="U498" i="1"/>
  <c r="U1123" i="1"/>
  <c r="U433" i="1"/>
  <c r="U485" i="1"/>
  <c r="U64" i="1"/>
  <c r="U733" i="1"/>
  <c r="U628" i="1"/>
  <c r="U1251" i="1"/>
  <c r="U723" i="1"/>
  <c r="U276" i="1"/>
  <c r="U1096" i="1"/>
  <c r="U473" i="1"/>
  <c r="U1070" i="1"/>
  <c r="U905" i="1"/>
  <c r="U1199" i="1"/>
  <c r="U670" i="1"/>
  <c r="U348" i="1"/>
  <c r="U376" i="1"/>
  <c r="U999" i="1"/>
  <c r="U1060" i="1"/>
  <c r="U720" i="1"/>
  <c r="U738" i="1"/>
  <c r="U24" i="1"/>
  <c r="U1052" i="1"/>
  <c r="U637" i="1"/>
  <c r="U60" i="1"/>
  <c r="U295" i="1"/>
  <c r="U1268" i="1"/>
  <c r="U1229" i="1"/>
  <c r="U204" i="1"/>
  <c r="U510" i="1"/>
  <c r="U900" i="1"/>
  <c r="U957" i="1"/>
  <c r="U885" i="1"/>
  <c r="U531" i="1"/>
  <c r="U521" i="1"/>
  <c r="U151" i="1"/>
  <c r="U1015" i="1"/>
  <c r="U1169" i="1"/>
  <c r="U327" i="1"/>
  <c r="U688" i="1"/>
  <c r="U35" i="1"/>
  <c r="U394" i="1"/>
  <c r="U172" i="1"/>
  <c r="U237" i="1"/>
  <c r="U822" i="1"/>
  <c r="U963" i="1"/>
  <c r="U650" i="1"/>
  <c r="U1278" i="1"/>
  <c r="U1050" i="1"/>
  <c r="U1091" i="1"/>
  <c r="U880" i="1"/>
  <c r="U292" i="1"/>
  <c r="U1238" i="1"/>
  <c r="U633" i="1"/>
  <c r="U536" i="1"/>
  <c r="U741" i="1"/>
  <c r="U417" i="1"/>
  <c r="U1072" i="1"/>
  <c r="U374" i="1"/>
  <c r="U58" i="1"/>
  <c r="U538" i="1"/>
  <c r="U362" i="1"/>
  <c r="U559" i="1"/>
  <c r="U181" i="1"/>
  <c r="U1128" i="1"/>
  <c r="U229" i="1"/>
  <c r="U94" i="1"/>
  <c r="U1201" i="1"/>
  <c r="U703" i="1"/>
  <c r="U454" i="1"/>
  <c r="U401" i="1"/>
  <c r="U919" i="1"/>
  <c r="U621" i="1"/>
  <c r="U177" i="1"/>
  <c r="U873" i="1"/>
  <c r="U1080" i="1"/>
  <c r="U311" i="1"/>
  <c r="U1020" i="1"/>
  <c r="U903" i="1"/>
  <c r="U968" i="1"/>
  <c r="U1187" i="1"/>
  <c r="U817" i="1"/>
  <c r="U321" i="1"/>
  <c r="U423" i="1"/>
  <c r="U167" i="1"/>
  <c r="U317" i="1"/>
  <c r="U1258" i="1"/>
  <c r="U1262" i="1"/>
  <c r="U1230" i="1"/>
  <c r="U574" i="1"/>
  <c r="U534" i="1"/>
  <c r="U452" i="1"/>
  <c r="U846" i="1"/>
  <c r="U674" i="1"/>
  <c r="U1215" i="1"/>
  <c r="U1114" i="1"/>
  <c r="U567" i="1"/>
  <c r="U859" i="1"/>
  <c r="U1205" i="1"/>
  <c r="U529" i="1"/>
  <c r="U262" i="1"/>
  <c r="U877" i="1"/>
  <c r="U266" i="1"/>
  <c r="U847" i="1"/>
  <c r="U961" i="1"/>
  <c r="U932" i="1"/>
  <c r="U702" i="1"/>
  <c r="U1127" i="1"/>
  <c r="U941" i="1"/>
  <c r="U546" i="1"/>
  <c r="U921" i="1"/>
  <c r="U379" i="1"/>
  <c r="U403" i="1"/>
  <c r="U54" i="1"/>
  <c r="U638" i="1"/>
  <c r="U285" i="1"/>
  <c r="U277" i="1"/>
  <c r="U1216" i="1"/>
  <c r="U142" i="1"/>
  <c r="U88" i="1"/>
  <c r="U478" i="1"/>
  <c r="U666" i="1"/>
  <c r="U820" i="1"/>
  <c r="U1175" i="1"/>
  <c r="U1172" i="1"/>
  <c r="U426" i="1"/>
  <c r="U1196" i="1"/>
  <c r="U656" i="1"/>
  <c r="U1186" i="1"/>
  <c r="U848" i="1"/>
  <c r="U639" i="1"/>
  <c r="U224" i="1"/>
  <c r="U333" i="1"/>
  <c r="U196" i="1"/>
  <c r="U1264" i="1"/>
  <c r="U870" i="1"/>
  <c r="U8" i="1"/>
  <c r="U540" i="1"/>
  <c r="U1282" i="1"/>
  <c r="U393" i="1"/>
  <c r="U82" i="1"/>
  <c r="U929" i="1"/>
  <c r="U545" i="1"/>
  <c r="U952" i="1"/>
  <c r="U707" i="1"/>
  <c r="U853" i="1"/>
  <c r="U935" i="1"/>
  <c r="U695" i="1"/>
  <c r="U1256" i="1"/>
  <c r="U208" i="1"/>
  <c r="U980" i="1"/>
  <c r="U922" i="1"/>
  <c r="U359" i="1"/>
  <c r="U1283" i="1"/>
  <c r="U988" i="1"/>
  <c r="U212" i="1"/>
  <c r="U404" i="1"/>
  <c r="U527" i="1"/>
  <c r="U1273" i="1"/>
  <c r="U1292" i="1"/>
  <c r="U508" i="1"/>
  <c r="U483" i="1"/>
  <c r="U790" i="1"/>
  <c r="U730" i="1"/>
  <c r="U786" i="1"/>
  <c r="U673" i="1"/>
  <c r="U1004" i="1"/>
  <c r="U1126" i="1"/>
  <c r="U1219" i="1"/>
  <c r="U325" i="1"/>
  <c r="U965" i="1"/>
  <c r="U576" i="1"/>
  <c r="U243" i="1"/>
  <c r="U796" i="1"/>
  <c r="U364" i="1"/>
  <c r="U548" i="1"/>
  <c r="U577" i="1"/>
  <c r="U895" i="1"/>
  <c r="U85" i="1"/>
  <c r="U613" i="1"/>
  <c r="U1211" i="1"/>
  <c r="U1288" i="1"/>
  <c r="U170" i="1"/>
  <c r="U948" i="1"/>
  <c r="U691" i="1"/>
  <c r="U699" i="1"/>
  <c r="U1289" i="1"/>
  <c r="U189" i="1"/>
  <c r="U1104" i="1"/>
  <c r="U672" i="1"/>
  <c r="U48" i="1"/>
  <c r="U694" i="1"/>
  <c r="U578" i="1"/>
  <c r="U836" i="1"/>
  <c r="U155" i="1"/>
  <c r="U1133" i="1"/>
  <c r="U158" i="1"/>
  <c r="U28" i="1"/>
  <c r="AH28" i="1" s="1"/>
  <c r="AG28" i="1" s="1"/>
  <c r="U106" i="1"/>
  <c r="U255" i="1"/>
  <c r="U493" i="1"/>
  <c r="U1184" i="1"/>
  <c r="U147" i="1"/>
  <c r="U1285" i="1"/>
  <c r="U782" i="1"/>
  <c r="U596" i="1"/>
  <c r="U218" i="1"/>
  <c r="U569" i="1"/>
  <c r="U1027" i="1"/>
  <c r="U808" i="1"/>
  <c r="U131" i="1"/>
  <c r="U1287" i="1"/>
  <c r="S291" i="1"/>
  <c r="S883" i="1"/>
  <c r="S71" i="1"/>
  <c r="S1182" i="1"/>
  <c r="S252" i="1"/>
  <c r="S558" i="1"/>
  <c r="S318" i="1"/>
  <c r="S1058" i="1"/>
  <c r="S349" i="1"/>
  <c r="S205" i="1"/>
  <c r="S619" i="1"/>
  <c r="S186" i="1"/>
  <c r="S18" i="1"/>
  <c r="S32" i="1"/>
  <c r="S1242" i="1"/>
  <c r="S912" i="1"/>
  <c r="S10" i="1"/>
  <c r="S878" i="1"/>
  <c r="S462" i="1"/>
  <c r="S284" i="1"/>
  <c r="S784" i="1"/>
  <c r="S83" i="1"/>
  <c r="S271" i="1"/>
  <c r="S1208" i="1"/>
  <c r="S61" i="1"/>
  <c r="S111" i="1"/>
  <c r="S1147" i="1"/>
  <c r="S314" i="1"/>
  <c r="S118" i="1"/>
  <c r="S235" i="1"/>
  <c r="S1076" i="1"/>
  <c r="S976" i="1"/>
  <c r="S550" i="1"/>
  <c r="S630" i="1"/>
  <c r="S90" i="1"/>
  <c r="S470" i="1"/>
  <c r="S67" i="1"/>
  <c r="S626" i="1"/>
  <c r="S70" i="1"/>
  <c r="S690" i="1"/>
  <c r="S590" i="1"/>
  <c r="S23" i="1"/>
  <c r="S1217" i="1"/>
  <c r="S675" i="1"/>
  <c r="S76" i="1"/>
  <c r="S744" i="1"/>
  <c r="S16" i="1"/>
  <c r="S36" i="1"/>
  <c r="S297" i="1"/>
  <c r="S1092" i="1"/>
  <c r="S105" i="1"/>
  <c r="S143" i="1"/>
  <c r="S954" i="1"/>
  <c r="S1106" i="1"/>
  <c r="S682" i="1"/>
  <c r="S647" i="1"/>
  <c r="S890" i="1"/>
  <c r="S804" i="1"/>
  <c r="S247" i="1"/>
  <c r="S231" i="1"/>
  <c r="S888" i="1"/>
  <c r="S598" i="1"/>
  <c r="S469" i="1"/>
  <c r="S667" i="1"/>
  <c r="S522" i="1"/>
  <c r="S514" i="1"/>
  <c r="S643" i="1"/>
  <c r="S56" i="1"/>
  <c r="S803" i="1"/>
  <c r="S256" i="1"/>
  <c r="S1042" i="1"/>
  <c r="S455" i="1"/>
  <c r="S642" i="1"/>
  <c r="S981" i="1"/>
  <c r="S226" i="1"/>
  <c r="S745" i="1"/>
  <c r="S998" i="1"/>
  <c r="S351" i="1"/>
  <c r="S443" i="1"/>
  <c r="S610" i="1"/>
  <c r="S116" i="1"/>
  <c r="S286" i="1"/>
  <c r="S114" i="1"/>
  <c r="S530" i="1"/>
  <c r="S413" i="1"/>
  <c r="S591" i="1"/>
  <c r="S581" i="1"/>
  <c r="S441" i="1"/>
  <c r="S726" i="1"/>
  <c r="S984" i="1"/>
  <c r="S257" i="1"/>
  <c r="S1009" i="1"/>
  <c r="S505" i="1"/>
  <c r="S457" i="1"/>
  <c r="S518" i="1"/>
  <c r="S837" i="1"/>
  <c r="S377" i="1"/>
  <c r="S704" i="1"/>
  <c r="S532" i="1"/>
  <c r="S2" i="1"/>
  <c r="S384" i="1"/>
  <c r="S1156" i="1"/>
  <c r="S953" i="1"/>
  <c r="S623" i="1"/>
  <c r="S248" i="1"/>
  <c r="S185" i="1"/>
  <c r="S59" i="1"/>
  <c r="S354" i="1"/>
  <c r="S1066" i="1"/>
  <c r="S950" i="1"/>
  <c r="S1193" i="1"/>
  <c r="S274" i="1"/>
  <c r="S792" i="1"/>
  <c r="S153" i="1"/>
  <c r="S1022" i="1"/>
  <c r="S1131" i="1"/>
  <c r="S484" i="1"/>
  <c r="S309" i="1"/>
  <c r="S671" i="1"/>
  <c r="S238" i="1"/>
  <c r="S1103" i="1"/>
  <c r="S471" i="1"/>
  <c r="S1062" i="1"/>
  <c r="S555" i="1"/>
  <c r="S382" i="1"/>
  <c r="S444" i="1"/>
  <c r="S594" i="1"/>
  <c r="S137" i="1"/>
  <c r="S603" i="1"/>
  <c r="S537" i="1"/>
  <c r="S864" i="1"/>
  <c r="S1117" i="1"/>
  <c r="S242" i="1"/>
  <c r="S264" i="1"/>
  <c r="S933" i="1"/>
  <c r="S127" i="1"/>
  <c r="S1149" i="1"/>
  <c r="S1129" i="1"/>
  <c r="S405" i="1"/>
  <c r="S520" i="1"/>
  <c r="S542" i="1"/>
  <c r="S715" i="1"/>
  <c r="S74" i="1"/>
  <c r="S886" i="1"/>
  <c r="S175" i="1"/>
  <c r="S313" i="1"/>
  <c r="S166" i="1"/>
  <c r="S737" i="1"/>
  <c r="S776" i="1"/>
  <c r="S1136" i="1"/>
  <c r="S202" i="1"/>
  <c r="S547" i="1"/>
  <c r="S434" i="1"/>
  <c r="S251" i="1"/>
  <c r="S294" i="1"/>
  <c r="S533" i="1"/>
  <c r="S1082" i="1"/>
  <c r="S766" i="1"/>
  <c r="S399" i="1"/>
  <c r="S909" i="1"/>
  <c r="S234" i="1"/>
  <c r="S214" i="1"/>
  <c r="S875" i="1"/>
  <c r="S978" i="1"/>
  <c r="S253" i="1"/>
  <c r="S254" i="1"/>
  <c r="S336" i="1"/>
  <c r="S109" i="1"/>
  <c r="S134" i="1"/>
  <c r="S342" i="1"/>
  <c r="S490" i="1"/>
  <c r="S519" i="1"/>
  <c r="S634" i="1"/>
  <c r="S1139" i="1"/>
  <c r="S53" i="1"/>
  <c r="S662" i="1"/>
  <c r="S1246" i="1"/>
  <c r="S1143" i="1"/>
  <c r="S1218" i="1"/>
  <c r="S1165" i="1"/>
  <c r="S372" i="1"/>
  <c r="S1200" i="1"/>
  <c r="S936" i="1"/>
  <c r="S974" i="1"/>
  <c r="S420" i="1"/>
  <c r="S330" i="1"/>
  <c r="S1261" i="1"/>
  <c r="S236" i="1"/>
  <c r="S203" i="1"/>
  <c r="S45" i="1"/>
  <c r="S450" i="1"/>
  <c r="S369" i="1"/>
  <c r="S1179" i="1"/>
  <c r="S41" i="1"/>
  <c r="S122" i="1"/>
  <c r="S1228" i="1"/>
  <c r="S1028" i="1"/>
  <c r="S103" i="1"/>
  <c r="S128" i="1"/>
  <c r="S923" i="1"/>
  <c r="S964" i="1"/>
  <c r="S55" i="1"/>
  <c r="S157" i="1"/>
  <c r="S709" i="1"/>
  <c r="S698" i="1"/>
  <c r="S858" i="1"/>
  <c r="S367" i="1"/>
  <c r="S544" i="1"/>
  <c r="S19" i="1"/>
  <c r="S797" i="1"/>
  <c r="S678" i="1"/>
  <c r="S282" i="1"/>
  <c r="S966" i="1"/>
  <c r="S299" i="1"/>
  <c r="S363" i="1"/>
  <c r="S464" i="1"/>
  <c r="S714" i="1"/>
  <c r="S25" i="1"/>
  <c r="S897" i="1"/>
  <c r="S331" i="1"/>
  <c r="S213" i="1"/>
  <c r="S1012" i="1"/>
  <c r="S640" i="1"/>
  <c r="S956" i="1"/>
  <c r="S1170" i="1"/>
  <c r="S1271" i="1"/>
  <c r="S293" i="1"/>
  <c r="S710" i="1"/>
  <c r="S580" i="1"/>
  <c r="S1056" i="1"/>
  <c r="S910" i="1"/>
  <c r="S838" i="1"/>
  <c r="S303" i="1"/>
  <c r="S807" i="1"/>
  <c r="S600" i="1"/>
  <c r="S1188" i="1"/>
  <c r="S1153" i="1"/>
  <c r="S432" i="1"/>
  <c r="S268" i="1"/>
  <c r="S1008" i="1"/>
  <c r="S990" i="1"/>
  <c r="S758" i="1"/>
  <c r="S324" i="1"/>
  <c r="S800" i="1"/>
  <c r="S1109" i="1"/>
  <c r="S316" i="1"/>
  <c r="S1220" i="1"/>
  <c r="S597" i="1"/>
  <c r="S827" i="1"/>
  <c r="S489" i="1"/>
  <c r="S125" i="1"/>
  <c r="S1067" i="1"/>
  <c r="S605" i="1"/>
  <c r="S230" i="1"/>
  <c r="S1003" i="1"/>
  <c r="S1083" i="1"/>
  <c r="S492" i="1"/>
  <c r="S740" i="1"/>
  <c r="S1191" i="1"/>
  <c r="S972" i="1"/>
  <c r="S562" i="1"/>
  <c r="S65" i="1"/>
  <c r="S683" i="1"/>
  <c r="S199" i="1"/>
  <c r="S140" i="1"/>
  <c r="S755" i="1"/>
  <c r="S879" i="1"/>
  <c r="S772" i="1"/>
  <c r="S442" i="1"/>
  <c r="S586" i="1"/>
  <c r="S809" i="1"/>
  <c r="S178" i="1"/>
  <c r="S729" i="1"/>
  <c r="S1202" i="1"/>
  <c r="S43" i="1"/>
  <c r="S154" i="1"/>
  <c r="S328" i="1"/>
  <c r="S263" i="1"/>
  <c r="S1054" i="1"/>
  <c r="S491" i="1"/>
  <c r="S904" i="1"/>
  <c r="S361" i="1"/>
  <c r="S700" i="1"/>
  <c r="S843" i="1"/>
  <c r="S1232" i="1"/>
  <c r="S995" i="1"/>
  <c r="S1291" i="1"/>
  <c r="S1173" i="1"/>
  <c r="S66" i="1"/>
  <c r="S1081" i="1"/>
  <c r="S724" i="1"/>
  <c r="S660" i="1"/>
  <c r="S78" i="1"/>
  <c r="S1181" i="1"/>
  <c r="S563" i="1"/>
  <c r="S26" i="1"/>
  <c r="S1059" i="1"/>
  <c r="S901" i="1"/>
  <c r="S1247" i="1"/>
  <c r="S104" i="1"/>
  <c r="S1237" i="1"/>
  <c r="S84" i="1"/>
  <c r="S346" i="1"/>
  <c r="S211" i="1"/>
  <c r="S830" i="1"/>
  <c r="S1018" i="1"/>
  <c r="S973" i="1"/>
  <c r="S648" i="1"/>
  <c r="S487" i="1"/>
  <c r="S849" i="1"/>
  <c r="S1276" i="1"/>
  <c r="S573" i="1"/>
  <c r="S102" i="1"/>
  <c r="S1084" i="1"/>
  <c r="S50" i="1"/>
  <c r="S1164" i="1"/>
  <c r="S278" i="1"/>
  <c r="S1047" i="1"/>
  <c r="S579" i="1"/>
  <c r="S868" i="1"/>
  <c r="S302" i="1"/>
  <c r="S338" i="1"/>
  <c r="S37" i="1"/>
  <c r="S193" i="1"/>
  <c r="S458" i="1"/>
  <c r="S1040" i="1"/>
  <c r="S6" i="1"/>
  <c r="S1031" i="1"/>
  <c r="S1014" i="1"/>
  <c r="S834" i="1"/>
  <c r="S358" i="1"/>
  <c r="S1108" i="1"/>
  <c r="S355" i="1"/>
  <c r="S839" i="1"/>
  <c r="S1025" i="1"/>
  <c r="S552" i="1"/>
  <c r="S79" i="1"/>
  <c r="S459" i="1"/>
  <c r="S400" i="1"/>
  <c r="S395" i="1"/>
  <c r="S949" i="1"/>
  <c r="S356" i="1"/>
  <c r="S402" i="1"/>
  <c r="S931" i="1"/>
  <c r="S449" i="1"/>
  <c r="S1068" i="1"/>
  <c r="S1024" i="1"/>
  <c r="S289" i="1"/>
  <c r="S925" i="1"/>
  <c r="S1043" i="1"/>
  <c r="S589" i="1"/>
  <c r="S14" i="1"/>
  <c r="S421" i="1"/>
  <c r="S595" i="1"/>
  <c r="S418" i="1"/>
  <c r="S1090" i="1"/>
  <c r="S874" i="1"/>
  <c r="S554" i="1"/>
  <c r="S967" i="1"/>
  <c r="S310" i="1"/>
  <c r="S288" i="1"/>
  <c r="S110" i="1"/>
  <c r="S1101" i="1"/>
  <c r="S466" i="1"/>
  <c r="S1048" i="1"/>
  <c r="S971" i="1"/>
  <c r="S1119" i="1"/>
  <c r="S986" i="1"/>
  <c r="S101" i="1"/>
  <c r="S225" i="1"/>
  <c r="S679" i="1"/>
  <c r="S918" i="1"/>
  <c r="S593" i="1"/>
  <c r="S989" i="1"/>
  <c r="S341" i="1"/>
  <c r="S568" i="1"/>
  <c r="S280" i="1"/>
  <c r="S1260" i="1"/>
  <c r="S138" i="1"/>
  <c r="S1032" i="1"/>
  <c r="S476" i="1"/>
  <c r="S39" i="1"/>
  <c r="S632" i="1"/>
  <c r="S198" i="1"/>
  <c r="S467" i="1"/>
  <c r="S1029" i="1"/>
  <c r="S260" i="1"/>
  <c r="S352" i="1"/>
  <c r="S828" i="1"/>
  <c r="S752" i="1"/>
  <c r="S1231" i="1"/>
  <c r="S1176" i="1"/>
  <c r="S480" i="1"/>
  <c r="S93" i="1"/>
  <c r="S765" i="1"/>
  <c r="S1161" i="1"/>
  <c r="S689" i="1"/>
  <c r="S769" i="1"/>
  <c r="S1190" i="1"/>
  <c r="S31" i="1"/>
  <c r="S165" i="1"/>
  <c r="S121" i="1"/>
  <c r="S290" i="1"/>
  <c r="S732" i="1"/>
  <c r="S270" i="1"/>
  <c r="S866" i="1"/>
  <c r="S306" i="1"/>
  <c r="S460" i="1"/>
  <c r="S604" i="1"/>
  <c r="S1044" i="1"/>
  <c r="S1209" i="1"/>
  <c r="S27" i="1"/>
  <c r="S80" i="1"/>
  <c r="S366" i="1"/>
  <c r="S136" i="1"/>
  <c r="S1290" i="1"/>
  <c r="S239" i="1"/>
  <c r="S169" i="1"/>
  <c r="S657" i="1"/>
  <c r="S216" i="1"/>
  <c r="S152" i="1"/>
  <c r="S1019" i="1"/>
  <c r="S1132" i="1"/>
  <c r="S427" i="1"/>
  <c r="S159" i="1"/>
  <c r="S68" i="1"/>
  <c r="S305" i="1"/>
  <c r="S651" i="1"/>
  <c r="S869" i="1"/>
  <c r="S385" i="1"/>
  <c r="S734" i="1"/>
  <c r="S113" i="1"/>
  <c r="S1077" i="1"/>
  <c r="S479" i="1"/>
  <c r="S504" i="1"/>
  <c r="S857" i="1"/>
  <c r="S993" i="1"/>
  <c r="S850" i="1"/>
  <c r="S173" i="1"/>
  <c r="S30" i="1"/>
  <c r="S1244" i="1"/>
  <c r="S81" i="1"/>
  <c r="S585" i="1"/>
  <c r="S217" i="1"/>
  <c r="S145" i="1"/>
  <c r="S535" i="1"/>
  <c r="S731" i="1"/>
  <c r="S451" i="1"/>
  <c r="S119" i="1"/>
  <c r="S894" i="1"/>
  <c r="S780" i="1"/>
  <c r="S272" i="1"/>
  <c r="S195" i="1"/>
  <c r="S696" i="1"/>
  <c r="S250" i="1"/>
  <c r="S783" i="1"/>
  <c r="S144" i="1"/>
  <c r="S863" i="1"/>
  <c r="S608" i="1"/>
  <c r="S1078" i="1"/>
  <c r="S509" i="1"/>
  <c r="S767" i="1"/>
  <c r="S618" i="1"/>
  <c r="S474" i="1"/>
  <c r="S115" i="1"/>
  <c r="S207" i="1"/>
  <c r="S750" i="1"/>
  <c r="S892" i="1"/>
  <c r="S862" i="1"/>
  <c r="S300" i="1"/>
  <c r="S91" i="1"/>
  <c r="S1046" i="1"/>
  <c r="S1130" i="1"/>
  <c r="S307" i="1"/>
  <c r="S390" i="1"/>
  <c r="S663" i="1"/>
  <c r="S661" i="1"/>
  <c r="S851" i="1"/>
  <c r="S1227" i="1"/>
  <c r="S852" i="1"/>
  <c r="S494" i="1"/>
  <c r="S706" i="1"/>
  <c r="S1111" i="1"/>
  <c r="S811" i="1"/>
  <c r="S11" i="1"/>
  <c r="S1007" i="1"/>
  <c r="S1189" i="1"/>
  <c r="S329" i="1"/>
  <c r="S375" i="1"/>
  <c r="S609" i="1"/>
  <c r="S1154" i="1"/>
  <c r="S751" i="1"/>
  <c r="S728" i="1"/>
  <c r="S1026" i="1"/>
  <c r="S1137" i="1"/>
  <c r="S819" i="1"/>
  <c r="S46" i="1"/>
  <c r="S716" i="1"/>
  <c r="S438" i="1"/>
  <c r="S551" i="1"/>
  <c r="S1221" i="1"/>
  <c r="S572" i="1"/>
  <c r="S644" i="1"/>
  <c r="S507" i="1"/>
  <c r="S428" i="1"/>
  <c r="S296" i="1"/>
  <c r="S1107" i="1"/>
  <c r="S500" i="1"/>
  <c r="S1259" i="1"/>
  <c r="S1272" i="1"/>
  <c r="S771" i="1"/>
  <c r="S1041" i="1"/>
  <c r="S1174" i="1"/>
  <c r="S543" i="1"/>
  <c r="S759" i="1"/>
  <c r="S763" i="1"/>
  <c r="S1001" i="1"/>
  <c r="S73" i="1"/>
  <c r="S499" i="1"/>
  <c r="S164" i="1"/>
  <c r="S1033" i="1"/>
  <c r="S184" i="1"/>
  <c r="S1171" i="1"/>
  <c r="S223" i="1"/>
  <c r="S884" i="1"/>
  <c r="S911" i="1"/>
  <c r="S1146" i="1"/>
  <c r="S939" i="1"/>
  <c r="S1122" i="1"/>
  <c r="S770" i="1"/>
  <c r="S1248" i="1"/>
  <c r="S388" i="1"/>
  <c r="S461" i="1"/>
  <c r="S907" i="1"/>
  <c r="S439" i="1"/>
  <c r="S840" i="1"/>
  <c r="S556" i="1"/>
  <c r="S560" i="1"/>
  <c r="S1168" i="1"/>
  <c r="S410" i="1"/>
  <c r="S1115" i="1"/>
  <c r="S915" i="1"/>
  <c r="S1099" i="1"/>
  <c r="S899" i="1"/>
  <c r="S233" i="1"/>
  <c r="S357" i="1"/>
  <c r="S635" i="1"/>
  <c r="S805" i="1"/>
  <c r="S1051" i="1"/>
  <c r="S812" i="1"/>
  <c r="S902" i="1"/>
  <c r="S799" i="1"/>
  <c r="S77" i="1"/>
  <c r="S397" i="1"/>
  <c r="S308" i="1"/>
  <c r="S17" i="1"/>
  <c r="S655" i="1"/>
  <c r="S1120" i="1"/>
  <c r="S215" i="1"/>
  <c r="S221" i="1"/>
  <c r="S861" i="1"/>
  <c r="S97" i="1"/>
  <c r="S1118" i="1"/>
  <c r="S760" i="1"/>
  <c r="S722" i="1"/>
  <c r="S275" i="1"/>
  <c r="S539" i="1"/>
  <c r="S34" i="1"/>
  <c r="S176" i="1"/>
  <c r="S429" i="1"/>
  <c r="S488" i="1"/>
  <c r="S415" i="1"/>
  <c r="S1086" i="1"/>
  <c r="S99" i="1"/>
  <c r="S631" i="1"/>
  <c r="S1055" i="1"/>
  <c r="S620" i="1"/>
  <c r="S411" i="1"/>
  <c r="S668" i="1"/>
  <c r="S1274" i="1"/>
  <c r="S344" i="1"/>
  <c r="S258" i="1"/>
  <c r="S649" i="1"/>
  <c r="S1036" i="1"/>
  <c r="S917" i="1"/>
  <c r="S1135" i="1"/>
  <c r="S1138" i="1"/>
  <c r="S190" i="1"/>
  <c r="S1160" i="1"/>
  <c r="S1013" i="1"/>
  <c r="S1197" i="1"/>
  <c r="S712" i="1"/>
  <c r="S680" i="1"/>
  <c r="S788" i="1"/>
  <c r="S526" i="1"/>
  <c r="S298" i="1"/>
  <c r="S787" i="1"/>
  <c r="S924" i="1"/>
  <c r="S652" i="1"/>
  <c r="S816" i="1"/>
  <c r="S95" i="1"/>
  <c r="S761" i="1"/>
  <c r="S320" i="1"/>
  <c r="S629" i="1"/>
  <c r="S407" i="1"/>
  <c r="S717" i="1"/>
  <c r="S1088" i="1"/>
  <c r="S958" i="1"/>
  <c r="S928" i="1"/>
  <c r="S222" i="1"/>
  <c r="S842" i="1"/>
  <c r="S1177" i="1"/>
  <c r="S1094" i="1"/>
  <c r="S960" i="1"/>
  <c r="S436" i="1"/>
  <c r="S244" i="1"/>
  <c r="S1152" i="1"/>
  <c r="S228" i="1"/>
  <c r="S860" i="1"/>
  <c r="S9" i="1"/>
  <c r="S265" i="1"/>
  <c r="S1034" i="1"/>
  <c r="S1000" i="1"/>
  <c r="S721" i="1"/>
  <c r="S681" i="1"/>
  <c r="S7" i="1"/>
  <c r="S1134" i="1"/>
  <c r="S1263" i="1"/>
  <c r="S1214" i="1"/>
  <c r="S21" i="1"/>
  <c r="S798" i="1"/>
  <c r="S1178" i="1"/>
  <c r="S456" i="1"/>
  <c r="S1087" i="1"/>
  <c r="S1166" i="1"/>
  <c r="S49" i="1"/>
  <c r="S283" i="1"/>
  <c r="S1110" i="1"/>
  <c r="S345" i="1"/>
  <c r="S1239" i="1"/>
  <c r="S468" i="1"/>
  <c r="S645" i="1"/>
  <c r="S482" i="1"/>
  <c r="S241" i="1"/>
  <c r="S687" i="1"/>
  <c r="S908" i="1"/>
  <c r="S653" i="1"/>
  <c r="S378" i="1"/>
  <c r="S431" i="1"/>
  <c r="S802" i="1"/>
  <c r="S1206" i="1"/>
  <c r="S789" i="1"/>
  <c r="S1093" i="1"/>
  <c r="S753" i="1"/>
  <c r="S475" i="1"/>
  <c r="S92" i="1"/>
  <c r="S748" i="1"/>
  <c r="S141" i="1"/>
  <c r="S337" i="1"/>
  <c r="S86" i="1"/>
  <c r="S955" i="1"/>
  <c r="S528" i="1"/>
  <c r="S3" i="1"/>
  <c r="S1279" i="1"/>
  <c r="S718" i="1"/>
  <c r="S179" i="1"/>
  <c r="S1148" i="1"/>
  <c r="S992" i="1"/>
  <c r="S1075" i="1"/>
  <c r="S833" i="1"/>
  <c r="S188" i="1"/>
  <c r="S566" i="1"/>
  <c r="S1010" i="1"/>
  <c r="S1064" i="1"/>
  <c r="S261" i="1"/>
  <c r="S301" i="1"/>
  <c r="S5" i="1"/>
  <c r="S1002" i="1"/>
  <c r="S398" i="1"/>
  <c r="S756" i="1"/>
  <c r="S762" i="1"/>
  <c r="S448" i="1"/>
  <c r="S818" i="1"/>
  <c r="S335" i="1"/>
  <c r="S368" i="1"/>
  <c r="S975" i="1"/>
  <c r="S12" i="1"/>
  <c r="S1158" i="1"/>
  <c r="S611" i="1"/>
  <c r="S832" i="1"/>
  <c r="S1293" i="1"/>
  <c r="S149" i="1"/>
  <c r="S951" i="1"/>
  <c r="S607" i="1"/>
  <c r="S658" i="1"/>
  <c r="S412" i="1"/>
  <c r="S1192" i="1"/>
  <c r="S446" i="1"/>
  <c r="S906" i="1"/>
  <c r="S665" i="1"/>
  <c r="S778" i="1"/>
  <c r="S725" i="1"/>
  <c r="S163" i="1"/>
  <c r="S1207" i="1"/>
  <c r="S259" i="1"/>
  <c r="S1140" i="1"/>
  <c r="S659" i="1"/>
  <c r="S785" i="1"/>
  <c r="S406" i="1"/>
  <c r="S392" i="1"/>
  <c r="S463" i="1"/>
  <c r="S63" i="1"/>
  <c r="S669" i="1"/>
  <c r="S588" i="1"/>
  <c r="S1098" i="1"/>
  <c r="S15" i="1"/>
  <c r="S794" i="1"/>
  <c r="S1157" i="1"/>
  <c r="S654" i="1"/>
  <c r="S831" i="1"/>
  <c r="S1225" i="1"/>
  <c r="S523" i="1"/>
  <c r="S575" i="1"/>
  <c r="S982" i="1"/>
  <c r="S501" i="1"/>
  <c r="S161" i="1"/>
  <c r="S1185" i="1"/>
  <c r="S565" i="1"/>
  <c r="S677" i="1"/>
  <c r="S685" i="1"/>
  <c r="S865" i="1"/>
  <c r="S940" i="1"/>
  <c r="S381" i="1"/>
  <c r="S340" i="1"/>
  <c r="S445" i="1"/>
  <c r="S1281" i="1"/>
  <c r="S701" i="1"/>
  <c r="S192" i="1"/>
  <c r="S370" i="1"/>
  <c r="S882" i="1"/>
  <c r="S664" i="1"/>
  <c r="S496" i="1"/>
  <c r="S934" i="1"/>
  <c r="S943" i="1"/>
  <c r="S1213" i="1"/>
  <c r="S959" i="1"/>
  <c r="S570" i="1"/>
  <c r="S887" i="1"/>
  <c r="S587" i="1"/>
  <c r="S75" i="1"/>
  <c r="S1241" i="1"/>
  <c r="S684" i="1"/>
  <c r="S396" i="1"/>
  <c r="S1124" i="1"/>
  <c r="S1016" i="1"/>
  <c r="S927" i="1"/>
  <c r="S437" i="1"/>
  <c r="S332" i="1"/>
  <c r="S944" i="1"/>
  <c r="S945" i="1"/>
  <c r="S183" i="1"/>
  <c r="S100" i="1"/>
  <c r="S146" i="1"/>
  <c r="S1222" i="1"/>
  <c r="S754" i="1"/>
  <c r="S889" i="1"/>
  <c r="S1069" i="1"/>
  <c r="S347" i="1"/>
  <c r="S210" i="1"/>
  <c r="S806" i="1"/>
  <c r="S29" i="1"/>
  <c r="S1089" i="1"/>
  <c r="S641" i="1"/>
  <c r="S1255" i="1"/>
  <c r="S913" i="1"/>
  <c r="S757" i="1"/>
  <c r="S495" i="1"/>
  <c r="S946" i="1"/>
  <c r="S513" i="1"/>
  <c r="S269" i="1"/>
  <c r="S326" i="1"/>
  <c r="S1235" i="1"/>
  <c r="S920" i="1"/>
  <c r="S898" i="1"/>
  <c r="S1038" i="1"/>
  <c r="S42" i="1"/>
  <c r="S764" i="1"/>
  <c r="S914" i="1"/>
  <c r="S876" i="1"/>
  <c r="S601" i="1"/>
  <c r="S171" i="1"/>
  <c r="S322" i="1"/>
  <c r="S947" i="1"/>
  <c r="S627" i="1"/>
  <c r="S599" i="1"/>
  <c r="S209" i="1"/>
  <c r="S1039" i="1"/>
  <c r="S502" i="1"/>
  <c r="S1095" i="1"/>
  <c r="S821" i="1"/>
  <c r="S646" i="1"/>
  <c r="S1224" i="1"/>
  <c r="S40" i="1"/>
  <c r="S227" i="1"/>
  <c r="S815" i="1"/>
  <c r="S977" i="1"/>
  <c r="S867" i="1"/>
  <c r="S996" i="1"/>
  <c r="S841" i="1"/>
  <c r="S926" i="1"/>
  <c r="S120" i="1"/>
  <c r="S881" i="1"/>
  <c r="S855" i="1"/>
  <c r="S279" i="1"/>
  <c r="S1159" i="1"/>
  <c r="S1284" i="1"/>
  <c r="S339" i="1"/>
  <c r="S1223" i="1"/>
  <c r="S582" i="1"/>
  <c r="S453" i="1"/>
  <c r="S246" i="1"/>
  <c r="S1275" i="1"/>
  <c r="S553" i="1"/>
  <c r="S1266" i="1"/>
  <c r="S1270" i="1"/>
  <c r="S89" i="1"/>
  <c r="S62" i="1"/>
  <c r="S1053" i="1"/>
  <c r="S697" i="1"/>
  <c r="S117" i="1"/>
  <c r="S854" i="1"/>
  <c r="S1250" i="1"/>
  <c r="S123" i="1"/>
  <c r="S380" i="1"/>
  <c r="S1280" i="1"/>
  <c r="S711" i="1"/>
  <c r="S180" i="1"/>
  <c r="S1155" i="1"/>
  <c r="S891" i="1"/>
  <c r="S267" i="1"/>
  <c r="S206" i="1"/>
  <c r="S1049" i="1"/>
  <c r="S775" i="1"/>
  <c r="S774" i="1"/>
  <c r="S614" i="1"/>
  <c r="S287" i="1"/>
  <c r="S191" i="1"/>
  <c r="S232" i="1"/>
  <c r="S835" i="1"/>
  <c r="S592" i="1"/>
  <c r="S985" i="1"/>
  <c r="S517" i="1"/>
  <c r="S1079" i="1"/>
  <c r="S625" i="1"/>
  <c r="S937" i="1"/>
  <c r="S506" i="1"/>
  <c r="S512" i="1"/>
  <c r="S391" i="1"/>
  <c r="S777" i="1"/>
  <c r="S793" i="1"/>
  <c r="S708" i="1"/>
  <c r="S1006" i="1"/>
  <c r="S549" i="1"/>
  <c r="S1210" i="1"/>
  <c r="S773" i="1"/>
  <c r="S1037" i="1"/>
  <c r="S1142" i="1"/>
  <c r="S371" i="1"/>
  <c r="S727" i="1"/>
  <c r="S692" i="1"/>
  <c r="S584" i="1"/>
  <c r="S1063" i="1"/>
  <c r="S130" i="1"/>
  <c r="S991" i="1"/>
  <c r="S896" i="1"/>
  <c r="S1073" i="1"/>
  <c r="S524" i="1"/>
  <c r="S1061" i="1"/>
  <c r="S622" i="1"/>
  <c r="S557" i="1"/>
  <c r="S435" i="1"/>
  <c r="S486" i="1"/>
  <c r="S1100" i="1"/>
  <c r="S304" i="1"/>
  <c r="S571" i="1"/>
  <c r="S970" i="1"/>
  <c r="S1074" i="1"/>
  <c r="S465" i="1"/>
  <c r="S1035" i="1"/>
  <c r="S813" i="1"/>
  <c r="S20" i="1"/>
  <c r="S112" i="1"/>
  <c r="S57" i="1"/>
  <c r="S844" i="1"/>
  <c r="S1267" i="1"/>
  <c r="S1198" i="1"/>
  <c r="S69" i="1"/>
  <c r="S930" i="1"/>
  <c r="S220" i="1"/>
  <c r="S315" i="1"/>
  <c r="S1005" i="1"/>
  <c r="S1017" i="1"/>
  <c r="S615" i="1"/>
  <c r="S33" i="1"/>
  <c r="S360" i="1"/>
  <c r="S160" i="1"/>
  <c r="S962" i="1"/>
  <c r="S187" i="1"/>
  <c r="S983" i="1"/>
  <c r="S705" i="1"/>
  <c r="S1085" i="1"/>
  <c r="S4" i="1"/>
  <c r="S845" i="1"/>
  <c r="S1057" i="1"/>
  <c r="S624" i="1"/>
  <c r="S343" i="1"/>
  <c r="S969" i="1"/>
  <c r="S13" i="1"/>
  <c r="S273" i="1"/>
  <c r="S636" i="1"/>
  <c r="S150" i="1"/>
  <c r="S1286" i="1"/>
  <c r="S387" i="1"/>
  <c r="S182" i="1"/>
  <c r="S1097" i="1"/>
  <c r="S98" i="1"/>
  <c r="S1183" i="1"/>
  <c r="S194" i="1"/>
  <c r="S1144" i="1"/>
  <c r="S200" i="1"/>
  <c r="S139" i="1"/>
  <c r="S1125" i="1"/>
  <c r="S201" i="1"/>
  <c r="S791" i="1"/>
  <c r="S96" i="1"/>
  <c r="S583" i="1"/>
  <c r="S312" i="1"/>
  <c r="S1141" i="1"/>
  <c r="S87" i="1"/>
  <c r="S419" i="1"/>
  <c r="S424" i="1"/>
  <c r="S994" i="1"/>
  <c r="S997" i="1"/>
  <c r="S1011" i="1"/>
  <c r="S408" i="1"/>
  <c r="S1269" i="1"/>
  <c r="S1116" i="1"/>
  <c r="S1277" i="1"/>
  <c r="S1226" i="1"/>
  <c r="S856" i="1"/>
  <c r="S1234" i="1"/>
  <c r="S1150" i="1"/>
  <c r="S693" i="1"/>
  <c r="S814" i="1"/>
  <c r="S353" i="1"/>
  <c r="S430" i="1"/>
  <c r="S1112" i="1"/>
  <c r="S743" i="1"/>
  <c r="S126" i="1"/>
  <c r="S497" i="1"/>
  <c r="S1204" i="1"/>
  <c r="S22" i="1"/>
  <c r="S1105" i="1"/>
  <c r="S156" i="1"/>
  <c r="S1113" i="1"/>
  <c r="S1233" i="1"/>
  <c r="S133" i="1"/>
  <c r="S1102" i="1"/>
  <c r="S893" i="1"/>
  <c r="S747" i="1"/>
  <c r="S829" i="1"/>
  <c r="S713" i="1"/>
  <c r="S938" i="1"/>
  <c r="S916" i="1"/>
  <c r="S1243" i="1"/>
  <c r="S515" i="1"/>
  <c r="S686" i="1"/>
  <c r="S281" i="1"/>
  <c r="S1151" i="1"/>
  <c r="S416" i="1"/>
  <c r="S823" i="1"/>
  <c r="S472" i="1"/>
  <c r="S617" i="1"/>
  <c r="S719" i="1"/>
  <c r="S746" i="1"/>
  <c r="S1265" i="1"/>
  <c r="S987" i="1"/>
  <c r="S124" i="1"/>
  <c r="S47" i="1"/>
  <c r="S219" i="1"/>
  <c r="S1212" i="1"/>
  <c r="S1195" i="1"/>
  <c r="S942" i="1"/>
  <c r="S824" i="1"/>
  <c r="S779" i="1"/>
  <c r="S319" i="1"/>
  <c r="S174" i="1"/>
  <c r="S1045" i="1"/>
  <c r="S872" i="1"/>
  <c r="S1245" i="1"/>
  <c r="S107" i="1"/>
  <c r="S365" i="1"/>
  <c r="S132" i="1"/>
  <c r="S168" i="1"/>
  <c r="S481" i="1"/>
  <c r="S1023" i="1"/>
  <c r="S334" i="1"/>
  <c r="S148" i="1"/>
  <c r="S409" i="1"/>
  <c r="S739" i="1"/>
  <c r="S1257" i="1"/>
  <c r="S72" i="1"/>
  <c r="S1180" i="1"/>
  <c r="S51" i="1"/>
  <c r="S781" i="1"/>
  <c r="S1249" i="1"/>
  <c r="S561" i="1"/>
  <c r="S1252" i="1"/>
  <c r="S1145" i="1"/>
  <c r="S108" i="1"/>
  <c r="S541" i="1"/>
  <c r="S350" i="1"/>
  <c r="S389" i="1"/>
  <c r="S1163" i="1"/>
  <c r="S1121" i="1"/>
  <c r="S440" i="1"/>
  <c r="S414" i="1"/>
  <c r="S979" i="1"/>
  <c r="S1194" i="1"/>
  <c r="S162" i="1"/>
  <c r="S801" i="1"/>
  <c r="S516" i="1"/>
  <c r="S1021" i="1"/>
  <c r="S1030" i="1"/>
  <c r="S742" i="1"/>
  <c r="S425" i="1"/>
  <c r="S447" i="1"/>
  <c r="S676" i="1"/>
  <c r="S44" i="1"/>
  <c r="S383" i="1"/>
  <c r="S606" i="1"/>
  <c r="S525" i="1"/>
  <c r="S1253" i="1"/>
  <c r="S1203" i="1"/>
  <c r="S511" i="1"/>
  <c r="S768" i="1"/>
  <c r="S871" i="1"/>
  <c r="S1071" i="1"/>
  <c r="S810" i="1"/>
  <c r="S373" i="1"/>
  <c r="S736" i="1"/>
  <c r="S1240" i="1"/>
  <c r="S602" i="1"/>
  <c r="S129" i="1"/>
  <c r="S323" i="1"/>
  <c r="S826" i="1"/>
  <c r="S1167" i="1"/>
  <c r="S477" i="1"/>
  <c r="S240" i="1"/>
  <c r="S564" i="1"/>
  <c r="S795" i="1"/>
  <c r="S38" i="1"/>
  <c r="S612" i="1"/>
  <c r="S422" i="1"/>
  <c r="S245" i="1"/>
  <c r="S749" i="1"/>
  <c r="S735" i="1"/>
  <c r="S1254" i="1"/>
  <c r="S1162" i="1"/>
  <c r="S135" i="1"/>
  <c r="S52" i="1"/>
  <c r="S197" i="1"/>
  <c r="S249" i="1"/>
  <c r="S1065" i="1"/>
  <c r="S503" i="1"/>
  <c r="S1236" i="1"/>
  <c r="S616" i="1"/>
  <c r="S825" i="1"/>
  <c r="S386" i="1"/>
  <c r="S498" i="1"/>
  <c r="S1123" i="1"/>
  <c r="S433" i="1"/>
  <c r="S485" i="1"/>
  <c r="S64" i="1"/>
  <c r="S733" i="1"/>
  <c r="S628" i="1"/>
  <c r="S1251" i="1"/>
  <c r="S723" i="1"/>
  <c r="S276" i="1"/>
  <c r="S1096" i="1"/>
  <c r="S473" i="1"/>
  <c r="S1070" i="1"/>
  <c r="S905" i="1"/>
  <c r="S1199" i="1"/>
  <c r="S670" i="1"/>
  <c r="S348" i="1"/>
  <c r="S376" i="1"/>
  <c r="S999" i="1"/>
  <c r="S1060" i="1"/>
  <c r="S720" i="1"/>
  <c r="S738" i="1"/>
  <c r="S24" i="1"/>
  <c r="S1052" i="1"/>
  <c r="S637" i="1"/>
  <c r="S60" i="1"/>
  <c r="S295" i="1"/>
  <c r="S1268" i="1"/>
  <c r="S1229" i="1"/>
  <c r="S204" i="1"/>
  <c r="S510" i="1"/>
  <c r="S900" i="1"/>
  <c r="S957" i="1"/>
  <c r="S885" i="1"/>
  <c r="S531" i="1"/>
  <c r="S521" i="1"/>
  <c r="S151" i="1"/>
  <c r="S1015" i="1"/>
  <c r="S1169" i="1"/>
  <c r="S327" i="1"/>
  <c r="S688" i="1"/>
  <c r="S35" i="1"/>
  <c r="S394" i="1"/>
  <c r="S172" i="1"/>
  <c r="S237" i="1"/>
  <c r="S822" i="1"/>
  <c r="S963" i="1"/>
  <c r="S650" i="1"/>
  <c r="S1278" i="1"/>
  <c r="S1050" i="1"/>
  <c r="S1091" i="1"/>
  <c r="S880" i="1"/>
  <c r="S292" i="1"/>
  <c r="S1238" i="1"/>
  <c r="S633" i="1"/>
  <c r="S536" i="1"/>
  <c r="S741" i="1"/>
  <c r="S417" i="1"/>
  <c r="S1072" i="1"/>
  <c r="S374" i="1"/>
  <c r="S58" i="1"/>
  <c r="S538" i="1"/>
  <c r="S362" i="1"/>
  <c r="S559" i="1"/>
  <c r="S181" i="1"/>
  <c r="S1128" i="1"/>
  <c r="S229" i="1"/>
  <c r="S94" i="1"/>
  <c r="S1201" i="1"/>
  <c r="S703" i="1"/>
  <c r="S454" i="1"/>
  <c r="S401" i="1"/>
  <c r="S919" i="1"/>
  <c r="S621" i="1"/>
  <c r="S177" i="1"/>
  <c r="S873" i="1"/>
  <c r="S1080" i="1"/>
  <c r="S311" i="1"/>
  <c r="S1020" i="1"/>
  <c r="S903" i="1"/>
  <c r="S968" i="1"/>
  <c r="S1187" i="1"/>
  <c r="S817" i="1"/>
  <c r="S321" i="1"/>
  <c r="S423" i="1"/>
  <c r="S167" i="1"/>
  <c r="S317" i="1"/>
  <c r="S1258" i="1"/>
  <c r="S1262" i="1"/>
  <c r="S1230" i="1"/>
  <c r="S574" i="1"/>
  <c r="S534" i="1"/>
  <c r="S452" i="1"/>
  <c r="S846" i="1"/>
  <c r="S674" i="1"/>
  <c r="S1215" i="1"/>
  <c r="S1114" i="1"/>
  <c r="S567" i="1"/>
  <c r="S859" i="1"/>
  <c r="S1205" i="1"/>
  <c r="S529" i="1"/>
  <c r="S262" i="1"/>
  <c r="S877" i="1"/>
  <c r="S266" i="1"/>
  <c r="S847" i="1"/>
  <c r="S961" i="1"/>
  <c r="S932" i="1"/>
  <c r="S702" i="1"/>
  <c r="S1127" i="1"/>
  <c r="S941" i="1"/>
  <c r="S546" i="1"/>
  <c r="S921" i="1"/>
  <c r="S379" i="1"/>
  <c r="S403" i="1"/>
  <c r="S54" i="1"/>
  <c r="S638" i="1"/>
  <c r="S285" i="1"/>
  <c r="S277" i="1"/>
  <c r="S1216" i="1"/>
  <c r="S142" i="1"/>
  <c r="S88" i="1"/>
  <c r="S478" i="1"/>
  <c r="S666" i="1"/>
  <c r="S820" i="1"/>
  <c r="S1175" i="1"/>
  <c r="S1172" i="1"/>
  <c r="S426" i="1"/>
  <c r="S1196" i="1"/>
  <c r="S656" i="1"/>
  <c r="S1186" i="1"/>
  <c r="S848" i="1"/>
  <c r="S639" i="1"/>
  <c r="S224" i="1"/>
  <c r="S333" i="1"/>
  <c r="S196" i="1"/>
  <c r="S1264" i="1"/>
  <c r="S870" i="1"/>
  <c r="S8" i="1"/>
  <c r="S540" i="1"/>
  <c r="S1282" i="1"/>
  <c r="S393" i="1"/>
  <c r="S82" i="1"/>
  <c r="S929" i="1"/>
  <c r="S545" i="1"/>
  <c r="S952" i="1"/>
  <c r="S707" i="1"/>
  <c r="S853" i="1"/>
  <c r="S935" i="1"/>
  <c r="S695" i="1"/>
  <c r="S1256" i="1"/>
  <c r="S208" i="1"/>
  <c r="S980" i="1"/>
  <c r="S922" i="1"/>
  <c r="S359" i="1"/>
  <c r="S1283" i="1"/>
  <c r="S988" i="1"/>
  <c r="S212" i="1"/>
  <c r="S404" i="1"/>
  <c r="S527" i="1"/>
  <c r="S1273" i="1"/>
  <c r="S1292" i="1"/>
  <c r="S508" i="1"/>
  <c r="S483" i="1"/>
  <c r="S790" i="1"/>
  <c r="S730" i="1"/>
  <c r="S786" i="1"/>
  <c r="S673" i="1"/>
  <c r="S1004" i="1"/>
  <c r="S1126" i="1"/>
  <c r="S1219" i="1"/>
  <c r="S325" i="1"/>
  <c r="S965" i="1"/>
  <c r="S576" i="1"/>
  <c r="S243" i="1"/>
  <c r="S796" i="1"/>
  <c r="S364" i="1"/>
  <c r="S548" i="1"/>
  <c r="S577" i="1"/>
  <c r="S895" i="1"/>
  <c r="S85" i="1"/>
  <c r="S613" i="1"/>
  <c r="S1211" i="1"/>
  <c r="S1288" i="1"/>
  <c r="S170" i="1"/>
  <c r="S948" i="1"/>
  <c r="S691" i="1"/>
  <c r="S699" i="1"/>
  <c r="S1289" i="1"/>
  <c r="S189" i="1"/>
  <c r="S1104" i="1"/>
  <c r="S672" i="1"/>
  <c r="S48" i="1"/>
  <c r="S694" i="1"/>
  <c r="S578" i="1"/>
  <c r="S836" i="1"/>
  <c r="S155" i="1"/>
  <c r="S1133" i="1"/>
  <c r="S158" i="1"/>
  <c r="S28" i="1"/>
  <c r="S106" i="1"/>
  <c r="S255" i="1"/>
  <c r="S493" i="1"/>
  <c r="S1184" i="1"/>
  <c r="S147" i="1"/>
  <c r="S1285" i="1"/>
  <c r="S782" i="1"/>
  <c r="S596" i="1"/>
  <c r="S218" i="1"/>
  <c r="S569" i="1"/>
  <c r="S1027" i="1"/>
  <c r="S808" i="1"/>
  <c r="S131" i="1"/>
  <c r="S1287" i="1"/>
  <c r="Q291" i="1"/>
  <c r="Q883" i="1"/>
  <c r="Q71" i="1"/>
  <c r="Q1182" i="1"/>
  <c r="Q252" i="1"/>
  <c r="Q558" i="1"/>
  <c r="Q318" i="1"/>
  <c r="Q1058" i="1"/>
  <c r="Q349" i="1"/>
  <c r="Q205" i="1"/>
  <c r="Q619" i="1"/>
  <c r="Q186" i="1"/>
  <c r="Q18" i="1"/>
  <c r="Q32" i="1"/>
  <c r="Q1242" i="1"/>
  <c r="Q912" i="1"/>
  <c r="Q10" i="1"/>
  <c r="Q878" i="1"/>
  <c r="Q462" i="1"/>
  <c r="Q284" i="1"/>
  <c r="Q784" i="1"/>
  <c r="Q83" i="1"/>
  <c r="Q271" i="1"/>
  <c r="Q1208" i="1"/>
  <c r="Q61" i="1"/>
  <c r="Q111" i="1"/>
  <c r="Q1147" i="1"/>
  <c r="Q314" i="1"/>
  <c r="Q118" i="1"/>
  <c r="Q235" i="1"/>
  <c r="Q1076" i="1"/>
  <c r="Q976" i="1"/>
  <c r="Q550" i="1"/>
  <c r="Q630" i="1"/>
  <c r="Q90" i="1"/>
  <c r="Q470" i="1"/>
  <c r="Q67" i="1"/>
  <c r="Q626" i="1"/>
  <c r="Q70" i="1"/>
  <c r="Q690" i="1"/>
  <c r="Q590" i="1"/>
  <c r="Q23" i="1"/>
  <c r="Q1217" i="1"/>
  <c r="Q675" i="1"/>
  <c r="Q76" i="1"/>
  <c r="Q744" i="1"/>
  <c r="Q16" i="1"/>
  <c r="Q36" i="1"/>
  <c r="Q297" i="1"/>
  <c r="Q1092" i="1"/>
  <c r="Q105" i="1"/>
  <c r="Q143" i="1"/>
  <c r="Q954" i="1"/>
  <c r="Q1106" i="1"/>
  <c r="Q682" i="1"/>
  <c r="Q647" i="1"/>
  <c r="Q890" i="1"/>
  <c r="Q804" i="1"/>
  <c r="Q247" i="1"/>
  <c r="Q231" i="1"/>
  <c r="Q888" i="1"/>
  <c r="Q598" i="1"/>
  <c r="Q469" i="1"/>
  <c r="Q667" i="1"/>
  <c r="Q522" i="1"/>
  <c r="Q514" i="1"/>
  <c r="Q643" i="1"/>
  <c r="Q56" i="1"/>
  <c r="Q803" i="1"/>
  <c r="Q256" i="1"/>
  <c r="Q1042" i="1"/>
  <c r="Q455" i="1"/>
  <c r="Q642" i="1"/>
  <c r="Q981" i="1"/>
  <c r="Q226" i="1"/>
  <c r="Q745" i="1"/>
  <c r="Q998" i="1"/>
  <c r="Q351" i="1"/>
  <c r="Q443" i="1"/>
  <c r="Q610" i="1"/>
  <c r="Q116" i="1"/>
  <c r="Q286" i="1"/>
  <c r="Q114" i="1"/>
  <c r="Q530" i="1"/>
  <c r="Q413" i="1"/>
  <c r="Q591" i="1"/>
  <c r="Q581" i="1"/>
  <c r="Q441" i="1"/>
  <c r="Q726" i="1"/>
  <c r="Q984" i="1"/>
  <c r="Q257" i="1"/>
  <c r="Q1009" i="1"/>
  <c r="Q505" i="1"/>
  <c r="Q457" i="1"/>
  <c r="Q518" i="1"/>
  <c r="Q837" i="1"/>
  <c r="Q377" i="1"/>
  <c r="Q704" i="1"/>
  <c r="Q532" i="1"/>
  <c r="Q2" i="1"/>
  <c r="Q384" i="1"/>
  <c r="Q1156" i="1"/>
  <c r="Q953" i="1"/>
  <c r="Q623" i="1"/>
  <c r="Q248" i="1"/>
  <c r="Q185" i="1"/>
  <c r="Q59" i="1"/>
  <c r="Q354" i="1"/>
  <c r="Q1066" i="1"/>
  <c r="Q950" i="1"/>
  <c r="Q1193" i="1"/>
  <c r="Q274" i="1"/>
  <c r="Q792" i="1"/>
  <c r="Q153" i="1"/>
  <c r="Q1022" i="1"/>
  <c r="Q1131" i="1"/>
  <c r="Q484" i="1"/>
  <c r="Q309" i="1"/>
  <c r="Q671" i="1"/>
  <c r="Q238" i="1"/>
  <c r="Q1103" i="1"/>
  <c r="Q471" i="1"/>
  <c r="Q1062" i="1"/>
  <c r="Q555" i="1"/>
  <c r="Q382" i="1"/>
  <c r="Q444" i="1"/>
  <c r="Q594" i="1"/>
  <c r="Q137" i="1"/>
  <c r="Q603" i="1"/>
  <c r="Q537" i="1"/>
  <c r="Q864" i="1"/>
  <c r="Q1117" i="1"/>
  <c r="Q242" i="1"/>
  <c r="Q264" i="1"/>
  <c r="Q933" i="1"/>
  <c r="Q127" i="1"/>
  <c r="Q1149" i="1"/>
  <c r="Q1129" i="1"/>
  <c r="Q405" i="1"/>
  <c r="Q520" i="1"/>
  <c r="Q542" i="1"/>
  <c r="Q715" i="1"/>
  <c r="Q74" i="1"/>
  <c r="Q886" i="1"/>
  <c r="Q175" i="1"/>
  <c r="Q313" i="1"/>
  <c r="Q166" i="1"/>
  <c r="Q737" i="1"/>
  <c r="Q776" i="1"/>
  <c r="Q1136" i="1"/>
  <c r="Q202" i="1"/>
  <c r="Q547" i="1"/>
  <c r="Q434" i="1"/>
  <c r="Q251" i="1"/>
  <c r="Q294" i="1"/>
  <c r="Q533" i="1"/>
  <c r="Q1082" i="1"/>
  <c r="Q766" i="1"/>
  <c r="Q399" i="1"/>
  <c r="Q909" i="1"/>
  <c r="Q234" i="1"/>
  <c r="Q214" i="1"/>
  <c r="Q875" i="1"/>
  <c r="Q978" i="1"/>
  <c r="Q253" i="1"/>
  <c r="Q254" i="1"/>
  <c r="Q336" i="1"/>
  <c r="Q109" i="1"/>
  <c r="Q134" i="1"/>
  <c r="Q342" i="1"/>
  <c r="Q490" i="1"/>
  <c r="Q519" i="1"/>
  <c r="Q634" i="1"/>
  <c r="Q1139" i="1"/>
  <c r="Q53" i="1"/>
  <c r="Q662" i="1"/>
  <c r="Q1246" i="1"/>
  <c r="Q1143" i="1"/>
  <c r="Q1218" i="1"/>
  <c r="Q1165" i="1"/>
  <c r="Q372" i="1"/>
  <c r="Q1200" i="1"/>
  <c r="Q936" i="1"/>
  <c r="Q974" i="1"/>
  <c r="Q420" i="1"/>
  <c r="Q330" i="1"/>
  <c r="Q1261" i="1"/>
  <c r="Q236" i="1"/>
  <c r="Q203" i="1"/>
  <c r="Q45" i="1"/>
  <c r="Q450" i="1"/>
  <c r="Q369" i="1"/>
  <c r="Q1179" i="1"/>
  <c r="Q41" i="1"/>
  <c r="Q122" i="1"/>
  <c r="Q1228" i="1"/>
  <c r="Q1028" i="1"/>
  <c r="Q103" i="1"/>
  <c r="Q128" i="1"/>
  <c r="Q923" i="1"/>
  <c r="Q964" i="1"/>
  <c r="Q55" i="1"/>
  <c r="Q157" i="1"/>
  <c r="Q709" i="1"/>
  <c r="Q698" i="1"/>
  <c r="Q858" i="1"/>
  <c r="Q367" i="1"/>
  <c r="Q544" i="1"/>
  <c r="Q19" i="1"/>
  <c r="Q797" i="1"/>
  <c r="Q678" i="1"/>
  <c r="Q282" i="1"/>
  <c r="Q966" i="1"/>
  <c r="Q299" i="1"/>
  <c r="Q363" i="1"/>
  <c r="Q464" i="1"/>
  <c r="Q714" i="1"/>
  <c r="Q25" i="1"/>
  <c r="Q897" i="1"/>
  <c r="Q331" i="1"/>
  <c r="Q213" i="1"/>
  <c r="Q1012" i="1"/>
  <c r="Q640" i="1"/>
  <c r="Q956" i="1"/>
  <c r="Q1170" i="1"/>
  <c r="Q1271" i="1"/>
  <c r="Q293" i="1"/>
  <c r="Q710" i="1"/>
  <c r="Q580" i="1"/>
  <c r="Q1056" i="1"/>
  <c r="Q910" i="1"/>
  <c r="Q838" i="1"/>
  <c r="Q303" i="1"/>
  <c r="Q807" i="1"/>
  <c r="Q600" i="1"/>
  <c r="Q1188" i="1"/>
  <c r="Q1153" i="1"/>
  <c r="Q432" i="1"/>
  <c r="Q268" i="1"/>
  <c r="Q1008" i="1"/>
  <c r="Q990" i="1"/>
  <c r="Q758" i="1"/>
  <c r="Q324" i="1"/>
  <c r="Q800" i="1"/>
  <c r="Q1109" i="1"/>
  <c r="Q316" i="1"/>
  <c r="Q1220" i="1"/>
  <c r="Q597" i="1"/>
  <c r="Q827" i="1"/>
  <c r="Q489" i="1"/>
  <c r="Q125" i="1"/>
  <c r="Q1067" i="1"/>
  <c r="Q605" i="1"/>
  <c r="Q230" i="1"/>
  <c r="Q1003" i="1"/>
  <c r="Q1083" i="1"/>
  <c r="Q492" i="1"/>
  <c r="Q740" i="1"/>
  <c r="Q1191" i="1"/>
  <c r="Q972" i="1"/>
  <c r="Q562" i="1"/>
  <c r="Q65" i="1"/>
  <c r="Q683" i="1"/>
  <c r="Q199" i="1"/>
  <c r="Q140" i="1"/>
  <c r="Q755" i="1"/>
  <c r="Q879" i="1"/>
  <c r="Q772" i="1"/>
  <c r="Q442" i="1"/>
  <c r="Q586" i="1"/>
  <c r="Q809" i="1"/>
  <c r="Q178" i="1"/>
  <c r="Q729" i="1"/>
  <c r="Q1202" i="1"/>
  <c r="Q43" i="1"/>
  <c r="Q154" i="1"/>
  <c r="Q328" i="1"/>
  <c r="Q263" i="1"/>
  <c r="Q1054" i="1"/>
  <c r="Q491" i="1"/>
  <c r="Q904" i="1"/>
  <c r="Q361" i="1"/>
  <c r="Q700" i="1"/>
  <c r="Q843" i="1"/>
  <c r="Q1232" i="1"/>
  <c r="Q995" i="1"/>
  <c r="Q1291" i="1"/>
  <c r="Q1173" i="1"/>
  <c r="Q66" i="1"/>
  <c r="Q1081" i="1"/>
  <c r="Q724" i="1"/>
  <c r="Q660" i="1"/>
  <c r="Q78" i="1"/>
  <c r="Q1181" i="1"/>
  <c r="Q563" i="1"/>
  <c r="Q26" i="1"/>
  <c r="Q1059" i="1"/>
  <c r="Q901" i="1"/>
  <c r="Q1247" i="1"/>
  <c r="Q104" i="1"/>
  <c r="Q1237" i="1"/>
  <c r="Q84" i="1"/>
  <c r="Q346" i="1"/>
  <c r="Q211" i="1"/>
  <c r="Q830" i="1"/>
  <c r="Q1018" i="1"/>
  <c r="Q973" i="1"/>
  <c r="Q648" i="1"/>
  <c r="Q487" i="1"/>
  <c r="Q849" i="1"/>
  <c r="Q1276" i="1"/>
  <c r="Q573" i="1"/>
  <c r="Q102" i="1"/>
  <c r="Q1084" i="1"/>
  <c r="Q50" i="1"/>
  <c r="Q1164" i="1"/>
  <c r="Q278" i="1"/>
  <c r="Q1047" i="1"/>
  <c r="Q579" i="1"/>
  <c r="Q868" i="1"/>
  <c r="Q302" i="1"/>
  <c r="Q338" i="1"/>
  <c r="Q37" i="1"/>
  <c r="Q193" i="1"/>
  <c r="Q458" i="1"/>
  <c r="Q1040" i="1"/>
  <c r="Q6" i="1"/>
  <c r="Q1031" i="1"/>
  <c r="Q1014" i="1"/>
  <c r="Q834" i="1"/>
  <c r="Q358" i="1"/>
  <c r="Q1108" i="1"/>
  <c r="Q355" i="1"/>
  <c r="Q839" i="1"/>
  <c r="Q1025" i="1"/>
  <c r="Q552" i="1"/>
  <c r="Q79" i="1"/>
  <c r="Q459" i="1"/>
  <c r="Q400" i="1"/>
  <c r="Q395" i="1"/>
  <c r="Q949" i="1"/>
  <c r="Q356" i="1"/>
  <c r="Q402" i="1"/>
  <c r="Q931" i="1"/>
  <c r="Q449" i="1"/>
  <c r="Q1068" i="1"/>
  <c r="Q1024" i="1"/>
  <c r="Q289" i="1"/>
  <c r="Q925" i="1"/>
  <c r="Q1043" i="1"/>
  <c r="Q589" i="1"/>
  <c r="Q14" i="1"/>
  <c r="Q421" i="1"/>
  <c r="Q595" i="1"/>
  <c r="Q418" i="1"/>
  <c r="Q1090" i="1"/>
  <c r="Q874" i="1"/>
  <c r="Q554" i="1"/>
  <c r="Q967" i="1"/>
  <c r="Q310" i="1"/>
  <c r="Q288" i="1"/>
  <c r="Q110" i="1"/>
  <c r="Q1101" i="1"/>
  <c r="Q466" i="1"/>
  <c r="Q1048" i="1"/>
  <c r="Q971" i="1"/>
  <c r="Q1119" i="1"/>
  <c r="Q986" i="1"/>
  <c r="Q101" i="1"/>
  <c r="Q225" i="1"/>
  <c r="Q679" i="1"/>
  <c r="Q918" i="1"/>
  <c r="Q593" i="1"/>
  <c r="Q989" i="1"/>
  <c r="Q341" i="1"/>
  <c r="Q568" i="1"/>
  <c r="Q280" i="1"/>
  <c r="Q1260" i="1"/>
  <c r="Q138" i="1"/>
  <c r="Q1032" i="1"/>
  <c r="Q476" i="1"/>
  <c r="Q39" i="1"/>
  <c r="Q632" i="1"/>
  <c r="Q198" i="1"/>
  <c r="Q467" i="1"/>
  <c r="Q1029" i="1"/>
  <c r="Q260" i="1"/>
  <c r="Q352" i="1"/>
  <c r="Q828" i="1"/>
  <c r="Q752" i="1"/>
  <c r="Q1231" i="1"/>
  <c r="Q1176" i="1"/>
  <c r="Q480" i="1"/>
  <c r="Q93" i="1"/>
  <c r="Q765" i="1"/>
  <c r="Q1161" i="1"/>
  <c r="Q689" i="1"/>
  <c r="Q769" i="1"/>
  <c r="Q1190" i="1"/>
  <c r="Q31" i="1"/>
  <c r="Q165" i="1"/>
  <c r="Q121" i="1"/>
  <c r="Q290" i="1"/>
  <c r="Q732" i="1"/>
  <c r="Q270" i="1"/>
  <c r="Q866" i="1"/>
  <c r="Q306" i="1"/>
  <c r="Q460" i="1"/>
  <c r="Q604" i="1"/>
  <c r="Q1044" i="1"/>
  <c r="Q1209" i="1"/>
  <c r="Q27" i="1"/>
  <c r="Q80" i="1"/>
  <c r="Q366" i="1"/>
  <c r="Q136" i="1"/>
  <c r="Q1290" i="1"/>
  <c r="Q239" i="1"/>
  <c r="Q169" i="1"/>
  <c r="Q657" i="1"/>
  <c r="Q216" i="1"/>
  <c r="Q152" i="1"/>
  <c r="Q1019" i="1"/>
  <c r="Q1132" i="1"/>
  <c r="Q427" i="1"/>
  <c r="Q159" i="1"/>
  <c r="Q68" i="1"/>
  <c r="Q305" i="1"/>
  <c r="Q651" i="1"/>
  <c r="Q869" i="1"/>
  <c r="Q385" i="1"/>
  <c r="Q734" i="1"/>
  <c r="Q113" i="1"/>
  <c r="Q1077" i="1"/>
  <c r="Q479" i="1"/>
  <c r="Q504" i="1"/>
  <c r="Q857" i="1"/>
  <c r="Q993" i="1"/>
  <c r="Q850" i="1"/>
  <c r="Q173" i="1"/>
  <c r="Q30" i="1"/>
  <c r="Q1244" i="1"/>
  <c r="Q81" i="1"/>
  <c r="Q585" i="1"/>
  <c r="Q217" i="1"/>
  <c r="Q145" i="1"/>
  <c r="Q535" i="1"/>
  <c r="Q731" i="1"/>
  <c r="Q451" i="1"/>
  <c r="Q119" i="1"/>
  <c r="Q894" i="1"/>
  <c r="Q780" i="1"/>
  <c r="Q272" i="1"/>
  <c r="Q195" i="1"/>
  <c r="Q696" i="1"/>
  <c r="Q250" i="1"/>
  <c r="Q783" i="1"/>
  <c r="Q144" i="1"/>
  <c r="Q863" i="1"/>
  <c r="Q608" i="1"/>
  <c r="Q1078" i="1"/>
  <c r="Q509" i="1"/>
  <c r="Q767" i="1"/>
  <c r="Q618" i="1"/>
  <c r="Q474" i="1"/>
  <c r="Q115" i="1"/>
  <c r="Q207" i="1"/>
  <c r="Q750" i="1"/>
  <c r="Q892" i="1"/>
  <c r="Q862" i="1"/>
  <c r="Q300" i="1"/>
  <c r="Q91" i="1"/>
  <c r="Q1046" i="1"/>
  <c r="Q1130" i="1"/>
  <c r="Q307" i="1"/>
  <c r="Q390" i="1"/>
  <c r="Q663" i="1"/>
  <c r="Q661" i="1"/>
  <c r="Q851" i="1"/>
  <c r="Q1227" i="1"/>
  <c r="Q852" i="1"/>
  <c r="Q494" i="1"/>
  <c r="Q706" i="1"/>
  <c r="Q1111" i="1"/>
  <c r="Q811" i="1"/>
  <c r="Q11" i="1"/>
  <c r="Q1007" i="1"/>
  <c r="Q1189" i="1"/>
  <c r="Q329" i="1"/>
  <c r="Q375" i="1"/>
  <c r="Q609" i="1"/>
  <c r="Q1154" i="1"/>
  <c r="Q751" i="1"/>
  <c r="Q728" i="1"/>
  <c r="Q1026" i="1"/>
  <c r="Q1137" i="1"/>
  <c r="Q819" i="1"/>
  <c r="Q46" i="1"/>
  <c r="Q716" i="1"/>
  <c r="Q438" i="1"/>
  <c r="Q551" i="1"/>
  <c r="Q1221" i="1"/>
  <c r="Q572" i="1"/>
  <c r="Q644" i="1"/>
  <c r="Q507" i="1"/>
  <c r="Q428" i="1"/>
  <c r="Q296" i="1"/>
  <c r="Q1107" i="1"/>
  <c r="Q500" i="1"/>
  <c r="Q1259" i="1"/>
  <c r="Q1272" i="1"/>
  <c r="Q771" i="1"/>
  <c r="Q1041" i="1"/>
  <c r="Q1174" i="1"/>
  <c r="Q543" i="1"/>
  <c r="Q759" i="1"/>
  <c r="Q763" i="1"/>
  <c r="Q1001" i="1"/>
  <c r="Q73" i="1"/>
  <c r="Q499" i="1"/>
  <c r="Q164" i="1"/>
  <c r="Q1033" i="1"/>
  <c r="Q184" i="1"/>
  <c r="Q1171" i="1"/>
  <c r="Q223" i="1"/>
  <c r="Q884" i="1"/>
  <c r="Q911" i="1"/>
  <c r="Q1146" i="1"/>
  <c r="Q939" i="1"/>
  <c r="Q1122" i="1"/>
  <c r="Q770" i="1"/>
  <c r="Q1248" i="1"/>
  <c r="Q388" i="1"/>
  <c r="Q461" i="1"/>
  <c r="Q907" i="1"/>
  <c r="Q439" i="1"/>
  <c r="Q840" i="1"/>
  <c r="Q556" i="1"/>
  <c r="Q560" i="1"/>
  <c r="Q1168" i="1"/>
  <c r="Q410" i="1"/>
  <c r="Q1115" i="1"/>
  <c r="Q915" i="1"/>
  <c r="Q1099" i="1"/>
  <c r="Q899" i="1"/>
  <c r="Q233" i="1"/>
  <c r="Q357" i="1"/>
  <c r="Q635" i="1"/>
  <c r="Q805" i="1"/>
  <c r="Q1051" i="1"/>
  <c r="Q812" i="1"/>
  <c r="Q902" i="1"/>
  <c r="Q799" i="1"/>
  <c r="Q77" i="1"/>
  <c r="Q397" i="1"/>
  <c r="Q308" i="1"/>
  <c r="Q17" i="1"/>
  <c r="Q655" i="1"/>
  <c r="Q1120" i="1"/>
  <c r="Q215" i="1"/>
  <c r="Q221" i="1"/>
  <c r="Q861" i="1"/>
  <c r="Q97" i="1"/>
  <c r="Q1118" i="1"/>
  <c r="Q760" i="1"/>
  <c r="Q722" i="1"/>
  <c r="Q275" i="1"/>
  <c r="Q539" i="1"/>
  <c r="Q34" i="1"/>
  <c r="Q176" i="1"/>
  <c r="Q429" i="1"/>
  <c r="Q488" i="1"/>
  <c r="Q415" i="1"/>
  <c r="Q1086" i="1"/>
  <c r="Q99" i="1"/>
  <c r="Q631" i="1"/>
  <c r="Q1055" i="1"/>
  <c r="Q620" i="1"/>
  <c r="Q411" i="1"/>
  <c r="Q668" i="1"/>
  <c r="Q1274" i="1"/>
  <c r="Q344" i="1"/>
  <c r="Q258" i="1"/>
  <c r="Q649" i="1"/>
  <c r="Q1036" i="1"/>
  <c r="Q917" i="1"/>
  <c r="Q1135" i="1"/>
  <c r="Q1138" i="1"/>
  <c r="Q190" i="1"/>
  <c r="Q1160" i="1"/>
  <c r="Q1013" i="1"/>
  <c r="Q1197" i="1"/>
  <c r="Q712" i="1"/>
  <c r="Q680" i="1"/>
  <c r="Q788" i="1"/>
  <c r="Q526" i="1"/>
  <c r="Q298" i="1"/>
  <c r="Q787" i="1"/>
  <c r="Q924" i="1"/>
  <c r="Q652" i="1"/>
  <c r="Q816" i="1"/>
  <c r="Q95" i="1"/>
  <c r="Q761" i="1"/>
  <c r="Q320" i="1"/>
  <c r="Q629" i="1"/>
  <c r="Q407" i="1"/>
  <c r="Q717" i="1"/>
  <c r="Q1088" i="1"/>
  <c r="Q958" i="1"/>
  <c r="Q928" i="1"/>
  <c r="Q222" i="1"/>
  <c r="Q842" i="1"/>
  <c r="Q1177" i="1"/>
  <c r="Q1094" i="1"/>
  <c r="Q960" i="1"/>
  <c r="Q436" i="1"/>
  <c r="Q244" i="1"/>
  <c r="Q1152" i="1"/>
  <c r="Q228" i="1"/>
  <c r="Q860" i="1"/>
  <c r="Q9" i="1"/>
  <c r="Q265" i="1"/>
  <c r="Q1034" i="1"/>
  <c r="Q1000" i="1"/>
  <c r="Q721" i="1"/>
  <c r="Q681" i="1"/>
  <c r="Q7" i="1"/>
  <c r="Q1134" i="1"/>
  <c r="Q1263" i="1"/>
  <c r="Q1214" i="1"/>
  <c r="Q21" i="1"/>
  <c r="Q798" i="1"/>
  <c r="Q1178" i="1"/>
  <c r="Q456" i="1"/>
  <c r="Q1087" i="1"/>
  <c r="Q1166" i="1"/>
  <c r="Q49" i="1"/>
  <c r="Q283" i="1"/>
  <c r="Q1110" i="1"/>
  <c r="Q345" i="1"/>
  <c r="Q1239" i="1"/>
  <c r="Q468" i="1"/>
  <c r="Q645" i="1"/>
  <c r="Q482" i="1"/>
  <c r="Q241" i="1"/>
  <c r="Q687" i="1"/>
  <c r="Q908" i="1"/>
  <c r="Q653" i="1"/>
  <c r="Q378" i="1"/>
  <c r="Q431" i="1"/>
  <c r="Q802" i="1"/>
  <c r="Q1206" i="1"/>
  <c r="Q789" i="1"/>
  <c r="Q1093" i="1"/>
  <c r="Q753" i="1"/>
  <c r="Q475" i="1"/>
  <c r="Q92" i="1"/>
  <c r="Q748" i="1"/>
  <c r="Q141" i="1"/>
  <c r="Q337" i="1"/>
  <c r="Q86" i="1"/>
  <c r="Q955" i="1"/>
  <c r="Q528" i="1"/>
  <c r="Q3" i="1"/>
  <c r="Q1279" i="1"/>
  <c r="Q718" i="1"/>
  <c r="Q179" i="1"/>
  <c r="Q1148" i="1"/>
  <c r="Q992" i="1"/>
  <c r="Q1075" i="1"/>
  <c r="Q833" i="1"/>
  <c r="Q188" i="1"/>
  <c r="Q566" i="1"/>
  <c r="Q1010" i="1"/>
  <c r="Q1064" i="1"/>
  <c r="Q261" i="1"/>
  <c r="Q301" i="1"/>
  <c r="Q5" i="1"/>
  <c r="Q1002" i="1"/>
  <c r="Q398" i="1"/>
  <c r="Q756" i="1"/>
  <c r="Q762" i="1"/>
  <c r="Q448" i="1"/>
  <c r="Q818" i="1"/>
  <c r="Q335" i="1"/>
  <c r="Q368" i="1"/>
  <c r="Q975" i="1"/>
  <c r="Q12" i="1"/>
  <c r="Q1158" i="1"/>
  <c r="Q611" i="1"/>
  <c r="Q832" i="1"/>
  <c r="Q1293" i="1"/>
  <c r="Q149" i="1"/>
  <c r="Q951" i="1"/>
  <c r="Q607" i="1"/>
  <c r="Q658" i="1"/>
  <c r="Q412" i="1"/>
  <c r="Q1192" i="1"/>
  <c r="Q446" i="1"/>
  <c r="Q906" i="1"/>
  <c r="Q665" i="1"/>
  <c r="Q778" i="1"/>
  <c r="Q725" i="1"/>
  <c r="Q163" i="1"/>
  <c r="Q1207" i="1"/>
  <c r="Q259" i="1"/>
  <c r="Q1140" i="1"/>
  <c r="Q659" i="1"/>
  <c r="Q785" i="1"/>
  <c r="Q406" i="1"/>
  <c r="Q392" i="1"/>
  <c r="Q463" i="1"/>
  <c r="Q63" i="1"/>
  <c r="Q669" i="1"/>
  <c r="Q588" i="1"/>
  <c r="Q1098" i="1"/>
  <c r="Q15" i="1"/>
  <c r="Q794" i="1"/>
  <c r="Q1157" i="1"/>
  <c r="Q654" i="1"/>
  <c r="Q831" i="1"/>
  <c r="Q1225" i="1"/>
  <c r="Q523" i="1"/>
  <c r="Q575" i="1"/>
  <c r="Q982" i="1"/>
  <c r="Q501" i="1"/>
  <c r="Q161" i="1"/>
  <c r="Q1185" i="1"/>
  <c r="Q565" i="1"/>
  <c r="Q677" i="1"/>
  <c r="Q685" i="1"/>
  <c r="Q865" i="1"/>
  <c r="Q940" i="1"/>
  <c r="Q381" i="1"/>
  <c r="Q340" i="1"/>
  <c r="Q445" i="1"/>
  <c r="Q1281" i="1"/>
  <c r="Q701" i="1"/>
  <c r="Q192" i="1"/>
  <c r="Q370" i="1"/>
  <c r="Q882" i="1"/>
  <c r="Q664" i="1"/>
  <c r="Q496" i="1"/>
  <c r="Q934" i="1"/>
  <c r="Q943" i="1"/>
  <c r="Q1213" i="1"/>
  <c r="Q959" i="1"/>
  <c r="Q570" i="1"/>
  <c r="Q887" i="1"/>
  <c r="Q587" i="1"/>
  <c r="Q75" i="1"/>
  <c r="Q1241" i="1"/>
  <c r="Q684" i="1"/>
  <c r="Q396" i="1"/>
  <c r="Q1124" i="1"/>
  <c r="Q1016" i="1"/>
  <c r="Q927" i="1"/>
  <c r="Q437" i="1"/>
  <c r="Q332" i="1"/>
  <c r="Q944" i="1"/>
  <c r="Q945" i="1"/>
  <c r="Q183" i="1"/>
  <c r="Q100" i="1"/>
  <c r="Q146" i="1"/>
  <c r="Q1222" i="1"/>
  <c r="Q754" i="1"/>
  <c r="Q889" i="1"/>
  <c r="Q1069" i="1"/>
  <c r="Q347" i="1"/>
  <c r="Q210" i="1"/>
  <c r="Q806" i="1"/>
  <c r="Q29" i="1"/>
  <c r="Q1089" i="1"/>
  <c r="Q641" i="1"/>
  <c r="Q1255" i="1"/>
  <c r="Q913" i="1"/>
  <c r="Q757" i="1"/>
  <c r="Q495" i="1"/>
  <c r="Q946" i="1"/>
  <c r="Q513" i="1"/>
  <c r="Q269" i="1"/>
  <c r="Q326" i="1"/>
  <c r="Q1235" i="1"/>
  <c r="Q920" i="1"/>
  <c r="Q898" i="1"/>
  <c r="Q1038" i="1"/>
  <c r="Q42" i="1"/>
  <c r="Q764" i="1"/>
  <c r="Q914" i="1"/>
  <c r="Q876" i="1"/>
  <c r="Q601" i="1"/>
  <c r="Q171" i="1"/>
  <c r="Q322" i="1"/>
  <c r="Q947" i="1"/>
  <c r="Q627" i="1"/>
  <c r="Q599" i="1"/>
  <c r="Q209" i="1"/>
  <c r="Q1039" i="1"/>
  <c r="Q502" i="1"/>
  <c r="Q1095" i="1"/>
  <c r="Q821" i="1"/>
  <c r="Q646" i="1"/>
  <c r="Q1224" i="1"/>
  <c r="Q40" i="1"/>
  <c r="Q227" i="1"/>
  <c r="Q815" i="1"/>
  <c r="Q977" i="1"/>
  <c r="Q867" i="1"/>
  <c r="Q996" i="1"/>
  <c r="Q841" i="1"/>
  <c r="Q926" i="1"/>
  <c r="Q120" i="1"/>
  <c r="Q881" i="1"/>
  <c r="Q855" i="1"/>
  <c r="Q279" i="1"/>
  <c r="Q1159" i="1"/>
  <c r="Q1284" i="1"/>
  <c r="Q339" i="1"/>
  <c r="Q1223" i="1"/>
  <c r="Q582" i="1"/>
  <c r="Q453" i="1"/>
  <c r="Q246" i="1"/>
  <c r="Q1275" i="1"/>
  <c r="Q553" i="1"/>
  <c r="Q1266" i="1"/>
  <c r="Q1270" i="1"/>
  <c r="Q89" i="1"/>
  <c r="Q62" i="1"/>
  <c r="Q1053" i="1"/>
  <c r="Q697" i="1"/>
  <c r="Q117" i="1"/>
  <c r="Q854" i="1"/>
  <c r="Q1250" i="1"/>
  <c r="Q123" i="1"/>
  <c r="Q380" i="1"/>
  <c r="Q1280" i="1"/>
  <c r="Q711" i="1"/>
  <c r="Q180" i="1"/>
  <c r="Q1155" i="1"/>
  <c r="Q891" i="1"/>
  <c r="Q267" i="1"/>
  <c r="Q206" i="1"/>
  <c r="Q1049" i="1"/>
  <c r="Q775" i="1"/>
  <c r="Q774" i="1"/>
  <c r="Q614" i="1"/>
  <c r="Q287" i="1"/>
  <c r="Q191" i="1"/>
  <c r="Q232" i="1"/>
  <c r="Q835" i="1"/>
  <c r="Q592" i="1"/>
  <c r="Q985" i="1"/>
  <c r="Q517" i="1"/>
  <c r="Q1079" i="1"/>
  <c r="Q625" i="1"/>
  <c r="Q937" i="1"/>
  <c r="Q506" i="1"/>
  <c r="Q512" i="1"/>
  <c r="Q391" i="1"/>
  <c r="Q777" i="1"/>
  <c r="Q793" i="1"/>
  <c r="Q708" i="1"/>
  <c r="Q1006" i="1"/>
  <c r="Q549" i="1"/>
  <c r="Q1210" i="1"/>
  <c r="Q773" i="1"/>
  <c r="Q1037" i="1"/>
  <c r="Q1142" i="1"/>
  <c r="Q371" i="1"/>
  <c r="Q727" i="1"/>
  <c r="Q692" i="1"/>
  <c r="Q584" i="1"/>
  <c r="Q1063" i="1"/>
  <c r="Q130" i="1"/>
  <c r="Q991" i="1"/>
  <c r="Q896" i="1"/>
  <c r="Q1073" i="1"/>
  <c r="Q524" i="1"/>
  <c r="Q1061" i="1"/>
  <c r="Q622" i="1"/>
  <c r="Q557" i="1"/>
  <c r="Q435" i="1"/>
  <c r="Q486" i="1"/>
  <c r="Q1100" i="1"/>
  <c r="Q304" i="1"/>
  <c r="Q571" i="1"/>
  <c r="Q970" i="1"/>
  <c r="Q1074" i="1"/>
  <c r="Q465" i="1"/>
  <c r="Q1035" i="1"/>
  <c r="Q813" i="1"/>
  <c r="Q20" i="1"/>
  <c r="Q112" i="1"/>
  <c r="Q57" i="1"/>
  <c r="Q844" i="1"/>
  <c r="Q1267" i="1"/>
  <c r="Q1198" i="1"/>
  <c r="Q69" i="1"/>
  <c r="Q930" i="1"/>
  <c r="Q220" i="1"/>
  <c r="Q315" i="1"/>
  <c r="Q1005" i="1"/>
  <c r="Q1017" i="1"/>
  <c r="Q615" i="1"/>
  <c r="Q33" i="1"/>
  <c r="Q360" i="1"/>
  <c r="Q160" i="1"/>
  <c r="Q962" i="1"/>
  <c r="Q187" i="1"/>
  <c r="Q983" i="1"/>
  <c r="Q705" i="1"/>
  <c r="Q1085" i="1"/>
  <c r="Q4" i="1"/>
  <c r="Q845" i="1"/>
  <c r="Q1057" i="1"/>
  <c r="Q624" i="1"/>
  <c r="Q343" i="1"/>
  <c r="Q969" i="1"/>
  <c r="Q13" i="1"/>
  <c r="Q273" i="1"/>
  <c r="Q636" i="1"/>
  <c r="Q150" i="1"/>
  <c r="Q1286" i="1"/>
  <c r="Q387" i="1"/>
  <c r="Q182" i="1"/>
  <c r="Q1097" i="1"/>
  <c r="Q98" i="1"/>
  <c r="Q1183" i="1"/>
  <c r="Q194" i="1"/>
  <c r="Q1144" i="1"/>
  <c r="Q200" i="1"/>
  <c r="Q139" i="1"/>
  <c r="Q1125" i="1"/>
  <c r="Q201" i="1"/>
  <c r="Q791" i="1"/>
  <c r="Q96" i="1"/>
  <c r="Q583" i="1"/>
  <c r="Q312" i="1"/>
  <c r="Q1141" i="1"/>
  <c r="Q87" i="1"/>
  <c r="Q419" i="1"/>
  <c r="Q424" i="1"/>
  <c r="Q994" i="1"/>
  <c r="Q997" i="1"/>
  <c r="Q1011" i="1"/>
  <c r="Q408" i="1"/>
  <c r="Q1269" i="1"/>
  <c r="Q1116" i="1"/>
  <c r="Q1277" i="1"/>
  <c r="Q1226" i="1"/>
  <c r="Q856" i="1"/>
  <c r="Q1234" i="1"/>
  <c r="Q1150" i="1"/>
  <c r="Q693" i="1"/>
  <c r="Q814" i="1"/>
  <c r="Q353" i="1"/>
  <c r="Q430" i="1"/>
  <c r="Q1112" i="1"/>
  <c r="Q743" i="1"/>
  <c r="Q126" i="1"/>
  <c r="Q497" i="1"/>
  <c r="Q1204" i="1"/>
  <c r="Q22" i="1"/>
  <c r="Q1105" i="1"/>
  <c r="Q156" i="1"/>
  <c r="Q1113" i="1"/>
  <c r="Q1233" i="1"/>
  <c r="Q133" i="1"/>
  <c r="Q1102" i="1"/>
  <c r="Q893" i="1"/>
  <c r="Q747" i="1"/>
  <c r="Q829" i="1"/>
  <c r="Q713" i="1"/>
  <c r="Q938" i="1"/>
  <c r="Q916" i="1"/>
  <c r="Q1243" i="1"/>
  <c r="Q515" i="1"/>
  <c r="Q686" i="1"/>
  <c r="Q281" i="1"/>
  <c r="Q1151" i="1"/>
  <c r="Q416" i="1"/>
  <c r="Q823" i="1"/>
  <c r="Q472" i="1"/>
  <c r="Q617" i="1"/>
  <c r="Q719" i="1"/>
  <c r="Q746" i="1"/>
  <c r="Q1265" i="1"/>
  <c r="Q987" i="1"/>
  <c r="Q124" i="1"/>
  <c r="Q47" i="1"/>
  <c r="Q219" i="1"/>
  <c r="Q1212" i="1"/>
  <c r="Q1195" i="1"/>
  <c r="Q942" i="1"/>
  <c r="Q824" i="1"/>
  <c r="Q779" i="1"/>
  <c r="Q319" i="1"/>
  <c r="Q174" i="1"/>
  <c r="Q1045" i="1"/>
  <c r="Q872" i="1"/>
  <c r="Q1245" i="1"/>
  <c r="Q107" i="1"/>
  <c r="Q365" i="1"/>
  <c r="Q132" i="1"/>
  <c r="Q168" i="1"/>
  <c r="Q481" i="1"/>
  <c r="Q1023" i="1"/>
  <c r="Q334" i="1"/>
  <c r="Q148" i="1"/>
  <c r="Q409" i="1"/>
  <c r="Q739" i="1"/>
  <c r="Q1257" i="1"/>
  <c r="Q72" i="1"/>
  <c r="Q1180" i="1"/>
  <c r="Q51" i="1"/>
  <c r="Q781" i="1"/>
  <c r="Q1249" i="1"/>
  <c r="Q561" i="1"/>
  <c r="Q1252" i="1"/>
  <c r="Q1145" i="1"/>
  <c r="Q108" i="1"/>
  <c r="Q541" i="1"/>
  <c r="Q350" i="1"/>
  <c r="Q389" i="1"/>
  <c r="Q1163" i="1"/>
  <c r="Q1121" i="1"/>
  <c r="Q440" i="1"/>
  <c r="Q414" i="1"/>
  <c r="Q979" i="1"/>
  <c r="Q1194" i="1"/>
  <c r="Q162" i="1"/>
  <c r="Q801" i="1"/>
  <c r="Q516" i="1"/>
  <c r="Q1021" i="1"/>
  <c r="Q1030" i="1"/>
  <c r="Q742" i="1"/>
  <c r="Q425" i="1"/>
  <c r="Q447" i="1"/>
  <c r="Q676" i="1"/>
  <c r="Q44" i="1"/>
  <c r="Q383" i="1"/>
  <c r="Q606" i="1"/>
  <c r="Q525" i="1"/>
  <c r="Q1253" i="1"/>
  <c r="Q1203" i="1"/>
  <c r="Q511" i="1"/>
  <c r="Q768" i="1"/>
  <c r="Q871" i="1"/>
  <c r="Q1071" i="1"/>
  <c r="Q810" i="1"/>
  <c r="Q373" i="1"/>
  <c r="Q736" i="1"/>
  <c r="Q1240" i="1"/>
  <c r="Q602" i="1"/>
  <c r="Q129" i="1"/>
  <c r="Q323" i="1"/>
  <c r="Q826" i="1"/>
  <c r="Q1167" i="1"/>
  <c r="Q477" i="1"/>
  <c r="Q240" i="1"/>
  <c r="Q564" i="1"/>
  <c r="Q795" i="1"/>
  <c r="Q38" i="1"/>
  <c r="Q612" i="1"/>
  <c r="Q422" i="1"/>
  <c r="Q245" i="1"/>
  <c r="Q749" i="1"/>
  <c r="Q735" i="1"/>
  <c r="Q1254" i="1"/>
  <c r="Q1162" i="1"/>
  <c r="Q135" i="1"/>
  <c r="Q52" i="1"/>
  <c r="Q197" i="1"/>
  <c r="Q249" i="1"/>
  <c r="Q1065" i="1"/>
  <c r="Q503" i="1"/>
  <c r="Q1236" i="1"/>
  <c r="Q616" i="1"/>
  <c r="Q825" i="1"/>
  <c r="Q386" i="1"/>
  <c r="Q498" i="1"/>
  <c r="Q1123" i="1"/>
  <c r="Q433" i="1"/>
  <c r="Q485" i="1"/>
  <c r="Q64" i="1"/>
  <c r="Q733" i="1"/>
  <c r="Q628" i="1"/>
  <c r="Q1251" i="1"/>
  <c r="Q723" i="1"/>
  <c r="Q276" i="1"/>
  <c r="Q1096" i="1"/>
  <c r="Q473" i="1"/>
  <c r="Q1070" i="1"/>
  <c r="Q905" i="1"/>
  <c r="Q1199" i="1"/>
  <c r="Q670" i="1"/>
  <c r="Q348" i="1"/>
  <c r="Q376" i="1"/>
  <c r="Q999" i="1"/>
  <c r="Q1060" i="1"/>
  <c r="Q720" i="1"/>
  <c r="Q738" i="1"/>
  <c r="Q24" i="1"/>
  <c r="Q1052" i="1"/>
  <c r="Q637" i="1"/>
  <c r="Q60" i="1"/>
  <c r="Q295" i="1"/>
  <c r="Q1268" i="1"/>
  <c r="Q1229" i="1"/>
  <c r="Q204" i="1"/>
  <c r="Q510" i="1"/>
  <c r="Q900" i="1"/>
  <c r="Q957" i="1"/>
  <c r="Q885" i="1"/>
  <c r="Q531" i="1"/>
  <c r="Q521" i="1"/>
  <c r="Q151" i="1"/>
  <c r="Q1015" i="1"/>
  <c r="Q1169" i="1"/>
  <c r="Q327" i="1"/>
  <c r="Q688" i="1"/>
  <c r="Q35" i="1"/>
  <c r="Q394" i="1"/>
  <c r="Q172" i="1"/>
  <c r="Q237" i="1"/>
  <c r="Q822" i="1"/>
  <c r="Q963" i="1"/>
  <c r="Q650" i="1"/>
  <c r="Q1278" i="1"/>
  <c r="Q1050" i="1"/>
  <c r="Q1091" i="1"/>
  <c r="Q880" i="1"/>
  <c r="Q292" i="1"/>
  <c r="Q1238" i="1"/>
  <c r="Q633" i="1"/>
  <c r="Q536" i="1"/>
  <c r="Q741" i="1"/>
  <c r="Q417" i="1"/>
  <c r="Q1072" i="1"/>
  <c r="Q374" i="1"/>
  <c r="Q58" i="1"/>
  <c r="Q538" i="1"/>
  <c r="Q362" i="1"/>
  <c r="Q559" i="1"/>
  <c r="Q181" i="1"/>
  <c r="Q1128" i="1"/>
  <c r="Q229" i="1"/>
  <c r="Q94" i="1"/>
  <c r="Q1201" i="1"/>
  <c r="Q703" i="1"/>
  <c r="Q454" i="1"/>
  <c r="Q401" i="1"/>
  <c r="Q919" i="1"/>
  <c r="Q621" i="1"/>
  <c r="Q177" i="1"/>
  <c r="Q873" i="1"/>
  <c r="Q1080" i="1"/>
  <c r="Q311" i="1"/>
  <c r="Q1020" i="1"/>
  <c r="Q903" i="1"/>
  <c r="Q968" i="1"/>
  <c r="Q1187" i="1"/>
  <c r="Q817" i="1"/>
  <c r="Q321" i="1"/>
  <c r="Q423" i="1"/>
  <c r="Q167" i="1"/>
  <c r="Q317" i="1"/>
  <c r="Q1258" i="1"/>
  <c r="Q1262" i="1"/>
  <c r="Q1230" i="1"/>
  <c r="Q574" i="1"/>
  <c r="Q534" i="1"/>
  <c r="Q452" i="1"/>
  <c r="Q846" i="1"/>
  <c r="Q674" i="1"/>
  <c r="Q1215" i="1"/>
  <c r="Q1114" i="1"/>
  <c r="Q567" i="1"/>
  <c r="Q859" i="1"/>
  <c r="Q1205" i="1"/>
  <c r="Q529" i="1"/>
  <c r="Q262" i="1"/>
  <c r="Q877" i="1"/>
  <c r="Q266" i="1"/>
  <c r="Q847" i="1"/>
  <c r="Q961" i="1"/>
  <c r="Q932" i="1"/>
  <c r="Q702" i="1"/>
  <c r="Q1127" i="1"/>
  <c r="Q941" i="1"/>
  <c r="Q546" i="1"/>
  <c r="Q921" i="1"/>
  <c r="Q379" i="1"/>
  <c r="Q403" i="1"/>
  <c r="Q54" i="1"/>
  <c r="Q638" i="1"/>
  <c r="Q285" i="1"/>
  <c r="Q277" i="1"/>
  <c r="Q1216" i="1"/>
  <c r="Q142" i="1"/>
  <c r="Q88" i="1"/>
  <c r="Q478" i="1"/>
  <c r="Q666" i="1"/>
  <c r="Q820" i="1"/>
  <c r="Q1175" i="1"/>
  <c r="Q1172" i="1"/>
  <c r="Q426" i="1"/>
  <c r="Q1196" i="1"/>
  <c r="Q656" i="1"/>
  <c r="Q1186" i="1"/>
  <c r="Q848" i="1"/>
  <c r="Q639" i="1"/>
  <c r="Q224" i="1"/>
  <c r="Q333" i="1"/>
  <c r="Q196" i="1"/>
  <c r="Q1264" i="1"/>
  <c r="Q870" i="1"/>
  <c r="Q8" i="1"/>
  <c r="Q540" i="1"/>
  <c r="Q1282" i="1"/>
  <c r="Q393" i="1"/>
  <c r="Q82" i="1"/>
  <c r="Q929" i="1"/>
  <c r="Q545" i="1"/>
  <c r="Q952" i="1"/>
  <c r="Q707" i="1"/>
  <c r="Q853" i="1"/>
  <c r="Q935" i="1"/>
  <c r="Q695" i="1"/>
  <c r="Q1256" i="1"/>
  <c r="Q208" i="1"/>
  <c r="Q980" i="1"/>
  <c r="Q922" i="1"/>
  <c r="Q359" i="1"/>
  <c r="Q1283" i="1"/>
  <c r="Q988" i="1"/>
  <c r="Q212" i="1"/>
  <c r="Q404" i="1"/>
  <c r="Q527" i="1"/>
  <c r="Q1273" i="1"/>
  <c r="Q1292" i="1"/>
  <c r="Q508" i="1"/>
  <c r="Q483" i="1"/>
  <c r="Q790" i="1"/>
  <c r="Q730" i="1"/>
  <c r="Q786" i="1"/>
  <c r="Q673" i="1"/>
  <c r="Q1004" i="1"/>
  <c r="Q1126" i="1"/>
  <c r="Q1219" i="1"/>
  <c r="Q325" i="1"/>
  <c r="Q965" i="1"/>
  <c r="Q576" i="1"/>
  <c r="Q243" i="1"/>
  <c r="Q796" i="1"/>
  <c r="Q364" i="1"/>
  <c r="Q548" i="1"/>
  <c r="Q577" i="1"/>
  <c r="Q895" i="1"/>
  <c r="Q85" i="1"/>
  <c r="Q613" i="1"/>
  <c r="Q1211" i="1"/>
  <c r="Q1288" i="1"/>
  <c r="Q170" i="1"/>
  <c r="Q948" i="1"/>
  <c r="Q691" i="1"/>
  <c r="Q699" i="1"/>
  <c r="Q1289" i="1"/>
  <c r="Q189" i="1"/>
  <c r="Q1104" i="1"/>
  <c r="Q672" i="1"/>
  <c r="Q48" i="1"/>
  <c r="Q694" i="1"/>
  <c r="Q578" i="1"/>
  <c r="Q836" i="1"/>
  <c r="Q155" i="1"/>
  <c r="Q1133" i="1"/>
  <c r="Q158" i="1"/>
  <c r="Q28" i="1"/>
  <c r="Q106" i="1"/>
  <c r="Q255" i="1"/>
  <c r="Q493" i="1"/>
  <c r="Q1184" i="1"/>
  <c r="Q147" i="1"/>
  <c r="Q1285" i="1"/>
  <c r="Q782" i="1"/>
  <c r="Q596" i="1"/>
  <c r="Q218" i="1"/>
  <c r="Q569" i="1"/>
  <c r="Q1027" i="1"/>
  <c r="Q808" i="1"/>
  <c r="Q131" i="1"/>
  <c r="Q1287" i="1"/>
  <c r="E988" i="1"/>
  <c r="E212" i="1"/>
  <c r="E404" i="1"/>
  <c r="E527" i="1"/>
  <c r="E1273" i="1"/>
  <c r="E1292" i="1"/>
  <c r="E508" i="1"/>
  <c r="E483" i="1"/>
  <c r="E790" i="1"/>
  <c r="E730" i="1"/>
  <c r="E786" i="1"/>
  <c r="E673" i="1"/>
  <c r="E1004" i="1"/>
  <c r="E1126" i="1"/>
  <c r="E1219" i="1"/>
  <c r="E325" i="1"/>
  <c r="E965" i="1"/>
  <c r="E576" i="1"/>
  <c r="E243" i="1"/>
  <c r="E796" i="1"/>
  <c r="E364" i="1"/>
  <c r="E548" i="1"/>
  <c r="E577" i="1"/>
  <c r="E895" i="1"/>
  <c r="E85" i="1"/>
  <c r="E613" i="1"/>
  <c r="E1211" i="1"/>
  <c r="E1288" i="1"/>
  <c r="E170" i="1"/>
  <c r="E948" i="1"/>
  <c r="E691" i="1"/>
  <c r="E699" i="1"/>
  <c r="E1289" i="1"/>
  <c r="E189" i="1"/>
  <c r="E1104" i="1"/>
  <c r="E672" i="1"/>
  <c r="E48" i="1"/>
  <c r="E694" i="1"/>
  <c r="E578" i="1"/>
  <c r="E836" i="1"/>
  <c r="E155" i="1"/>
  <c r="E1133" i="1"/>
  <c r="E158" i="1"/>
  <c r="E28" i="1"/>
  <c r="E106" i="1"/>
  <c r="E255" i="1"/>
  <c r="E493" i="1"/>
  <c r="E1184" i="1"/>
  <c r="E147" i="1"/>
  <c r="E1285" i="1"/>
  <c r="E782" i="1"/>
  <c r="E596" i="1"/>
  <c r="E218" i="1"/>
  <c r="E569" i="1"/>
  <c r="E1027" i="1"/>
  <c r="E808" i="1"/>
  <c r="E131" i="1"/>
  <c r="E1287" i="1"/>
  <c r="E291" i="1"/>
  <c r="E883" i="1"/>
  <c r="E71" i="1"/>
  <c r="E1182" i="1"/>
  <c r="E252" i="1"/>
  <c r="E558" i="1"/>
  <c r="E619" i="1"/>
  <c r="E186" i="1"/>
  <c r="E32" i="1"/>
  <c r="E1242" i="1"/>
  <c r="E912" i="1"/>
  <c r="E10" i="1"/>
  <c r="E284" i="1"/>
  <c r="E784" i="1"/>
  <c r="E83" i="1"/>
  <c r="E271" i="1"/>
  <c r="E61" i="1"/>
  <c r="E111" i="1"/>
  <c r="E1147" i="1"/>
  <c r="E1076" i="1"/>
  <c r="E976" i="1"/>
  <c r="E550" i="1"/>
  <c r="E630" i="1"/>
  <c r="E90" i="1"/>
  <c r="E626" i="1"/>
  <c r="E690" i="1"/>
  <c r="E590" i="1"/>
  <c r="E675" i="1"/>
  <c r="E76" i="1"/>
  <c r="E744" i="1"/>
  <c r="E16" i="1"/>
  <c r="E297" i="1"/>
  <c r="E1092" i="1"/>
  <c r="E105" i="1"/>
  <c r="E143" i="1"/>
  <c r="E954" i="1"/>
  <c r="E1106" i="1"/>
  <c r="E647" i="1"/>
  <c r="E890" i="1"/>
  <c r="E804" i="1"/>
  <c r="E247" i="1"/>
  <c r="E231" i="1"/>
  <c r="E469" i="1"/>
  <c r="E667" i="1"/>
  <c r="E522" i="1"/>
  <c r="E514" i="1"/>
  <c r="E643" i="1"/>
  <c r="E256" i="1"/>
  <c r="E1042" i="1"/>
  <c r="E455" i="1"/>
  <c r="E642" i="1"/>
  <c r="E998" i="1"/>
  <c r="E351" i="1"/>
  <c r="E443" i="1"/>
  <c r="E610" i="1"/>
  <c r="E114" i="1"/>
  <c r="E530" i="1"/>
  <c r="E413" i="1"/>
  <c r="E591" i="1"/>
  <c r="E581" i="1"/>
  <c r="E726" i="1"/>
  <c r="E984" i="1"/>
  <c r="E257" i="1"/>
  <c r="E1009" i="1"/>
  <c r="E505" i="1"/>
  <c r="E457" i="1"/>
  <c r="E518" i="1"/>
  <c r="E704" i="1"/>
  <c r="E532" i="1"/>
  <c r="E2" i="1"/>
  <c r="E384" i="1"/>
  <c r="E953" i="1"/>
  <c r="E623" i="1"/>
  <c r="E248" i="1"/>
  <c r="E185" i="1"/>
  <c r="E59" i="1"/>
  <c r="E354" i="1"/>
  <c r="E1066" i="1"/>
  <c r="E950" i="1"/>
  <c r="E1193" i="1"/>
  <c r="E274" i="1"/>
  <c r="E792" i="1"/>
  <c r="E153" i="1"/>
  <c r="E484" i="1"/>
  <c r="E309" i="1"/>
  <c r="E671" i="1"/>
  <c r="E238" i="1"/>
  <c r="E1103" i="1"/>
  <c r="E471" i="1"/>
  <c r="E382" i="1"/>
  <c r="E444" i="1"/>
  <c r="E594" i="1"/>
  <c r="E137" i="1"/>
  <c r="E603" i="1"/>
  <c r="E537" i="1"/>
  <c r="E864" i="1"/>
  <c r="E1117" i="1"/>
  <c r="E242" i="1"/>
  <c r="E127" i="1"/>
  <c r="E1149" i="1"/>
  <c r="E1129" i="1"/>
  <c r="E405" i="1"/>
  <c r="E715" i="1"/>
  <c r="E74" i="1"/>
  <c r="E886" i="1"/>
  <c r="E175" i="1"/>
  <c r="E313" i="1"/>
  <c r="E166" i="1"/>
  <c r="E737" i="1"/>
  <c r="E776" i="1"/>
  <c r="E1136" i="1"/>
  <c r="E202" i="1"/>
  <c r="E294" i="1"/>
  <c r="E533" i="1"/>
  <c r="E1082" i="1"/>
  <c r="E766" i="1"/>
  <c r="E234" i="1"/>
  <c r="E214" i="1"/>
  <c r="E875" i="1"/>
  <c r="E978" i="1"/>
  <c r="E253" i="1"/>
  <c r="E254" i="1"/>
  <c r="E490" i="1"/>
  <c r="E519" i="1"/>
  <c r="E634" i="1"/>
  <c r="E1139" i="1"/>
  <c r="E53" i="1"/>
  <c r="E662" i="1"/>
  <c r="E1246" i="1"/>
  <c r="E1165" i="1"/>
  <c r="E372" i="1"/>
  <c r="E1200" i="1"/>
  <c r="E936" i="1"/>
  <c r="E974" i="1"/>
  <c r="E420" i="1"/>
  <c r="E330" i="1"/>
  <c r="E1261" i="1"/>
  <c r="E236" i="1"/>
  <c r="E203" i="1"/>
  <c r="E1028" i="1"/>
  <c r="E103" i="1"/>
  <c r="E128" i="1"/>
  <c r="E923" i="1"/>
  <c r="E964" i="1"/>
  <c r="E55" i="1"/>
  <c r="E157" i="1"/>
  <c r="E709" i="1"/>
  <c r="E367" i="1"/>
  <c r="E544" i="1"/>
  <c r="E19" i="1"/>
  <c r="E797" i="1"/>
  <c r="E299" i="1"/>
  <c r="E25" i="1"/>
  <c r="E897" i="1"/>
  <c r="E331" i="1"/>
  <c r="E213" i="1"/>
  <c r="E1012" i="1"/>
  <c r="E640" i="1"/>
  <c r="E1271" i="1"/>
  <c r="E293" i="1"/>
  <c r="E710" i="1"/>
  <c r="E580" i="1"/>
  <c r="E1056" i="1"/>
  <c r="E910" i="1"/>
  <c r="E838" i="1"/>
  <c r="E432" i="1"/>
  <c r="E268" i="1"/>
  <c r="E1008" i="1"/>
  <c r="E990" i="1"/>
  <c r="E758" i="1"/>
  <c r="E324" i="1"/>
  <c r="E800" i="1"/>
  <c r="E597" i="1"/>
  <c r="E827" i="1"/>
  <c r="E489" i="1"/>
  <c r="E125" i="1"/>
  <c r="E1067" i="1"/>
  <c r="E605" i="1"/>
  <c r="E230" i="1"/>
  <c r="E492" i="1"/>
  <c r="E199" i="1"/>
  <c r="E140" i="1"/>
  <c r="E755" i="1"/>
  <c r="E879" i="1"/>
  <c r="E772" i="1"/>
  <c r="E586" i="1"/>
  <c r="E809" i="1"/>
  <c r="E178" i="1"/>
  <c r="E1202" i="1"/>
  <c r="E43" i="1"/>
  <c r="E154" i="1"/>
  <c r="E328" i="1"/>
  <c r="E491" i="1"/>
  <c r="E904" i="1"/>
  <c r="E361" i="1"/>
  <c r="E700" i="1"/>
  <c r="E843" i="1"/>
  <c r="E1291" i="1"/>
  <c r="E1173" i="1"/>
  <c r="E724" i="1"/>
  <c r="E660" i="1"/>
  <c r="E78" i="1"/>
  <c r="E1181" i="1"/>
  <c r="E1059" i="1"/>
  <c r="E901" i="1"/>
  <c r="E1247" i="1"/>
  <c r="E84" i="1"/>
  <c r="E346" i="1"/>
  <c r="E211" i="1"/>
  <c r="E830" i="1"/>
  <c r="E487" i="1"/>
  <c r="E849" i="1"/>
  <c r="E1276" i="1"/>
  <c r="E573" i="1"/>
  <c r="E50" i="1"/>
  <c r="E1164" i="1"/>
  <c r="E278" i="1"/>
  <c r="E579" i="1"/>
  <c r="E868" i="1"/>
  <c r="E302" i="1"/>
  <c r="E338" i="1"/>
  <c r="E37" i="1"/>
  <c r="E193" i="1"/>
  <c r="E458" i="1"/>
  <c r="E1040" i="1"/>
  <c r="E6" i="1"/>
  <c r="E1031" i="1"/>
  <c r="E1014" i="1"/>
  <c r="E834" i="1"/>
  <c r="E358" i="1"/>
  <c r="E1108" i="1"/>
  <c r="E552" i="1"/>
  <c r="E79" i="1"/>
  <c r="E459" i="1"/>
  <c r="E395" i="1"/>
  <c r="E949" i="1"/>
  <c r="E356" i="1"/>
  <c r="E402" i="1"/>
  <c r="E931" i="1"/>
  <c r="E289" i="1"/>
  <c r="E925" i="1"/>
  <c r="E1043" i="1"/>
  <c r="E421" i="1"/>
  <c r="E595" i="1"/>
  <c r="E418" i="1"/>
  <c r="E1090" i="1"/>
  <c r="E874" i="1"/>
  <c r="E288" i="1"/>
  <c r="E110" i="1"/>
  <c r="E1101" i="1"/>
  <c r="E1119" i="1"/>
  <c r="E986" i="1"/>
  <c r="E101" i="1"/>
  <c r="E679" i="1"/>
  <c r="E918" i="1"/>
  <c r="E593" i="1"/>
  <c r="E989" i="1"/>
  <c r="E341" i="1"/>
  <c r="E568" i="1"/>
  <c r="E1260" i="1"/>
  <c r="E138" i="1"/>
  <c r="E1032" i="1"/>
  <c r="E476" i="1"/>
  <c r="E39" i="1"/>
  <c r="E1029" i="1"/>
  <c r="E260" i="1"/>
  <c r="E352" i="1"/>
  <c r="E828" i="1"/>
  <c r="E752" i="1"/>
  <c r="E765" i="1"/>
  <c r="E1161" i="1"/>
  <c r="E689" i="1"/>
  <c r="E1190" i="1"/>
  <c r="E31" i="1"/>
  <c r="E165" i="1"/>
  <c r="E121" i="1"/>
  <c r="E270" i="1"/>
  <c r="E866" i="1"/>
  <c r="E1044" i="1"/>
  <c r="E1209" i="1"/>
  <c r="E27" i="1"/>
  <c r="E80" i="1"/>
  <c r="E366" i="1"/>
  <c r="E136" i="1"/>
  <c r="E1290" i="1"/>
  <c r="E169" i="1"/>
  <c r="E657" i="1"/>
  <c r="E216" i="1"/>
  <c r="E152" i="1"/>
  <c r="E1019" i="1"/>
  <c r="E1132" i="1"/>
  <c r="E427" i="1"/>
  <c r="E159" i="1"/>
  <c r="E68" i="1"/>
  <c r="E305" i="1"/>
  <c r="E651" i="1"/>
  <c r="E869" i="1"/>
  <c r="E385" i="1"/>
  <c r="E734" i="1"/>
  <c r="E113" i="1"/>
  <c r="E1077" i="1"/>
  <c r="E479" i="1"/>
  <c r="E504" i="1"/>
  <c r="E850" i="1"/>
  <c r="E173" i="1"/>
  <c r="E30" i="1"/>
  <c r="E585" i="1"/>
  <c r="E217" i="1"/>
  <c r="E145" i="1"/>
  <c r="E535" i="1"/>
  <c r="E731" i="1"/>
  <c r="E451" i="1"/>
  <c r="E119" i="1"/>
  <c r="E894" i="1"/>
  <c r="E272" i="1"/>
  <c r="E195" i="1"/>
  <c r="E696" i="1"/>
  <c r="E250" i="1"/>
  <c r="E783" i="1"/>
  <c r="E144" i="1"/>
  <c r="E863" i="1"/>
  <c r="E767" i="1"/>
  <c r="E618" i="1"/>
  <c r="E474" i="1"/>
  <c r="E115" i="1"/>
  <c r="E207" i="1"/>
  <c r="E750" i="1"/>
  <c r="E300" i="1"/>
  <c r="E91" i="1"/>
  <c r="E1046" i="1"/>
  <c r="E851" i="1"/>
  <c r="E1227" i="1"/>
  <c r="E852" i="1"/>
  <c r="E494" i="1"/>
  <c r="E706" i="1"/>
  <c r="E1111" i="1"/>
  <c r="E1189" i="1"/>
  <c r="E329" i="1"/>
  <c r="E375" i="1"/>
  <c r="E609" i="1"/>
  <c r="E1154" i="1"/>
  <c r="E751" i="1"/>
  <c r="E728" i="1"/>
  <c r="E1137" i="1"/>
  <c r="E46" i="1"/>
  <c r="E716" i="1"/>
  <c r="E438" i="1"/>
  <c r="E551" i="1"/>
  <c r="E1221" i="1"/>
  <c r="E572" i="1"/>
  <c r="E644" i="1"/>
  <c r="E507" i="1"/>
  <c r="E1107" i="1"/>
  <c r="E500" i="1"/>
  <c r="E1259" i="1"/>
  <c r="E1272" i="1"/>
  <c r="E1174" i="1"/>
  <c r="E543" i="1"/>
  <c r="E759" i="1"/>
  <c r="E763" i="1"/>
  <c r="E73" i="1"/>
  <c r="E499" i="1"/>
  <c r="E164" i="1"/>
  <c r="E1033" i="1"/>
  <c r="E184" i="1"/>
  <c r="E1171" i="1"/>
  <c r="E223" i="1"/>
  <c r="E884" i="1"/>
  <c r="E1146" i="1"/>
  <c r="E939" i="1"/>
  <c r="E1122" i="1"/>
  <c r="E770" i="1"/>
  <c r="E1248" i="1"/>
  <c r="E388" i="1"/>
  <c r="E461" i="1"/>
  <c r="E907" i="1"/>
  <c r="E439" i="1"/>
  <c r="E840" i="1"/>
  <c r="E556" i="1"/>
  <c r="E1168" i="1"/>
  <c r="E410" i="1"/>
  <c r="E1115" i="1"/>
  <c r="E915" i="1"/>
  <c r="E1099" i="1"/>
  <c r="E899" i="1"/>
  <c r="E635" i="1"/>
  <c r="E1051" i="1"/>
  <c r="E812" i="1"/>
  <c r="E902" i="1"/>
  <c r="E799" i="1"/>
  <c r="E77" i="1"/>
  <c r="E397" i="1"/>
  <c r="E1120" i="1"/>
  <c r="E221" i="1"/>
  <c r="E861" i="1"/>
  <c r="E97" i="1"/>
  <c r="E1118" i="1"/>
  <c r="E760" i="1"/>
  <c r="E722" i="1"/>
  <c r="E539" i="1"/>
  <c r="E415" i="1"/>
  <c r="E1086" i="1"/>
  <c r="E99" i="1"/>
  <c r="E631" i="1"/>
  <c r="E1055" i="1"/>
  <c r="E620" i="1"/>
  <c r="E411" i="1"/>
  <c r="E1274" i="1"/>
  <c r="E917" i="1"/>
  <c r="E1135" i="1"/>
  <c r="E1138" i="1"/>
  <c r="E190" i="1"/>
  <c r="E680" i="1"/>
  <c r="E788" i="1"/>
  <c r="E526" i="1"/>
  <c r="E298" i="1"/>
  <c r="E924" i="1"/>
  <c r="E652" i="1"/>
  <c r="E816" i="1"/>
  <c r="E95" i="1"/>
  <c r="E761" i="1"/>
  <c r="E320" i="1"/>
  <c r="E629" i="1"/>
  <c r="E407" i="1"/>
  <c r="E717" i="1"/>
  <c r="E1088" i="1"/>
  <c r="E222" i="1"/>
  <c r="E842" i="1"/>
  <c r="E1177" i="1"/>
  <c r="E1094" i="1"/>
  <c r="E960" i="1"/>
  <c r="E244" i="1"/>
  <c r="E1152" i="1"/>
  <c r="E228" i="1"/>
  <c r="E860" i="1"/>
  <c r="E9" i="1"/>
  <c r="E265" i="1"/>
  <c r="E721" i="1"/>
  <c r="E7" i="1"/>
  <c r="E1134" i="1"/>
  <c r="E1263" i="1"/>
  <c r="E1214" i="1"/>
  <c r="E21" i="1"/>
  <c r="E798" i="1"/>
  <c r="E456" i="1"/>
  <c r="E1087" i="1"/>
  <c r="E1166" i="1"/>
  <c r="E49" i="1"/>
  <c r="E283" i="1"/>
  <c r="E1110" i="1"/>
  <c r="E345" i="1"/>
  <c r="E1239" i="1"/>
  <c r="E468" i="1"/>
  <c r="E645" i="1"/>
  <c r="E908" i="1"/>
  <c r="E653" i="1"/>
  <c r="E378" i="1"/>
  <c r="E431" i="1"/>
  <c r="E1093" i="1"/>
  <c r="E753" i="1"/>
  <c r="E475" i="1"/>
  <c r="E141" i="1"/>
  <c r="E337" i="1"/>
  <c r="E86" i="1"/>
  <c r="E955" i="1"/>
  <c r="E528" i="1"/>
  <c r="E3" i="1"/>
  <c r="E1279" i="1"/>
  <c r="E718" i="1"/>
  <c r="E179" i="1"/>
  <c r="E1148" i="1"/>
  <c r="E992" i="1"/>
  <c r="E1075" i="1"/>
  <c r="E833" i="1"/>
  <c r="E188" i="1"/>
  <c r="E566" i="1"/>
  <c r="E301" i="1"/>
  <c r="E5" i="1"/>
  <c r="E1002" i="1"/>
  <c r="E398" i="1"/>
  <c r="E756" i="1"/>
  <c r="E762" i="1"/>
  <c r="E448" i="1"/>
  <c r="E818" i="1"/>
  <c r="E368" i="1"/>
  <c r="E975" i="1"/>
  <c r="E12" i="1"/>
  <c r="E1158" i="1"/>
  <c r="E1293" i="1"/>
  <c r="E149" i="1"/>
  <c r="E951" i="1"/>
  <c r="E607" i="1"/>
  <c r="E658" i="1"/>
  <c r="E412" i="1"/>
  <c r="E1192" i="1"/>
  <c r="E906" i="1"/>
  <c r="E665" i="1"/>
  <c r="E725" i="1"/>
  <c r="E163" i="1"/>
  <c r="E1207" i="1"/>
  <c r="E259" i="1"/>
  <c r="E1140" i="1"/>
  <c r="E659" i="1"/>
  <c r="E785" i="1"/>
  <c r="E406" i="1"/>
  <c r="E392" i="1"/>
  <c r="E669" i="1"/>
  <c r="E588" i="1"/>
  <c r="E1098" i="1"/>
  <c r="E15" i="1"/>
  <c r="E794" i="1"/>
  <c r="E654" i="1"/>
  <c r="E831" i="1"/>
  <c r="E1225" i="1"/>
  <c r="E523" i="1"/>
  <c r="E575" i="1"/>
  <c r="E982" i="1"/>
  <c r="E501" i="1"/>
  <c r="E161" i="1"/>
  <c r="E685" i="1"/>
  <c r="E865" i="1"/>
  <c r="E940" i="1"/>
  <c r="E381" i="1"/>
  <c r="E340" i="1"/>
  <c r="E445" i="1"/>
  <c r="E1281" i="1"/>
  <c r="E701" i="1"/>
  <c r="E370" i="1"/>
  <c r="E882" i="1"/>
  <c r="E664" i="1"/>
  <c r="E496" i="1"/>
  <c r="E934" i="1"/>
  <c r="E943" i="1"/>
  <c r="E1213" i="1"/>
  <c r="E887" i="1"/>
  <c r="E587" i="1"/>
  <c r="E75" i="1"/>
  <c r="E1241" i="1"/>
  <c r="E684" i="1"/>
  <c r="E396" i="1"/>
  <c r="E927" i="1"/>
  <c r="E437" i="1"/>
  <c r="E332" i="1"/>
  <c r="E944" i="1"/>
  <c r="E945" i="1"/>
  <c r="E183" i="1"/>
  <c r="E100" i="1"/>
  <c r="E146" i="1"/>
  <c r="E1222" i="1"/>
  <c r="E754" i="1"/>
  <c r="E1089" i="1"/>
  <c r="E641" i="1"/>
  <c r="E1255" i="1"/>
  <c r="E757" i="1"/>
  <c r="E495" i="1"/>
  <c r="E946" i="1"/>
  <c r="E513" i="1"/>
  <c r="E920" i="1"/>
  <c r="E898" i="1"/>
  <c r="E1038" i="1"/>
  <c r="E42" i="1"/>
  <c r="E876" i="1"/>
  <c r="E601" i="1"/>
  <c r="E171" i="1"/>
  <c r="E322" i="1"/>
  <c r="E947" i="1"/>
  <c r="E627" i="1"/>
  <c r="E599" i="1"/>
  <c r="E209" i="1"/>
  <c r="E1095" i="1"/>
  <c r="E821" i="1"/>
  <c r="E646" i="1"/>
  <c r="E1224" i="1"/>
  <c r="E40" i="1"/>
  <c r="E977" i="1"/>
  <c r="E867" i="1"/>
  <c r="E996" i="1"/>
  <c r="E841" i="1"/>
  <c r="E926" i="1"/>
  <c r="E120" i="1"/>
  <c r="E881" i="1"/>
  <c r="E279" i="1"/>
  <c r="E1159" i="1"/>
  <c r="E1284" i="1"/>
  <c r="E339" i="1"/>
  <c r="E453" i="1"/>
  <c r="E246" i="1"/>
  <c r="E1275" i="1"/>
  <c r="E553" i="1"/>
  <c r="E1270" i="1"/>
  <c r="E89" i="1"/>
  <c r="E62" i="1"/>
  <c r="E1053" i="1"/>
  <c r="E697" i="1"/>
  <c r="E117" i="1"/>
  <c r="E854" i="1"/>
  <c r="E1250" i="1"/>
  <c r="E123" i="1"/>
  <c r="E711" i="1"/>
  <c r="E180" i="1"/>
  <c r="E1155" i="1"/>
  <c r="E267" i="1"/>
  <c r="E206" i="1"/>
  <c r="E1049" i="1"/>
  <c r="E775" i="1"/>
  <c r="E232" i="1"/>
  <c r="E835" i="1"/>
  <c r="E592" i="1"/>
  <c r="E985" i="1"/>
  <c r="E517" i="1"/>
  <c r="E625" i="1"/>
  <c r="E937" i="1"/>
  <c r="E506" i="1"/>
  <c r="E512" i="1"/>
  <c r="E391" i="1"/>
  <c r="E777" i="1"/>
  <c r="E793" i="1"/>
  <c r="E708" i="1"/>
  <c r="E1006" i="1"/>
  <c r="E549" i="1"/>
  <c r="E1210" i="1"/>
  <c r="E773" i="1"/>
  <c r="E1037" i="1"/>
  <c r="E1142" i="1"/>
  <c r="E727" i="1"/>
  <c r="E692" i="1"/>
  <c r="E584" i="1"/>
  <c r="E1063" i="1"/>
  <c r="E130" i="1"/>
  <c r="E991" i="1"/>
  <c r="E896" i="1"/>
  <c r="E1073" i="1"/>
  <c r="E524" i="1"/>
  <c r="E1061" i="1"/>
  <c r="E435" i="1"/>
  <c r="E486" i="1"/>
  <c r="E1100" i="1"/>
  <c r="E304" i="1"/>
  <c r="E571" i="1"/>
  <c r="E970" i="1"/>
  <c r="E1074" i="1"/>
  <c r="E465" i="1"/>
  <c r="E1035" i="1"/>
  <c r="E813" i="1"/>
  <c r="E20" i="1"/>
  <c r="E1267" i="1"/>
  <c r="E1198" i="1"/>
  <c r="E69" i="1"/>
  <c r="E930" i="1"/>
  <c r="E220" i="1"/>
  <c r="E33" i="1"/>
  <c r="E360" i="1"/>
  <c r="E160" i="1"/>
  <c r="E962" i="1"/>
  <c r="E187" i="1"/>
  <c r="E983" i="1"/>
  <c r="E705" i="1"/>
  <c r="E845" i="1"/>
  <c r="E1057" i="1"/>
  <c r="E624" i="1"/>
  <c r="E343" i="1"/>
  <c r="E969" i="1"/>
  <c r="E13" i="1"/>
  <c r="E273" i="1"/>
  <c r="E636" i="1"/>
  <c r="E150" i="1"/>
  <c r="E387" i="1"/>
  <c r="E182" i="1"/>
  <c r="E1097" i="1"/>
  <c r="E1144" i="1"/>
  <c r="E200" i="1"/>
  <c r="E139" i="1"/>
  <c r="E1125" i="1"/>
  <c r="E312" i="1"/>
  <c r="E1141" i="1"/>
  <c r="E87" i="1"/>
  <c r="E419" i="1"/>
  <c r="E424" i="1"/>
  <c r="E994" i="1"/>
  <c r="E997" i="1"/>
  <c r="E1116" i="1"/>
  <c r="E1277" i="1"/>
  <c r="E1226" i="1"/>
  <c r="E856" i="1"/>
  <c r="E1234" i="1"/>
  <c r="E814" i="1"/>
  <c r="E353" i="1"/>
  <c r="E430" i="1"/>
  <c r="E1112" i="1"/>
  <c r="E743" i="1"/>
  <c r="E126" i="1"/>
  <c r="E497" i="1"/>
  <c r="E156" i="1"/>
  <c r="E1113" i="1"/>
  <c r="E1233" i="1"/>
  <c r="E133" i="1"/>
  <c r="E747" i="1"/>
  <c r="E829" i="1"/>
  <c r="E713" i="1"/>
  <c r="E938" i="1"/>
  <c r="E916" i="1"/>
  <c r="E1243" i="1"/>
  <c r="E515" i="1"/>
  <c r="E416" i="1"/>
  <c r="E823" i="1"/>
  <c r="E472" i="1"/>
  <c r="E617" i="1"/>
  <c r="E719" i="1"/>
  <c r="E746" i="1"/>
  <c r="E1265" i="1"/>
  <c r="E47" i="1"/>
  <c r="E219" i="1"/>
  <c r="E1195" i="1"/>
  <c r="E942" i="1"/>
  <c r="E824" i="1"/>
  <c r="E779" i="1"/>
  <c r="E319" i="1"/>
  <c r="E872" i="1"/>
  <c r="E1245" i="1"/>
  <c r="E107" i="1"/>
  <c r="E365" i="1"/>
  <c r="E132" i="1"/>
  <c r="E168" i="1"/>
  <c r="E481" i="1"/>
  <c r="E1023" i="1"/>
  <c r="E334" i="1"/>
  <c r="E739" i="1"/>
  <c r="E1257" i="1"/>
  <c r="E72" i="1"/>
  <c r="E1180" i="1"/>
  <c r="E781" i="1"/>
  <c r="E1249" i="1"/>
  <c r="E561" i="1"/>
  <c r="E1252" i="1"/>
  <c r="E1145" i="1"/>
  <c r="E108" i="1"/>
  <c r="E541" i="1"/>
  <c r="E350" i="1"/>
  <c r="E389" i="1"/>
  <c r="E1163" i="1"/>
  <c r="E414" i="1"/>
  <c r="E979" i="1"/>
  <c r="E1194" i="1"/>
  <c r="E801" i="1"/>
  <c r="E516" i="1"/>
  <c r="E1021" i="1"/>
  <c r="E1030" i="1"/>
  <c r="E425" i="1"/>
  <c r="E447" i="1"/>
  <c r="E676" i="1"/>
  <c r="E44" i="1"/>
  <c r="E383" i="1"/>
  <c r="E525" i="1"/>
  <c r="E511" i="1"/>
  <c r="E768" i="1"/>
  <c r="E871" i="1"/>
  <c r="E1071" i="1"/>
  <c r="E810" i="1"/>
  <c r="E373" i="1"/>
  <c r="E736" i="1"/>
  <c r="E1240" i="1"/>
  <c r="E129" i="1"/>
  <c r="E323" i="1"/>
  <c r="E826" i="1"/>
  <c r="E1167" i="1"/>
  <c r="E477" i="1"/>
  <c r="E240" i="1"/>
  <c r="E564" i="1"/>
  <c r="E795" i="1"/>
  <c r="E38" i="1"/>
  <c r="E245" i="1"/>
  <c r="E749" i="1"/>
  <c r="E735" i="1"/>
  <c r="E1254" i="1"/>
  <c r="E1162" i="1"/>
  <c r="E197" i="1"/>
  <c r="E249" i="1"/>
  <c r="E1065" i="1"/>
  <c r="E503" i="1"/>
  <c r="E1236" i="1"/>
  <c r="E616" i="1"/>
  <c r="E386" i="1"/>
  <c r="E498" i="1"/>
  <c r="E1123" i="1"/>
  <c r="E1251" i="1"/>
  <c r="E723" i="1"/>
  <c r="E276" i="1"/>
  <c r="E1096" i="1"/>
  <c r="E473" i="1"/>
  <c r="E1070" i="1"/>
  <c r="E905" i="1"/>
  <c r="E1199" i="1"/>
  <c r="E348" i="1"/>
  <c r="E376" i="1"/>
  <c r="E999" i="1"/>
  <c r="E1060" i="1"/>
  <c r="E720" i="1"/>
  <c r="E738" i="1"/>
  <c r="E24" i="1"/>
  <c r="E1052" i="1"/>
  <c r="E60" i="1"/>
  <c r="E295" i="1"/>
  <c r="E1268" i="1"/>
  <c r="E1229" i="1"/>
  <c r="E204" i="1"/>
  <c r="E510" i="1"/>
  <c r="E900" i="1"/>
  <c r="E1169" i="1"/>
  <c r="E327" i="1"/>
  <c r="E688" i="1"/>
  <c r="E237" i="1"/>
  <c r="E822" i="1"/>
  <c r="E963" i="1"/>
  <c r="E650" i="1"/>
  <c r="E1278" i="1"/>
  <c r="E292" i="1"/>
  <c r="E1238" i="1"/>
  <c r="E633" i="1"/>
  <c r="E536" i="1"/>
  <c r="E741" i="1"/>
  <c r="E417" i="1"/>
  <c r="E58" i="1"/>
  <c r="E538" i="1"/>
  <c r="E362" i="1"/>
  <c r="E559" i="1"/>
  <c r="E181" i="1"/>
  <c r="E1128" i="1"/>
  <c r="E1201" i="1"/>
  <c r="E703" i="1"/>
  <c r="E454" i="1"/>
  <c r="E401" i="1"/>
  <c r="E621" i="1"/>
  <c r="E177" i="1"/>
  <c r="E873" i="1"/>
  <c r="E1080" i="1"/>
  <c r="E311" i="1"/>
  <c r="E1020" i="1"/>
  <c r="E903" i="1"/>
  <c r="E968" i="1"/>
  <c r="E1187" i="1"/>
  <c r="E817" i="1"/>
  <c r="E321" i="1"/>
  <c r="E423" i="1"/>
  <c r="E167" i="1"/>
  <c r="E1262" i="1"/>
  <c r="E1230" i="1"/>
  <c r="E574" i="1"/>
  <c r="E534" i="1"/>
  <c r="E452" i="1"/>
  <c r="E846" i="1"/>
  <c r="E674" i="1"/>
  <c r="E1215" i="1"/>
  <c r="E1114" i="1"/>
  <c r="E567" i="1"/>
  <c r="E859" i="1"/>
  <c r="E262" i="1"/>
  <c r="E877" i="1"/>
  <c r="E266" i="1"/>
  <c r="E847" i="1"/>
  <c r="E961" i="1"/>
  <c r="E932" i="1"/>
  <c r="E702" i="1"/>
  <c r="E546" i="1"/>
  <c r="E921" i="1"/>
  <c r="E379" i="1"/>
  <c r="E403" i="1"/>
  <c r="E54" i="1"/>
  <c r="E277" i="1"/>
  <c r="E1216" i="1"/>
  <c r="E142" i="1"/>
  <c r="E88" i="1"/>
  <c r="E478" i="1"/>
  <c r="E666" i="1"/>
  <c r="E1175" i="1"/>
  <c r="E1172" i="1"/>
  <c r="E426" i="1"/>
  <c r="E1196" i="1"/>
  <c r="E656" i="1"/>
  <c r="E1186" i="1"/>
  <c r="E639" i="1"/>
  <c r="E224" i="1"/>
  <c r="E333" i="1"/>
  <c r="E196" i="1"/>
  <c r="E1264" i="1"/>
  <c r="E1282" i="1"/>
  <c r="E393" i="1"/>
  <c r="E82" i="1"/>
  <c r="E929" i="1"/>
  <c r="E853" i="1"/>
  <c r="E935" i="1"/>
  <c r="E695" i="1"/>
  <c r="E1256" i="1"/>
  <c r="E208" i="1"/>
  <c r="E359" i="1"/>
  <c r="E314" i="1"/>
  <c r="E70" i="1"/>
  <c r="E23" i="1"/>
  <c r="E36" i="1"/>
  <c r="E888" i="1"/>
  <c r="E981" i="1"/>
  <c r="E226" i="1"/>
  <c r="E837" i="1"/>
  <c r="E1022" i="1"/>
  <c r="E1062" i="1"/>
  <c r="E264" i="1"/>
  <c r="E520" i="1"/>
  <c r="E547" i="1"/>
  <c r="E399" i="1"/>
  <c r="E336" i="1"/>
  <c r="E1143" i="1"/>
  <c r="E45" i="1"/>
  <c r="E450" i="1"/>
  <c r="E369" i="1"/>
  <c r="E18" i="1"/>
  <c r="E1039" i="1"/>
  <c r="E698" i="1"/>
  <c r="E678" i="1"/>
  <c r="E363" i="1"/>
  <c r="E464" i="1"/>
  <c r="E956" i="1"/>
  <c r="E303" i="1"/>
  <c r="E807" i="1"/>
  <c r="E1003" i="1"/>
  <c r="E740" i="1"/>
  <c r="E1191" i="1"/>
  <c r="E1232" i="1"/>
  <c r="E563" i="1"/>
  <c r="E102" i="1"/>
  <c r="E355" i="1"/>
  <c r="E449" i="1"/>
  <c r="E466" i="1"/>
  <c r="E344" i="1"/>
  <c r="E227" i="1"/>
  <c r="E1121" i="1"/>
  <c r="E440" i="1"/>
  <c r="E1231" i="1"/>
  <c r="E857" i="1"/>
  <c r="E1130" i="1"/>
  <c r="E307" i="1"/>
  <c r="E390" i="1"/>
  <c r="E811" i="1"/>
  <c r="E11" i="1"/>
  <c r="E1026" i="1"/>
  <c r="E560" i="1"/>
  <c r="E233" i="1"/>
  <c r="E308" i="1"/>
  <c r="E17" i="1"/>
  <c r="E34" i="1"/>
  <c r="E176" i="1"/>
  <c r="E632" i="1"/>
  <c r="E198" i="1"/>
  <c r="E855" i="1"/>
  <c r="E258" i="1"/>
  <c r="E649" i="1"/>
  <c r="E958" i="1"/>
  <c r="E802" i="1"/>
  <c r="E92" i="1"/>
  <c r="E611" i="1"/>
  <c r="E446" i="1"/>
  <c r="E1185" i="1"/>
  <c r="E959" i="1"/>
  <c r="E1124" i="1"/>
  <c r="E1016" i="1"/>
  <c r="E889" i="1"/>
  <c r="E913" i="1"/>
  <c r="E269" i="1"/>
  <c r="E502" i="1"/>
  <c r="E1223" i="1"/>
  <c r="E582" i="1"/>
  <c r="E774" i="1"/>
  <c r="E1079" i="1"/>
  <c r="E371" i="1"/>
  <c r="E315" i="1"/>
  <c r="E98" i="1"/>
  <c r="E201" i="1"/>
  <c r="E1204" i="1"/>
  <c r="E1102" i="1"/>
  <c r="E987" i="1"/>
  <c r="E174" i="1"/>
  <c r="E470" i="1"/>
  <c r="E600" i="1"/>
  <c r="E742" i="1"/>
  <c r="E135" i="1"/>
  <c r="E957" i="1"/>
  <c r="E1050" i="1"/>
  <c r="E229" i="1"/>
  <c r="E1205" i="1"/>
  <c r="E638" i="1"/>
  <c r="E285" i="1"/>
  <c r="E870" i="1"/>
  <c r="E8" i="1"/>
  <c r="E1109" i="1"/>
  <c r="E928" i="1"/>
  <c r="E380" i="1"/>
  <c r="E1253" i="1"/>
  <c r="E306" i="1"/>
  <c r="E460" i="1"/>
  <c r="E604" i="1"/>
  <c r="E1034" i="1"/>
  <c r="E614" i="1"/>
  <c r="E972" i="1"/>
  <c r="E612" i="1"/>
  <c r="E1283" i="1"/>
  <c r="E52" i="1"/>
  <c r="E729" i="1"/>
  <c r="E318" i="1"/>
  <c r="E745" i="1"/>
  <c r="E993" i="1"/>
  <c r="E433" i="1"/>
  <c r="E485" i="1"/>
  <c r="E64" i="1"/>
  <c r="E733" i="1"/>
  <c r="E116" i="1"/>
  <c r="E1244" i="1"/>
  <c r="E1206" i="1"/>
  <c r="E885" i="1"/>
  <c r="E531" i="1"/>
  <c r="E521" i="1"/>
  <c r="E151" i="1"/>
  <c r="E26" i="1"/>
  <c r="E1010" i="1"/>
  <c r="E35" i="1"/>
  <c r="E104" i="1"/>
  <c r="E112" i="1"/>
  <c r="E57" i="1"/>
  <c r="E1018" i="1"/>
  <c r="E832" i="1"/>
  <c r="E1005" i="1"/>
  <c r="E1017" i="1"/>
  <c r="E1072" i="1"/>
  <c r="E1131" i="1"/>
  <c r="E1085" i="1"/>
  <c r="E555" i="1"/>
  <c r="E1047" i="1"/>
  <c r="E878" i="1"/>
  <c r="E462" i="1"/>
  <c r="E1208" i="1"/>
  <c r="E118" i="1"/>
  <c r="E235" i="1"/>
  <c r="E682" i="1"/>
  <c r="E56" i="1"/>
  <c r="E803" i="1"/>
  <c r="E441" i="1"/>
  <c r="E377" i="1"/>
  <c r="E1156" i="1"/>
  <c r="E933" i="1"/>
  <c r="E542" i="1"/>
  <c r="E909" i="1"/>
  <c r="E109" i="1"/>
  <c r="E134" i="1"/>
  <c r="E1179" i="1"/>
  <c r="E858" i="1"/>
  <c r="E562" i="1"/>
  <c r="E442" i="1"/>
  <c r="E66" i="1"/>
  <c r="E1237" i="1"/>
  <c r="E973" i="1"/>
  <c r="E648" i="1"/>
  <c r="E839" i="1"/>
  <c r="E589" i="1"/>
  <c r="E554" i="1"/>
  <c r="E1176" i="1"/>
  <c r="E480" i="1"/>
  <c r="E290" i="1"/>
  <c r="E608" i="1"/>
  <c r="E1078" i="1"/>
  <c r="E892" i="1"/>
  <c r="E862" i="1"/>
  <c r="E663" i="1"/>
  <c r="E1007" i="1"/>
  <c r="E819" i="1"/>
  <c r="E771" i="1"/>
  <c r="E911" i="1"/>
  <c r="E655" i="1"/>
  <c r="E275" i="1"/>
  <c r="E668" i="1"/>
  <c r="E1036" i="1"/>
  <c r="E787" i="1"/>
  <c r="E1000" i="1"/>
  <c r="E482" i="1"/>
  <c r="E241" i="1"/>
  <c r="E1064" i="1"/>
  <c r="E335" i="1"/>
  <c r="E463" i="1"/>
  <c r="E192" i="1"/>
  <c r="E1069" i="1"/>
  <c r="E347" i="1"/>
  <c r="E815" i="1"/>
  <c r="E1266" i="1"/>
  <c r="E287" i="1"/>
  <c r="E191" i="1"/>
  <c r="E622" i="1"/>
  <c r="E615" i="1"/>
  <c r="E1286" i="1"/>
  <c r="E791" i="1"/>
  <c r="E1011" i="1"/>
  <c r="E22" i="1"/>
  <c r="E893" i="1"/>
  <c r="E686" i="1"/>
  <c r="E148" i="1"/>
  <c r="E409" i="1"/>
  <c r="E162" i="1"/>
  <c r="E1203" i="1"/>
  <c r="E602" i="1"/>
  <c r="E825" i="1"/>
  <c r="E670" i="1"/>
  <c r="E637" i="1"/>
  <c r="E1015" i="1"/>
  <c r="E394" i="1"/>
  <c r="E1091" i="1"/>
  <c r="E880" i="1"/>
  <c r="E374" i="1"/>
  <c r="E94" i="1"/>
  <c r="E919" i="1"/>
  <c r="E317" i="1"/>
  <c r="E545" i="1"/>
  <c r="E428" i="1"/>
  <c r="E1041" i="1"/>
  <c r="E1157" i="1"/>
  <c r="E96" i="1"/>
  <c r="E1001" i="1"/>
  <c r="E565" i="1"/>
  <c r="E408" i="1"/>
  <c r="E1269" i="1"/>
  <c r="E400" i="1"/>
  <c r="E1150" i="1"/>
  <c r="E693" i="1"/>
  <c r="E1127" i="1"/>
  <c r="E1105" i="1"/>
  <c r="E1058" i="1"/>
  <c r="E349" i="1"/>
  <c r="E967" i="1"/>
  <c r="E310" i="1"/>
  <c r="E805" i="1"/>
  <c r="E210" i="1"/>
  <c r="E806" i="1"/>
  <c r="E29" i="1"/>
  <c r="E281" i="1"/>
  <c r="E1048" i="1"/>
  <c r="E540" i="1"/>
  <c r="E215" i="1"/>
  <c r="E326" i="1"/>
  <c r="E1235" i="1"/>
  <c r="E1212" i="1"/>
  <c r="E952" i="1"/>
  <c r="E41" i="1"/>
  <c r="E122" i="1"/>
  <c r="E429" i="1"/>
  <c r="E1160" i="1"/>
  <c r="E1013" i="1"/>
  <c r="E1197" i="1"/>
  <c r="E712" i="1"/>
  <c r="E436" i="1"/>
  <c r="E681" i="1"/>
  <c r="E1178" i="1"/>
  <c r="E687" i="1"/>
  <c r="E789" i="1"/>
  <c r="E748" i="1"/>
  <c r="E261" i="1"/>
  <c r="E778" i="1"/>
  <c r="E63" i="1"/>
  <c r="E677" i="1"/>
  <c r="E570" i="1"/>
  <c r="E764" i="1"/>
  <c r="E914" i="1"/>
  <c r="E205" i="1"/>
  <c r="E282" i="1"/>
  <c r="E966" i="1"/>
  <c r="E714" i="1"/>
  <c r="E1170" i="1"/>
  <c r="E1188" i="1"/>
  <c r="E1153" i="1"/>
  <c r="E316" i="1"/>
  <c r="E1220" i="1"/>
  <c r="E1083" i="1"/>
  <c r="E65" i="1"/>
  <c r="E683" i="1"/>
  <c r="E263" i="1"/>
  <c r="E1054" i="1"/>
  <c r="E995" i="1"/>
  <c r="E1081" i="1"/>
  <c r="E1084" i="1"/>
  <c r="E1025" i="1"/>
  <c r="E1068" i="1"/>
  <c r="E1024" i="1"/>
  <c r="E14" i="1"/>
  <c r="E971" i="1"/>
  <c r="E67" i="1"/>
  <c r="E1217" i="1"/>
  <c r="E598" i="1"/>
  <c r="E286" i="1"/>
  <c r="E434" i="1"/>
  <c r="E251" i="1"/>
  <c r="E342" i="1"/>
  <c r="E1218" i="1"/>
  <c r="E1228" i="1"/>
  <c r="E51" i="1"/>
  <c r="E606" i="1"/>
  <c r="E422" i="1"/>
  <c r="E628" i="1"/>
  <c r="E172" i="1"/>
  <c r="E1258" i="1"/>
  <c r="E529" i="1"/>
  <c r="E941" i="1"/>
  <c r="E820" i="1"/>
  <c r="E848" i="1"/>
  <c r="E707" i="1"/>
  <c r="E980" i="1"/>
  <c r="E922" i="1"/>
  <c r="E225" i="1"/>
  <c r="E280" i="1"/>
  <c r="E467" i="1"/>
  <c r="E93" i="1"/>
  <c r="E769" i="1"/>
  <c r="E732" i="1"/>
  <c r="E239" i="1"/>
  <c r="E81" i="1"/>
  <c r="E780" i="1"/>
  <c r="E509" i="1"/>
  <c r="E661" i="1"/>
  <c r="E296" i="1"/>
  <c r="E357" i="1"/>
  <c r="E488" i="1"/>
  <c r="E1280" i="1"/>
  <c r="E891" i="1"/>
  <c r="E557" i="1"/>
  <c r="E844" i="1"/>
  <c r="E4" i="1"/>
  <c r="E1183" i="1"/>
  <c r="E194" i="1"/>
  <c r="E583" i="1"/>
  <c r="E1151" i="1"/>
  <c r="E124" i="1"/>
  <c r="E1045" i="1"/>
  <c r="D988" i="1"/>
  <c r="D212" i="1"/>
  <c r="D404" i="1"/>
  <c r="D527" i="1"/>
  <c r="D1273" i="1"/>
  <c r="D1292" i="1"/>
  <c r="D508" i="1"/>
  <c r="D483" i="1"/>
  <c r="D790" i="1"/>
  <c r="D730" i="1"/>
  <c r="D786" i="1"/>
  <c r="D673" i="1"/>
  <c r="D1004" i="1"/>
  <c r="D1126" i="1"/>
  <c r="D1219" i="1"/>
  <c r="D325" i="1"/>
  <c r="D965" i="1"/>
  <c r="D576" i="1"/>
  <c r="D243" i="1"/>
  <c r="D796" i="1"/>
  <c r="D364" i="1"/>
  <c r="D548" i="1"/>
  <c r="D577" i="1"/>
  <c r="D895" i="1"/>
  <c r="D85" i="1"/>
  <c r="D613" i="1"/>
  <c r="D1211" i="1"/>
  <c r="D1288" i="1"/>
  <c r="D170" i="1"/>
  <c r="D948" i="1"/>
  <c r="D691" i="1"/>
  <c r="D699" i="1"/>
  <c r="D1289" i="1"/>
  <c r="D189" i="1"/>
  <c r="D1104" i="1"/>
  <c r="D672" i="1"/>
  <c r="D48" i="1"/>
  <c r="D694" i="1"/>
  <c r="D578" i="1"/>
  <c r="D836" i="1"/>
  <c r="D155" i="1"/>
  <c r="D1133" i="1"/>
  <c r="D158" i="1"/>
  <c r="D28" i="1"/>
  <c r="D106" i="1"/>
  <c r="D255" i="1"/>
  <c r="D493" i="1"/>
  <c r="D1184" i="1"/>
  <c r="D147" i="1"/>
  <c r="D1285" i="1"/>
  <c r="D782" i="1"/>
  <c r="D596" i="1"/>
  <c r="D218" i="1"/>
  <c r="D569" i="1"/>
  <c r="D1027" i="1"/>
  <c r="D808" i="1"/>
  <c r="D131" i="1"/>
  <c r="D1287" i="1"/>
  <c r="D291" i="1"/>
  <c r="D883" i="1"/>
  <c r="D71" i="1"/>
  <c r="D1182" i="1"/>
  <c r="D252" i="1"/>
  <c r="D558" i="1"/>
  <c r="D619" i="1"/>
  <c r="D186" i="1"/>
  <c r="D32" i="1"/>
  <c r="D1242" i="1"/>
  <c r="D912" i="1"/>
  <c r="D10" i="1"/>
  <c r="D284" i="1"/>
  <c r="D784" i="1"/>
  <c r="D83" i="1"/>
  <c r="D271" i="1"/>
  <c r="D61" i="1"/>
  <c r="D111" i="1"/>
  <c r="D1147" i="1"/>
  <c r="D1076" i="1"/>
  <c r="D976" i="1"/>
  <c r="D550" i="1"/>
  <c r="D630" i="1"/>
  <c r="D90" i="1"/>
  <c r="D626" i="1"/>
  <c r="D690" i="1"/>
  <c r="D590" i="1"/>
  <c r="D675" i="1"/>
  <c r="D76" i="1"/>
  <c r="D744" i="1"/>
  <c r="D16" i="1"/>
  <c r="D297" i="1"/>
  <c r="D1092" i="1"/>
  <c r="D105" i="1"/>
  <c r="D143" i="1"/>
  <c r="D954" i="1"/>
  <c r="D1106" i="1"/>
  <c r="D647" i="1"/>
  <c r="D890" i="1"/>
  <c r="D804" i="1"/>
  <c r="D247" i="1"/>
  <c r="D231" i="1"/>
  <c r="D469" i="1"/>
  <c r="D667" i="1"/>
  <c r="D522" i="1"/>
  <c r="D514" i="1"/>
  <c r="D643" i="1"/>
  <c r="D256" i="1"/>
  <c r="D1042" i="1"/>
  <c r="D455" i="1"/>
  <c r="D642" i="1"/>
  <c r="D998" i="1"/>
  <c r="D351" i="1"/>
  <c r="D443" i="1"/>
  <c r="D610" i="1"/>
  <c r="D114" i="1"/>
  <c r="D530" i="1"/>
  <c r="D413" i="1"/>
  <c r="D591" i="1"/>
  <c r="D581" i="1"/>
  <c r="D726" i="1"/>
  <c r="D984" i="1"/>
  <c r="D257" i="1"/>
  <c r="D1009" i="1"/>
  <c r="D505" i="1"/>
  <c r="D457" i="1"/>
  <c r="D518" i="1"/>
  <c r="D704" i="1"/>
  <c r="D532" i="1"/>
  <c r="D2" i="1"/>
  <c r="D384" i="1"/>
  <c r="D953" i="1"/>
  <c r="D623" i="1"/>
  <c r="D248" i="1"/>
  <c r="D185" i="1"/>
  <c r="D59" i="1"/>
  <c r="D354" i="1"/>
  <c r="D1066" i="1"/>
  <c r="D950" i="1"/>
  <c r="D1193" i="1"/>
  <c r="D274" i="1"/>
  <c r="D792" i="1"/>
  <c r="D153" i="1"/>
  <c r="D484" i="1"/>
  <c r="D309" i="1"/>
  <c r="D671" i="1"/>
  <c r="D238" i="1"/>
  <c r="D1103" i="1"/>
  <c r="D471" i="1"/>
  <c r="D382" i="1"/>
  <c r="D444" i="1"/>
  <c r="D594" i="1"/>
  <c r="D137" i="1"/>
  <c r="D603" i="1"/>
  <c r="D537" i="1"/>
  <c r="D864" i="1"/>
  <c r="D1117" i="1"/>
  <c r="D242" i="1"/>
  <c r="D127" i="1"/>
  <c r="D1149" i="1"/>
  <c r="D1129" i="1"/>
  <c r="D405" i="1"/>
  <c r="D715" i="1"/>
  <c r="D74" i="1"/>
  <c r="D886" i="1"/>
  <c r="D175" i="1"/>
  <c r="D313" i="1"/>
  <c r="D166" i="1"/>
  <c r="D737" i="1"/>
  <c r="D776" i="1"/>
  <c r="D1136" i="1"/>
  <c r="D202" i="1"/>
  <c r="D294" i="1"/>
  <c r="D533" i="1"/>
  <c r="D1082" i="1"/>
  <c r="D766" i="1"/>
  <c r="D234" i="1"/>
  <c r="D214" i="1"/>
  <c r="D875" i="1"/>
  <c r="D978" i="1"/>
  <c r="D253" i="1"/>
  <c r="D254" i="1"/>
  <c r="D490" i="1"/>
  <c r="D519" i="1"/>
  <c r="D634" i="1"/>
  <c r="D1139" i="1"/>
  <c r="D53" i="1"/>
  <c r="D662" i="1"/>
  <c r="D1246" i="1"/>
  <c r="D1165" i="1"/>
  <c r="D372" i="1"/>
  <c r="D1200" i="1"/>
  <c r="D936" i="1"/>
  <c r="D974" i="1"/>
  <c r="D420" i="1"/>
  <c r="D330" i="1"/>
  <c r="D1261" i="1"/>
  <c r="D236" i="1"/>
  <c r="D203" i="1"/>
  <c r="D1028" i="1"/>
  <c r="D103" i="1"/>
  <c r="D128" i="1"/>
  <c r="D923" i="1"/>
  <c r="D964" i="1"/>
  <c r="D55" i="1"/>
  <c r="D157" i="1"/>
  <c r="D709" i="1"/>
  <c r="D367" i="1"/>
  <c r="D544" i="1"/>
  <c r="D19" i="1"/>
  <c r="D797" i="1"/>
  <c r="D299" i="1"/>
  <c r="D25" i="1"/>
  <c r="D897" i="1"/>
  <c r="D331" i="1"/>
  <c r="D213" i="1"/>
  <c r="D1012" i="1"/>
  <c r="D640" i="1"/>
  <c r="D1271" i="1"/>
  <c r="D293" i="1"/>
  <c r="D710" i="1"/>
  <c r="D580" i="1"/>
  <c r="D1056" i="1"/>
  <c r="D910" i="1"/>
  <c r="D838" i="1"/>
  <c r="D432" i="1"/>
  <c r="D268" i="1"/>
  <c r="D1008" i="1"/>
  <c r="D990" i="1"/>
  <c r="D758" i="1"/>
  <c r="D324" i="1"/>
  <c r="D800" i="1"/>
  <c r="D597" i="1"/>
  <c r="D827" i="1"/>
  <c r="D489" i="1"/>
  <c r="D125" i="1"/>
  <c r="D1067" i="1"/>
  <c r="D605" i="1"/>
  <c r="D230" i="1"/>
  <c r="D492" i="1"/>
  <c r="D199" i="1"/>
  <c r="D140" i="1"/>
  <c r="D755" i="1"/>
  <c r="D879" i="1"/>
  <c r="D772" i="1"/>
  <c r="D586" i="1"/>
  <c r="D809" i="1"/>
  <c r="D178" i="1"/>
  <c r="D1202" i="1"/>
  <c r="D43" i="1"/>
  <c r="D154" i="1"/>
  <c r="D328" i="1"/>
  <c r="D491" i="1"/>
  <c r="D904" i="1"/>
  <c r="D361" i="1"/>
  <c r="D700" i="1"/>
  <c r="D843" i="1"/>
  <c r="D1291" i="1"/>
  <c r="D1173" i="1"/>
  <c r="D724" i="1"/>
  <c r="D660" i="1"/>
  <c r="D78" i="1"/>
  <c r="D1181" i="1"/>
  <c r="D1059" i="1"/>
  <c r="D901" i="1"/>
  <c r="D1247" i="1"/>
  <c r="D84" i="1"/>
  <c r="D346" i="1"/>
  <c r="D211" i="1"/>
  <c r="D830" i="1"/>
  <c r="D487" i="1"/>
  <c r="D849" i="1"/>
  <c r="D1276" i="1"/>
  <c r="D573" i="1"/>
  <c r="D50" i="1"/>
  <c r="D1164" i="1"/>
  <c r="D278" i="1"/>
  <c r="D579" i="1"/>
  <c r="D868" i="1"/>
  <c r="D302" i="1"/>
  <c r="D338" i="1"/>
  <c r="D37" i="1"/>
  <c r="D193" i="1"/>
  <c r="D458" i="1"/>
  <c r="D1040" i="1"/>
  <c r="D6" i="1"/>
  <c r="D1031" i="1"/>
  <c r="D1014" i="1"/>
  <c r="D834" i="1"/>
  <c r="D358" i="1"/>
  <c r="D1108" i="1"/>
  <c r="D552" i="1"/>
  <c r="D79" i="1"/>
  <c r="D459" i="1"/>
  <c r="D395" i="1"/>
  <c r="D949" i="1"/>
  <c r="D356" i="1"/>
  <c r="D402" i="1"/>
  <c r="D931" i="1"/>
  <c r="D289" i="1"/>
  <c r="D925" i="1"/>
  <c r="D1043" i="1"/>
  <c r="D421" i="1"/>
  <c r="D595" i="1"/>
  <c r="D418" i="1"/>
  <c r="D1090" i="1"/>
  <c r="D874" i="1"/>
  <c r="D288" i="1"/>
  <c r="D110" i="1"/>
  <c r="D1101" i="1"/>
  <c r="D1119" i="1"/>
  <c r="D986" i="1"/>
  <c r="D101" i="1"/>
  <c r="D679" i="1"/>
  <c r="D918" i="1"/>
  <c r="D593" i="1"/>
  <c r="D989" i="1"/>
  <c r="D341" i="1"/>
  <c r="D568" i="1"/>
  <c r="D1260" i="1"/>
  <c r="D138" i="1"/>
  <c r="D1032" i="1"/>
  <c r="D476" i="1"/>
  <c r="D39" i="1"/>
  <c r="D1029" i="1"/>
  <c r="D260" i="1"/>
  <c r="D352" i="1"/>
  <c r="D828" i="1"/>
  <c r="D752" i="1"/>
  <c r="D765" i="1"/>
  <c r="D1161" i="1"/>
  <c r="D689" i="1"/>
  <c r="D1190" i="1"/>
  <c r="D31" i="1"/>
  <c r="D165" i="1"/>
  <c r="D121" i="1"/>
  <c r="D270" i="1"/>
  <c r="D866" i="1"/>
  <c r="D1044" i="1"/>
  <c r="D1209" i="1"/>
  <c r="D27" i="1"/>
  <c r="D80" i="1"/>
  <c r="D366" i="1"/>
  <c r="D136" i="1"/>
  <c r="D1290" i="1"/>
  <c r="D169" i="1"/>
  <c r="D657" i="1"/>
  <c r="D216" i="1"/>
  <c r="D152" i="1"/>
  <c r="D1019" i="1"/>
  <c r="D1132" i="1"/>
  <c r="D427" i="1"/>
  <c r="D159" i="1"/>
  <c r="D68" i="1"/>
  <c r="D305" i="1"/>
  <c r="D651" i="1"/>
  <c r="D869" i="1"/>
  <c r="D385" i="1"/>
  <c r="D734" i="1"/>
  <c r="D113" i="1"/>
  <c r="D1077" i="1"/>
  <c r="D479" i="1"/>
  <c r="D504" i="1"/>
  <c r="D850" i="1"/>
  <c r="D173" i="1"/>
  <c r="D30" i="1"/>
  <c r="D585" i="1"/>
  <c r="D217" i="1"/>
  <c r="D145" i="1"/>
  <c r="D535" i="1"/>
  <c r="D731" i="1"/>
  <c r="D451" i="1"/>
  <c r="D119" i="1"/>
  <c r="D894" i="1"/>
  <c r="D272" i="1"/>
  <c r="D195" i="1"/>
  <c r="D696" i="1"/>
  <c r="D250" i="1"/>
  <c r="D783" i="1"/>
  <c r="D144" i="1"/>
  <c r="D863" i="1"/>
  <c r="D767" i="1"/>
  <c r="D618" i="1"/>
  <c r="D474" i="1"/>
  <c r="D115" i="1"/>
  <c r="D207" i="1"/>
  <c r="D750" i="1"/>
  <c r="D300" i="1"/>
  <c r="D91" i="1"/>
  <c r="D1046" i="1"/>
  <c r="D851" i="1"/>
  <c r="D1227" i="1"/>
  <c r="D852" i="1"/>
  <c r="D494" i="1"/>
  <c r="D706" i="1"/>
  <c r="D1111" i="1"/>
  <c r="D1189" i="1"/>
  <c r="D329" i="1"/>
  <c r="D375" i="1"/>
  <c r="D609" i="1"/>
  <c r="D1154" i="1"/>
  <c r="D751" i="1"/>
  <c r="D728" i="1"/>
  <c r="D1137" i="1"/>
  <c r="D46" i="1"/>
  <c r="D716" i="1"/>
  <c r="D438" i="1"/>
  <c r="D551" i="1"/>
  <c r="D1221" i="1"/>
  <c r="D572" i="1"/>
  <c r="D644" i="1"/>
  <c r="D507" i="1"/>
  <c r="D1107" i="1"/>
  <c r="D500" i="1"/>
  <c r="D1259" i="1"/>
  <c r="D1272" i="1"/>
  <c r="D1174" i="1"/>
  <c r="D543" i="1"/>
  <c r="D759" i="1"/>
  <c r="D763" i="1"/>
  <c r="D73" i="1"/>
  <c r="D499" i="1"/>
  <c r="D164" i="1"/>
  <c r="D1033" i="1"/>
  <c r="D184" i="1"/>
  <c r="D1171" i="1"/>
  <c r="D223" i="1"/>
  <c r="D884" i="1"/>
  <c r="D1146" i="1"/>
  <c r="D939" i="1"/>
  <c r="D1122" i="1"/>
  <c r="D770" i="1"/>
  <c r="D1248" i="1"/>
  <c r="D388" i="1"/>
  <c r="D461" i="1"/>
  <c r="D907" i="1"/>
  <c r="D439" i="1"/>
  <c r="D840" i="1"/>
  <c r="D556" i="1"/>
  <c r="D1168" i="1"/>
  <c r="D410" i="1"/>
  <c r="D1115" i="1"/>
  <c r="D915" i="1"/>
  <c r="D1099" i="1"/>
  <c r="D899" i="1"/>
  <c r="D635" i="1"/>
  <c r="D1051" i="1"/>
  <c r="D812" i="1"/>
  <c r="D902" i="1"/>
  <c r="D799" i="1"/>
  <c r="D77" i="1"/>
  <c r="D397" i="1"/>
  <c r="D1120" i="1"/>
  <c r="D221" i="1"/>
  <c r="D861" i="1"/>
  <c r="D97" i="1"/>
  <c r="D1118" i="1"/>
  <c r="D760" i="1"/>
  <c r="D722" i="1"/>
  <c r="D539" i="1"/>
  <c r="D415" i="1"/>
  <c r="D1086" i="1"/>
  <c r="D99" i="1"/>
  <c r="D631" i="1"/>
  <c r="D1055" i="1"/>
  <c r="D620" i="1"/>
  <c r="D411" i="1"/>
  <c r="D1274" i="1"/>
  <c r="D917" i="1"/>
  <c r="D1135" i="1"/>
  <c r="D1138" i="1"/>
  <c r="D190" i="1"/>
  <c r="D680" i="1"/>
  <c r="D788" i="1"/>
  <c r="D526" i="1"/>
  <c r="D298" i="1"/>
  <c r="D924" i="1"/>
  <c r="D652" i="1"/>
  <c r="D816" i="1"/>
  <c r="D95" i="1"/>
  <c r="D761" i="1"/>
  <c r="D320" i="1"/>
  <c r="D629" i="1"/>
  <c r="D407" i="1"/>
  <c r="D717" i="1"/>
  <c r="D1088" i="1"/>
  <c r="D222" i="1"/>
  <c r="D842" i="1"/>
  <c r="D1177" i="1"/>
  <c r="D1094" i="1"/>
  <c r="D960" i="1"/>
  <c r="D244" i="1"/>
  <c r="D1152" i="1"/>
  <c r="D228" i="1"/>
  <c r="D860" i="1"/>
  <c r="D9" i="1"/>
  <c r="D265" i="1"/>
  <c r="D721" i="1"/>
  <c r="D7" i="1"/>
  <c r="D1134" i="1"/>
  <c r="D1263" i="1"/>
  <c r="D1214" i="1"/>
  <c r="D21" i="1"/>
  <c r="D798" i="1"/>
  <c r="D456" i="1"/>
  <c r="D1087" i="1"/>
  <c r="D1166" i="1"/>
  <c r="D49" i="1"/>
  <c r="D283" i="1"/>
  <c r="D1110" i="1"/>
  <c r="D345" i="1"/>
  <c r="D1239" i="1"/>
  <c r="D468" i="1"/>
  <c r="D645" i="1"/>
  <c r="D908" i="1"/>
  <c r="D653" i="1"/>
  <c r="D378" i="1"/>
  <c r="D431" i="1"/>
  <c r="D1093" i="1"/>
  <c r="D753" i="1"/>
  <c r="D475" i="1"/>
  <c r="D141" i="1"/>
  <c r="D337" i="1"/>
  <c r="D86" i="1"/>
  <c r="D955" i="1"/>
  <c r="D528" i="1"/>
  <c r="D3" i="1"/>
  <c r="D1279" i="1"/>
  <c r="D718" i="1"/>
  <c r="D179" i="1"/>
  <c r="D1148" i="1"/>
  <c r="D992" i="1"/>
  <c r="D1075" i="1"/>
  <c r="D833" i="1"/>
  <c r="D188" i="1"/>
  <c r="D566" i="1"/>
  <c r="D301" i="1"/>
  <c r="D5" i="1"/>
  <c r="D1002" i="1"/>
  <c r="D398" i="1"/>
  <c r="D756" i="1"/>
  <c r="D762" i="1"/>
  <c r="D448" i="1"/>
  <c r="D818" i="1"/>
  <c r="D368" i="1"/>
  <c r="D975" i="1"/>
  <c r="D12" i="1"/>
  <c r="D1158" i="1"/>
  <c r="D1293" i="1"/>
  <c r="D149" i="1"/>
  <c r="D951" i="1"/>
  <c r="D607" i="1"/>
  <c r="D658" i="1"/>
  <c r="D412" i="1"/>
  <c r="D1192" i="1"/>
  <c r="D906" i="1"/>
  <c r="D665" i="1"/>
  <c r="D725" i="1"/>
  <c r="D163" i="1"/>
  <c r="D1207" i="1"/>
  <c r="D259" i="1"/>
  <c r="D1140" i="1"/>
  <c r="D659" i="1"/>
  <c r="D785" i="1"/>
  <c r="D406" i="1"/>
  <c r="D392" i="1"/>
  <c r="D669" i="1"/>
  <c r="D588" i="1"/>
  <c r="D1098" i="1"/>
  <c r="D15" i="1"/>
  <c r="D794" i="1"/>
  <c r="D654" i="1"/>
  <c r="D831" i="1"/>
  <c r="D1225" i="1"/>
  <c r="D523" i="1"/>
  <c r="D575" i="1"/>
  <c r="D982" i="1"/>
  <c r="D501" i="1"/>
  <c r="D161" i="1"/>
  <c r="D685" i="1"/>
  <c r="D865" i="1"/>
  <c r="D940" i="1"/>
  <c r="D381" i="1"/>
  <c r="D340" i="1"/>
  <c r="D445" i="1"/>
  <c r="D1281" i="1"/>
  <c r="D701" i="1"/>
  <c r="D370" i="1"/>
  <c r="D882" i="1"/>
  <c r="D664" i="1"/>
  <c r="D496" i="1"/>
  <c r="D934" i="1"/>
  <c r="D943" i="1"/>
  <c r="D1213" i="1"/>
  <c r="D887" i="1"/>
  <c r="D587" i="1"/>
  <c r="D75" i="1"/>
  <c r="D1241" i="1"/>
  <c r="D684" i="1"/>
  <c r="D396" i="1"/>
  <c r="D927" i="1"/>
  <c r="D437" i="1"/>
  <c r="D332" i="1"/>
  <c r="D944" i="1"/>
  <c r="D945" i="1"/>
  <c r="D183" i="1"/>
  <c r="D100" i="1"/>
  <c r="D146" i="1"/>
  <c r="D1222" i="1"/>
  <c r="D754" i="1"/>
  <c r="D1089" i="1"/>
  <c r="D641" i="1"/>
  <c r="D1255" i="1"/>
  <c r="D757" i="1"/>
  <c r="D495" i="1"/>
  <c r="D946" i="1"/>
  <c r="D513" i="1"/>
  <c r="D920" i="1"/>
  <c r="D898" i="1"/>
  <c r="D1038" i="1"/>
  <c r="D42" i="1"/>
  <c r="D876" i="1"/>
  <c r="D601" i="1"/>
  <c r="D171" i="1"/>
  <c r="D322" i="1"/>
  <c r="D947" i="1"/>
  <c r="D627" i="1"/>
  <c r="D599" i="1"/>
  <c r="D209" i="1"/>
  <c r="D1095" i="1"/>
  <c r="D821" i="1"/>
  <c r="D646" i="1"/>
  <c r="D1224" i="1"/>
  <c r="D40" i="1"/>
  <c r="D977" i="1"/>
  <c r="D867" i="1"/>
  <c r="D996" i="1"/>
  <c r="D841" i="1"/>
  <c r="D926" i="1"/>
  <c r="D120" i="1"/>
  <c r="D881" i="1"/>
  <c r="D279" i="1"/>
  <c r="D1159" i="1"/>
  <c r="D1284" i="1"/>
  <c r="D339" i="1"/>
  <c r="D453" i="1"/>
  <c r="D246" i="1"/>
  <c r="D1275" i="1"/>
  <c r="D553" i="1"/>
  <c r="D1270" i="1"/>
  <c r="D89" i="1"/>
  <c r="D62" i="1"/>
  <c r="D1053" i="1"/>
  <c r="D697" i="1"/>
  <c r="D117" i="1"/>
  <c r="D854" i="1"/>
  <c r="D1250" i="1"/>
  <c r="D123" i="1"/>
  <c r="D711" i="1"/>
  <c r="D180" i="1"/>
  <c r="D1155" i="1"/>
  <c r="D267" i="1"/>
  <c r="D206" i="1"/>
  <c r="D1049" i="1"/>
  <c r="D775" i="1"/>
  <c r="D232" i="1"/>
  <c r="D835" i="1"/>
  <c r="D592" i="1"/>
  <c r="D985" i="1"/>
  <c r="D517" i="1"/>
  <c r="D625" i="1"/>
  <c r="D937" i="1"/>
  <c r="D506" i="1"/>
  <c r="D512" i="1"/>
  <c r="D391" i="1"/>
  <c r="D777" i="1"/>
  <c r="D793" i="1"/>
  <c r="D708" i="1"/>
  <c r="D1006" i="1"/>
  <c r="D549" i="1"/>
  <c r="D1210" i="1"/>
  <c r="D773" i="1"/>
  <c r="D1037" i="1"/>
  <c r="D1142" i="1"/>
  <c r="D727" i="1"/>
  <c r="D692" i="1"/>
  <c r="D584" i="1"/>
  <c r="D1063" i="1"/>
  <c r="D130" i="1"/>
  <c r="D991" i="1"/>
  <c r="D896" i="1"/>
  <c r="D1073" i="1"/>
  <c r="D524" i="1"/>
  <c r="D1061" i="1"/>
  <c r="D435" i="1"/>
  <c r="D486" i="1"/>
  <c r="D1100" i="1"/>
  <c r="D304" i="1"/>
  <c r="D571" i="1"/>
  <c r="D970" i="1"/>
  <c r="D1074" i="1"/>
  <c r="D465" i="1"/>
  <c r="D1035" i="1"/>
  <c r="D813" i="1"/>
  <c r="D20" i="1"/>
  <c r="D1267" i="1"/>
  <c r="D1198" i="1"/>
  <c r="D69" i="1"/>
  <c r="D930" i="1"/>
  <c r="D220" i="1"/>
  <c r="D33" i="1"/>
  <c r="D360" i="1"/>
  <c r="D160" i="1"/>
  <c r="D962" i="1"/>
  <c r="D187" i="1"/>
  <c r="D983" i="1"/>
  <c r="D705" i="1"/>
  <c r="D845" i="1"/>
  <c r="D1057" i="1"/>
  <c r="D624" i="1"/>
  <c r="D343" i="1"/>
  <c r="D969" i="1"/>
  <c r="D13" i="1"/>
  <c r="D273" i="1"/>
  <c r="D636" i="1"/>
  <c r="D150" i="1"/>
  <c r="D387" i="1"/>
  <c r="D182" i="1"/>
  <c r="D1097" i="1"/>
  <c r="D1144" i="1"/>
  <c r="D200" i="1"/>
  <c r="D139" i="1"/>
  <c r="D1125" i="1"/>
  <c r="D312" i="1"/>
  <c r="D1141" i="1"/>
  <c r="D87" i="1"/>
  <c r="D419" i="1"/>
  <c r="D424" i="1"/>
  <c r="D994" i="1"/>
  <c r="D997" i="1"/>
  <c r="D1116" i="1"/>
  <c r="D1277" i="1"/>
  <c r="D1226" i="1"/>
  <c r="D856" i="1"/>
  <c r="D1234" i="1"/>
  <c r="D814" i="1"/>
  <c r="D353" i="1"/>
  <c r="D430" i="1"/>
  <c r="D1112" i="1"/>
  <c r="D743" i="1"/>
  <c r="D126" i="1"/>
  <c r="D497" i="1"/>
  <c r="D156" i="1"/>
  <c r="D1113" i="1"/>
  <c r="D1233" i="1"/>
  <c r="D133" i="1"/>
  <c r="D747" i="1"/>
  <c r="D829" i="1"/>
  <c r="D713" i="1"/>
  <c r="D938" i="1"/>
  <c r="D916" i="1"/>
  <c r="D1243" i="1"/>
  <c r="D515" i="1"/>
  <c r="D416" i="1"/>
  <c r="D823" i="1"/>
  <c r="D472" i="1"/>
  <c r="D617" i="1"/>
  <c r="D719" i="1"/>
  <c r="D746" i="1"/>
  <c r="D1265" i="1"/>
  <c r="D47" i="1"/>
  <c r="D219" i="1"/>
  <c r="D1195" i="1"/>
  <c r="D942" i="1"/>
  <c r="D824" i="1"/>
  <c r="D779" i="1"/>
  <c r="D319" i="1"/>
  <c r="D872" i="1"/>
  <c r="D1245" i="1"/>
  <c r="D107" i="1"/>
  <c r="D365" i="1"/>
  <c r="D132" i="1"/>
  <c r="D168" i="1"/>
  <c r="D481" i="1"/>
  <c r="D1023" i="1"/>
  <c r="D334" i="1"/>
  <c r="D739" i="1"/>
  <c r="D1257" i="1"/>
  <c r="D72" i="1"/>
  <c r="D1180" i="1"/>
  <c r="D781" i="1"/>
  <c r="D1249" i="1"/>
  <c r="D561" i="1"/>
  <c r="D1252" i="1"/>
  <c r="D1145" i="1"/>
  <c r="D108" i="1"/>
  <c r="D541" i="1"/>
  <c r="D350" i="1"/>
  <c r="D389" i="1"/>
  <c r="D1163" i="1"/>
  <c r="D414" i="1"/>
  <c r="D979" i="1"/>
  <c r="D1194" i="1"/>
  <c r="D801" i="1"/>
  <c r="D516" i="1"/>
  <c r="D1021" i="1"/>
  <c r="D1030" i="1"/>
  <c r="D425" i="1"/>
  <c r="D447" i="1"/>
  <c r="D676" i="1"/>
  <c r="D44" i="1"/>
  <c r="D383" i="1"/>
  <c r="D525" i="1"/>
  <c r="D511" i="1"/>
  <c r="D768" i="1"/>
  <c r="D871" i="1"/>
  <c r="D1071" i="1"/>
  <c r="D810" i="1"/>
  <c r="D373" i="1"/>
  <c r="D736" i="1"/>
  <c r="D1240" i="1"/>
  <c r="D129" i="1"/>
  <c r="D323" i="1"/>
  <c r="D826" i="1"/>
  <c r="D1167" i="1"/>
  <c r="D477" i="1"/>
  <c r="D240" i="1"/>
  <c r="D564" i="1"/>
  <c r="D795" i="1"/>
  <c r="D38" i="1"/>
  <c r="D245" i="1"/>
  <c r="D749" i="1"/>
  <c r="D735" i="1"/>
  <c r="D1254" i="1"/>
  <c r="D1162" i="1"/>
  <c r="D197" i="1"/>
  <c r="D249" i="1"/>
  <c r="D1065" i="1"/>
  <c r="D503" i="1"/>
  <c r="D1236" i="1"/>
  <c r="D616" i="1"/>
  <c r="D386" i="1"/>
  <c r="D498" i="1"/>
  <c r="D1123" i="1"/>
  <c r="D1251" i="1"/>
  <c r="D723" i="1"/>
  <c r="D276" i="1"/>
  <c r="D1096" i="1"/>
  <c r="D473" i="1"/>
  <c r="D1070" i="1"/>
  <c r="D905" i="1"/>
  <c r="D1199" i="1"/>
  <c r="D348" i="1"/>
  <c r="D376" i="1"/>
  <c r="D999" i="1"/>
  <c r="D1060" i="1"/>
  <c r="D720" i="1"/>
  <c r="D738" i="1"/>
  <c r="D24" i="1"/>
  <c r="D1052" i="1"/>
  <c r="D60" i="1"/>
  <c r="D295" i="1"/>
  <c r="D1268" i="1"/>
  <c r="D1229" i="1"/>
  <c r="D204" i="1"/>
  <c r="D510" i="1"/>
  <c r="D900" i="1"/>
  <c r="D1169" i="1"/>
  <c r="D327" i="1"/>
  <c r="D688" i="1"/>
  <c r="D237" i="1"/>
  <c r="D822" i="1"/>
  <c r="D963" i="1"/>
  <c r="D650" i="1"/>
  <c r="D1278" i="1"/>
  <c r="D292" i="1"/>
  <c r="D1238" i="1"/>
  <c r="D633" i="1"/>
  <c r="D536" i="1"/>
  <c r="D741" i="1"/>
  <c r="D417" i="1"/>
  <c r="D58" i="1"/>
  <c r="D538" i="1"/>
  <c r="D362" i="1"/>
  <c r="D559" i="1"/>
  <c r="D181" i="1"/>
  <c r="D1128" i="1"/>
  <c r="D1201" i="1"/>
  <c r="D703" i="1"/>
  <c r="D454" i="1"/>
  <c r="D401" i="1"/>
  <c r="D621" i="1"/>
  <c r="D177" i="1"/>
  <c r="D873" i="1"/>
  <c r="D1080" i="1"/>
  <c r="D311" i="1"/>
  <c r="D1020" i="1"/>
  <c r="D903" i="1"/>
  <c r="D968" i="1"/>
  <c r="D1187" i="1"/>
  <c r="D817" i="1"/>
  <c r="D321" i="1"/>
  <c r="D423" i="1"/>
  <c r="D167" i="1"/>
  <c r="D1262" i="1"/>
  <c r="D1230" i="1"/>
  <c r="D574" i="1"/>
  <c r="D534" i="1"/>
  <c r="D452" i="1"/>
  <c r="D846" i="1"/>
  <c r="D674" i="1"/>
  <c r="D1215" i="1"/>
  <c r="D1114" i="1"/>
  <c r="D567" i="1"/>
  <c r="D859" i="1"/>
  <c r="D262" i="1"/>
  <c r="D877" i="1"/>
  <c r="D266" i="1"/>
  <c r="D847" i="1"/>
  <c r="D961" i="1"/>
  <c r="D932" i="1"/>
  <c r="D702" i="1"/>
  <c r="D546" i="1"/>
  <c r="D921" i="1"/>
  <c r="D379" i="1"/>
  <c r="D403" i="1"/>
  <c r="D54" i="1"/>
  <c r="D277" i="1"/>
  <c r="D1216" i="1"/>
  <c r="D142" i="1"/>
  <c r="D88" i="1"/>
  <c r="D478" i="1"/>
  <c r="D666" i="1"/>
  <c r="D1175" i="1"/>
  <c r="D1172" i="1"/>
  <c r="D426" i="1"/>
  <c r="D1196" i="1"/>
  <c r="D656" i="1"/>
  <c r="D1186" i="1"/>
  <c r="D639" i="1"/>
  <c r="D224" i="1"/>
  <c r="D333" i="1"/>
  <c r="D196" i="1"/>
  <c r="D1264" i="1"/>
  <c r="D1282" i="1"/>
  <c r="D393" i="1"/>
  <c r="D82" i="1"/>
  <c r="D929" i="1"/>
  <c r="D853" i="1"/>
  <c r="D935" i="1"/>
  <c r="D695" i="1"/>
  <c r="D1256" i="1"/>
  <c r="D208" i="1"/>
  <c r="D359" i="1"/>
  <c r="D314" i="1"/>
  <c r="D70" i="1"/>
  <c r="D23" i="1"/>
  <c r="D36" i="1"/>
  <c r="D888" i="1"/>
  <c r="D981" i="1"/>
  <c r="D226" i="1"/>
  <c r="D837" i="1"/>
  <c r="D1022" i="1"/>
  <c r="D1062" i="1"/>
  <c r="D264" i="1"/>
  <c r="D520" i="1"/>
  <c r="D547" i="1"/>
  <c r="D399" i="1"/>
  <c r="D336" i="1"/>
  <c r="D1143" i="1"/>
  <c r="D45" i="1"/>
  <c r="D450" i="1"/>
  <c r="D369" i="1"/>
  <c r="D18" i="1"/>
  <c r="D1039" i="1"/>
  <c r="D698" i="1"/>
  <c r="D678" i="1"/>
  <c r="D363" i="1"/>
  <c r="D464" i="1"/>
  <c r="D956" i="1"/>
  <c r="D303" i="1"/>
  <c r="D807" i="1"/>
  <c r="D1003" i="1"/>
  <c r="D740" i="1"/>
  <c r="D1191" i="1"/>
  <c r="D1232" i="1"/>
  <c r="D563" i="1"/>
  <c r="D102" i="1"/>
  <c r="D355" i="1"/>
  <c r="D449" i="1"/>
  <c r="D466" i="1"/>
  <c r="D344" i="1"/>
  <c r="D227" i="1"/>
  <c r="D1121" i="1"/>
  <c r="D440" i="1"/>
  <c r="D1231" i="1"/>
  <c r="D857" i="1"/>
  <c r="D1130" i="1"/>
  <c r="D307" i="1"/>
  <c r="D390" i="1"/>
  <c r="D811" i="1"/>
  <c r="D11" i="1"/>
  <c r="D1026" i="1"/>
  <c r="D560" i="1"/>
  <c r="D233" i="1"/>
  <c r="D308" i="1"/>
  <c r="D17" i="1"/>
  <c r="D34" i="1"/>
  <c r="D176" i="1"/>
  <c r="D632" i="1"/>
  <c r="D198" i="1"/>
  <c r="D855" i="1"/>
  <c r="D258" i="1"/>
  <c r="D649" i="1"/>
  <c r="D958" i="1"/>
  <c r="D802" i="1"/>
  <c r="D92" i="1"/>
  <c r="D611" i="1"/>
  <c r="D446" i="1"/>
  <c r="D1185" i="1"/>
  <c r="D959" i="1"/>
  <c r="D1124" i="1"/>
  <c r="D1016" i="1"/>
  <c r="D889" i="1"/>
  <c r="D913" i="1"/>
  <c r="D269" i="1"/>
  <c r="D502" i="1"/>
  <c r="D1223" i="1"/>
  <c r="D582" i="1"/>
  <c r="D774" i="1"/>
  <c r="D1079" i="1"/>
  <c r="D371" i="1"/>
  <c r="D315" i="1"/>
  <c r="D98" i="1"/>
  <c r="D201" i="1"/>
  <c r="D1204" i="1"/>
  <c r="D1102" i="1"/>
  <c r="D987" i="1"/>
  <c r="D174" i="1"/>
  <c r="D470" i="1"/>
  <c r="D600" i="1"/>
  <c r="D742" i="1"/>
  <c r="D135" i="1"/>
  <c r="D957" i="1"/>
  <c r="D1050" i="1"/>
  <c r="D229" i="1"/>
  <c r="D1205" i="1"/>
  <c r="D638" i="1"/>
  <c r="D285" i="1"/>
  <c r="D870" i="1"/>
  <c r="D8" i="1"/>
  <c r="D1109" i="1"/>
  <c r="D928" i="1"/>
  <c r="D380" i="1"/>
  <c r="D1253" i="1"/>
  <c r="D306" i="1"/>
  <c r="D460" i="1"/>
  <c r="D604" i="1"/>
  <c r="D1034" i="1"/>
  <c r="D614" i="1"/>
  <c r="D972" i="1"/>
  <c r="D612" i="1"/>
  <c r="D1283" i="1"/>
  <c r="D52" i="1"/>
  <c r="D729" i="1"/>
  <c r="D318" i="1"/>
  <c r="D745" i="1"/>
  <c r="D993" i="1"/>
  <c r="D433" i="1"/>
  <c r="D485" i="1"/>
  <c r="D64" i="1"/>
  <c r="D733" i="1"/>
  <c r="D116" i="1"/>
  <c r="D1244" i="1"/>
  <c r="D1206" i="1"/>
  <c r="D885" i="1"/>
  <c r="D531" i="1"/>
  <c r="D521" i="1"/>
  <c r="D151" i="1"/>
  <c r="D26" i="1"/>
  <c r="D1010" i="1"/>
  <c r="D35" i="1"/>
  <c r="D104" i="1"/>
  <c r="D112" i="1"/>
  <c r="D57" i="1"/>
  <c r="D1018" i="1"/>
  <c r="D832" i="1"/>
  <c r="D1005" i="1"/>
  <c r="D1017" i="1"/>
  <c r="D1072" i="1"/>
  <c r="D1131" i="1"/>
  <c r="D1085" i="1"/>
  <c r="D555" i="1"/>
  <c r="D1047" i="1"/>
  <c r="D878" i="1"/>
  <c r="D462" i="1"/>
  <c r="D1208" i="1"/>
  <c r="D118" i="1"/>
  <c r="D235" i="1"/>
  <c r="D682" i="1"/>
  <c r="D56" i="1"/>
  <c r="D803" i="1"/>
  <c r="D441" i="1"/>
  <c r="D377" i="1"/>
  <c r="D1156" i="1"/>
  <c r="D933" i="1"/>
  <c r="D542" i="1"/>
  <c r="D909" i="1"/>
  <c r="D109" i="1"/>
  <c r="D134" i="1"/>
  <c r="D1179" i="1"/>
  <c r="D858" i="1"/>
  <c r="D562" i="1"/>
  <c r="D442" i="1"/>
  <c r="D66" i="1"/>
  <c r="D1237" i="1"/>
  <c r="D973" i="1"/>
  <c r="D648" i="1"/>
  <c r="D839" i="1"/>
  <c r="D589" i="1"/>
  <c r="D554" i="1"/>
  <c r="D1176" i="1"/>
  <c r="D480" i="1"/>
  <c r="D290" i="1"/>
  <c r="D608" i="1"/>
  <c r="D1078" i="1"/>
  <c r="D892" i="1"/>
  <c r="D862" i="1"/>
  <c r="D663" i="1"/>
  <c r="D1007" i="1"/>
  <c r="D819" i="1"/>
  <c r="D771" i="1"/>
  <c r="D911" i="1"/>
  <c r="D655" i="1"/>
  <c r="D275" i="1"/>
  <c r="D668" i="1"/>
  <c r="D1036" i="1"/>
  <c r="D787" i="1"/>
  <c r="D1000" i="1"/>
  <c r="D482" i="1"/>
  <c r="D241" i="1"/>
  <c r="D1064" i="1"/>
  <c r="D335" i="1"/>
  <c r="D463" i="1"/>
  <c r="D192" i="1"/>
  <c r="D1069" i="1"/>
  <c r="D347" i="1"/>
  <c r="D815" i="1"/>
  <c r="D1266" i="1"/>
  <c r="D287" i="1"/>
  <c r="D191" i="1"/>
  <c r="D622" i="1"/>
  <c r="D615" i="1"/>
  <c r="D1286" i="1"/>
  <c r="D791" i="1"/>
  <c r="D1011" i="1"/>
  <c r="D22" i="1"/>
  <c r="D893" i="1"/>
  <c r="D686" i="1"/>
  <c r="D148" i="1"/>
  <c r="D409" i="1"/>
  <c r="D162" i="1"/>
  <c r="D1203" i="1"/>
  <c r="D602" i="1"/>
  <c r="D825" i="1"/>
  <c r="D670" i="1"/>
  <c r="D637" i="1"/>
  <c r="D1015" i="1"/>
  <c r="D394" i="1"/>
  <c r="D1091" i="1"/>
  <c r="D880" i="1"/>
  <c r="D374" i="1"/>
  <c r="D94" i="1"/>
  <c r="D919" i="1"/>
  <c r="D317" i="1"/>
  <c r="D545" i="1"/>
  <c r="D428" i="1"/>
  <c r="D1041" i="1"/>
  <c r="D1157" i="1"/>
  <c r="D96" i="1"/>
  <c r="D1001" i="1"/>
  <c r="D565" i="1"/>
  <c r="D408" i="1"/>
  <c r="D1269" i="1"/>
  <c r="D400" i="1"/>
  <c r="D1150" i="1"/>
  <c r="D693" i="1"/>
  <c r="D1127" i="1"/>
  <c r="D1105" i="1"/>
  <c r="D1058" i="1"/>
  <c r="D349" i="1"/>
  <c r="D967" i="1"/>
  <c r="D310" i="1"/>
  <c r="D805" i="1"/>
  <c r="D210" i="1"/>
  <c r="D806" i="1"/>
  <c r="D29" i="1"/>
  <c r="D281" i="1"/>
  <c r="D1048" i="1"/>
  <c r="D540" i="1"/>
  <c r="D215" i="1"/>
  <c r="D326" i="1"/>
  <c r="D1235" i="1"/>
  <c r="D1212" i="1"/>
  <c r="D952" i="1"/>
  <c r="D41" i="1"/>
  <c r="D122" i="1"/>
  <c r="D429" i="1"/>
  <c r="D1160" i="1"/>
  <c r="D1013" i="1"/>
  <c r="D1197" i="1"/>
  <c r="D712" i="1"/>
  <c r="D436" i="1"/>
  <c r="D681" i="1"/>
  <c r="D1178" i="1"/>
  <c r="D687" i="1"/>
  <c r="D789" i="1"/>
  <c r="D748" i="1"/>
  <c r="D261" i="1"/>
  <c r="D778" i="1"/>
  <c r="D63" i="1"/>
  <c r="D677" i="1"/>
  <c r="D570" i="1"/>
  <c r="D764" i="1"/>
  <c r="D914" i="1"/>
  <c r="D205" i="1"/>
  <c r="D282" i="1"/>
  <c r="D966" i="1"/>
  <c r="D714" i="1"/>
  <c r="D1170" i="1"/>
  <c r="D1188" i="1"/>
  <c r="D1153" i="1"/>
  <c r="D316" i="1"/>
  <c r="D1220" i="1"/>
  <c r="D1083" i="1"/>
  <c r="D65" i="1"/>
  <c r="D683" i="1"/>
  <c r="D263" i="1"/>
  <c r="D1054" i="1"/>
  <c r="D995" i="1"/>
  <c r="D1081" i="1"/>
  <c r="D1084" i="1"/>
  <c r="D1025" i="1"/>
  <c r="D1068" i="1"/>
  <c r="D1024" i="1"/>
  <c r="D14" i="1"/>
  <c r="D971" i="1"/>
  <c r="D67" i="1"/>
  <c r="D1217" i="1"/>
  <c r="D598" i="1"/>
  <c r="D286" i="1"/>
  <c r="D434" i="1"/>
  <c r="D251" i="1"/>
  <c r="D342" i="1"/>
  <c r="D1218" i="1"/>
  <c r="D1228" i="1"/>
  <c r="D51" i="1"/>
  <c r="D606" i="1"/>
  <c r="D422" i="1"/>
  <c r="D628" i="1"/>
  <c r="D172" i="1"/>
  <c r="D1258" i="1"/>
  <c r="D529" i="1"/>
  <c r="D941" i="1"/>
  <c r="D820" i="1"/>
  <c r="D848" i="1"/>
  <c r="D707" i="1"/>
  <c r="D980" i="1"/>
  <c r="D922" i="1"/>
  <c r="D225" i="1"/>
  <c r="D280" i="1"/>
  <c r="D467" i="1"/>
  <c r="D93" i="1"/>
  <c r="D769" i="1"/>
  <c r="D732" i="1"/>
  <c r="D239" i="1"/>
  <c r="D81" i="1"/>
  <c r="D780" i="1"/>
  <c r="D509" i="1"/>
  <c r="D661" i="1"/>
  <c r="D296" i="1"/>
  <c r="D357" i="1"/>
  <c r="D488" i="1"/>
  <c r="D1280" i="1"/>
  <c r="D891" i="1"/>
  <c r="D557" i="1"/>
  <c r="D844" i="1"/>
  <c r="D4" i="1"/>
  <c r="D1183" i="1"/>
  <c r="D194" i="1"/>
  <c r="D583" i="1"/>
  <c r="D1151" i="1"/>
  <c r="D124" i="1"/>
  <c r="D1045" i="1"/>
  <c r="C712" i="1"/>
  <c r="C988" i="1"/>
  <c r="C212" i="1"/>
  <c r="C404" i="1"/>
  <c r="C527" i="1"/>
  <c r="C1273" i="1"/>
  <c r="C1292" i="1"/>
  <c r="C508" i="1"/>
  <c r="C483" i="1"/>
  <c r="C790" i="1"/>
  <c r="C730" i="1"/>
  <c r="C786" i="1"/>
  <c r="C673" i="1"/>
  <c r="C1004" i="1"/>
  <c r="C1126" i="1"/>
  <c r="C1219" i="1"/>
  <c r="C325" i="1"/>
  <c r="C965" i="1"/>
  <c r="C576" i="1"/>
  <c r="C243" i="1"/>
  <c r="C796" i="1"/>
  <c r="C364" i="1"/>
  <c r="C548" i="1"/>
  <c r="C577" i="1"/>
  <c r="C895" i="1"/>
  <c r="C85" i="1"/>
  <c r="C613" i="1"/>
  <c r="C1211" i="1"/>
  <c r="C1288" i="1"/>
  <c r="C170" i="1"/>
  <c r="C948" i="1"/>
  <c r="C691" i="1"/>
  <c r="C699" i="1"/>
  <c r="C1289" i="1"/>
  <c r="C189" i="1"/>
  <c r="C1104" i="1"/>
  <c r="C672" i="1"/>
  <c r="C48" i="1"/>
  <c r="C694" i="1"/>
  <c r="C578" i="1"/>
  <c r="C836" i="1"/>
  <c r="C155" i="1"/>
  <c r="C1133" i="1"/>
  <c r="C158" i="1"/>
  <c r="C28" i="1"/>
  <c r="C106" i="1"/>
  <c r="C255" i="1"/>
  <c r="C493" i="1"/>
  <c r="C1184" i="1"/>
  <c r="C147" i="1"/>
  <c r="C1285" i="1"/>
  <c r="C782" i="1"/>
  <c r="C596" i="1"/>
  <c r="C218" i="1"/>
  <c r="C569" i="1"/>
  <c r="C1027" i="1"/>
  <c r="C808" i="1"/>
  <c r="C131" i="1"/>
  <c r="C1287" i="1"/>
  <c r="C291" i="1"/>
  <c r="C883" i="1"/>
  <c r="C71" i="1"/>
  <c r="C1182" i="1"/>
  <c r="C252" i="1"/>
  <c r="C558" i="1"/>
  <c r="C619" i="1"/>
  <c r="C186" i="1"/>
  <c r="C32" i="1"/>
  <c r="C1242" i="1"/>
  <c r="C912" i="1"/>
  <c r="C10" i="1"/>
  <c r="C284" i="1"/>
  <c r="C784" i="1"/>
  <c r="C83" i="1"/>
  <c r="C271" i="1"/>
  <c r="C61" i="1"/>
  <c r="C111" i="1"/>
  <c r="C1147" i="1"/>
  <c r="C1076" i="1"/>
  <c r="C976" i="1"/>
  <c r="C550" i="1"/>
  <c r="C630" i="1"/>
  <c r="C90" i="1"/>
  <c r="C626" i="1"/>
  <c r="C690" i="1"/>
  <c r="C590" i="1"/>
  <c r="C675" i="1"/>
  <c r="C76" i="1"/>
  <c r="C744" i="1"/>
  <c r="C16" i="1"/>
  <c r="C297" i="1"/>
  <c r="C1092" i="1"/>
  <c r="C105" i="1"/>
  <c r="C143" i="1"/>
  <c r="C954" i="1"/>
  <c r="C1106" i="1"/>
  <c r="C647" i="1"/>
  <c r="C890" i="1"/>
  <c r="C804" i="1"/>
  <c r="C247" i="1"/>
  <c r="C231" i="1"/>
  <c r="C469" i="1"/>
  <c r="C667" i="1"/>
  <c r="C522" i="1"/>
  <c r="C514" i="1"/>
  <c r="C643" i="1"/>
  <c r="C256" i="1"/>
  <c r="C1042" i="1"/>
  <c r="C455" i="1"/>
  <c r="C642" i="1"/>
  <c r="C998" i="1"/>
  <c r="C351" i="1"/>
  <c r="C443" i="1"/>
  <c r="C610" i="1"/>
  <c r="C114" i="1"/>
  <c r="C530" i="1"/>
  <c r="C413" i="1"/>
  <c r="C591" i="1"/>
  <c r="C581" i="1"/>
  <c r="C726" i="1"/>
  <c r="C984" i="1"/>
  <c r="C257" i="1"/>
  <c r="C1009" i="1"/>
  <c r="C505" i="1"/>
  <c r="C457" i="1"/>
  <c r="C518" i="1"/>
  <c r="C704" i="1"/>
  <c r="C532" i="1"/>
  <c r="C2" i="1"/>
  <c r="C384" i="1"/>
  <c r="C953" i="1"/>
  <c r="C623" i="1"/>
  <c r="C248" i="1"/>
  <c r="C185" i="1"/>
  <c r="C59" i="1"/>
  <c r="C354" i="1"/>
  <c r="C1066" i="1"/>
  <c r="C950" i="1"/>
  <c r="C1193" i="1"/>
  <c r="C274" i="1"/>
  <c r="C792" i="1"/>
  <c r="C153" i="1"/>
  <c r="C484" i="1"/>
  <c r="C309" i="1"/>
  <c r="C671" i="1"/>
  <c r="C238" i="1"/>
  <c r="C1103" i="1"/>
  <c r="C471" i="1"/>
  <c r="C382" i="1"/>
  <c r="C444" i="1"/>
  <c r="C594" i="1"/>
  <c r="C137" i="1"/>
  <c r="C603" i="1"/>
  <c r="C537" i="1"/>
  <c r="C864" i="1"/>
  <c r="C1117" i="1"/>
  <c r="C242" i="1"/>
  <c r="C127" i="1"/>
  <c r="C1149" i="1"/>
  <c r="C1129" i="1"/>
  <c r="C405" i="1"/>
  <c r="C715" i="1"/>
  <c r="C74" i="1"/>
  <c r="C886" i="1"/>
  <c r="C175" i="1"/>
  <c r="C313" i="1"/>
  <c r="C166" i="1"/>
  <c r="C737" i="1"/>
  <c r="C776" i="1"/>
  <c r="C1136" i="1"/>
  <c r="C202" i="1"/>
  <c r="C294" i="1"/>
  <c r="C533" i="1"/>
  <c r="C1082" i="1"/>
  <c r="C766" i="1"/>
  <c r="C234" i="1"/>
  <c r="C214" i="1"/>
  <c r="C875" i="1"/>
  <c r="C978" i="1"/>
  <c r="C253" i="1"/>
  <c r="C254" i="1"/>
  <c r="C490" i="1"/>
  <c r="C519" i="1"/>
  <c r="C634" i="1"/>
  <c r="C1139" i="1"/>
  <c r="C53" i="1"/>
  <c r="C662" i="1"/>
  <c r="C1246" i="1"/>
  <c r="C1165" i="1"/>
  <c r="C372" i="1"/>
  <c r="C1200" i="1"/>
  <c r="C936" i="1"/>
  <c r="C974" i="1"/>
  <c r="C420" i="1"/>
  <c r="C330" i="1"/>
  <c r="C1261" i="1"/>
  <c r="C236" i="1"/>
  <c r="C203" i="1"/>
  <c r="C1028" i="1"/>
  <c r="C103" i="1"/>
  <c r="C128" i="1"/>
  <c r="C923" i="1"/>
  <c r="C964" i="1"/>
  <c r="C55" i="1"/>
  <c r="C157" i="1"/>
  <c r="C709" i="1"/>
  <c r="C367" i="1"/>
  <c r="C544" i="1"/>
  <c r="C19" i="1"/>
  <c r="C797" i="1"/>
  <c r="C299" i="1"/>
  <c r="C25" i="1"/>
  <c r="C897" i="1"/>
  <c r="C331" i="1"/>
  <c r="C213" i="1"/>
  <c r="C1012" i="1"/>
  <c r="C640" i="1"/>
  <c r="C1271" i="1"/>
  <c r="C293" i="1"/>
  <c r="C710" i="1"/>
  <c r="C580" i="1"/>
  <c r="C1056" i="1"/>
  <c r="C910" i="1"/>
  <c r="C838" i="1"/>
  <c r="C432" i="1"/>
  <c r="C268" i="1"/>
  <c r="C1008" i="1"/>
  <c r="C990" i="1"/>
  <c r="C758" i="1"/>
  <c r="C324" i="1"/>
  <c r="C800" i="1"/>
  <c r="C597" i="1"/>
  <c r="C827" i="1"/>
  <c r="C489" i="1"/>
  <c r="C125" i="1"/>
  <c r="C1067" i="1"/>
  <c r="C605" i="1"/>
  <c r="C230" i="1"/>
  <c r="C492" i="1"/>
  <c r="C199" i="1"/>
  <c r="C140" i="1"/>
  <c r="C755" i="1"/>
  <c r="C879" i="1"/>
  <c r="C772" i="1"/>
  <c r="C586" i="1"/>
  <c r="C809" i="1"/>
  <c r="C178" i="1"/>
  <c r="C1202" i="1"/>
  <c r="C43" i="1"/>
  <c r="C154" i="1"/>
  <c r="C328" i="1"/>
  <c r="C491" i="1"/>
  <c r="C904" i="1"/>
  <c r="C361" i="1"/>
  <c r="C700" i="1"/>
  <c r="C843" i="1"/>
  <c r="C1291" i="1"/>
  <c r="C1173" i="1"/>
  <c r="C724" i="1"/>
  <c r="C660" i="1"/>
  <c r="C78" i="1"/>
  <c r="C1181" i="1"/>
  <c r="C1059" i="1"/>
  <c r="C901" i="1"/>
  <c r="C1247" i="1"/>
  <c r="C84" i="1"/>
  <c r="C346" i="1"/>
  <c r="C211" i="1"/>
  <c r="C830" i="1"/>
  <c r="C487" i="1"/>
  <c r="C849" i="1"/>
  <c r="C1276" i="1"/>
  <c r="C573" i="1"/>
  <c r="C50" i="1"/>
  <c r="C1164" i="1"/>
  <c r="C278" i="1"/>
  <c r="C579" i="1"/>
  <c r="C868" i="1"/>
  <c r="C302" i="1"/>
  <c r="C338" i="1"/>
  <c r="C37" i="1"/>
  <c r="C193" i="1"/>
  <c r="C458" i="1"/>
  <c r="C1040" i="1"/>
  <c r="C6" i="1"/>
  <c r="C1031" i="1"/>
  <c r="C1014" i="1"/>
  <c r="C834" i="1"/>
  <c r="C358" i="1"/>
  <c r="C1108" i="1"/>
  <c r="C552" i="1"/>
  <c r="C79" i="1"/>
  <c r="C459" i="1"/>
  <c r="C395" i="1"/>
  <c r="C949" i="1"/>
  <c r="C356" i="1"/>
  <c r="C402" i="1"/>
  <c r="C931" i="1"/>
  <c r="C289" i="1"/>
  <c r="C925" i="1"/>
  <c r="C1043" i="1"/>
  <c r="C421" i="1"/>
  <c r="C595" i="1"/>
  <c r="C418" i="1"/>
  <c r="C1090" i="1"/>
  <c r="C874" i="1"/>
  <c r="C288" i="1"/>
  <c r="C110" i="1"/>
  <c r="C1101" i="1"/>
  <c r="C1119" i="1"/>
  <c r="C986" i="1"/>
  <c r="C101" i="1"/>
  <c r="C679" i="1"/>
  <c r="C918" i="1"/>
  <c r="C593" i="1"/>
  <c r="C989" i="1"/>
  <c r="C341" i="1"/>
  <c r="C568" i="1"/>
  <c r="C1260" i="1"/>
  <c r="C138" i="1"/>
  <c r="C1032" i="1"/>
  <c r="C476" i="1"/>
  <c r="C39" i="1"/>
  <c r="C1029" i="1"/>
  <c r="C260" i="1"/>
  <c r="C352" i="1"/>
  <c r="C828" i="1"/>
  <c r="C752" i="1"/>
  <c r="C765" i="1"/>
  <c r="C1161" i="1"/>
  <c r="C689" i="1"/>
  <c r="C1190" i="1"/>
  <c r="C31" i="1"/>
  <c r="C165" i="1"/>
  <c r="C121" i="1"/>
  <c r="C270" i="1"/>
  <c r="C866" i="1"/>
  <c r="C1044" i="1"/>
  <c r="C1209" i="1"/>
  <c r="C27" i="1"/>
  <c r="C80" i="1"/>
  <c r="C366" i="1"/>
  <c r="C136" i="1"/>
  <c r="C1290" i="1"/>
  <c r="C169" i="1"/>
  <c r="C657" i="1"/>
  <c r="C216" i="1"/>
  <c r="C152" i="1"/>
  <c r="C1019" i="1"/>
  <c r="C1132" i="1"/>
  <c r="C427" i="1"/>
  <c r="C159" i="1"/>
  <c r="C68" i="1"/>
  <c r="C305" i="1"/>
  <c r="C651" i="1"/>
  <c r="C869" i="1"/>
  <c r="C385" i="1"/>
  <c r="C734" i="1"/>
  <c r="C113" i="1"/>
  <c r="C1077" i="1"/>
  <c r="C479" i="1"/>
  <c r="C504" i="1"/>
  <c r="C850" i="1"/>
  <c r="C173" i="1"/>
  <c r="C30" i="1"/>
  <c r="C585" i="1"/>
  <c r="C217" i="1"/>
  <c r="C145" i="1"/>
  <c r="C535" i="1"/>
  <c r="C731" i="1"/>
  <c r="C451" i="1"/>
  <c r="C119" i="1"/>
  <c r="C894" i="1"/>
  <c r="C272" i="1"/>
  <c r="C195" i="1"/>
  <c r="C696" i="1"/>
  <c r="C250" i="1"/>
  <c r="C783" i="1"/>
  <c r="C144" i="1"/>
  <c r="C863" i="1"/>
  <c r="C767" i="1"/>
  <c r="C618" i="1"/>
  <c r="C474" i="1"/>
  <c r="C115" i="1"/>
  <c r="C207" i="1"/>
  <c r="C750" i="1"/>
  <c r="C300" i="1"/>
  <c r="C91" i="1"/>
  <c r="C1046" i="1"/>
  <c r="C851" i="1"/>
  <c r="C1227" i="1"/>
  <c r="C852" i="1"/>
  <c r="C494" i="1"/>
  <c r="C706" i="1"/>
  <c r="C1111" i="1"/>
  <c r="C1189" i="1"/>
  <c r="C329" i="1"/>
  <c r="C375" i="1"/>
  <c r="C609" i="1"/>
  <c r="C1154" i="1"/>
  <c r="C751" i="1"/>
  <c r="C728" i="1"/>
  <c r="C1137" i="1"/>
  <c r="C46" i="1"/>
  <c r="C716" i="1"/>
  <c r="C438" i="1"/>
  <c r="C551" i="1"/>
  <c r="C1221" i="1"/>
  <c r="C572" i="1"/>
  <c r="C644" i="1"/>
  <c r="C507" i="1"/>
  <c r="C1107" i="1"/>
  <c r="C500" i="1"/>
  <c r="C1259" i="1"/>
  <c r="C1272" i="1"/>
  <c r="C1174" i="1"/>
  <c r="C543" i="1"/>
  <c r="C759" i="1"/>
  <c r="C763" i="1"/>
  <c r="C73" i="1"/>
  <c r="C499" i="1"/>
  <c r="C164" i="1"/>
  <c r="C1033" i="1"/>
  <c r="C184" i="1"/>
  <c r="C1171" i="1"/>
  <c r="C223" i="1"/>
  <c r="C884" i="1"/>
  <c r="C1146" i="1"/>
  <c r="C939" i="1"/>
  <c r="C1122" i="1"/>
  <c r="C770" i="1"/>
  <c r="C1248" i="1"/>
  <c r="C388" i="1"/>
  <c r="C461" i="1"/>
  <c r="C907" i="1"/>
  <c r="C439" i="1"/>
  <c r="C840" i="1"/>
  <c r="C556" i="1"/>
  <c r="C1168" i="1"/>
  <c r="C410" i="1"/>
  <c r="C1115" i="1"/>
  <c r="C915" i="1"/>
  <c r="C1099" i="1"/>
  <c r="C899" i="1"/>
  <c r="C635" i="1"/>
  <c r="C1051" i="1"/>
  <c r="C812" i="1"/>
  <c r="C902" i="1"/>
  <c r="C799" i="1"/>
  <c r="C77" i="1"/>
  <c r="C397" i="1"/>
  <c r="C1120" i="1"/>
  <c r="C221" i="1"/>
  <c r="C861" i="1"/>
  <c r="C97" i="1"/>
  <c r="C1118" i="1"/>
  <c r="C760" i="1"/>
  <c r="C722" i="1"/>
  <c r="C539" i="1"/>
  <c r="C415" i="1"/>
  <c r="C1086" i="1"/>
  <c r="C99" i="1"/>
  <c r="C631" i="1"/>
  <c r="C1055" i="1"/>
  <c r="C620" i="1"/>
  <c r="C411" i="1"/>
  <c r="C1274" i="1"/>
  <c r="C917" i="1"/>
  <c r="C1135" i="1"/>
  <c r="C1138" i="1"/>
  <c r="C190" i="1"/>
  <c r="C680" i="1"/>
  <c r="C788" i="1"/>
  <c r="C526" i="1"/>
  <c r="C298" i="1"/>
  <c r="C924" i="1"/>
  <c r="C652" i="1"/>
  <c r="C816" i="1"/>
  <c r="C95" i="1"/>
  <c r="C761" i="1"/>
  <c r="C320" i="1"/>
  <c r="C629" i="1"/>
  <c r="C407" i="1"/>
  <c r="C717" i="1"/>
  <c r="C1088" i="1"/>
  <c r="C222" i="1"/>
  <c r="C842" i="1"/>
  <c r="C1177" i="1"/>
  <c r="C1094" i="1"/>
  <c r="C960" i="1"/>
  <c r="C244" i="1"/>
  <c r="C1152" i="1"/>
  <c r="C228" i="1"/>
  <c r="C860" i="1"/>
  <c r="C9" i="1"/>
  <c r="C265" i="1"/>
  <c r="C721" i="1"/>
  <c r="C7" i="1"/>
  <c r="C1134" i="1"/>
  <c r="C1263" i="1"/>
  <c r="C1214" i="1"/>
  <c r="C21" i="1"/>
  <c r="C798" i="1"/>
  <c r="C456" i="1"/>
  <c r="C1087" i="1"/>
  <c r="C1166" i="1"/>
  <c r="C49" i="1"/>
  <c r="C283" i="1"/>
  <c r="C1110" i="1"/>
  <c r="C345" i="1"/>
  <c r="C1239" i="1"/>
  <c r="C468" i="1"/>
  <c r="C645" i="1"/>
  <c r="C908" i="1"/>
  <c r="C653" i="1"/>
  <c r="C378" i="1"/>
  <c r="C431" i="1"/>
  <c r="C1093" i="1"/>
  <c r="C753" i="1"/>
  <c r="C475" i="1"/>
  <c r="C141" i="1"/>
  <c r="C337" i="1"/>
  <c r="C86" i="1"/>
  <c r="C955" i="1"/>
  <c r="C528" i="1"/>
  <c r="C3" i="1"/>
  <c r="C1279" i="1"/>
  <c r="C718" i="1"/>
  <c r="C179" i="1"/>
  <c r="C1148" i="1"/>
  <c r="C992" i="1"/>
  <c r="C1075" i="1"/>
  <c r="C833" i="1"/>
  <c r="C188" i="1"/>
  <c r="C566" i="1"/>
  <c r="C301" i="1"/>
  <c r="C5" i="1"/>
  <c r="C1002" i="1"/>
  <c r="C398" i="1"/>
  <c r="C756" i="1"/>
  <c r="C762" i="1"/>
  <c r="C448" i="1"/>
  <c r="C818" i="1"/>
  <c r="C368" i="1"/>
  <c r="C975" i="1"/>
  <c r="C12" i="1"/>
  <c r="C1158" i="1"/>
  <c r="C1293" i="1"/>
  <c r="C149" i="1"/>
  <c r="C951" i="1"/>
  <c r="C607" i="1"/>
  <c r="C658" i="1"/>
  <c r="C412" i="1"/>
  <c r="C1192" i="1"/>
  <c r="C906" i="1"/>
  <c r="C665" i="1"/>
  <c r="C725" i="1"/>
  <c r="C163" i="1"/>
  <c r="C1207" i="1"/>
  <c r="C259" i="1"/>
  <c r="C1140" i="1"/>
  <c r="C659" i="1"/>
  <c r="C785" i="1"/>
  <c r="C406" i="1"/>
  <c r="C392" i="1"/>
  <c r="C669" i="1"/>
  <c r="C588" i="1"/>
  <c r="C1098" i="1"/>
  <c r="C15" i="1"/>
  <c r="C794" i="1"/>
  <c r="C654" i="1"/>
  <c r="C831" i="1"/>
  <c r="C1225" i="1"/>
  <c r="C523" i="1"/>
  <c r="C575" i="1"/>
  <c r="C982" i="1"/>
  <c r="C501" i="1"/>
  <c r="C161" i="1"/>
  <c r="C685" i="1"/>
  <c r="C865" i="1"/>
  <c r="C940" i="1"/>
  <c r="C381" i="1"/>
  <c r="C340" i="1"/>
  <c r="C445" i="1"/>
  <c r="C1281" i="1"/>
  <c r="C701" i="1"/>
  <c r="C370" i="1"/>
  <c r="C882" i="1"/>
  <c r="C664" i="1"/>
  <c r="C496" i="1"/>
  <c r="C934" i="1"/>
  <c r="C943" i="1"/>
  <c r="C1213" i="1"/>
  <c r="C887" i="1"/>
  <c r="C587" i="1"/>
  <c r="C75" i="1"/>
  <c r="C1241" i="1"/>
  <c r="C684" i="1"/>
  <c r="C396" i="1"/>
  <c r="C927" i="1"/>
  <c r="C437" i="1"/>
  <c r="C332" i="1"/>
  <c r="C944" i="1"/>
  <c r="C945" i="1"/>
  <c r="C183" i="1"/>
  <c r="C100" i="1"/>
  <c r="C146" i="1"/>
  <c r="C1222" i="1"/>
  <c r="C754" i="1"/>
  <c r="C1089" i="1"/>
  <c r="C641" i="1"/>
  <c r="C1255" i="1"/>
  <c r="C757" i="1"/>
  <c r="C495" i="1"/>
  <c r="C946" i="1"/>
  <c r="C513" i="1"/>
  <c r="C920" i="1"/>
  <c r="C898" i="1"/>
  <c r="C1038" i="1"/>
  <c r="C42" i="1"/>
  <c r="C876" i="1"/>
  <c r="C601" i="1"/>
  <c r="C171" i="1"/>
  <c r="C322" i="1"/>
  <c r="C947" i="1"/>
  <c r="C627" i="1"/>
  <c r="C599" i="1"/>
  <c r="C209" i="1"/>
  <c r="C1095" i="1"/>
  <c r="C821" i="1"/>
  <c r="C646" i="1"/>
  <c r="C1224" i="1"/>
  <c r="C40" i="1"/>
  <c r="C977" i="1"/>
  <c r="C867" i="1"/>
  <c r="C996" i="1"/>
  <c r="C841" i="1"/>
  <c r="C926" i="1"/>
  <c r="C120" i="1"/>
  <c r="C881" i="1"/>
  <c r="C279" i="1"/>
  <c r="C1159" i="1"/>
  <c r="C1284" i="1"/>
  <c r="C339" i="1"/>
  <c r="C453" i="1"/>
  <c r="C246" i="1"/>
  <c r="C1275" i="1"/>
  <c r="C553" i="1"/>
  <c r="C1270" i="1"/>
  <c r="C89" i="1"/>
  <c r="C62" i="1"/>
  <c r="C1053" i="1"/>
  <c r="C697" i="1"/>
  <c r="C117" i="1"/>
  <c r="C854" i="1"/>
  <c r="C1250" i="1"/>
  <c r="C123" i="1"/>
  <c r="C711" i="1"/>
  <c r="C180" i="1"/>
  <c r="C1155" i="1"/>
  <c r="C267" i="1"/>
  <c r="C206" i="1"/>
  <c r="C1049" i="1"/>
  <c r="C775" i="1"/>
  <c r="C232" i="1"/>
  <c r="C835" i="1"/>
  <c r="C592" i="1"/>
  <c r="C985" i="1"/>
  <c r="C517" i="1"/>
  <c r="C625" i="1"/>
  <c r="C937" i="1"/>
  <c r="C506" i="1"/>
  <c r="C512" i="1"/>
  <c r="C391" i="1"/>
  <c r="C777" i="1"/>
  <c r="C793" i="1"/>
  <c r="C708" i="1"/>
  <c r="C1006" i="1"/>
  <c r="C549" i="1"/>
  <c r="C1210" i="1"/>
  <c r="C773" i="1"/>
  <c r="C1037" i="1"/>
  <c r="C1142" i="1"/>
  <c r="C727" i="1"/>
  <c r="C692" i="1"/>
  <c r="C584" i="1"/>
  <c r="C1063" i="1"/>
  <c r="C130" i="1"/>
  <c r="C991" i="1"/>
  <c r="C896" i="1"/>
  <c r="C1073" i="1"/>
  <c r="C524" i="1"/>
  <c r="C1061" i="1"/>
  <c r="C435" i="1"/>
  <c r="C486" i="1"/>
  <c r="C1100" i="1"/>
  <c r="C304" i="1"/>
  <c r="C571" i="1"/>
  <c r="C970" i="1"/>
  <c r="C1074" i="1"/>
  <c r="C465" i="1"/>
  <c r="C1035" i="1"/>
  <c r="C813" i="1"/>
  <c r="C20" i="1"/>
  <c r="C1267" i="1"/>
  <c r="C1198" i="1"/>
  <c r="C69" i="1"/>
  <c r="C930" i="1"/>
  <c r="C220" i="1"/>
  <c r="C33" i="1"/>
  <c r="C360" i="1"/>
  <c r="C160" i="1"/>
  <c r="C962" i="1"/>
  <c r="C187" i="1"/>
  <c r="C983" i="1"/>
  <c r="C705" i="1"/>
  <c r="C845" i="1"/>
  <c r="C1057" i="1"/>
  <c r="C624" i="1"/>
  <c r="C343" i="1"/>
  <c r="C969" i="1"/>
  <c r="C13" i="1"/>
  <c r="C273" i="1"/>
  <c r="C636" i="1"/>
  <c r="C150" i="1"/>
  <c r="C387" i="1"/>
  <c r="C182" i="1"/>
  <c r="C1097" i="1"/>
  <c r="C1144" i="1"/>
  <c r="C200" i="1"/>
  <c r="C139" i="1"/>
  <c r="C1125" i="1"/>
  <c r="C312" i="1"/>
  <c r="C1141" i="1"/>
  <c r="C87" i="1"/>
  <c r="C419" i="1"/>
  <c r="C424" i="1"/>
  <c r="C994" i="1"/>
  <c r="C997" i="1"/>
  <c r="C1116" i="1"/>
  <c r="C1277" i="1"/>
  <c r="C1226" i="1"/>
  <c r="C856" i="1"/>
  <c r="C1234" i="1"/>
  <c r="C814" i="1"/>
  <c r="C353" i="1"/>
  <c r="C430" i="1"/>
  <c r="C1112" i="1"/>
  <c r="C743" i="1"/>
  <c r="C126" i="1"/>
  <c r="C497" i="1"/>
  <c r="C156" i="1"/>
  <c r="C1113" i="1"/>
  <c r="C1233" i="1"/>
  <c r="C133" i="1"/>
  <c r="C747" i="1"/>
  <c r="C829" i="1"/>
  <c r="C713" i="1"/>
  <c r="C938" i="1"/>
  <c r="C916" i="1"/>
  <c r="C1243" i="1"/>
  <c r="C515" i="1"/>
  <c r="C416" i="1"/>
  <c r="C823" i="1"/>
  <c r="C472" i="1"/>
  <c r="C617" i="1"/>
  <c r="C719" i="1"/>
  <c r="C746" i="1"/>
  <c r="C1265" i="1"/>
  <c r="C47" i="1"/>
  <c r="C219" i="1"/>
  <c r="C1195" i="1"/>
  <c r="C942" i="1"/>
  <c r="C824" i="1"/>
  <c r="C779" i="1"/>
  <c r="C319" i="1"/>
  <c r="C872" i="1"/>
  <c r="C1245" i="1"/>
  <c r="C107" i="1"/>
  <c r="C365" i="1"/>
  <c r="C132" i="1"/>
  <c r="C168" i="1"/>
  <c r="C481" i="1"/>
  <c r="C1023" i="1"/>
  <c r="C334" i="1"/>
  <c r="C739" i="1"/>
  <c r="C1257" i="1"/>
  <c r="C72" i="1"/>
  <c r="C1180" i="1"/>
  <c r="C781" i="1"/>
  <c r="C1249" i="1"/>
  <c r="C561" i="1"/>
  <c r="C1252" i="1"/>
  <c r="C1145" i="1"/>
  <c r="C108" i="1"/>
  <c r="C541" i="1"/>
  <c r="C350" i="1"/>
  <c r="C389" i="1"/>
  <c r="C1163" i="1"/>
  <c r="C414" i="1"/>
  <c r="C979" i="1"/>
  <c r="C1194" i="1"/>
  <c r="C801" i="1"/>
  <c r="C516" i="1"/>
  <c r="C1021" i="1"/>
  <c r="C1030" i="1"/>
  <c r="C425" i="1"/>
  <c r="C447" i="1"/>
  <c r="C676" i="1"/>
  <c r="C44" i="1"/>
  <c r="C383" i="1"/>
  <c r="C525" i="1"/>
  <c r="C511" i="1"/>
  <c r="C768" i="1"/>
  <c r="C871" i="1"/>
  <c r="C1071" i="1"/>
  <c r="C810" i="1"/>
  <c r="C373" i="1"/>
  <c r="C736" i="1"/>
  <c r="C1240" i="1"/>
  <c r="C129" i="1"/>
  <c r="C323" i="1"/>
  <c r="C826" i="1"/>
  <c r="C1167" i="1"/>
  <c r="C477" i="1"/>
  <c r="C240" i="1"/>
  <c r="C564" i="1"/>
  <c r="C795" i="1"/>
  <c r="C38" i="1"/>
  <c r="C245" i="1"/>
  <c r="C749" i="1"/>
  <c r="C735" i="1"/>
  <c r="C1254" i="1"/>
  <c r="C1162" i="1"/>
  <c r="C197" i="1"/>
  <c r="C249" i="1"/>
  <c r="C1065" i="1"/>
  <c r="C503" i="1"/>
  <c r="C1236" i="1"/>
  <c r="C616" i="1"/>
  <c r="C386" i="1"/>
  <c r="C498" i="1"/>
  <c r="C1123" i="1"/>
  <c r="C1251" i="1"/>
  <c r="C723" i="1"/>
  <c r="C276" i="1"/>
  <c r="C1096" i="1"/>
  <c r="C473" i="1"/>
  <c r="C1070" i="1"/>
  <c r="C905" i="1"/>
  <c r="C1199" i="1"/>
  <c r="C348" i="1"/>
  <c r="C376" i="1"/>
  <c r="C999" i="1"/>
  <c r="C1060" i="1"/>
  <c r="C720" i="1"/>
  <c r="C738" i="1"/>
  <c r="C24" i="1"/>
  <c r="C1052" i="1"/>
  <c r="C60" i="1"/>
  <c r="C295" i="1"/>
  <c r="C1268" i="1"/>
  <c r="C1229" i="1"/>
  <c r="C204" i="1"/>
  <c r="C510" i="1"/>
  <c r="C900" i="1"/>
  <c r="C1169" i="1"/>
  <c r="C327" i="1"/>
  <c r="C688" i="1"/>
  <c r="C237" i="1"/>
  <c r="C822" i="1"/>
  <c r="C963" i="1"/>
  <c r="C650" i="1"/>
  <c r="C1278" i="1"/>
  <c r="C292" i="1"/>
  <c r="C1238" i="1"/>
  <c r="C633" i="1"/>
  <c r="C536" i="1"/>
  <c r="C741" i="1"/>
  <c r="C417" i="1"/>
  <c r="C58" i="1"/>
  <c r="C538" i="1"/>
  <c r="C362" i="1"/>
  <c r="C559" i="1"/>
  <c r="C181" i="1"/>
  <c r="C1128" i="1"/>
  <c r="C1201" i="1"/>
  <c r="C703" i="1"/>
  <c r="C454" i="1"/>
  <c r="C401" i="1"/>
  <c r="C621" i="1"/>
  <c r="C177" i="1"/>
  <c r="C873" i="1"/>
  <c r="C1080" i="1"/>
  <c r="C311" i="1"/>
  <c r="C1020" i="1"/>
  <c r="C903" i="1"/>
  <c r="C968" i="1"/>
  <c r="C1187" i="1"/>
  <c r="C817" i="1"/>
  <c r="C321" i="1"/>
  <c r="C423" i="1"/>
  <c r="C167" i="1"/>
  <c r="C1262" i="1"/>
  <c r="C1230" i="1"/>
  <c r="C574" i="1"/>
  <c r="C534" i="1"/>
  <c r="C452" i="1"/>
  <c r="C846" i="1"/>
  <c r="C674" i="1"/>
  <c r="C1215" i="1"/>
  <c r="C1114" i="1"/>
  <c r="C567" i="1"/>
  <c r="C859" i="1"/>
  <c r="C262" i="1"/>
  <c r="C877" i="1"/>
  <c r="C266" i="1"/>
  <c r="C847" i="1"/>
  <c r="C961" i="1"/>
  <c r="C932" i="1"/>
  <c r="C702" i="1"/>
  <c r="C546" i="1"/>
  <c r="C921" i="1"/>
  <c r="C379" i="1"/>
  <c r="C403" i="1"/>
  <c r="C54" i="1"/>
  <c r="C277" i="1"/>
  <c r="C1216" i="1"/>
  <c r="C142" i="1"/>
  <c r="C88" i="1"/>
  <c r="C478" i="1"/>
  <c r="C666" i="1"/>
  <c r="C1175" i="1"/>
  <c r="C1172" i="1"/>
  <c r="C426" i="1"/>
  <c r="C1196" i="1"/>
  <c r="C656" i="1"/>
  <c r="C1186" i="1"/>
  <c r="C639" i="1"/>
  <c r="C224" i="1"/>
  <c r="C333" i="1"/>
  <c r="C196" i="1"/>
  <c r="C1264" i="1"/>
  <c r="C1282" i="1"/>
  <c r="C393" i="1"/>
  <c r="C82" i="1"/>
  <c r="C929" i="1"/>
  <c r="C853" i="1"/>
  <c r="C935" i="1"/>
  <c r="C695" i="1"/>
  <c r="C1256" i="1"/>
  <c r="C208" i="1"/>
  <c r="C359" i="1"/>
  <c r="C314" i="1"/>
  <c r="C70" i="1"/>
  <c r="C23" i="1"/>
  <c r="C36" i="1"/>
  <c r="C888" i="1"/>
  <c r="C981" i="1"/>
  <c r="C226" i="1"/>
  <c r="C837" i="1"/>
  <c r="C1022" i="1"/>
  <c r="C1062" i="1"/>
  <c r="C264" i="1"/>
  <c r="C520" i="1"/>
  <c r="C547" i="1"/>
  <c r="C399" i="1"/>
  <c r="C336" i="1"/>
  <c r="C1143" i="1"/>
  <c r="C45" i="1"/>
  <c r="C450" i="1"/>
  <c r="C369" i="1"/>
  <c r="C18" i="1"/>
  <c r="C1039" i="1"/>
  <c r="C698" i="1"/>
  <c r="C678" i="1"/>
  <c r="C363" i="1"/>
  <c r="C464" i="1"/>
  <c r="C956" i="1"/>
  <c r="C303" i="1"/>
  <c r="C807" i="1"/>
  <c r="C1003" i="1"/>
  <c r="C740" i="1"/>
  <c r="C1191" i="1"/>
  <c r="C1232" i="1"/>
  <c r="C563" i="1"/>
  <c r="C102" i="1"/>
  <c r="C355" i="1"/>
  <c r="C449" i="1"/>
  <c r="C466" i="1"/>
  <c r="C344" i="1"/>
  <c r="C227" i="1"/>
  <c r="C1121" i="1"/>
  <c r="C440" i="1"/>
  <c r="C1231" i="1"/>
  <c r="C857" i="1"/>
  <c r="C1130" i="1"/>
  <c r="C307" i="1"/>
  <c r="C390" i="1"/>
  <c r="C811" i="1"/>
  <c r="C11" i="1"/>
  <c r="C1026" i="1"/>
  <c r="C560" i="1"/>
  <c r="C233" i="1"/>
  <c r="C308" i="1"/>
  <c r="C17" i="1"/>
  <c r="C34" i="1"/>
  <c r="C176" i="1"/>
  <c r="C632" i="1"/>
  <c r="C198" i="1"/>
  <c r="C855" i="1"/>
  <c r="C258" i="1"/>
  <c r="C649" i="1"/>
  <c r="C958" i="1"/>
  <c r="C802" i="1"/>
  <c r="C92" i="1"/>
  <c r="C611" i="1"/>
  <c r="C446" i="1"/>
  <c r="C1185" i="1"/>
  <c r="C959" i="1"/>
  <c r="C1124" i="1"/>
  <c r="C1016" i="1"/>
  <c r="C889" i="1"/>
  <c r="C913" i="1"/>
  <c r="C269" i="1"/>
  <c r="C502" i="1"/>
  <c r="C1223" i="1"/>
  <c r="C582" i="1"/>
  <c r="C774" i="1"/>
  <c r="C1079" i="1"/>
  <c r="C371" i="1"/>
  <c r="C315" i="1"/>
  <c r="C98" i="1"/>
  <c r="C201" i="1"/>
  <c r="C1204" i="1"/>
  <c r="C1102" i="1"/>
  <c r="C987" i="1"/>
  <c r="C174" i="1"/>
  <c r="C470" i="1"/>
  <c r="C600" i="1"/>
  <c r="C742" i="1"/>
  <c r="C135" i="1"/>
  <c r="C957" i="1"/>
  <c r="C1050" i="1"/>
  <c r="C229" i="1"/>
  <c r="C1205" i="1"/>
  <c r="C638" i="1"/>
  <c r="C285" i="1"/>
  <c r="C870" i="1"/>
  <c r="C8" i="1"/>
  <c r="C1109" i="1"/>
  <c r="C928" i="1"/>
  <c r="C380" i="1"/>
  <c r="C1253" i="1"/>
  <c r="C306" i="1"/>
  <c r="C460" i="1"/>
  <c r="C604" i="1"/>
  <c r="C1034" i="1"/>
  <c r="C614" i="1"/>
  <c r="C972" i="1"/>
  <c r="C612" i="1"/>
  <c r="C1283" i="1"/>
  <c r="C52" i="1"/>
  <c r="C729" i="1"/>
  <c r="C318" i="1"/>
  <c r="C745" i="1"/>
  <c r="C993" i="1"/>
  <c r="C433" i="1"/>
  <c r="C485" i="1"/>
  <c r="C64" i="1"/>
  <c r="C733" i="1"/>
  <c r="C116" i="1"/>
  <c r="C1244" i="1"/>
  <c r="C1206" i="1"/>
  <c r="C885" i="1"/>
  <c r="C531" i="1"/>
  <c r="C521" i="1"/>
  <c r="C151" i="1"/>
  <c r="C26" i="1"/>
  <c r="C1010" i="1"/>
  <c r="C35" i="1"/>
  <c r="C104" i="1"/>
  <c r="C112" i="1"/>
  <c r="C57" i="1"/>
  <c r="C1018" i="1"/>
  <c r="C832" i="1"/>
  <c r="C1005" i="1"/>
  <c r="C1017" i="1"/>
  <c r="C1072" i="1"/>
  <c r="C1131" i="1"/>
  <c r="C1085" i="1"/>
  <c r="C555" i="1"/>
  <c r="C1047" i="1"/>
  <c r="C878" i="1"/>
  <c r="C462" i="1"/>
  <c r="C1208" i="1"/>
  <c r="C118" i="1"/>
  <c r="C235" i="1"/>
  <c r="C682" i="1"/>
  <c r="C56" i="1"/>
  <c r="C803" i="1"/>
  <c r="C441" i="1"/>
  <c r="C377" i="1"/>
  <c r="C1156" i="1"/>
  <c r="C933" i="1"/>
  <c r="C542" i="1"/>
  <c r="C909" i="1"/>
  <c r="C109" i="1"/>
  <c r="C134" i="1"/>
  <c r="C1179" i="1"/>
  <c r="C858" i="1"/>
  <c r="C562" i="1"/>
  <c r="C442" i="1"/>
  <c r="C66" i="1"/>
  <c r="C1237" i="1"/>
  <c r="C973" i="1"/>
  <c r="C648" i="1"/>
  <c r="C839" i="1"/>
  <c r="C589" i="1"/>
  <c r="C554" i="1"/>
  <c r="C1176" i="1"/>
  <c r="C480" i="1"/>
  <c r="C290" i="1"/>
  <c r="C608" i="1"/>
  <c r="C1078" i="1"/>
  <c r="C892" i="1"/>
  <c r="C862" i="1"/>
  <c r="C663" i="1"/>
  <c r="C1007" i="1"/>
  <c r="C819" i="1"/>
  <c r="C771" i="1"/>
  <c r="C911" i="1"/>
  <c r="C655" i="1"/>
  <c r="C275" i="1"/>
  <c r="C668" i="1"/>
  <c r="C1036" i="1"/>
  <c r="C787" i="1"/>
  <c r="C1000" i="1"/>
  <c r="C482" i="1"/>
  <c r="C241" i="1"/>
  <c r="C1064" i="1"/>
  <c r="C335" i="1"/>
  <c r="C463" i="1"/>
  <c r="C192" i="1"/>
  <c r="C1069" i="1"/>
  <c r="C347" i="1"/>
  <c r="C815" i="1"/>
  <c r="C1266" i="1"/>
  <c r="C287" i="1"/>
  <c r="C191" i="1"/>
  <c r="C622" i="1"/>
  <c r="C615" i="1"/>
  <c r="C1286" i="1"/>
  <c r="C791" i="1"/>
  <c r="C1011" i="1"/>
  <c r="C22" i="1"/>
  <c r="C893" i="1"/>
  <c r="C686" i="1"/>
  <c r="C148" i="1"/>
  <c r="C409" i="1"/>
  <c r="C162" i="1"/>
  <c r="C1203" i="1"/>
  <c r="C602" i="1"/>
  <c r="C825" i="1"/>
  <c r="C670" i="1"/>
  <c r="C637" i="1"/>
  <c r="C1015" i="1"/>
  <c r="C394" i="1"/>
  <c r="C1091" i="1"/>
  <c r="C880" i="1"/>
  <c r="C374" i="1"/>
  <c r="C94" i="1"/>
  <c r="C919" i="1"/>
  <c r="C317" i="1"/>
  <c r="C545" i="1"/>
  <c r="C428" i="1"/>
  <c r="C1041" i="1"/>
  <c r="C1157" i="1"/>
  <c r="C96" i="1"/>
  <c r="C1001" i="1"/>
  <c r="C565" i="1"/>
  <c r="C408" i="1"/>
  <c r="C1269" i="1"/>
  <c r="C400" i="1"/>
  <c r="C1150" i="1"/>
  <c r="C693" i="1"/>
  <c r="C1127" i="1"/>
  <c r="C1105" i="1"/>
  <c r="C1058" i="1"/>
  <c r="C349" i="1"/>
  <c r="C967" i="1"/>
  <c r="C310" i="1"/>
  <c r="C805" i="1"/>
  <c r="C210" i="1"/>
  <c r="C806" i="1"/>
  <c r="C29" i="1"/>
  <c r="C281" i="1"/>
  <c r="C1048" i="1"/>
  <c r="C540" i="1"/>
  <c r="C215" i="1"/>
  <c r="C326" i="1"/>
  <c r="C1235" i="1"/>
  <c r="C1212" i="1"/>
  <c r="C952" i="1"/>
  <c r="C41" i="1"/>
  <c r="C122" i="1"/>
  <c r="C429" i="1"/>
  <c r="C1160" i="1"/>
  <c r="C1013" i="1"/>
  <c r="C1197" i="1"/>
  <c r="C436" i="1"/>
  <c r="C681" i="1"/>
  <c r="C1178" i="1"/>
  <c r="C687" i="1"/>
  <c r="C789" i="1"/>
  <c r="C748" i="1"/>
  <c r="C261" i="1"/>
  <c r="C778" i="1"/>
  <c r="C63" i="1"/>
  <c r="C677" i="1"/>
  <c r="C570" i="1"/>
  <c r="C764" i="1"/>
  <c r="C914" i="1"/>
  <c r="C205" i="1"/>
  <c r="C282" i="1"/>
  <c r="C966" i="1"/>
  <c r="C714" i="1"/>
  <c r="C1170" i="1"/>
  <c r="C1188" i="1"/>
  <c r="C1153" i="1"/>
  <c r="C316" i="1"/>
  <c r="C1220" i="1"/>
  <c r="C1083" i="1"/>
  <c r="C65" i="1"/>
  <c r="C683" i="1"/>
  <c r="C263" i="1"/>
  <c r="C1054" i="1"/>
  <c r="C995" i="1"/>
  <c r="C1081" i="1"/>
  <c r="C1084" i="1"/>
  <c r="C1025" i="1"/>
  <c r="C1068" i="1"/>
  <c r="C1024" i="1"/>
  <c r="C14" i="1"/>
  <c r="C971" i="1"/>
  <c r="C67" i="1"/>
  <c r="C1217" i="1"/>
  <c r="C598" i="1"/>
  <c r="C286" i="1"/>
  <c r="C434" i="1"/>
  <c r="C251" i="1"/>
  <c r="C342" i="1"/>
  <c r="C1218" i="1"/>
  <c r="C1228" i="1"/>
  <c r="C51" i="1"/>
  <c r="C606" i="1"/>
  <c r="C422" i="1"/>
  <c r="C628" i="1"/>
  <c r="C172" i="1"/>
  <c r="C1258" i="1"/>
  <c r="C529" i="1"/>
  <c r="C941" i="1"/>
  <c r="C820" i="1"/>
  <c r="C848" i="1"/>
  <c r="C707" i="1"/>
  <c r="C980" i="1"/>
  <c r="C922" i="1"/>
  <c r="C225" i="1"/>
  <c r="C280" i="1"/>
  <c r="C467" i="1"/>
  <c r="C93" i="1"/>
  <c r="C769" i="1"/>
  <c r="C732" i="1"/>
  <c r="C239" i="1"/>
  <c r="C81" i="1"/>
  <c r="C780" i="1"/>
  <c r="C509" i="1"/>
  <c r="C661" i="1"/>
  <c r="C296" i="1"/>
  <c r="C357" i="1"/>
  <c r="C488" i="1"/>
  <c r="C1280" i="1"/>
  <c r="C891" i="1"/>
  <c r="C557" i="1"/>
  <c r="C844" i="1"/>
  <c r="C4" i="1"/>
  <c r="C1183" i="1"/>
  <c r="C194" i="1"/>
  <c r="C583" i="1"/>
  <c r="C1151" i="1"/>
  <c r="C124" i="1"/>
  <c r="C1045" i="1"/>
  <c r="AB1298" i="1" l="1"/>
  <c r="AH325" i="1"/>
  <c r="AG325" i="1" s="1"/>
  <c r="AH1057" i="1"/>
  <c r="AG1057" i="1" s="1"/>
  <c r="AH391" i="1"/>
  <c r="AG391" i="1" s="1"/>
  <c r="AH832" i="1"/>
  <c r="AG832" i="1" s="1"/>
  <c r="AH1087" i="1"/>
  <c r="AG1087" i="1" s="1"/>
  <c r="AH411" i="1"/>
  <c r="AG411" i="1" s="1"/>
  <c r="AH323" i="1"/>
  <c r="AG323" i="1" s="1"/>
  <c r="AH997" i="1"/>
  <c r="AG997" i="1" s="1"/>
  <c r="AH913" i="1"/>
  <c r="AG913" i="1" s="1"/>
  <c r="AE913" i="1" s="1"/>
  <c r="AC913" i="1" s="1"/>
  <c r="AH1137" i="1"/>
  <c r="AG1137" i="1" s="1"/>
  <c r="AE1137" i="1" s="1"/>
  <c r="AC1137" i="1" s="1"/>
  <c r="AH809" i="1"/>
  <c r="AG809" i="1" s="1"/>
  <c r="AE809" i="1" s="1"/>
  <c r="AC809" i="1" s="1"/>
  <c r="AH363" i="1"/>
  <c r="AG363" i="1" s="1"/>
  <c r="AH953" i="1"/>
  <c r="AG953" i="1" s="1"/>
  <c r="AE1087" i="1"/>
  <c r="AC1087" i="1" s="1"/>
  <c r="AE953" i="1"/>
  <c r="AC953" i="1" s="1"/>
  <c r="AE1057" i="1"/>
  <c r="AC1057" i="1" s="1"/>
  <c r="AE1293" i="1"/>
  <c r="AC1293" i="1" s="1"/>
  <c r="AE391" i="1"/>
  <c r="AC391" i="1" s="1"/>
  <c r="AE832" i="1"/>
  <c r="AC832" i="1" s="1"/>
  <c r="AE744" i="1"/>
  <c r="AC744" i="1" s="1"/>
  <c r="AH181" i="1"/>
  <c r="AG181" i="1" s="1"/>
  <c r="AH1046" i="1"/>
  <c r="AG1046" i="1" s="1"/>
  <c r="AH217" i="1"/>
  <c r="AG217" i="1" s="1"/>
  <c r="AH362" i="1"/>
  <c r="AG362" i="1" s="1"/>
  <c r="AH531" i="1"/>
  <c r="AG531" i="1" s="1"/>
  <c r="AH365" i="1"/>
  <c r="AG365" i="1" s="1"/>
  <c r="AH916" i="1"/>
  <c r="AG916" i="1" s="1"/>
  <c r="AH813" i="1"/>
  <c r="AG813" i="1" s="1"/>
  <c r="AH1006" i="1"/>
  <c r="AG1006" i="1" s="1"/>
  <c r="AH75" i="1"/>
  <c r="AG75" i="1" s="1"/>
  <c r="AH607" i="1"/>
  <c r="AG607" i="1" s="1"/>
  <c r="AH1110" i="1"/>
  <c r="AG1110" i="1" s="1"/>
  <c r="AE1110" i="1" s="1"/>
  <c r="AC1110" i="1" s="1"/>
  <c r="AH222" i="1"/>
  <c r="AG222" i="1" s="1"/>
  <c r="AH81" i="1"/>
  <c r="AG81" i="1" s="1"/>
  <c r="AH554" i="1"/>
  <c r="AG554" i="1" s="1"/>
  <c r="AH834" i="1"/>
  <c r="AG834" i="1" s="1"/>
  <c r="AE834" i="1" s="1"/>
  <c r="AC834" i="1" s="1"/>
  <c r="AH84" i="1"/>
  <c r="AG84" i="1" s="1"/>
  <c r="AH25" i="1"/>
  <c r="AG25" i="1" s="1"/>
  <c r="AH214" i="1"/>
  <c r="AG214" i="1" s="1"/>
  <c r="AH1092" i="1"/>
  <c r="AG1092" i="1" s="1"/>
  <c r="AE1092" i="1" s="1"/>
  <c r="AC1092" i="1" s="1"/>
  <c r="AH83" i="1"/>
  <c r="AG83" i="1" s="1"/>
  <c r="AH689" i="1"/>
  <c r="AG689" i="1" s="1"/>
  <c r="AH1021" i="1"/>
  <c r="AG1021" i="1" s="1"/>
  <c r="AH686" i="1"/>
  <c r="AG686" i="1" s="1"/>
  <c r="AH1149" i="1"/>
  <c r="AG1149" i="1" s="1"/>
  <c r="AE1149" i="1" s="1"/>
  <c r="AC1149" i="1" s="1"/>
  <c r="AH364" i="1"/>
  <c r="AG364" i="1" s="1"/>
  <c r="AH1251" i="1"/>
  <c r="AG1251" i="1" s="1"/>
  <c r="AH240" i="1"/>
  <c r="AG240" i="1" s="1"/>
  <c r="AH867" i="1"/>
  <c r="AG867" i="1" s="1"/>
  <c r="AH308" i="1"/>
  <c r="AG308" i="1" s="1"/>
  <c r="AE308" i="1" s="1"/>
  <c r="AC308" i="1" s="1"/>
  <c r="AH585" i="1"/>
  <c r="AG585" i="1" s="1"/>
  <c r="AH136" i="1"/>
  <c r="AG136" i="1" s="1"/>
  <c r="AE136" i="1" s="1"/>
  <c r="AC136" i="1" s="1"/>
  <c r="AH967" i="1"/>
  <c r="AG967" i="1" s="1"/>
  <c r="AE967" i="1" s="1"/>
  <c r="AC967" i="1" s="1"/>
  <c r="AH897" i="1"/>
  <c r="AG897" i="1" s="1"/>
  <c r="AE897" i="1" s="1"/>
  <c r="AC897" i="1" s="1"/>
  <c r="AH271" i="1"/>
  <c r="AG271" i="1" s="1"/>
  <c r="AE271" i="1" s="1"/>
  <c r="AC271" i="1" s="1"/>
  <c r="AH1151" i="1"/>
  <c r="AG1151" i="1" s="1"/>
  <c r="AH1091" i="1"/>
  <c r="AG1091" i="1" s="1"/>
  <c r="AH219" i="1"/>
  <c r="AG219" i="1" s="1"/>
  <c r="AH463" i="1"/>
  <c r="AG463" i="1" s="1"/>
  <c r="AE463" i="1" s="1"/>
  <c r="AC463" i="1" s="1"/>
  <c r="AH74" i="1"/>
  <c r="AG74" i="1" s="1"/>
  <c r="AH553" i="1"/>
  <c r="AG553" i="1" s="1"/>
  <c r="AH21" i="1"/>
  <c r="AG21" i="1" s="1"/>
  <c r="AE21" i="1" s="1"/>
  <c r="AC21" i="1" s="1"/>
  <c r="AH8" i="1"/>
  <c r="AG8" i="1" s="1"/>
  <c r="AE8" i="1" s="1"/>
  <c r="AC8" i="1" s="1"/>
  <c r="AH723" i="1"/>
  <c r="AG723" i="1" s="1"/>
  <c r="AH48" i="1"/>
  <c r="AG48" i="1" s="1"/>
  <c r="AE48" i="1" s="1"/>
  <c r="AC48" i="1" s="1"/>
  <c r="AH24" i="1"/>
  <c r="AG24" i="1" s="1"/>
  <c r="AH961" i="1"/>
  <c r="AG961" i="1" s="1"/>
  <c r="AH738" i="1"/>
  <c r="AG738" i="1" s="1"/>
  <c r="AH47" i="1"/>
  <c r="AG47" i="1" s="1"/>
  <c r="AH406" i="1"/>
  <c r="AG406" i="1" s="1"/>
  <c r="AH1093" i="1"/>
  <c r="AG1093" i="1" s="1"/>
  <c r="AH681" i="1"/>
  <c r="AG681" i="1" s="1"/>
  <c r="AH1115" i="1"/>
  <c r="AG1115" i="1" s="1"/>
  <c r="AH1174" i="1"/>
  <c r="AG1174" i="1" s="1"/>
  <c r="AH165" i="1"/>
  <c r="AG165" i="1" s="1"/>
  <c r="AH303" i="1"/>
  <c r="AG303" i="1" s="1"/>
  <c r="AH776" i="1"/>
  <c r="AG776" i="1" s="1"/>
  <c r="AH639" i="1"/>
  <c r="AG639" i="1" s="1"/>
  <c r="AH266" i="1"/>
  <c r="AG266" i="1" s="1"/>
  <c r="AH1060" i="1"/>
  <c r="AG1060" i="1" s="1"/>
  <c r="AH1253" i="1"/>
  <c r="AG1253" i="1" s="1"/>
  <c r="AH126" i="1"/>
  <c r="AG126" i="1" s="1"/>
  <c r="AE126" i="1" s="1"/>
  <c r="AC126" i="1" s="1"/>
  <c r="AH582" i="1"/>
  <c r="AG582" i="1" s="1"/>
  <c r="AH445" i="1"/>
  <c r="AG445" i="1" s="1"/>
  <c r="AH1000" i="1"/>
  <c r="AG1000" i="1" s="1"/>
  <c r="AH1168" i="1"/>
  <c r="AG1168" i="1" s="1"/>
  <c r="AH910" i="1"/>
  <c r="AG910" i="1" s="1"/>
  <c r="AH963" i="1"/>
  <c r="AG963" i="1" s="1"/>
  <c r="AH885" i="1"/>
  <c r="AG885" i="1" s="1"/>
  <c r="AH1194" i="1"/>
  <c r="AG1194" i="1" s="1"/>
  <c r="AH408" i="1"/>
  <c r="AG408" i="1" s="1"/>
  <c r="AH969" i="1"/>
  <c r="AG969" i="1" s="1"/>
  <c r="AH495" i="1"/>
  <c r="AG495" i="1" s="1"/>
  <c r="AE495" i="1" s="1"/>
  <c r="AC495" i="1" s="1"/>
  <c r="AH587" i="1"/>
  <c r="AG587" i="1" s="1"/>
  <c r="AH951" i="1"/>
  <c r="AG951" i="1" s="1"/>
  <c r="AH884" i="1"/>
  <c r="AG884" i="1" s="1"/>
  <c r="AE884" i="1" s="1"/>
  <c r="AC884" i="1" s="1"/>
  <c r="AH80" i="1"/>
  <c r="AG80" i="1" s="1"/>
  <c r="AH729" i="1"/>
  <c r="AG729" i="1" s="1"/>
  <c r="AH1109" i="1"/>
  <c r="AG1109" i="1" s="1"/>
  <c r="AH998" i="1"/>
  <c r="AG998" i="1" s="1"/>
  <c r="AH784" i="1"/>
  <c r="AG784" i="1" s="1"/>
  <c r="AE784" i="1" s="1"/>
  <c r="AC784" i="1" s="1"/>
  <c r="AH691" i="1"/>
  <c r="AG691" i="1" s="1"/>
  <c r="AH404" i="1"/>
  <c r="AG404" i="1" s="1"/>
  <c r="AE404" i="1" s="1"/>
  <c r="AC404" i="1" s="1"/>
  <c r="AH262" i="1"/>
  <c r="AG262" i="1" s="1"/>
  <c r="AE262" i="1" s="1"/>
  <c r="AC262" i="1" s="1"/>
  <c r="AH822" i="1"/>
  <c r="AG822" i="1" s="1"/>
  <c r="AE822" i="1" s="1"/>
  <c r="AC822" i="1" s="1"/>
  <c r="AH376" i="1"/>
  <c r="AG376" i="1" s="1"/>
  <c r="AE376" i="1" s="1"/>
  <c r="AC376" i="1" s="1"/>
  <c r="AH1180" i="1"/>
  <c r="AG1180" i="1" s="1"/>
  <c r="AH1112" i="1"/>
  <c r="AG1112" i="1" s="1"/>
  <c r="AH1144" i="1"/>
  <c r="AG1144" i="1" s="1"/>
  <c r="AH1005" i="1"/>
  <c r="AG1005" i="1" s="1"/>
  <c r="AH183" i="1"/>
  <c r="AG183" i="1" s="1"/>
  <c r="AH265" i="1"/>
  <c r="AG265" i="1" s="1"/>
  <c r="AH556" i="1"/>
  <c r="AG556" i="1" s="1"/>
  <c r="AH1259" i="1"/>
  <c r="AG1259" i="1" s="1"/>
  <c r="AH494" i="1"/>
  <c r="AG494" i="1" s="1"/>
  <c r="AH949" i="1"/>
  <c r="AG949" i="1" s="1"/>
  <c r="AH1232" i="1"/>
  <c r="AG1232" i="1" s="1"/>
  <c r="AH492" i="1"/>
  <c r="AG492" i="1" s="1"/>
  <c r="AH964" i="1"/>
  <c r="AG964" i="1" s="1"/>
  <c r="AH634" i="1"/>
  <c r="AG634" i="1" s="1"/>
  <c r="AH952" i="1"/>
  <c r="AG952" i="1" s="1"/>
  <c r="AH826" i="1"/>
  <c r="AG826" i="1" s="1"/>
  <c r="AH1250" i="1"/>
  <c r="AG1250" i="1" s="1"/>
  <c r="AE1250" i="1" s="1"/>
  <c r="AC1250" i="1" s="1"/>
  <c r="AH831" i="1"/>
  <c r="AG831" i="1" s="1"/>
  <c r="AE831" i="1" s="1"/>
  <c r="AC831" i="1" s="1"/>
  <c r="AH1279" i="1"/>
  <c r="AG1279" i="1" s="1"/>
  <c r="AE1279" i="1" s="1"/>
  <c r="AC1279" i="1" s="1"/>
  <c r="AH49" i="1"/>
  <c r="AG49" i="1" s="1"/>
  <c r="AE49" i="1" s="1"/>
  <c r="AC49" i="1" s="1"/>
  <c r="AH223" i="1"/>
  <c r="AG223" i="1" s="1"/>
  <c r="AH1090" i="1"/>
  <c r="AG1090" i="1" s="1"/>
  <c r="AH236" i="1"/>
  <c r="AG236" i="1" s="1"/>
  <c r="AH909" i="1"/>
  <c r="AG909" i="1" s="1"/>
  <c r="AH745" i="1"/>
  <c r="AG745" i="1" s="1"/>
  <c r="AE745" i="1" s="1"/>
  <c r="AC745" i="1" s="1"/>
  <c r="AH220" i="1"/>
  <c r="AG220" i="1" s="1"/>
  <c r="AH82" i="1"/>
  <c r="AG82" i="1" s="1"/>
  <c r="AH167" i="1"/>
  <c r="AG167" i="1" s="1"/>
  <c r="AH417" i="1"/>
  <c r="AG417" i="1" s="1"/>
  <c r="AH1051" i="1"/>
  <c r="AG1051" i="1" s="1"/>
  <c r="AH728" i="1"/>
  <c r="AG728" i="1" s="1"/>
  <c r="AH476" i="1"/>
  <c r="AG476" i="1" s="1"/>
  <c r="AH421" i="1"/>
  <c r="AG421" i="1" s="1"/>
  <c r="AE421" i="1" s="1"/>
  <c r="AC421" i="1" s="1"/>
  <c r="AH1059" i="1"/>
  <c r="AG1059" i="1" s="1"/>
  <c r="AH420" i="1"/>
  <c r="AG420" i="1" s="1"/>
  <c r="AE420" i="1" s="1"/>
  <c r="AC420" i="1" s="1"/>
  <c r="AH642" i="1"/>
  <c r="AG642" i="1" s="1"/>
  <c r="AH1152" i="1"/>
  <c r="AG1152" i="1" s="1"/>
  <c r="AH218" i="1"/>
  <c r="AG218" i="1" s="1"/>
  <c r="AH462" i="1"/>
  <c r="AG462" i="1" s="1"/>
  <c r="AE462" i="1" s="1"/>
  <c r="AC462" i="1" s="1"/>
  <c r="AH458" i="1"/>
  <c r="AG458" i="1" s="1"/>
  <c r="AE458" i="1" s="1"/>
  <c r="AC458" i="1" s="1"/>
  <c r="AH1148" i="1"/>
  <c r="AG1148" i="1" s="1"/>
  <c r="AH443" i="1"/>
  <c r="AG443" i="1" s="1"/>
  <c r="AH1123" i="1"/>
  <c r="AG1123" i="1" s="1"/>
  <c r="AH442" i="1"/>
  <c r="AG442" i="1" s="1"/>
  <c r="AE442" i="1" s="1"/>
  <c r="AC442" i="1" s="1"/>
  <c r="AH1045" i="1"/>
  <c r="AG1045" i="1" s="1"/>
  <c r="AH966" i="1"/>
  <c r="AG966" i="1" s="1"/>
  <c r="AE966" i="1" s="1"/>
  <c r="AC966" i="1" s="1"/>
  <c r="AH184" i="1"/>
  <c r="AG184" i="1" s="1"/>
  <c r="AE184" i="1" s="1"/>
  <c r="AC184" i="1" s="1"/>
  <c r="AH129" i="1"/>
  <c r="AG129" i="1" s="1"/>
  <c r="AH1050" i="1"/>
  <c r="AG1050" i="1" s="1"/>
  <c r="AH878" i="1"/>
  <c r="AG878" i="1" s="1"/>
  <c r="AH781" i="1"/>
  <c r="AG781" i="1" s="1"/>
  <c r="AE781" i="1" s="1"/>
  <c r="AC781" i="1" s="1"/>
  <c r="AH305" i="1"/>
  <c r="AG305" i="1" s="1"/>
  <c r="AH722" i="1"/>
  <c r="AG722" i="1" s="1"/>
  <c r="AH887" i="1"/>
  <c r="AG887" i="1" s="1"/>
  <c r="AH130" i="1"/>
  <c r="AG130" i="1" s="1"/>
  <c r="AH550" i="1"/>
  <c r="AG550" i="1" s="1"/>
  <c r="AH720" i="1"/>
  <c r="AG720" i="1" s="1"/>
  <c r="AE720" i="1" s="1"/>
  <c r="AC720" i="1" s="1"/>
  <c r="AH719" i="1"/>
  <c r="AG719" i="1" s="1"/>
  <c r="AH774" i="1"/>
  <c r="AG774" i="1" s="1"/>
  <c r="AH378" i="1"/>
  <c r="AG378" i="1" s="1"/>
  <c r="AH272" i="1"/>
  <c r="AG272" i="1" s="1"/>
  <c r="AH1161" i="1"/>
  <c r="AG1161" i="1" s="1"/>
  <c r="AH441" i="1"/>
  <c r="AG441" i="1" s="1"/>
  <c r="AH460" i="1"/>
  <c r="AG460" i="1" s="1"/>
  <c r="AH718" i="1"/>
  <c r="AG718" i="1" s="1"/>
  <c r="AE718" i="1" s="1"/>
  <c r="AC718" i="1" s="1"/>
  <c r="AH131" i="1"/>
  <c r="AG131" i="1" s="1"/>
  <c r="AH670" i="1"/>
  <c r="AG670" i="1" s="1"/>
  <c r="AH353" i="1"/>
  <c r="AG353" i="1" s="1"/>
  <c r="AH584" i="1"/>
  <c r="AG584" i="1" s="1"/>
  <c r="AH163" i="1"/>
  <c r="AG163" i="1" s="1"/>
  <c r="AH1107" i="1"/>
  <c r="AG1107" i="1" s="1"/>
  <c r="AH1276" i="1"/>
  <c r="AG1276" i="1" s="1"/>
  <c r="AH1003" i="1"/>
  <c r="AG1003" i="1" s="1"/>
  <c r="AH581" i="1"/>
  <c r="AG581" i="1" s="1"/>
  <c r="AH1004" i="1"/>
  <c r="AG1004" i="1" s="1"/>
  <c r="AH921" i="1"/>
  <c r="AG921" i="1" s="1"/>
  <c r="AH389" i="1"/>
  <c r="AG389" i="1" s="1"/>
  <c r="AH779" i="1"/>
  <c r="AG779" i="1" s="1"/>
  <c r="AH133" i="1"/>
  <c r="AG133" i="1" s="1"/>
  <c r="AE133" i="1" s="1"/>
  <c r="AC133" i="1" s="1"/>
  <c r="AH1100" i="1"/>
  <c r="AG1100" i="1" s="1"/>
  <c r="AE1100" i="1" s="1"/>
  <c r="AC1100" i="1" s="1"/>
  <c r="AH1095" i="1"/>
  <c r="AG1095" i="1" s="1"/>
  <c r="AH1098" i="1"/>
  <c r="AG1098" i="1" s="1"/>
  <c r="AE1098" i="1" s="1"/>
  <c r="AC1098" i="1" s="1"/>
  <c r="AH635" i="1"/>
  <c r="AG635" i="1" s="1"/>
  <c r="AH1154" i="1"/>
  <c r="AG1154" i="1" s="1"/>
  <c r="AH879" i="1"/>
  <c r="AG879" i="1" s="1"/>
  <c r="AH268" i="1"/>
  <c r="AG268" i="1" s="1"/>
  <c r="AH808" i="1"/>
  <c r="AG808" i="1" s="1"/>
  <c r="AH1288" i="1"/>
  <c r="AG1288" i="1" s="1"/>
  <c r="AH1283" i="1"/>
  <c r="AG1283" i="1" s="1"/>
  <c r="AH98" i="1"/>
  <c r="AG98" i="1" s="1"/>
  <c r="AH279" i="1"/>
  <c r="AG279" i="1" s="1"/>
  <c r="AH685" i="1"/>
  <c r="AG685" i="1" s="1"/>
  <c r="AH725" i="1"/>
  <c r="AG725" i="1" s="1"/>
  <c r="AH97" i="1"/>
  <c r="AG97" i="1" s="1"/>
  <c r="AH971" i="1"/>
  <c r="AG971" i="1" s="1"/>
  <c r="AH883" i="1"/>
  <c r="AG883" i="1" s="1"/>
  <c r="AH546" i="1"/>
  <c r="AG546" i="1" s="1"/>
  <c r="AH633" i="1"/>
  <c r="AG633" i="1" s="1"/>
  <c r="AE633" i="1" s="1"/>
  <c r="AC633" i="1" s="1"/>
  <c r="AH825" i="1"/>
  <c r="AG825" i="1" s="1"/>
  <c r="AE825" i="1" s="1"/>
  <c r="AC825" i="1" s="1"/>
  <c r="AH373" i="1"/>
  <c r="AG373" i="1" s="1"/>
  <c r="AE373" i="1" s="1"/>
  <c r="AC373" i="1" s="1"/>
  <c r="AH350" i="1"/>
  <c r="AG350" i="1" s="1"/>
  <c r="AH824" i="1"/>
  <c r="AG824" i="1" s="1"/>
  <c r="AE824" i="1" s="1"/>
  <c r="AC824" i="1" s="1"/>
  <c r="AH1141" i="1"/>
  <c r="AG1141" i="1" s="1"/>
  <c r="AH496" i="1"/>
  <c r="AG496" i="1" s="1"/>
  <c r="AH99" i="1"/>
  <c r="AG99" i="1" s="1"/>
  <c r="AE99" i="1" s="1"/>
  <c r="AC99" i="1" s="1"/>
  <c r="AH357" i="1"/>
  <c r="AG357" i="1" s="1"/>
  <c r="AH767" i="1"/>
  <c r="AG767" i="1" s="1"/>
  <c r="AE767" i="1" s="1"/>
  <c r="AC767" i="1" s="1"/>
  <c r="AH479" i="1"/>
  <c r="AG479" i="1" s="1"/>
  <c r="AE479" i="1" s="1"/>
  <c r="AC479" i="1" s="1"/>
  <c r="AH1260" i="1"/>
  <c r="AG1260" i="1" s="1"/>
  <c r="AH338" i="1"/>
  <c r="AG338" i="1" s="1"/>
  <c r="AH1181" i="1"/>
  <c r="AG1181" i="1" s="1"/>
  <c r="AH1200" i="1"/>
  <c r="AG1200" i="1" s="1"/>
  <c r="AH444" i="1"/>
  <c r="AG444" i="1" s="1"/>
  <c r="AH32" i="1"/>
  <c r="AG32" i="1" s="1"/>
  <c r="AH447" i="1"/>
  <c r="AG447" i="1" s="1"/>
  <c r="AH409" i="1"/>
  <c r="AG409" i="1" s="1"/>
  <c r="AH727" i="1"/>
  <c r="AG727" i="1" s="1"/>
  <c r="AH687" i="1"/>
  <c r="AG687" i="1" s="1"/>
  <c r="AH79" i="1"/>
  <c r="AG79" i="1" s="1"/>
  <c r="AH413" i="1"/>
  <c r="AG413" i="1" s="1"/>
  <c r="AE413" i="1" s="1"/>
  <c r="AC413" i="1" s="1"/>
  <c r="AH578" i="1"/>
  <c r="AG578" i="1" s="1"/>
  <c r="AE578" i="1" s="1"/>
  <c r="AC578" i="1" s="1"/>
  <c r="AH1238" i="1"/>
  <c r="AG1238" i="1" s="1"/>
  <c r="AE1238" i="1" s="1"/>
  <c r="AC1238" i="1" s="1"/>
  <c r="AH748" i="1"/>
  <c r="AG748" i="1" s="1"/>
  <c r="AH95" i="1"/>
  <c r="AG95" i="1" s="1"/>
  <c r="AH233" i="1"/>
  <c r="AG233" i="1" s="1"/>
  <c r="AE233" i="1" s="1"/>
  <c r="AC233" i="1" s="1"/>
  <c r="AH1001" i="1"/>
  <c r="AG1001" i="1" s="1"/>
  <c r="AE1001" i="1" s="1"/>
  <c r="AC1001" i="1" s="1"/>
  <c r="AH375" i="1"/>
  <c r="AG375" i="1" s="1"/>
  <c r="AE375" i="1" s="1"/>
  <c r="AC375" i="1" s="1"/>
  <c r="AH270" i="1"/>
  <c r="AG270" i="1" s="1"/>
  <c r="AH78" i="1"/>
  <c r="AG78" i="1" s="1"/>
  <c r="AH377" i="1"/>
  <c r="AG377" i="1" s="1"/>
  <c r="AH18" i="1"/>
  <c r="AG18" i="1" s="1"/>
  <c r="AE18" i="1" s="1"/>
  <c r="AC18" i="1" s="1"/>
  <c r="AH684" i="1"/>
  <c r="AG684" i="1" s="1"/>
  <c r="AH922" i="1"/>
  <c r="AG922" i="1" s="1"/>
  <c r="AH1175" i="1"/>
  <c r="AG1175" i="1" s="1"/>
  <c r="AH416" i="1"/>
  <c r="AG416" i="1" s="1"/>
  <c r="AH182" i="1"/>
  <c r="AG182" i="1" s="1"/>
  <c r="AH1198" i="1"/>
  <c r="AG1198" i="1" s="1"/>
  <c r="AH267" i="1"/>
  <c r="AG267" i="1" s="1"/>
  <c r="AH190" i="1"/>
  <c r="AG190" i="1" s="1"/>
  <c r="AH1176" i="1"/>
  <c r="AG1176" i="1" s="1"/>
  <c r="AH491" i="1"/>
  <c r="AG491" i="1" s="1"/>
  <c r="AH530" i="1"/>
  <c r="AG530" i="1" s="1"/>
  <c r="AE530" i="1" s="1"/>
  <c r="AC530" i="1" s="1"/>
  <c r="AH694" i="1"/>
  <c r="AG694" i="1" s="1"/>
  <c r="AH1127" i="1"/>
  <c r="AG1127" i="1" s="1"/>
  <c r="AH968" i="1"/>
  <c r="AG968" i="1" s="1"/>
  <c r="AH1236" i="1"/>
  <c r="AG1236" i="1" s="1"/>
  <c r="AH583" i="1"/>
  <c r="AG583" i="1" s="1"/>
  <c r="AH187" i="1"/>
  <c r="AG187" i="1" s="1"/>
  <c r="AE187" i="1" s="1"/>
  <c r="AC187" i="1" s="1"/>
  <c r="AH1266" i="1"/>
  <c r="AG1266" i="1" s="1"/>
  <c r="AH882" i="1"/>
  <c r="AG882" i="1" s="1"/>
  <c r="AE882" i="1" s="1"/>
  <c r="AC882" i="1" s="1"/>
  <c r="AH1263" i="1"/>
  <c r="AG1263" i="1" s="1"/>
  <c r="AH415" i="1"/>
  <c r="AG415" i="1" s="1"/>
  <c r="AE415" i="1" s="1"/>
  <c r="AC415" i="1" s="1"/>
  <c r="AH544" i="1"/>
  <c r="AG544" i="1" s="1"/>
  <c r="AH547" i="1"/>
  <c r="AG547" i="1" s="1"/>
  <c r="AH555" i="1"/>
  <c r="AG555" i="1" s="1"/>
  <c r="AH690" i="1"/>
  <c r="AG690" i="1" s="1"/>
  <c r="AH186" i="1"/>
  <c r="AG186" i="1" s="1"/>
  <c r="AH641" i="1"/>
  <c r="AG641" i="1" s="1"/>
  <c r="AE641" i="1" s="1"/>
  <c r="AC641" i="1" s="1"/>
  <c r="AH85" i="1"/>
  <c r="AG85" i="1" s="1"/>
  <c r="AH327" i="1"/>
  <c r="AG327" i="1" s="1"/>
  <c r="AH742" i="1"/>
  <c r="AG742" i="1" s="1"/>
  <c r="AH1142" i="1"/>
  <c r="AG1142" i="1" s="1"/>
  <c r="AH1248" i="1"/>
  <c r="AG1248" i="1" s="1"/>
  <c r="AH644" i="1"/>
  <c r="AG644" i="1" s="1"/>
  <c r="AH657" i="1"/>
  <c r="AG657" i="1" s="1"/>
  <c r="AH1231" i="1"/>
  <c r="AG1231" i="1" s="1"/>
  <c r="AH973" i="1"/>
  <c r="AG973" i="1" s="1"/>
  <c r="AH1054" i="1"/>
  <c r="AG1054" i="1" s="1"/>
  <c r="AH125" i="1"/>
  <c r="AG125" i="1" s="1"/>
  <c r="AE125" i="1" s="1"/>
  <c r="AC125" i="1" s="1"/>
  <c r="AH640" i="1"/>
  <c r="AG640" i="1" s="1"/>
  <c r="AH1193" i="1"/>
  <c r="AG1193" i="1" s="1"/>
  <c r="AH1147" i="1"/>
  <c r="AG1147" i="1" s="1"/>
  <c r="AE1147" i="1" s="1"/>
  <c r="AC1147" i="1" s="1"/>
  <c r="AH1052" i="1"/>
  <c r="AG1052" i="1" s="1"/>
  <c r="AE1052" i="1" s="1"/>
  <c r="AC1052" i="1" s="1"/>
  <c r="AH1145" i="1"/>
  <c r="AG1145" i="1" s="1"/>
  <c r="AH1212" i="1"/>
  <c r="AG1212" i="1" s="1"/>
  <c r="AH96" i="1"/>
  <c r="AG96" i="1" s="1"/>
  <c r="AH962" i="1"/>
  <c r="AG962" i="1" s="1"/>
  <c r="AE962" i="1" s="1"/>
  <c r="AC962" i="1" s="1"/>
  <c r="AH599" i="1"/>
  <c r="AG599" i="1" s="1"/>
  <c r="AE599" i="1" s="1"/>
  <c r="AC599" i="1" s="1"/>
  <c r="AH579" i="1"/>
  <c r="AG579" i="1" s="1"/>
  <c r="AH724" i="1"/>
  <c r="AG724" i="1" s="1"/>
  <c r="AH683" i="1"/>
  <c r="AG683" i="1" s="1"/>
  <c r="AE683" i="1" s="1"/>
  <c r="AC683" i="1" s="1"/>
  <c r="AH600" i="1"/>
  <c r="AG600" i="1" s="1"/>
  <c r="AE600" i="1" s="1"/>
  <c r="AC600" i="1" s="1"/>
  <c r="AH1289" i="1"/>
  <c r="AG1289" i="1" s="1"/>
  <c r="AH638" i="1"/>
  <c r="AG638" i="1" s="1"/>
  <c r="AH1023" i="1"/>
  <c r="AG1023" i="1" s="1"/>
  <c r="AH1037" i="1"/>
  <c r="AG1037" i="1" s="1"/>
  <c r="AH446" i="1"/>
  <c r="AG446" i="1" s="1"/>
  <c r="AH833" i="1"/>
  <c r="AG833" i="1" s="1"/>
  <c r="AH645" i="1"/>
  <c r="AG645" i="1" s="1"/>
  <c r="AH770" i="1"/>
  <c r="AG770" i="1" s="1"/>
  <c r="AH307" i="1"/>
  <c r="AG307" i="1" s="1"/>
  <c r="AH169" i="1"/>
  <c r="AG169" i="1" s="1"/>
  <c r="AH1106" i="1"/>
  <c r="AG1106" i="1" s="1"/>
  <c r="AH1020" i="1"/>
  <c r="AG1020" i="1" s="1"/>
  <c r="AH768" i="1"/>
  <c r="AG768" i="1" s="1"/>
  <c r="AH1061" i="1"/>
  <c r="AG1061" i="1" s="1"/>
  <c r="AE1061" i="1" s="1"/>
  <c r="AC1061" i="1" s="1"/>
  <c r="AH915" i="1"/>
  <c r="AG915" i="1" s="1"/>
  <c r="AH863" i="1"/>
  <c r="AG863" i="1" s="1"/>
  <c r="AH1143" i="1"/>
  <c r="AG1143" i="1" s="1"/>
  <c r="AH457" i="1"/>
  <c r="AG457" i="1" s="1"/>
  <c r="AH514" i="1"/>
  <c r="AG514" i="1" s="1"/>
  <c r="AH1291" i="1"/>
  <c r="AG1291" i="1" s="1"/>
  <c r="AH466" i="1"/>
  <c r="AG466" i="1" s="1"/>
  <c r="AH782" i="1"/>
  <c r="AG782" i="1" s="1"/>
  <c r="AH326" i="1"/>
  <c r="AG326" i="1" s="1"/>
  <c r="AH501" i="1"/>
  <c r="AG501" i="1" s="1"/>
  <c r="AH1192" i="1"/>
  <c r="AG1192" i="1" s="1"/>
  <c r="AH468" i="1"/>
  <c r="AG468" i="1" s="1"/>
  <c r="AH239" i="1"/>
  <c r="AG239" i="1" s="1"/>
  <c r="AH828" i="1"/>
  <c r="AG828" i="1" s="1"/>
  <c r="AE828" i="1" s="1"/>
  <c r="AC828" i="1" s="1"/>
  <c r="AH830" i="1"/>
  <c r="AG830" i="1" s="1"/>
  <c r="AH827" i="1"/>
  <c r="AG827" i="1" s="1"/>
  <c r="AE827" i="1" s="1"/>
  <c r="AC827" i="1" s="1"/>
  <c r="AH213" i="1"/>
  <c r="AG213" i="1" s="1"/>
  <c r="AE213" i="1" s="1"/>
  <c r="AC213" i="1" s="1"/>
  <c r="AH253" i="1"/>
  <c r="AG253" i="1" s="1"/>
  <c r="AH116" i="1"/>
  <c r="AG116" i="1" s="1"/>
  <c r="AE116" i="1" s="1"/>
  <c r="AC116" i="1" s="1"/>
  <c r="AH1258" i="1"/>
  <c r="AG1258" i="1" s="1"/>
  <c r="AH465" i="1"/>
  <c r="AG465" i="1" s="1"/>
  <c r="AH965" i="1"/>
  <c r="AG965" i="1" s="1"/>
  <c r="AH695" i="1"/>
  <c r="AG695" i="1" s="1"/>
  <c r="AH168" i="1"/>
  <c r="AG168" i="1" s="1"/>
  <c r="AH636" i="1"/>
  <c r="AG636" i="1" s="1"/>
  <c r="AH269" i="1"/>
  <c r="AG269" i="1" s="1"/>
  <c r="AH412" i="1"/>
  <c r="AG412" i="1" s="1"/>
  <c r="AH1036" i="1"/>
  <c r="AG1036" i="1" s="1"/>
  <c r="AH551" i="1"/>
  <c r="AG551" i="1" s="1"/>
  <c r="AH352" i="1"/>
  <c r="AG352" i="1" s="1"/>
  <c r="AE352" i="1" s="1"/>
  <c r="AC352" i="1" s="1"/>
  <c r="AH1108" i="1"/>
  <c r="AG1108" i="1" s="1"/>
  <c r="AH1249" i="1"/>
  <c r="AG1249" i="1" s="1"/>
  <c r="AH497" i="1"/>
  <c r="AG497" i="1" s="1"/>
  <c r="AE497" i="1" s="1"/>
  <c r="AC497" i="1" s="1"/>
  <c r="AH1125" i="1"/>
  <c r="AG1125" i="1" s="1"/>
  <c r="AH322" i="1"/>
  <c r="AG322" i="1" s="1"/>
  <c r="AH1281" i="1"/>
  <c r="AG1281" i="1" s="1"/>
  <c r="AH721" i="1"/>
  <c r="AG721" i="1" s="1"/>
  <c r="AH410" i="1"/>
  <c r="AG410" i="1" s="1"/>
  <c r="AH918" i="1"/>
  <c r="AG918" i="1" s="1"/>
  <c r="AH1173" i="1"/>
  <c r="AG1173" i="1" s="1"/>
  <c r="AH972" i="1"/>
  <c r="AG972" i="1" s="1"/>
  <c r="AH737" i="1"/>
  <c r="AG737" i="1" s="1"/>
  <c r="AH238" i="1"/>
  <c r="AG238" i="1" s="1"/>
  <c r="AH667" i="1"/>
  <c r="AG667" i="1" s="1"/>
  <c r="AH1058" i="1"/>
  <c r="AG1058" i="1" s="1"/>
  <c r="AH1177" i="1"/>
  <c r="AG1177" i="1" s="1"/>
  <c r="AH464" i="1"/>
  <c r="AG464" i="1" s="1"/>
  <c r="AH877" i="1"/>
  <c r="AG877" i="1" s="1"/>
  <c r="AH177" i="1"/>
  <c r="AG177" i="1" s="1"/>
  <c r="AE177" i="1" s="1"/>
  <c r="AC177" i="1" s="1"/>
  <c r="AH999" i="1"/>
  <c r="AG999" i="1" s="1"/>
  <c r="AE999" i="1" s="1"/>
  <c r="AC999" i="1" s="1"/>
  <c r="AH135" i="1"/>
  <c r="AG135" i="1" s="1"/>
  <c r="AE135" i="1" s="1"/>
  <c r="AC135" i="1" s="1"/>
  <c r="AH1265" i="1"/>
  <c r="AG1265" i="1" s="1"/>
  <c r="AE1265" i="1" s="1"/>
  <c r="AC1265" i="1" s="1"/>
  <c r="AH743" i="1"/>
  <c r="AG743" i="1" s="1"/>
  <c r="AE743" i="1" s="1"/>
  <c r="AC743" i="1" s="1"/>
  <c r="AH1017" i="1"/>
  <c r="AG1017" i="1" s="1"/>
  <c r="AH601" i="1"/>
  <c r="AG601" i="1" s="1"/>
  <c r="AH1140" i="1"/>
  <c r="AG1140" i="1" s="1"/>
  <c r="AH1002" i="1"/>
  <c r="AG1002" i="1" s="1"/>
  <c r="AH275" i="1"/>
  <c r="AG275" i="1" s="1"/>
  <c r="AH356" i="1"/>
  <c r="AG356" i="1" s="1"/>
  <c r="AH1084" i="1"/>
  <c r="AG1084" i="1" s="1"/>
  <c r="AH995" i="1"/>
  <c r="AG995" i="1" s="1"/>
  <c r="AH740" i="1"/>
  <c r="AG740" i="1" s="1"/>
  <c r="AH1056" i="1"/>
  <c r="AG1056" i="1" s="1"/>
  <c r="AH598" i="1"/>
  <c r="AG598" i="1" s="1"/>
  <c r="AH1280" i="1"/>
  <c r="AG1280" i="1" s="1"/>
  <c r="AH1126" i="1"/>
  <c r="AG1126" i="1" s="1"/>
  <c r="AH920" i="1"/>
  <c r="AG920" i="1" s="1"/>
  <c r="AH637" i="1"/>
  <c r="AG637" i="1" s="1"/>
  <c r="AH407" i="1"/>
  <c r="AG407" i="1" s="1"/>
  <c r="AH1284" i="1"/>
  <c r="AG1284" i="1" s="1"/>
  <c r="AH917" i="1"/>
  <c r="AG917" i="1" s="1"/>
  <c r="AH127" i="1"/>
  <c r="AG127" i="1" s="1"/>
  <c r="AE127" i="1" s="1"/>
  <c r="AC127" i="1" s="1"/>
  <c r="AH1256" i="1"/>
  <c r="AG1256" i="1" s="1"/>
  <c r="AH1121" i="1"/>
  <c r="AG1121" i="1" s="1"/>
  <c r="AE1121" i="1" s="1"/>
  <c r="AC1121" i="1" s="1"/>
  <c r="AH881" i="1"/>
  <c r="AG881" i="1" s="1"/>
  <c r="AH604" i="1"/>
  <c r="AG604" i="1" s="1"/>
  <c r="AH403" i="1"/>
  <c r="AG403" i="1" s="1"/>
  <c r="AH46" i="1"/>
  <c r="AG46" i="1" s="1"/>
  <c r="AH1255" i="1"/>
  <c r="AG1255" i="1" s="1"/>
  <c r="AH1113" i="1"/>
  <c r="AG1113" i="1" s="1"/>
  <c r="AE1113" i="1" s="1"/>
  <c r="AC1113" i="1" s="1"/>
  <c r="AH880" i="1"/>
  <c r="AG880" i="1" s="1"/>
  <c r="AH603" i="1"/>
  <c r="AG603" i="1" s="1"/>
  <c r="AH360" i="1"/>
  <c r="AG360" i="1" s="1"/>
  <c r="AE360" i="1" s="1"/>
  <c r="AC360" i="1" s="1"/>
  <c r="AH45" i="1"/>
  <c r="AG45" i="1" s="1"/>
  <c r="AH405" i="1"/>
  <c r="AG405" i="1" s="1"/>
  <c r="AH919" i="1"/>
  <c r="AG919" i="1" s="1"/>
  <c r="AH1252" i="1"/>
  <c r="AG1252" i="1" s="1"/>
  <c r="AH1099" i="1"/>
  <c r="AG1099" i="1" s="1"/>
  <c r="AH857" i="1"/>
  <c r="AG857" i="1" s="1"/>
  <c r="AH354" i="1"/>
  <c r="AG354" i="1" s="1"/>
  <c r="AH41" i="1"/>
  <c r="AG41" i="1" s="1"/>
  <c r="AE41" i="1" s="1"/>
  <c r="AC41" i="1" s="1"/>
  <c r="AH1254" i="1"/>
  <c r="AG1254" i="1" s="1"/>
  <c r="AH1207" i="1"/>
  <c r="AG1207" i="1" s="1"/>
  <c r="AH355" i="1"/>
  <c r="AG355" i="1" s="1"/>
  <c r="AE355" i="1" s="1"/>
  <c r="AC355" i="1" s="1"/>
  <c r="AH321" i="1"/>
  <c r="AG321" i="1" s="1"/>
  <c r="AE321" i="1" s="1"/>
  <c r="AC321" i="1" s="1"/>
  <c r="AH499" i="1"/>
  <c r="AG499" i="1" s="1"/>
  <c r="AH1240" i="1"/>
  <c r="AG1240" i="1" s="1"/>
  <c r="AE1240" i="1" s="1"/>
  <c r="AC1240" i="1" s="1"/>
  <c r="AH1287" i="1"/>
  <c r="AG1287" i="1" s="1"/>
  <c r="AE1287" i="1" s="1"/>
  <c r="AC1287" i="1" s="1"/>
  <c r="AH856" i="1"/>
  <c r="AG856" i="1" s="1"/>
  <c r="AH552" i="1"/>
  <c r="AG552" i="1" s="1"/>
  <c r="AH319" i="1"/>
  <c r="AG319" i="1" s="1"/>
  <c r="AE319" i="1" s="1"/>
  <c r="AC319" i="1" s="1"/>
  <c r="AH22" i="1"/>
  <c r="AG22" i="1" s="1"/>
  <c r="AH1286" i="1"/>
  <c r="AG1286" i="1" s="1"/>
  <c r="AH237" i="1"/>
  <c r="AG237" i="1" s="1"/>
  <c r="AE237" i="1" s="1"/>
  <c r="AC237" i="1" s="1"/>
  <c r="AH602" i="1"/>
  <c r="AG602" i="1" s="1"/>
  <c r="AH1239" i="1"/>
  <c r="AG1239" i="1" s="1"/>
  <c r="AH1096" i="1"/>
  <c r="AG1096" i="1" s="1"/>
  <c r="AH318" i="1"/>
  <c r="AG318" i="1" s="1"/>
  <c r="AH498" i="1"/>
  <c r="AG498" i="1" s="1"/>
  <c r="AH1008" i="1"/>
  <c r="AG1008" i="1" s="1"/>
  <c r="AH1235" i="1"/>
  <c r="AG1235" i="1" s="1"/>
  <c r="AH807" i="1"/>
  <c r="AG807" i="1" s="1"/>
  <c r="AH317" i="1"/>
  <c r="AG317" i="1" s="1"/>
  <c r="AH132" i="1"/>
  <c r="AG132" i="1" s="1"/>
  <c r="AH72" i="1"/>
  <c r="AG72" i="1" s="1"/>
  <c r="AH1234" i="1"/>
  <c r="AG1234" i="1" s="1"/>
  <c r="AH806" i="1"/>
  <c r="AG806" i="1" s="1"/>
  <c r="AH549" i="1"/>
  <c r="AG549" i="1" s="1"/>
  <c r="AH996" i="1"/>
  <c r="AG996" i="1" s="1"/>
  <c r="AH1128" i="1"/>
  <c r="AG1128" i="1" s="1"/>
  <c r="AH1206" i="1"/>
  <c r="AG1206" i="1" s="1"/>
  <c r="AH1089" i="1"/>
  <c r="AG1089" i="1" s="1"/>
  <c r="AH1097" i="1"/>
  <c r="AG1097" i="1" s="1"/>
  <c r="AH548" i="1"/>
  <c r="AG548" i="1" s="1"/>
  <c r="AH304" i="1"/>
  <c r="AG304" i="1" s="1"/>
  <c r="AE304" i="1" s="1"/>
  <c r="AC304" i="1" s="1"/>
  <c r="AH134" i="1"/>
  <c r="AG134" i="1" s="1"/>
  <c r="AH500" i="1"/>
  <c r="AG500" i="1" s="1"/>
  <c r="AH1257" i="1"/>
  <c r="AG1257" i="1" s="1"/>
  <c r="AH43" i="1"/>
  <c r="AG43" i="1" s="1"/>
  <c r="AE43" i="1" s="1"/>
  <c r="AC43" i="1" s="1"/>
  <c r="AH379" i="1"/>
  <c r="AG379" i="1" s="1"/>
  <c r="AH164" i="1"/>
  <c r="AG164" i="1" s="1"/>
  <c r="AH974" i="1"/>
  <c r="AG974" i="1" s="1"/>
  <c r="AH137" i="1"/>
  <c r="AG137" i="1" s="1"/>
  <c r="AE137" i="1" s="1"/>
  <c r="AC137" i="1" s="1"/>
  <c r="AH1205" i="1"/>
  <c r="AG1205" i="1" s="1"/>
  <c r="AE1205" i="1" s="1"/>
  <c r="AC1205" i="1" s="1"/>
  <c r="AH1073" i="1"/>
  <c r="AG1073" i="1" s="1"/>
  <c r="AH793" i="1"/>
  <c r="AG793" i="1" s="1"/>
  <c r="AE793" i="1" s="1"/>
  <c r="AC793" i="1" s="1"/>
  <c r="AH529" i="1"/>
  <c r="AG529" i="1" s="1"/>
  <c r="AE529" i="1" s="1"/>
  <c r="AC529" i="1" s="1"/>
  <c r="AH301" i="1"/>
  <c r="AG301" i="1" s="1"/>
  <c r="AH9" i="1"/>
  <c r="AG9" i="1" s="1"/>
  <c r="AH1204" i="1"/>
  <c r="AG1204" i="1" s="1"/>
  <c r="AH528" i="1"/>
  <c r="AG528" i="1" s="1"/>
  <c r="AH273" i="1"/>
  <c r="AG273" i="1" s="1"/>
  <c r="AH741" i="1"/>
  <c r="AG741" i="1" s="1"/>
  <c r="AH1163" i="1"/>
  <c r="AG1163" i="1" s="1"/>
  <c r="AE1163" i="1" s="1"/>
  <c r="AC1163" i="1" s="1"/>
  <c r="AH1053" i="1"/>
  <c r="AG1053" i="1" s="1"/>
  <c r="AE1053" i="1" s="1"/>
  <c r="AC1053" i="1" s="1"/>
  <c r="AH1055" i="1"/>
  <c r="AG1055" i="1" s="1"/>
  <c r="AH1203" i="1"/>
  <c r="AG1203" i="1" s="1"/>
  <c r="AE1203" i="1" s="1"/>
  <c r="AC1203" i="1" s="1"/>
  <c r="AH516" i="1"/>
  <c r="AG516" i="1" s="1"/>
  <c r="AH212" i="1"/>
  <c r="AG212" i="1" s="1"/>
  <c r="AH1229" i="1"/>
  <c r="AG1229" i="1" s="1"/>
  <c r="AH912" i="1"/>
  <c r="AG912" i="1" s="1"/>
  <c r="AE912" i="1" s="1"/>
  <c r="AC912" i="1" s="1"/>
  <c r="AH1182" i="1"/>
  <c r="AG1182" i="1" s="1"/>
  <c r="AH773" i="1"/>
  <c r="AG773" i="1" s="1"/>
  <c r="AH515" i="1"/>
  <c r="AG515" i="1" s="1"/>
  <c r="AH945" i="1"/>
  <c r="AG945" i="1" s="1"/>
  <c r="AH1179" i="1"/>
  <c r="AG1179" i="1" s="1"/>
  <c r="AE1179" i="1" s="1"/>
  <c r="AC1179" i="1" s="1"/>
  <c r="AH1049" i="1"/>
  <c r="AG1049" i="1" s="1"/>
  <c r="AH772" i="1"/>
  <c r="AG772" i="1" s="1"/>
  <c r="AE772" i="1" s="1"/>
  <c r="AC772" i="1" s="1"/>
  <c r="AH513" i="1"/>
  <c r="AG513" i="1" s="1"/>
  <c r="AH1150" i="1"/>
  <c r="AG1150" i="1" s="1"/>
  <c r="AH948" i="1"/>
  <c r="AG948" i="1" s="1"/>
  <c r="AE948" i="1" s="1"/>
  <c r="AC948" i="1" s="1"/>
  <c r="AH1162" i="1"/>
  <c r="AG1162" i="1" s="1"/>
  <c r="AH606" i="1"/>
  <c r="AG606" i="1" s="1"/>
  <c r="AH746" i="1"/>
  <c r="AG746" i="1" s="1"/>
  <c r="AH101" i="1"/>
  <c r="AG101" i="1" s="1"/>
  <c r="AH580" i="1"/>
  <c r="AG580" i="1" s="1"/>
  <c r="AH1178" i="1"/>
  <c r="AG1178" i="1" s="1"/>
  <c r="AH1048" i="1"/>
  <c r="AG1048" i="1" s="1"/>
  <c r="AH771" i="1"/>
  <c r="AG771" i="1" s="1"/>
  <c r="AH489" i="1"/>
  <c r="AG489" i="1" s="1"/>
  <c r="AH221" i="1"/>
  <c r="AG221" i="1" s="1"/>
  <c r="AH1027" i="1"/>
  <c r="AG1027" i="1" s="1"/>
  <c r="AH703" i="1"/>
  <c r="AG703" i="1" s="1"/>
  <c r="AH905" i="1"/>
  <c r="AG905" i="1" s="1"/>
  <c r="AH206" i="1"/>
  <c r="AG206" i="1" s="1"/>
  <c r="AH437" i="1"/>
  <c r="AG437" i="1" s="1"/>
  <c r="AH152" i="1"/>
  <c r="AG152" i="1" s="1"/>
  <c r="AH291" i="1"/>
  <c r="AG291" i="1" s="1"/>
  <c r="AE291" i="1" s="1"/>
  <c r="AC291" i="1" s="1"/>
  <c r="AH1202" i="1"/>
  <c r="AG1202" i="1" s="1"/>
  <c r="AH42" i="1"/>
  <c r="AG42" i="1" s="1"/>
  <c r="AH569" i="1"/>
  <c r="AG569" i="1" s="1"/>
  <c r="AH422" i="1"/>
  <c r="AG422" i="1" s="1"/>
  <c r="AH565" i="1"/>
  <c r="AG565" i="1" s="1"/>
  <c r="AH244" i="1"/>
  <c r="AG244" i="1" s="1"/>
  <c r="AH663" i="1"/>
  <c r="AG663" i="1" s="1"/>
  <c r="AH648" i="1"/>
  <c r="AG648" i="1" s="1"/>
  <c r="AH520" i="1"/>
  <c r="AG520" i="1" s="1"/>
  <c r="AE520" i="1" s="1"/>
  <c r="AC520" i="1" s="1"/>
  <c r="AH1201" i="1"/>
  <c r="AG1201" i="1" s="1"/>
  <c r="AH977" i="1"/>
  <c r="AG977" i="1" s="1"/>
  <c r="AH216" i="1"/>
  <c r="AG216" i="1" s="1"/>
  <c r="AH980" i="1"/>
  <c r="AG980" i="1" s="1"/>
  <c r="AH1215" i="1"/>
  <c r="AG1215" i="1" s="1"/>
  <c r="AH334" i="1"/>
  <c r="AG334" i="1" s="1"/>
  <c r="AH387" i="1"/>
  <c r="AG387" i="1" s="1"/>
  <c r="AH891" i="1"/>
  <c r="AG891" i="1" s="1"/>
  <c r="AH1016" i="1"/>
  <c r="AG1016" i="1" s="1"/>
  <c r="AH1138" i="1"/>
  <c r="AG1138" i="1" s="1"/>
  <c r="AH390" i="1"/>
  <c r="AG390" i="1" s="1"/>
  <c r="AH1101" i="1"/>
  <c r="AG1101" i="1" s="1"/>
  <c r="AH1025" i="1"/>
  <c r="AG1025" i="1" s="1"/>
  <c r="AH336" i="1"/>
  <c r="AG336" i="1" s="1"/>
  <c r="AE336" i="1" s="1"/>
  <c r="AC336" i="1" s="1"/>
  <c r="AH114" i="1"/>
  <c r="AG114" i="1" s="1"/>
  <c r="AE114" i="1" s="1"/>
  <c r="AC114" i="1" s="1"/>
  <c r="AH596" i="1"/>
  <c r="AG596" i="1" s="1"/>
  <c r="AH666" i="1"/>
  <c r="AG666" i="1" s="1"/>
  <c r="AH960" i="1"/>
  <c r="AG960" i="1" s="1"/>
  <c r="AH572" i="1"/>
  <c r="AG572" i="1" s="1"/>
  <c r="AH535" i="1"/>
  <c r="AG535" i="1" s="1"/>
  <c r="AH839" i="1"/>
  <c r="AG839" i="1" s="1"/>
  <c r="AH254" i="1"/>
  <c r="AG254" i="1" s="1"/>
  <c r="AE254" i="1" s="1"/>
  <c r="AC254" i="1" s="1"/>
  <c r="AH950" i="1"/>
  <c r="AG950" i="1" s="1"/>
  <c r="AE950" i="1" s="1"/>
  <c r="AC950" i="1" s="1"/>
  <c r="AH1290" i="1"/>
  <c r="AG1290" i="1" s="1"/>
  <c r="AH1197" i="1"/>
  <c r="AG1197" i="1" s="1"/>
  <c r="AH1146" i="1"/>
  <c r="AG1146" i="1" s="1"/>
  <c r="AH1094" i="1"/>
  <c r="AG1094" i="1" s="1"/>
  <c r="AH946" i="1"/>
  <c r="AG946" i="1" s="1"/>
  <c r="AH862" i="1"/>
  <c r="AG862" i="1" s="1"/>
  <c r="AH777" i="1"/>
  <c r="AG777" i="1" s="1"/>
  <c r="AH692" i="1"/>
  <c r="AG692" i="1" s="1"/>
  <c r="AH629" i="1"/>
  <c r="AG629" i="1" s="1"/>
  <c r="AH545" i="1"/>
  <c r="AG545" i="1" s="1"/>
  <c r="AH459" i="1"/>
  <c r="AG459" i="1" s="1"/>
  <c r="AH374" i="1"/>
  <c r="AG374" i="1" s="1"/>
  <c r="AH276" i="1"/>
  <c r="AG276" i="1" s="1"/>
  <c r="AH211" i="1"/>
  <c r="AG211" i="1" s="1"/>
  <c r="AE211" i="1" s="1"/>
  <c r="AC211" i="1" s="1"/>
  <c r="AH38" i="1"/>
  <c r="AG38" i="1" s="1"/>
  <c r="AH617" i="1"/>
  <c r="AG617" i="1" s="1"/>
  <c r="AH764" i="1"/>
  <c r="AG764" i="1" s="1"/>
  <c r="AH293" i="1"/>
  <c r="AG293" i="1" s="1"/>
  <c r="AH228" i="1"/>
  <c r="AG228" i="1" s="1"/>
  <c r="AH849" i="1"/>
  <c r="AG849" i="1" s="1"/>
  <c r="AH804" i="1"/>
  <c r="AG804" i="1" s="1"/>
  <c r="AH35" i="1"/>
  <c r="AG35" i="1" s="1"/>
  <c r="AH245" i="1"/>
  <c r="AG245" i="1" s="1"/>
  <c r="AH1038" i="1"/>
  <c r="AG1038" i="1" s="1"/>
  <c r="AH778" i="1"/>
  <c r="AG778" i="1" s="1"/>
  <c r="AH428" i="1"/>
  <c r="AG428" i="1" s="1"/>
  <c r="AH119" i="1"/>
  <c r="AG119" i="1" s="1"/>
  <c r="AH480" i="1"/>
  <c r="AG480" i="1" s="1"/>
  <c r="AH487" i="1"/>
  <c r="AG487" i="1" s="1"/>
  <c r="AH1170" i="1"/>
  <c r="AG1170" i="1" s="1"/>
  <c r="AH792" i="1"/>
  <c r="AG792" i="1" s="1"/>
  <c r="AH118" i="1"/>
  <c r="AG118" i="1" s="1"/>
  <c r="AE118" i="1" s="1"/>
  <c r="AC118" i="1" s="1"/>
  <c r="AH1070" i="1"/>
  <c r="AG1070" i="1" s="1"/>
  <c r="AH148" i="1"/>
  <c r="AG148" i="1" s="1"/>
  <c r="AH371" i="1"/>
  <c r="AG371" i="1" s="1"/>
  <c r="AH927" i="1"/>
  <c r="AG927" i="1" s="1"/>
  <c r="AH665" i="1"/>
  <c r="AG665" i="1" s="1"/>
  <c r="AH241" i="1"/>
  <c r="AG241" i="1" s="1"/>
  <c r="AH507" i="1"/>
  <c r="AG507" i="1" s="1"/>
  <c r="AH1067" i="1"/>
  <c r="AG1067" i="1" s="1"/>
  <c r="AH647" i="1"/>
  <c r="AG647" i="1" s="1"/>
  <c r="AH780" i="1"/>
  <c r="AG780" i="1" s="1"/>
  <c r="AH820" i="1"/>
  <c r="AG820" i="1" s="1"/>
  <c r="AH473" i="1"/>
  <c r="AG473" i="1" s="1"/>
  <c r="AH436" i="1"/>
  <c r="AG436" i="1" s="1"/>
  <c r="AH731" i="1"/>
  <c r="AG731" i="1" s="1"/>
  <c r="AH1022" i="1"/>
  <c r="AG1022" i="1" s="1"/>
  <c r="AH864" i="1"/>
  <c r="AG864" i="1" s="1"/>
  <c r="AE864" i="1" s="1"/>
  <c r="AC864" i="1" s="1"/>
  <c r="AH215" i="1"/>
  <c r="AG215" i="1" s="1"/>
  <c r="AH40" i="1"/>
  <c r="AG40" i="1" s="1"/>
  <c r="AE40" i="1" s="1"/>
  <c r="AC40" i="1" s="1"/>
  <c r="AH208" i="1"/>
  <c r="AG208" i="1" s="1"/>
  <c r="AH229" i="1"/>
  <c r="AG229" i="1" s="1"/>
  <c r="AH281" i="1"/>
  <c r="AG281" i="1" s="1"/>
  <c r="AH752" i="1"/>
  <c r="AG752" i="1" s="1"/>
  <c r="AH1012" i="1"/>
  <c r="AG1012" i="1" s="1"/>
  <c r="AE1012" i="1" s="1"/>
  <c r="AC1012" i="1" s="1"/>
  <c r="AH1129" i="1"/>
  <c r="AG1129" i="1" s="1"/>
  <c r="AH286" i="1"/>
  <c r="AG286" i="1" s="1"/>
  <c r="AE286" i="1" s="1"/>
  <c r="AC286" i="1" s="1"/>
  <c r="AH1199" i="1"/>
  <c r="AG1199" i="1" s="1"/>
  <c r="AH693" i="1"/>
  <c r="AG693" i="1" s="1"/>
  <c r="AH846" i="1"/>
  <c r="AG846" i="1" s="1"/>
  <c r="AH1015" i="1"/>
  <c r="AG1015" i="1" s="1"/>
  <c r="AH150" i="1"/>
  <c r="AG150" i="1" s="1"/>
  <c r="AH841" i="1"/>
  <c r="AG841" i="1" s="1"/>
  <c r="AH396" i="1"/>
  <c r="AG396" i="1" s="1"/>
  <c r="AH1075" i="1"/>
  <c r="AG1075" i="1" s="1"/>
  <c r="AH1221" i="1"/>
  <c r="AG1221" i="1" s="1"/>
  <c r="AH1130" i="1"/>
  <c r="AG1130" i="1" s="1"/>
  <c r="AH145" i="1"/>
  <c r="AG145" i="1" s="1"/>
  <c r="AH288" i="1"/>
  <c r="AG288" i="1" s="1"/>
  <c r="AE288" i="1" s="1"/>
  <c r="AC288" i="1" s="1"/>
  <c r="AH328" i="1"/>
  <c r="AG328" i="1" s="1"/>
  <c r="AE328" i="1" s="1"/>
  <c r="AC328" i="1" s="1"/>
  <c r="AH1066" i="1"/>
  <c r="AG1066" i="1" s="1"/>
  <c r="AE1066" i="1" s="1"/>
  <c r="AC1066" i="1" s="1"/>
  <c r="AH954" i="1"/>
  <c r="AG954" i="1" s="1"/>
  <c r="AE954" i="1" s="1"/>
  <c r="AC954" i="1" s="1"/>
  <c r="AH61" i="1"/>
  <c r="AG61" i="1" s="1"/>
  <c r="AE61" i="1" s="1"/>
  <c r="AC61" i="1" s="1"/>
  <c r="AH1285" i="1"/>
  <c r="AG1285" i="1" s="1"/>
  <c r="AH88" i="1"/>
  <c r="AG88" i="1" s="1"/>
  <c r="AH452" i="1"/>
  <c r="AG452" i="1" s="1"/>
  <c r="AH151" i="1"/>
  <c r="AG151" i="1" s="1"/>
  <c r="AH564" i="1"/>
  <c r="AG564" i="1" s="1"/>
  <c r="AH1277" i="1"/>
  <c r="AG1277" i="1" s="1"/>
  <c r="AH112" i="1"/>
  <c r="AG112" i="1" s="1"/>
  <c r="AH711" i="1"/>
  <c r="AG711" i="1" s="1"/>
  <c r="AH982" i="1"/>
  <c r="AG982" i="1" s="1"/>
  <c r="AH992" i="1"/>
  <c r="AG992" i="1" s="1"/>
  <c r="AH17" i="1"/>
  <c r="AG17" i="1" s="1"/>
  <c r="AH939" i="1"/>
  <c r="AG939" i="1" s="1"/>
  <c r="AH310" i="1"/>
  <c r="AG310" i="1" s="1"/>
  <c r="AH154" i="1"/>
  <c r="AG154" i="1" s="1"/>
  <c r="AE154" i="1" s="1"/>
  <c r="AC154" i="1" s="1"/>
  <c r="AH331" i="1"/>
  <c r="AG331" i="1" s="1"/>
  <c r="AH369" i="1"/>
  <c r="AG369" i="1" s="1"/>
  <c r="AE369" i="1" s="1"/>
  <c r="AC369" i="1" s="1"/>
  <c r="AH978" i="1"/>
  <c r="AG978" i="1" s="1"/>
  <c r="AE978" i="1" s="1"/>
  <c r="AC978" i="1" s="1"/>
  <c r="AH610" i="1"/>
  <c r="AG610" i="1" s="1"/>
  <c r="AH143" i="1"/>
  <c r="AG143" i="1" s="1"/>
  <c r="AH1237" i="1"/>
  <c r="AG1237" i="1" s="1"/>
  <c r="AH1196" i="1"/>
  <c r="AG1196" i="1" s="1"/>
  <c r="AH1019" i="1"/>
  <c r="AG1019" i="1" s="1"/>
  <c r="AH861" i="1"/>
  <c r="AG861" i="1" s="1"/>
  <c r="AH628" i="1"/>
  <c r="AG628" i="1" s="1"/>
  <c r="AH188" i="1"/>
  <c r="AG188" i="1" s="1"/>
  <c r="AH123" i="1"/>
  <c r="AG123" i="1" s="1"/>
  <c r="AH37" i="1"/>
  <c r="AG37" i="1" s="1"/>
  <c r="AE37" i="1" s="1"/>
  <c r="AC37" i="1" s="1"/>
  <c r="AH400" i="1"/>
  <c r="AG400" i="1" s="1"/>
  <c r="AH44" i="1"/>
  <c r="AG44" i="1" s="1"/>
  <c r="AH676" i="1"/>
  <c r="AG676" i="1" s="1"/>
  <c r="AH567" i="1"/>
  <c r="AG567" i="1" s="1"/>
  <c r="AH69" i="1"/>
  <c r="AG69" i="1" s="1"/>
  <c r="AH855" i="1"/>
  <c r="AG855" i="1" s="1"/>
  <c r="AH677" i="1"/>
  <c r="AG677" i="1" s="1"/>
  <c r="AH1010" i="1"/>
  <c r="AG1010" i="1" s="1"/>
  <c r="AH1160" i="1"/>
  <c r="AG1160" i="1" s="1"/>
  <c r="AH661" i="1"/>
  <c r="AG661" i="1" s="1"/>
  <c r="AH904" i="1"/>
  <c r="AG904" i="1" s="1"/>
  <c r="AH1028" i="1"/>
  <c r="AG1028" i="1" s="1"/>
  <c r="AH890" i="1"/>
  <c r="AG890" i="1" s="1"/>
  <c r="AE890" i="1" s="1"/>
  <c r="AC890" i="1" s="1"/>
  <c r="AH613" i="1"/>
  <c r="AG613" i="1" s="1"/>
  <c r="AH1114" i="1"/>
  <c r="AG1114" i="1" s="1"/>
  <c r="AH425" i="1"/>
  <c r="AG425" i="1" s="1"/>
  <c r="AH898" i="1"/>
  <c r="AG898" i="1" s="1"/>
  <c r="AH566" i="1"/>
  <c r="AG566" i="1" s="1"/>
  <c r="AH388" i="1"/>
  <c r="AG388" i="1" s="1"/>
  <c r="AH451" i="1"/>
  <c r="AG451" i="1" s="1"/>
  <c r="AH956" i="1"/>
  <c r="AG956" i="1" s="1"/>
  <c r="AH109" i="1"/>
  <c r="AG109" i="1" s="1"/>
  <c r="AE109" i="1" s="1"/>
  <c r="AC109" i="1" s="1"/>
  <c r="AH314" i="1"/>
  <c r="AG314" i="1" s="1"/>
  <c r="AE314" i="1" s="1"/>
  <c r="AC314" i="1" s="1"/>
  <c r="AH865" i="1"/>
  <c r="AG865" i="1" s="1"/>
  <c r="AH612" i="1"/>
  <c r="AG612" i="1" s="1"/>
  <c r="AH120" i="1"/>
  <c r="AG120" i="1" s="1"/>
  <c r="AH1185" i="1"/>
  <c r="AG1185" i="1" s="1"/>
  <c r="AH482" i="1"/>
  <c r="AG482" i="1" s="1"/>
  <c r="AH632" i="1"/>
  <c r="AG632" i="1" s="1"/>
  <c r="AH461" i="1"/>
  <c r="AG461" i="1" s="1"/>
  <c r="AH300" i="1"/>
  <c r="AG300" i="1" s="1"/>
  <c r="AE300" i="1" s="1"/>
  <c r="AC300" i="1" s="1"/>
  <c r="AH128" i="1"/>
  <c r="AG128" i="1" s="1"/>
  <c r="AH895" i="1"/>
  <c r="AG895" i="1" s="1"/>
  <c r="AH674" i="1"/>
  <c r="AG674" i="1" s="1"/>
  <c r="AH1030" i="1"/>
  <c r="AG1030" i="1" s="1"/>
  <c r="AH844" i="1"/>
  <c r="AG844" i="1" s="1"/>
  <c r="AH926" i="1"/>
  <c r="AG926" i="1" s="1"/>
  <c r="AH1135" i="1"/>
  <c r="AG1135" i="1" s="1"/>
  <c r="AH110" i="1"/>
  <c r="AG110" i="1" s="1"/>
  <c r="AH263" i="1"/>
  <c r="AG263" i="1" s="1"/>
  <c r="AE263" i="1" s="1"/>
  <c r="AC263" i="1" s="1"/>
  <c r="AH111" i="1"/>
  <c r="AG111" i="1" s="1"/>
  <c r="AH467" i="1"/>
  <c r="AG467" i="1" s="1"/>
  <c r="AE467" i="1" s="1"/>
  <c r="AC467" i="1" s="1"/>
  <c r="AH185" i="1"/>
  <c r="AG185" i="1" s="1"/>
  <c r="AH277" i="1"/>
  <c r="AG277" i="1" s="1"/>
  <c r="AH39" i="1"/>
  <c r="AG39" i="1" s="1"/>
  <c r="AH577" i="1"/>
  <c r="AG577" i="1" s="1"/>
  <c r="AH478" i="1"/>
  <c r="AG478" i="1" s="1"/>
  <c r="AH795" i="1"/>
  <c r="AG795" i="1" s="1"/>
  <c r="AH481" i="1"/>
  <c r="AG481" i="1" s="1"/>
  <c r="AH57" i="1"/>
  <c r="AG57" i="1" s="1"/>
  <c r="AH147" i="1"/>
  <c r="AG147" i="1" s="1"/>
  <c r="AH935" i="1"/>
  <c r="AG935" i="1" s="1"/>
  <c r="AH142" i="1"/>
  <c r="AG142" i="1" s="1"/>
  <c r="AH534" i="1"/>
  <c r="AG534" i="1" s="1"/>
  <c r="AH559" i="1"/>
  <c r="AG559" i="1" s="1"/>
  <c r="AH521" i="1"/>
  <c r="AG521" i="1" s="1"/>
  <c r="AH801" i="1"/>
  <c r="AG801" i="1" s="1"/>
  <c r="AH1243" i="1"/>
  <c r="AG1243" i="1" s="1"/>
  <c r="AH1116" i="1"/>
  <c r="AG1116" i="1" s="1"/>
  <c r="AH20" i="1"/>
  <c r="AG20" i="1" s="1"/>
  <c r="AH1241" i="1"/>
  <c r="AG1241" i="1" s="1"/>
  <c r="AH575" i="1"/>
  <c r="AG575" i="1" s="1"/>
  <c r="AH658" i="1"/>
  <c r="AG658" i="1" s="1"/>
  <c r="AH345" i="1"/>
  <c r="AG345" i="1" s="1"/>
  <c r="AH842" i="1"/>
  <c r="AG842" i="1" s="1"/>
  <c r="AE842" i="1" s="1"/>
  <c r="AC842" i="1" s="1"/>
  <c r="AH649" i="1"/>
  <c r="AG649" i="1" s="1"/>
  <c r="AE649" i="1" s="1"/>
  <c r="AC649" i="1" s="1"/>
  <c r="AH438" i="1"/>
  <c r="AG438" i="1" s="1"/>
  <c r="AH91" i="1"/>
  <c r="AG91" i="1" s="1"/>
  <c r="AE91" i="1" s="1"/>
  <c r="AC91" i="1" s="1"/>
  <c r="AH260" i="1"/>
  <c r="AG260" i="1" s="1"/>
  <c r="AE260" i="1" s="1"/>
  <c r="AC260" i="1" s="1"/>
  <c r="AH358" i="1"/>
  <c r="AG358" i="1" s="1"/>
  <c r="AE358" i="1" s="1"/>
  <c r="AC358" i="1" s="1"/>
  <c r="AH346" i="1"/>
  <c r="AG346" i="1" s="1"/>
  <c r="AE346" i="1" s="1"/>
  <c r="AC346" i="1" s="1"/>
  <c r="AH1220" i="1"/>
  <c r="AG1220" i="1" s="1"/>
  <c r="AH450" i="1"/>
  <c r="AG450" i="1" s="1"/>
  <c r="AE450" i="1" s="1"/>
  <c r="AC450" i="1" s="1"/>
  <c r="AH875" i="1"/>
  <c r="AG875" i="1" s="1"/>
  <c r="AH59" i="1"/>
  <c r="AG59" i="1" s="1"/>
  <c r="AH105" i="1"/>
  <c r="AG105" i="1" s="1"/>
  <c r="AE105" i="1" s="1"/>
  <c r="AC105" i="1" s="1"/>
  <c r="AH1184" i="1"/>
  <c r="AG1184" i="1" s="1"/>
  <c r="AH1018" i="1"/>
  <c r="AG1018" i="1" s="1"/>
  <c r="AE1018" i="1" s="1"/>
  <c r="AC1018" i="1" s="1"/>
  <c r="AH933" i="1"/>
  <c r="AG933" i="1" s="1"/>
  <c r="AH860" i="1"/>
  <c r="AG860" i="1" s="1"/>
  <c r="AH775" i="1"/>
  <c r="AG775" i="1" s="1"/>
  <c r="AH605" i="1"/>
  <c r="AG605" i="1" s="1"/>
  <c r="AH1226" i="1"/>
  <c r="AG1226" i="1" s="1"/>
  <c r="AH361" i="1"/>
  <c r="AG361" i="1" s="1"/>
  <c r="AH274" i="1"/>
  <c r="AG274" i="1" s="1"/>
  <c r="AH122" i="1"/>
  <c r="AG122" i="1" s="1"/>
  <c r="AH36" i="1"/>
  <c r="AG36" i="1" s="1"/>
  <c r="AH749" i="1"/>
  <c r="AG749" i="1" s="1"/>
  <c r="AH332" i="1"/>
  <c r="AG332" i="1" s="1"/>
  <c r="AH477" i="1"/>
  <c r="AG477" i="1" s="1"/>
  <c r="AH1183" i="1"/>
  <c r="AG1183" i="1" s="1"/>
  <c r="AH203" i="1"/>
  <c r="AG203" i="1" s="1"/>
  <c r="AH58" i="1"/>
  <c r="AG58" i="1" s="1"/>
  <c r="AH958" i="1"/>
  <c r="AG958" i="1" s="1"/>
  <c r="AE958" i="1" s="1"/>
  <c r="AC958" i="1" s="1"/>
  <c r="AH872" i="1"/>
  <c r="AG872" i="1" s="1"/>
  <c r="AH3" i="1"/>
  <c r="AG3" i="1" s="1"/>
  <c r="AE3" i="1" s="1"/>
  <c r="AC3" i="1" s="1"/>
  <c r="AH929" i="1"/>
  <c r="AG929" i="1" s="1"/>
  <c r="AH1040" i="1"/>
  <c r="AG1040" i="1" s="1"/>
  <c r="AH981" i="1"/>
  <c r="AG981" i="1" s="1"/>
  <c r="AE981" i="1" s="1"/>
  <c r="AC981" i="1" s="1"/>
  <c r="AH393" i="1"/>
  <c r="AG393" i="1" s="1"/>
  <c r="AH419" i="1"/>
  <c r="AG419" i="1" s="1"/>
  <c r="AH1158" i="1"/>
  <c r="AG1158" i="1" s="1"/>
  <c r="AH282" i="1"/>
  <c r="AG282" i="1" s="1"/>
  <c r="AE282" i="1" s="1"/>
  <c r="AC282" i="1" s="1"/>
  <c r="AH1085" i="1"/>
  <c r="AG1085" i="1" s="1"/>
  <c r="AE1085" i="1" s="1"/>
  <c r="AC1085" i="1" s="1"/>
  <c r="AH337" i="1"/>
  <c r="AG337" i="1" s="1"/>
  <c r="AH138" i="1"/>
  <c r="AG138" i="1" s="1"/>
  <c r="AH594" i="1"/>
  <c r="AG594" i="1" s="1"/>
  <c r="AH1268" i="1"/>
  <c r="AG1268" i="1" s="1"/>
  <c r="AE1268" i="1" s="1"/>
  <c r="AC1268" i="1" s="1"/>
  <c r="AH597" i="1"/>
  <c r="AG597" i="1" s="1"/>
  <c r="AE597" i="1" s="1"/>
  <c r="AC597" i="1" s="1"/>
  <c r="AH351" i="1"/>
  <c r="AG351" i="1" s="1"/>
  <c r="AH179" i="1"/>
  <c r="AG179" i="1" s="1"/>
  <c r="AH1267" i="1"/>
  <c r="AG1267" i="1" s="1"/>
  <c r="AH1227" i="1"/>
  <c r="AG1227" i="1" s="1"/>
  <c r="AH178" i="1"/>
  <c r="AG178" i="1" s="1"/>
  <c r="AH426" i="1"/>
  <c r="AG426" i="1" s="1"/>
  <c r="AH103" i="1"/>
  <c r="AG103" i="1" s="1"/>
  <c r="AH1269" i="1"/>
  <c r="AG1269" i="1" s="1"/>
  <c r="AH716" i="1"/>
  <c r="AG716" i="1" s="1"/>
  <c r="AE716" i="1" s="1"/>
  <c r="AC716" i="1" s="1"/>
  <c r="AH283" i="1"/>
  <c r="AG283" i="1" s="1"/>
  <c r="AE283" i="1" s="1"/>
  <c r="AC283" i="1" s="1"/>
  <c r="AH255" i="1"/>
  <c r="AG255" i="1" s="1"/>
  <c r="AH979" i="1"/>
  <c r="AG979" i="1" s="1"/>
  <c r="AH892" i="1"/>
  <c r="AG892" i="1" s="1"/>
  <c r="AH902" i="1"/>
  <c r="AG902" i="1" s="1"/>
  <c r="AE902" i="1" s="1"/>
  <c r="AC902" i="1" s="1"/>
  <c r="AH6" i="1"/>
  <c r="AG6" i="1" s="1"/>
  <c r="AE6" i="1" s="1"/>
  <c r="AC6" i="1" s="1"/>
  <c r="AH16" i="1"/>
  <c r="AG16" i="1" s="1"/>
  <c r="AE16" i="1" s="1"/>
  <c r="AC16" i="1" s="1"/>
  <c r="AH1026" i="1"/>
  <c r="AG1026" i="1" s="1"/>
  <c r="AH299" i="1"/>
  <c r="AG299" i="1" s="1"/>
  <c r="AE299" i="1" s="1"/>
  <c r="AC299" i="1" s="1"/>
  <c r="AH943" i="1"/>
  <c r="AG943" i="1" s="1"/>
  <c r="AH533" i="1"/>
  <c r="AG533" i="1" s="1"/>
  <c r="AH536" i="1"/>
  <c r="AG536" i="1" s="1"/>
  <c r="AE536" i="1" s="1"/>
  <c r="AC536" i="1" s="1"/>
  <c r="AH937" i="1"/>
  <c r="AG937" i="1" s="1"/>
  <c r="AH294" i="1"/>
  <c r="AG294" i="1" s="1"/>
  <c r="AE294" i="1" s="1"/>
  <c r="AC294" i="1" s="1"/>
  <c r="AH1228" i="1"/>
  <c r="AG1228" i="1" s="1"/>
  <c r="AH1124" i="1"/>
  <c r="AG1124" i="1" s="1"/>
  <c r="AH682" i="1"/>
  <c r="AG682" i="1" s="1"/>
  <c r="AE682" i="1" s="1"/>
  <c r="AC682" i="1" s="1"/>
  <c r="AH669" i="1"/>
  <c r="AG669" i="1" s="1"/>
  <c r="AH1086" i="1"/>
  <c r="AG1086" i="1" s="1"/>
  <c r="AH302" i="1"/>
  <c r="AG302" i="1" s="1"/>
  <c r="AH1225" i="1"/>
  <c r="AG1225" i="1" s="1"/>
  <c r="AH1122" i="1"/>
  <c r="AG1122" i="1" s="1"/>
  <c r="AH1262" i="1"/>
  <c r="AG1262" i="1" s="1"/>
  <c r="AH668" i="1"/>
  <c r="AG668" i="1" s="1"/>
  <c r="AH170" i="1"/>
  <c r="AG170" i="1" s="1"/>
  <c r="AE170" i="1" s="1"/>
  <c r="AC170" i="1" s="1"/>
  <c r="AH930" i="1"/>
  <c r="AG930" i="1" s="1"/>
  <c r="AH230" i="1"/>
  <c r="AG230" i="1" s="1"/>
  <c r="AH380" i="1"/>
  <c r="AG380" i="1" s="1"/>
  <c r="AH397" i="1"/>
  <c r="AG397" i="1" s="1"/>
  <c r="AE397" i="1" s="1"/>
  <c r="AC397" i="1" s="1"/>
  <c r="AH859" i="1"/>
  <c r="AG859" i="1" s="1"/>
  <c r="AH538" i="1"/>
  <c r="AG538" i="1" s="1"/>
  <c r="AH708" i="1"/>
  <c r="AG708" i="1" s="1"/>
  <c r="AH713" i="1"/>
  <c r="AG713" i="1" s="1"/>
  <c r="AH198" i="1"/>
  <c r="AG198" i="1" s="1"/>
  <c r="AH485" i="1"/>
  <c r="AG485" i="1" s="1"/>
  <c r="AH624" i="1"/>
  <c r="AG624" i="1" s="1"/>
  <c r="AH570" i="1"/>
  <c r="AG570" i="1" s="1"/>
  <c r="AE570" i="1" s="1"/>
  <c r="AC570" i="1" s="1"/>
  <c r="AH1072" i="1"/>
  <c r="AG1072" i="1" s="1"/>
  <c r="AH994" i="1"/>
  <c r="AG994" i="1" s="1"/>
  <c r="AH207" i="1"/>
  <c r="AG207" i="1" s="1"/>
  <c r="AH758" i="1"/>
  <c r="AG758" i="1" s="1"/>
  <c r="AE758" i="1" s="1"/>
  <c r="AC758" i="1" s="1"/>
  <c r="AH1230" i="1"/>
  <c r="AG1230" i="1" s="1"/>
  <c r="AH94" i="1"/>
  <c r="AG94" i="1" s="1"/>
  <c r="AH423" i="1"/>
  <c r="AG423" i="1" s="1"/>
  <c r="AH4" i="1"/>
  <c r="AG4" i="1" s="1"/>
  <c r="AE4" i="1" s="1"/>
  <c r="AC4" i="1" s="1"/>
  <c r="AH86" i="1"/>
  <c r="AG86" i="1" s="1"/>
  <c r="AH14" i="1"/>
  <c r="AG14" i="1" s="1"/>
  <c r="AE14" i="1" s="1"/>
  <c r="AC14" i="1" s="1"/>
  <c r="AH455" i="1"/>
  <c r="AG455" i="1" s="1"/>
  <c r="AE455" i="1" s="1"/>
  <c r="AC455" i="1" s="1"/>
  <c r="AH62" i="1"/>
  <c r="AG62" i="1" s="1"/>
  <c r="AH306" i="1"/>
  <c r="AG306" i="1" s="1"/>
  <c r="AH1217" i="1"/>
  <c r="AG1217" i="1" s="1"/>
  <c r="AH1195" i="1"/>
  <c r="AG1195" i="1" s="1"/>
  <c r="AH557" i="1"/>
  <c r="AG557" i="1" s="1"/>
  <c r="AH517" i="1"/>
  <c r="AG517" i="1" s="1"/>
  <c r="AE517" i="1" s="1"/>
  <c r="AC517" i="1" s="1"/>
  <c r="AH329" i="1"/>
  <c r="AG329" i="1" s="1"/>
  <c r="AH1224" i="1"/>
  <c r="AG1224" i="1" s="1"/>
  <c r="AH911" i="1"/>
  <c r="AG911" i="1" s="1"/>
  <c r="AH261" i="1"/>
  <c r="AG261" i="1" s="1"/>
  <c r="AH765" i="1"/>
  <c r="AG765" i="1" s="1"/>
  <c r="AH454" i="1"/>
  <c r="AG454" i="1" s="1"/>
  <c r="AH472" i="1"/>
  <c r="AG472" i="1" s="1"/>
  <c r="AH908" i="1"/>
  <c r="AG908" i="1" s="1"/>
  <c r="AH851" i="1"/>
  <c r="AG851" i="1" s="1"/>
  <c r="AH1271" i="1"/>
  <c r="AG1271" i="1" s="1"/>
  <c r="AH153" i="1"/>
  <c r="AG153" i="1" s="1"/>
  <c r="AH853" i="1"/>
  <c r="AG853" i="1" s="1"/>
  <c r="AH258" i="1"/>
  <c r="AG258" i="1" s="1"/>
  <c r="AE258" i="1" s="1"/>
  <c r="AC258" i="1" s="1"/>
  <c r="AH1029" i="1"/>
  <c r="AG1029" i="1" s="1"/>
  <c r="AH242" i="1"/>
  <c r="AG242" i="1" s="1"/>
  <c r="AE242" i="1" s="1"/>
  <c r="AC242" i="1" s="1"/>
  <c r="AH957" i="1"/>
  <c r="AG957" i="1" s="1"/>
  <c r="AH30" i="1"/>
  <c r="AG30" i="1" s="1"/>
  <c r="AE30" i="1" s="1"/>
  <c r="AC30" i="1" s="1"/>
  <c r="AH800" i="1"/>
  <c r="AG800" i="1" s="1"/>
  <c r="AH226" i="1"/>
  <c r="AG226" i="1" s="1"/>
  <c r="AE226" i="1" s="1"/>
  <c r="AC226" i="1" s="1"/>
  <c r="AH747" i="1"/>
  <c r="AG747" i="1" s="1"/>
  <c r="AH959" i="1"/>
  <c r="AG959" i="1" s="1"/>
  <c r="AH901" i="1"/>
  <c r="AG901" i="1" s="1"/>
  <c r="AH439" i="1"/>
  <c r="AG439" i="1" s="1"/>
  <c r="AH15" i="1"/>
  <c r="AG15" i="1" s="1"/>
  <c r="AE15" i="1" s="1"/>
  <c r="AC15" i="1" s="1"/>
  <c r="AH751" i="1"/>
  <c r="AG751" i="1" s="1"/>
  <c r="AH155" i="1"/>
  <c r="AG155" i="1" s="1"/>
  <c r="AH736" i="1"/>
  <c r="AG736" i="1" s="1"/>
  <c r="AE736" i="1" s="1"/>
  <c r="AC736" i="1" s="1"/>
  <c r="AH12" i="1"/>
  <c r="AG12" i="1" s="1"/>
  <c r="AH936" i="1"/>
  <c r="AG936" i="1" s="1"/>
  <c r="AH1264" i="1"/>
  <c r="AG1264" i="1" s="1"/>
  <c r="AH1105" i="1"/>
  <c r="AG1105" i="1" s="1"/>
  <c r="AH1134" i="1"/>
  <c r="AG1134" i="1" s="1"/>
  <c r="AH1189" i="1"/>
  <c r="AG1189" i="1" s="1"/>
  <c r="AH1024" i="1"/>
  <c r="AG1024" i="1" s="1"/>
  <c r="AH518" i="1"/>
  <c r="AG518" i="1" s="1"/>
  <c r="AH70" i="1"/>
  <c r="AG70" i="1" s="1"/>
  <c r="AH1172" i="1"/>
  <c r="AG1172" i="1" s="1"/>
  <c r="AH1120" i="1"/>
  <c r="AG1120" i="1" s="1"/>
  <c r="AH655" i="1"/>
  <c r="AG655" i="1" s="1"/>
  <c r="AH162" i="1"/>
  <c r="AG162" i="1" s="1"/>
  <c r="AH77" i="1"/>
  <c r="AG77" i="1" s="1"/>
  <c r="AE77" i="1" s="1"/>
  <c r="AC77" i="1" s="1"/>
  <c r="AH735" i="1"/>
  <c r="AG735" i="1" s="1"/>
  <c r="AH700" i="1"/>
  <c r="AG700" i="1" s="1"/>
  <c r="AH574" i="1"/>
  <c r="AG574" i="1" s="1"/>
  <c r="AH13" i="1"/>
  <c r="AG13" i="1" s="1"/>
  <c r="AH1167" i="1"/>
  <c r="AG1167" i="1" s="1"/>
  <c r="AH815" i="1"/>
  <c r="AG815" i="1" s="1"/>
  <c r="AH297" i="1"/>
  <c r="AG297" i="1" s="1"/>
  <c r="AE297" i="1" s="1"/>
  <c r="AC297" i="1" s="1"/>
  <c r="AH285" i="1"/>
  <c r="AG285" i="1" s="1"/>
  <c r="AH1245" i="1"/>
  <c r="AG1245" i="1" s="1"/>
  <c r="AH757" i="1"/>
  <c r="AG757" i="1" s="1"/>
  <c r="AH799" i="1"/>
  <c r="AG799" i="1" s="1"/>
  <c r="AE799" i="1" s="1"/>
  <c r="AC799" i="1" s="1"/>
  <c r="AH104" i="1"/>
  <c r="AG104" i="1" s="1"/>
  <c r="AH284" i="1"/>
  <c r="AG284" i="1" s="1"/>
  <c r="AE284" i="1" s="1"/>
  <c r="AC284" i="1" s="1"/>
  <c r="AH1074" i="1"/>
  <c r="AG1074" i="1" s="1"/>
  <c r="AE1074" i="1" s="1"/>
  <c r="AC1074" i="1" s="1"/>
  <c r="AH1166" i="1"/>
  <c r="AG1166" i="1" s="1"/>
  <c r="AE1166" i="1" s="1"/>
  <c r="AC1166" i="1" s="1"/>
  <c r="AH1088" i="1"/>
  <c r="AG1088" i="1" s="1"/>
  <c r="AE1088" i="1" s="1"/>
  <c r="AC1088" i="1" s="1"/>
  <c r="AH1157" i="1"/>
  <c r="AG1157" i="1" s="1"/>
  <c r="AH1044" i="1"/>
  <c r="AG1044" i="1" s="1"/>
  <c r="AH1032" i="1"/>
  <c r="AG1032" i="1" s="1"/>
  <c r="AH29" i="1"/>
  <c r="AG29" i="1" s="1"/>
  <c r="AH504" i="1"/>
  <c r="AG504" i="1" s="1"/>
  <c r="AH1042" i="1"/>
  <c r="AG1042" i="1" s="1"/>
  <c r="AH1275" i="1"/>
  <c r="AG1275" i="1" s="1"/>
  <c r="AH543" i="1"/>
  <c r="AG543" i="1" s="1"/>
  <c r="AH858" i="1"/>
  <c r="AG858" i="1" s="1"/>
  <c r="AH1136" i="1"/>
  <c r="AG1136" i="1" s="1"/>
  <c r="AH1211" i="1"/>
  <c r="AG1211" i="1" s="1"/>
  <c r="AH1171" i="1"/>
  <c r="AG1171" i="1" s="1"/>
  <c r="AE1171" i="1" s="1"/>
  <c r="AC1171" i="1" s="1"/>
  <c r="AH1119" i="1"/>
  <c r="AG1119" i="1" s="1"/>
  <c r="AH739" i="1"/>
  <c r="AG739" i="1" s="1"/>
  <c r="AH654" i="1"/>
  <c r="AG654" i="1" s="1"/>
  <c r="AE654" i="1" s="1"/>
  <c r="AC654" i="1" s="1"/>
  <c r="AH161" i="1"/>
  <c r="AG161" i="1" s="1"/>
  <c r="AH988" i="1"/>
  <c r="AG988" i="1" s="1"/>
  <c r="AE988" i="1" s="1"/>
  <c r="AC988" i="1" s="1"/>
  <c r="AH247" i="1"/>
  <c r="AG247" i="1" s="1"/>
  <c r="AH296" i="1"/>
  <c r="AG296" i="1" s="1"/>
  <c r="AH342" i="1"/>
  <c r="AG342" i="1" s="1"/>
  <c r="AH1216" i="1"/>
  <c r="AG1216" i="1" s="1"/>
  <c r="AH107" i="1"/>
  <c r="AG107" i="1" s="1"/>
  <c r="AH1244" i="1"/>
  <c r="AG1244" i="1" s="1"/>
  <c r="AE1244" i="1" s="1"/>
  <c r="AC1244" i="1" s="1"/>
  <c r="AH714" i="1"/>
  <c r="AG714" i="1" s="1"/>
  <c r="AH359" i="1"/>
  <c r="AG359" i="1" s="1"/>
  <c r="AH64" i="1"/>
  <c r="AG64" i="1" s="1"/>
  <c r="AH819" i="1"/>
  <c r="AG819" i="1" s="1"/>
  <c r="AE819" i="1" s="1"/>
  <c r="AC819" i="1" s="1"/>
  <c r="AH1031" i="1"/>
  <c r="AG1031" i="1" s="1"/>
  <c r="AH623" i="1"/>
  <c r="AG623" i="1" s="1"/>
  <c r="AH900" i="1"/>
  <c r="AG900" i="1" s="1"/>
  <c r="AH854" i="1"/>
  <c r="AG854" i="1" s="1"/>
  <c r="AE854" i="1" s="1"/>
  <c r="AC854" i="1" s="1"/>
  <c r="AH54" i="1"/>
  <c r="AG54" i="1" s="1"/>
  <c r="AH766" i="1"/>
  <c r="AG766" i="1" s="1"/>
  <c r="AE766" i="1" s="1"/>
  <c r="AC766" i="1" s="1"/>
  <c r="AH440" i="1"/>
  <c r="AG440" i="1" s="1"/>
  <c r="AH93" i="1"/>
  <c r="AG93" i="1" s="1"/>
  <c r="AH1282" i="1"/>
  <c r="AG1282" i="1" s="1"/>
  <c r="AH835" i="1"/>
  <c r="AG835" i="1" s="1"/>
  <c r="AE835" i="1" s="1"/>
  <c r="AC835" i="1" s="1"/>
  <c r="AH1246" i="1"/>
  <c r="AG1246" i="1" s="1"/>
  <c r="AH316" i="1"/>
  <c r="AG316" i="1" s="1"/>
  <c r="AH1210" i="1"/>
  <c r="AG1210" i="1" s="1"/>
  <c r="AH1169" i="1"/>
  <c r="AG1169" i="1" s="1"/>
  <c r="AH1118" i="1"/>
  <c r="AG1118" i="1" s="1"/>
  <c r="AH907" i="1"/>
  <c r="AG907" i="1" s="1"/>
  <c r="AH823" i="1"/>
  <c r="AG823" i="1" s="1"/>
  <c r="AH653" i="1"/>
  <c r="AG653" i="1" s="1"/>
  <c r="AH324" i="1"/>
  <c r="AG324" i="1" s="1"/>
  <c r="AH149" i="1"/>
  <c r="AG149" i="1" s="1"/>
  <c r="AH172" i="1"/>
  <c r="AG172" i="1" s="1"/>
  <c r="AH944" i="1"/>
  <c r="AG944" i="1" s="1"/>
  <c r="AH394" i="1"/>
  <c r="AG394" i="1" s="1"/>
  <c r="AH1013" i="1"/>
  <c r="AG1013" i="1" s="1"/>
  <c r="AH715" i="1"/>
  <c r="AG715" i="1" s="1"/>
  <c r="AH401" i="1"/>
  <c r="AG401" i="1" s="1"/>
  <c r="AH796" i="1"/>
  <c r="AG796" i="1" s="1"/>
  <c r="AH733" i="1"/>
  <c r="AG733" i="1" s="1"/>
  <c r="AH928" i="1"/>
  <c r="AG928" i="1" s="1"/>
  <c r="AE928" i="1" s="1"/>
  <c r="AC928" i="1" s="1"/>
  <c r="AH227" i="1"/>
  <c r="AG227" i="1" s="1"/>
  <c r="AE227" i="1" s="1"/>
  <c r="AC227" i="1" s="1"/>
  <c r="AH750" i="1"/>
  <c r="AG750" i="1" s="1"/>
  <c r="AE750" i="1" s="1"/>
  <c r="AC750" i="1" s="1"/>
  <c r="AH717" i="1"/>
  <c r="AG717" i="1" s="1"/>
  <c r="AH595" i="1"/>
  <c r="AG595" i="1" s="1"/>
  <c r="AH537" i="1"/>
  <c r="AG537" i="1" s="1"/>
  <c r="AE537" i="1" s="1"/>
  <c r="AC537" i="1" s="1"/>
  <c r="AH1133" i="1"/>
  <c r="AG1133" i="1" s="1"/>
  <c r="AH805" i="1"/>
  <c r="AG805" i="1" s="1"/>
  <c r="AH386" i="1"/>
  <c r="AG386" i="1" s="1"/>
  <c r="AE386" i="1" s="1"/>
  <c r="AC386" i="1" s="1"/>
  <c r="AH87" i="1"/>
  <c r="AG87" i="1" s="1"/>
  <c r="AE87" i="1" s="1"/>
  <c r="AC87" i="1" s="1"/>
  <c r="AH934" i="1"/>
  <c r="AG934" i="1" s="1"/>
  <c r="AH631" i="1"/>
  <c r="AG631" i="1" s="1"/>
  <c r="AH589" i="1"/>
  <c r="AG589" i="1" s="1"/>
  <c r="AH678" i="1"/>
  <c r="AG678" i="1" s="1"/>
  <c r="AH1242" i="1"/>
  <c r="AG1242" i="1" s="1"/>
  <c r="AH189" i="1"/>
  <c r="AG189" i="1" s="1"/>
  <c r="AH1292" i="1"/>
  <c r="AG1292" i="1" s="1"/>
  <c r="AH1278" i="1"/>
  <c r="AG1278" i="1" s="1"/>
  <c r="AH1261" i="1"/>
  <c r="AG1261" i="1" s="1"/>
  <c r="AH1209" i="1"/>
  <c r="AG1209" i="1" s="1"/>
  <c r="AH1117" i="1"/>
  <c r="AG1117" i="1" s="1"/>
  <c r="AH906" i="1"/>
  <c r="AG906" i="1" s="1"/>
  <c r="AH235" i="1"/>
  <c r="AG235" i="1" s="1"/>
  <c r="AH71" i="1"/>
  <c r="AG71" i="1" s="1"/>
  <c r="AH1159" i="1"/>
  <c r="AG1159" i="1" s="1"/>
  <c r="AH1132" i="1"/>
  <c r="AG1132" i="1" s="1"/>
  <c r="AH1076" i="1"/>
  <c r="AG1076" i="1" s="1"/>
  <c r="AH523" i="1"/>
  <c r="AG523" i="1" s="1"/>
  <c r="AH366" i="1"/>
  <c r="AG366" i="1" s="1"/>
  <c r="AE366" i="1" s="1"/>
  <c r="AC366" i="1" s="1"/>
  <c r="AH264" i="1"/>
  <c r="AG264" i="1" s="1"/>
  <c r="AE264" i="1" s="1"/>
  <c r="AC264" i="1" s="1"/>
  <c r="AH542" i="1"/>
  <c r="AG542" i="1" s="1"/>
  <c r="AH243" i="1"/>
  <c r="AG243" i="1" s="1"/>
  <c r="AH1035" i="1"/>
  <c r="AG1035" i="1" s="1"/>
  <c r="AH1014" i="1"/>
  <c r="AG1014" i="1" s="1"/>
  <c r="AE1014" i="1" s="1"/>
  <c r="AC1014" i="1" s="1"/>
  <c r="AH248" i="1"/>
  <c r="AG248" i="1" s="1"/>
  <c r="AE248" i="1" s="1"/>
  <c r="AC248" i="1" s="1"/>
  <c r="AH343" i="1"/>
  <c r="AG343" i="1" s="1"/>
  <c r="AH27" i="1"/>
  <c r="AG27" i="1" s="1"/>
  <c r="AH106" i="1"/>
  <c r="AG106" i="1" s="1"/>
  <c r="AH173" i="1"/>
  <c r="AG173" i="1" s="1"/>
  <c r="AE173" i="1" s="1"/>
  <c r="AC173" i="1" s="1"/>
  <c r="AH399" i="1"/>
  <c r="AG399" i="1" s="1"/>
  <c r="AE399" i="1" s="1"/>
  <c r="AC399" i="1" s="1"/>
  <c r="AH510" i="1"/>
  <c r="AG510" i="1" s="1"/>
  <c r="AH850" i="1"/>
  <c r="AG850" i="1" s="1"/>
  <c r="AH330" i="1"/>
  <c r="AG330" i="1" s="1"/>
  <c r="AE330" i="1" s="1"/>
  <c r="AC330" i="1" s="1"/>
  <c r="AH1102" i="1"/>
  <c r="AG1102" i="1" s="1"/>
  <c r="AE1102" i="1" s="1"/>
  <c r="AC1102" i="1" s="1"/>
  <c r="AH474" i="1"/>
  <c r="AG474" i="1" s="1"/>
  <c r="AH26" i="1"/>
  <c r="AG26" i="1" s="1"/>
  <c r="AH675" i="1"/>
  <c r="AG675" i="1" s="1"/>
  <c r="AH180" i="1"/>
  <c r="AG180" i="1" s="1"/>
  <c r="AH1273" i="1"/>
  <c r="AG1273" i="1" s="1"/>
  <c r="AH1111" i="1"/>
  <c r="AG1111" i="1" s="1"/>
  <c r="AE1111" i="1" s="1"/>
  <c r="AC1111" i="1" s="1"/>
  <c r="AH1190" i="1"/>
  <c r="AG1190" i="1" s="1"/>
  <c r="AH50" i="1"/>
  <c r="AG50" i="1" s="1"/>
  <c r="AH1191" i="1"/>
  <c r="AG1191" i="1" s="1"/>
  <c r="AH1208" i="1"/>
  <c r="AG1208" i="1" s="1"/>
  <c r="AH1156" i="1"/>
  <c r="AG1156" i="1" s="1"/>
  <c r="AE1156" i="1" s="1"/>
  <c r="AC1156" i="1" s="1"/>
  <c r="AH821" i="1"/>
  <c r="AG821" i="1" s="1"/>
  <c r="AE821" i="1" s="1"/>
  <c r="AC821" i="1" s="1"/>
  <c r="AH493" i="1"/>
  <c r="AG493" i="1" s="1"/>
  <c r="AH234" i="1"/>
  <c r="AG234" i="1" s="1"/>
  <c r="AH814" i="1"/>
  <c r="AG814" i="1" s="1"/>
  <c r="AH1064" i="1"/>
  <c r="AG1064" i="1" s="1"/>
  <c r="AH894" i="1"/>
  <c r="AG894" i="1" s="1"/>
  <c r="AH591" i="1"/>
  <c r="AG591" i="1" s="1"/>
  <c r="AH707" i="1"/>
  <c r="AG707" i="1" s="1"/>
  <c r="AH938" i="1"/>
  <c r="AG938" i="1" s="1"/>
  <c r="AH344" i="1"/>
  <c r="AG344" i="1" s="1"/>
  <c r="AE344" i="1" s="1"/>
  <c r="AC344" i="1" s="1"/>
  <c r="AH874" i="1"/>
  <c r="AG874" i="1" s="1"/>
  <c r="AH688" i="1"/>
  <c r="AG688" i="1" s="1"/>
  <c r="AH576" i="1"/>
  <c r="AG576" i="1" s="1"/>
  <c r="AH1011" i="1"/>
  <c r="AG1011" i="1" s="1"/>
  <c r="AH1274" i="1"/>
  <c r="AG1274" i="1" s="1"/>
  <c r="AE1274" i="1" s="1"/>
  <c r="AC1274" i="1" s="1"/>
  <c r="AH433" i="1"/>
  <c r="AG433" i="1" s="1"/>
  <c r="AH117" i="1"/>
  <c r="AG117" i="1" s="1"/>
  <c r="AE117" i="1" s="1"/>
  <c r="AC117" i="1" s="1"/>
  <c r="AH506" i="1"/>
  <c r="AG506" i="1" s="1"/>
  <c r="AE506" i="1" s="1"/>
  <c r="AC506" i="1" s="1"/>
  <c r="AH193" i="1"/>
  <c r="AG193" i="1" s="1"/>
  <c r="AE193" i="1" s="1"/>
  <c r="AC193" i="1" s="1"/>
  <c r="AH2" i="1"/>
  <c r="AG2" i="1" s="1"/>
  <c r="AE2" i="1" s="1"/>
  <c r="AC2" i="1" s="1"/>
  <c r="AH798" i="1"/>
  <c r="AG798" i="1" s="1"/>
  <c r="AH618" i="1"/>
  <c r="AG618" i="1" s="1"/>
  <c r="AE618" i="1" s="1"/>
  <c r="AC618" i="1" s="1"/>
  <c r="AH563" i="1"/>
  <c r="AG563" i="1" s="1"/>
  <c r="AE563" i="1" s="1"/>
  <c r="AC563" i="1" s="1"/>
  <c r="AH532" i="1"/>
  <c r="AG532" i="1" s="1"/>
  <c r="AH51" i="1"/>
  <c r="AG51" i="1" s="1"/>
  <c r="AE51" i="1" s="1"/>
  <c r="AC51" i="1" s="1"/>
  <c r="AH100" i="1"/>
  <c r="AG100" i="1" s="1"/>
  <c r="AH696" i="1"/>
  <c r="AG696" i="1" s="1"/>
  <c r="AH769" i="1"/>
  <c r="AG769" i="1" s="1"/>
  <c r="AH1139" i="1"/>
  <c r="AG1139" i="1" s="1"/>
  <c r="AH630" i="1"/>
  <c r="AG630" i="1" s="1"/>
  <c r="AH1155" i="1"/>
  <c r="AG1155" i="1" s="1"/>
  <c r="AH490" i="1"/>
  <c r="AG490" i="1" s="1"/>
  <c r="AH320" i="1"/>
  <c r="AG320" i="1" s="1"/>
  <c r="AH204" i="1"/>
  <c r="AG204" i="1" s="1"/>
  <c r="AH174" i="1"/>
  <c r="AG174" i="1" s="1"/>
  <c r="AE174" i="1" s="1"/>
  <c r="AC174" i="1" s="1"/>
  <c r="AH424" i="1"/>
  <c r="AG424" i="1" s="1"/>
  <c r="AE424" i="1" s="1"/>
  <c r="AC424" i="1" s="1"/>
  <c r="AH845" i="1"/>
  <c r="AG845" i="1" s="1"/>
  <c r="AE845" i="1" s="1"/>
  <c r="AC845" i="1" s="1"/>
  <c r="AH512" i="1"/>
  <c r="AG512" i="1" s="1"/>
  <c r="AE512" i="1" s="1"/>
  <c r="AC512" i="1" s="1"/>
  <c r="AH646" i="1"/>
  <c r="AG646" i="1" s="1"/>
  <c r="AE646" i="1" s="1"/>
  <c r="AC646" i="1" s="1"/>
  <c r="AH794" i="1"/>
  <c r="AG794" i="1" s="1"/>
  <c r="AE794" i="1" s="1"/>
  <c r="AC794" i="1" s="1"/>
  <c r="AH955" i="1"/>
  <c r="AG955" i="1" s="1"/>
  <c r="AH456" i="1"/>
  <c r="AG456" i="1" s="1"/>
  <c r="AH620" i="1"/>
  <c r="AG620" i="1" s="1"/>
  <c r="AH115" i="1"/>
  <c r="AG115" i="1" s="1"/>
  <c r="AH1047" i="1"/>
  <c r="AG1047" i="1" s="1"/>
  <c r="AE1047" i="1" s="1"/>
  <c r="AC1047" i="1" s="1"/>
  <c r="AH541" i="1"/>
  <c r="AG541" i="1" s="1"/>
  <c r="AE541" i="1" s="1"/>
  <c r="AC541" i="1" s="1"/>
  <c r="AH124" i="1"/>
  <c r="AG124" i="1" s="1"/>
  <c r="AE124" i="1" s="1"/>
  <c r="AC124" i="1" s="1"/>
  <c r="AH73" i="1"/>
  <c r="AG73" i="1" s="1"/>
  <c r="AH23" i="1"/>
  <c r="AG23" i="1" s="1"/>
  <c r="AH673" i="1"/>
  <c r="AG673" i="1" s="1"/>
  <c r="AE673" i="1" s="1"/>
  <c r="AC673" i="1" s="1"/>
  <c r="AH540" i="1"/>
  <c r="AG540" i="1" s="1"/>
  <c r="AE540" i="1" s="1"/>
  <c r="AC540" i="1" s="1"/>
  <c r="AH817" i="1"/>
  <c r="AG817" i="1" s="1"/>
  <c r="AH1233" i="1"/>
  <c r="AG1233" i="1" s="1"/>
  <c r="AH705" i="1"/>
  <c r="AG705" i="1" s="1"/>
  <c r="AH89" i="1"/>
  <c r="AG89" i="1" s="1"/>
  <c r="AH502" i="1"/>
  <c r="AG502" i="1" s="1"/>
  <c r="AH588" i="1"/>
  <c r="AG588" i="1" s="1"/>
  <c r="AE588" i="1" s="1"/>
  <c r="AC588" i="1" s="1"/>
  <c r="AH141" i="1"/>
  <c r="AG141" i="1" s="1"/>
  <c r="AH761" i="1"/>
  <c r="AG761" i="1" s="1"/>
  <c r="AH866" i="1"/>
  <c r="AG866" i="1" s="1"/>
  <c r="AH1043" i="1"/>
  <c r="AG1043" i="1" s="1"/>
  <c r="AH755" i="1"/>
  <c r="AG755" i="1" s="1"/>
  <c r="AH251" i="1"/>
  <c r="AG251" i="1" s="1"/>
  <c r="AH704" i="1"/>
  <c r="AG704" i="1" s="1"/>
  <c r="AH256" i="1"/>
  <c r="AG256" i="1" s="1"/>
  <c r="AH1223" i="1"/>
  <c r="AG1223" i="1" s="1"/>
  <c r="AH1083" i="1"/>
  <c r="AG1083" i="1" s="1"/>
  <c r="AH1033" i="1"/>
  <c r="AG1033" i="1" s="1"/>
  <c r="AE1033" i="1" s="1"/>
  <c r="AC1033" i="1" s="1"/>
  <c r="AH627" i="1"/>
  <c r="AG627" i="1" s="1"/>
  <c r="AH527" i="1"/>
  <c r="AG527" i="1" s="1"/>
  <c r="AH488" i="1"/>
  <c r="AG488" i="1" s="1"/>
  <c r="AH349" i="1"/>
  <c r="AG349" i="1" s="1"/>
  <c r="AH249" i="1"/>
  <c r="AG249" i="1" s="1"/>
  <c r="AH210" i="1"/>
  <c r="AG210" i="1" s="1"/>
  <c r="AH160" i="1"/>
  <c r="AG160" i="1" s="1"/>
  <c r="AH121" i="1"/>
  <c r="AG121" i="1" s="1"/>
  <c r="AH914" i="1"/>
  <c r="AG914" i="1" s="1"/>
  <c r="AE914" i="1" s="1"/>
  <c r="AC914" i="1" s="1"/>
  <c r="AH786" i="1"/>
  <c r="AG786" i="1" s="1"/>
  <c r="AE786" i="1" s="1"/>
  <c r="AC786" i="1" s="1"/>
  <c r="AH60" i="1"/>
  <c r="AG60" i="1" s="1"/>
  <c r="AE60" i="1" s="1"/>
  <c r="AC60" i="1" s="1"/>
  <c r="AH616" i="1"/>
  <c r="AG616" i="1" s="1"/>
  <c r="AE616" i="1" s="1"/>
  <c r="AC616" i="1" s="1"/>
  <c r="AH810" i="1"/>
  <c r="AG810" i="1" s="1"/>
  <c r="AE810" i="1" s="1"/>
  <c r="AC810" i="1" s="1"/>
  <c r="AH312" i="1"/>
  <c r="AG312" i="1" s="1"/>
  <c r="AE312" i="1" s="1"/>
  <c r="AC312" i="1" s="1"/>
  <c r="AH983" i="1"/>
  <c r="AG983" i="1" s="1"/>
  <c r="AH1039" i="1"/>
  <c r="AG1039" i="1" s="1"/>
  <c r="AH368" i="1"/>
  <c r="AG368" i="1" s="1"/>
  <c r="AH509" i="1"/>
  <c r="AG509" i="1" s="1"/>
  <c r="AH280" i="1"/>
  <c r="AG280" i="1" s="1"/>
  <c r="AH925" i="1"/>
  <c r="AG925" i="1" s="1"/>
  <c r="AH140" i="1"/>
  <c r="AG140" i="1" s="1"/>
  <c r="AH372" i="1"/>
  <c r="AG372" i="1" s="1"/>
  <c r="AH590" i="1"/>
  <c r="AG590" i="1" s="1"/>
  <c r="AH1222" i="1"/>
  <c r="AG1222" i="1" s="1"/>
  <c r="AH1082" i="1"/>
  <c r="AG1082" i="1" s="1"/>
  <c r="AE1082" i="1" s="1"/>
  <c r="AC1082" i="1" s="1"/>
  <c r="AH993" i="1"/>
  <c r="AG993" i="1" s="1"/>
  <c r="AH893" i="1"/>
  <c r="AG893" i="1" s="1"/>
  <c r="AH626" i="1"/>
  <c r="AG626" i="1" s="1"/>
  <c r="AH526" i="1"/>
  <c r="AG526" i="1" s="1"/>
  <c r="AH348" i="1"/>
  <c r="AG348" i="1" s="1"/>
  <c r="AE348" i="1" s="1"/>
  <c r="AC348" i="1" s="1"/>
  <c r="AH298" i="1"/>
  <c r="AG298" i="1" s="1"/>
  <c r="AH209" i="1"/>
  <c r="AG209" i="1" s="1"/>
  <c r="AH159" i="1"/>
  <c r="AG159" i="1" s="1"/>
  <c r="AH19" i="1"/>
  <c r="AG19" i="1" s="1"/>
  <c r="AH730" i="1"/>
  <c r="AG730" i="1" s="1"/>
  <c r="AE730" i="1" s="1"/>
  <c r="AC730" i="1" s="1"/>
  <c r="AH870" i="1"/>
  <c r="AG870" i="1" s="1"/>
  <c r="AE870" i="1" s="1"/>
  <c r="AC870" i="1" s="1"/>
  <c r="AH1071" i="1"/>
  <c r="AG1071" i="1" s="1"/>
  <c r="AE1071" i="1" s="1"/>
  <c r="AC1071" i="1" s="1"/>
  <c r="AH63" i="1"/>
  <c r="AG63" i="1" s="1"/>
  <c r="AE63" i="1" s="1"/>
  <c r="AC63" i="1" s="1"/>
  <c r="AH335" i="1"/>
  <c r="AG335" i="1" s="1"/>
  <c r="AH92" i="1"/>
  <c r="AG92" i="1" s="1"/>
  <c r="AE92" i="1" s="1"/>
  <c r="AC92" i="1" s="1"/>
  <c r="AH816" i="1"/>
  <c r="AG816" i="1" s="1"/>
  <c r="AH899" i="1"/>
  <c r="AG899" i="1" s="1"/>
  <c r="AE899" i="1" s="1"/>
  <c r="AC899" i="1" s="1"/>
  <c r="AH763" i="1"/>
  <c r="AG763" i="1" s="1"/>
  <c r="AE763" i="1" s="1"/>
  <c r="AC763" i="1" s="1"/>
  <c r="AH113" i="1"/>
  <c r="AG113" i="1" s="1"/>
  <c r="AH732" i="1"/>
  <c r="AG732" i="1" s="1"/>
  <c r="AH568" i="1"/>
  <c r="AG568" i="1" s="1"/>
  <c r="AH868" i="1"/>
  <c r="AG868" i="1" s="1"/>
  <c r="AH199" i="1"/>
  <c r="AG199" i="1" s="1"/>
  <c r="AH56" i="1"/>
  <c r="AG56" i="1" s="1"/>
  <c r="AH1165" i="1"/>
  <c r="AG1165" i="1" s="1"/>
  <c r="AH1081" i="1"/>
  <c r="AG1081" i="1" s="1"/>
  <c r="AH942" i="1"/>
  <c r="AG942" i="1" s="1"/>
  <c r="AE942" i="1" s="1"/>
  <c r="AC942" i="1" s="1"/>
  <c r="AH803" i="1"/>
  <c r="AG803" i="1" s="1"/>
  <c r="AH753" i="1"/>
  <c r="AG753" i="1" s="1"/>
  <c r="AE753" i="1" s="1"/>
  <c r="AC753" i="1" s="1"/>
  <c r="AH664" i="1"/>
  <c r="AG664" i="1" s="1"/>
  <c r="AH625" i="1"/>
  <c r="AG625" i="1" s="1"/>
  <c r="AH525" i="1"/>
  <c r="AG525" i="1" s="1"/>
  <c r="AH486" i="1"/>
  <c r="AG486" i="1" s="1"/>
  <c r="AH347" i="1"/>
  <c r="AG347" i="1" s="1"/>
  <c r="AE347" i="1" s="1"/>
  <c r="AC347" i="1" s="1"/>
  <c r="AH158" i="1"/>
  <c r="AG158" i="1" s="1"/>
  <c r="AH108" i="1"/>
  <c r="AG108" i="1" s="1"/>
  <c r="AH68" i="1"/>
  <c r="AG68" i="1" s="1"/>
  <c r="AH790" i="1"/>
  <c r="AG790" i="1" s="1"/>
  <c r="AE790" i="1" s="1"/>
  <c r="AC790" i="1" s="1"/>
  <c r="AH702" i="1"/>
  <c r="AG702" i="1" s="1"/>
  <c r="AE702" i="1" s="1"/>
  <c r="AC702" i="1" s="1"/>
  <c r="AH903" i="1"/>
  <c r="AG903" i="1" s="1"/>
  <c r="AH503" i="1"/>
  <c r="AG503" i="1" s="1"/>
  <c r="AH871" i="1"/>
  <c r="AG871" i="1" s="1"/>
  <c r="AH622" i="1"/>
  <c r="AG622" i="1" s="1"/>
  <c r="AH985" i="1"/>
  <c r="AG985" i="1" s="1"/>
  <c r="AE985" i="1" s="1"/>
  <c r="AC985" i="1" s="1"/>
  <c r="AH1069" i="1"/>
  <c r="AG1069" i="1" s="1"/>
  <c r="AH370" i="1"/>
  <c r="AG370" i="1" s="1"/>
  <c r="AH818" i="1"/>
  <c r="AG818" i="1" s="1"/>
  <c r="AE818" i="1" s="1"/>
  <c r="AC818" i="1" s="1"/>
  <c r="AH475" i="1"/>
  <c r="AG475" i="1" s="1"/>
  <c r="AH652" i="1"/>
  <c r="AG652" i="1" s="1"/>
  <c r="AH759" i="1"/>
  <c r="AG759" i="1" s="1"/>
  <c r="AH734" i="1"/>
  <c r="AG734" i="1" s="1"/>
  <c r="AH341" i="1"/>
  <c r="AG341" i="1" s="1"/>
  <c r="AH367" i="1"/>
  <c r="AG367" i="1" s="1"/>
  <c r="AH202" i="1"/>
  <c r="AG202" i="1" s="1"/>
  <c r="AH1062" i="1"/>
  <c r="AG1062" i="1" s="1"/>
  <c r="AH643" i="1"/>
  <c r="AG643" i="1" s="1"/>
  <c r="AH619" i="1"/>
  <c r="AG619" i="1" s="1"/>
  <c r="AH1164" i="1"/>
  <c r="AG1164" i="1" s="1"/>
  <c r="AH1080" i="1"/>
  <c r="AG1080" i="1" s="1"/>
  <c r="AH991" i="1"/>
  <c r="AG991" i="1" s="1"/>
  <c r="AH941" i="1"/>
  <c r="AG941" i="1" s="1"/>
  <c r="AH852" i="1"/>
  <c r="AG852" i="1" s="1"/>
  <c r="AH802" i="1"/>
  <c r="AG802" i="1" s="1"/>
  <c r="AH524" i="1"/>
  <c r="AG524" i="1" s="1"/>
  <c r="AE524" i="1" s="1"/>
  <c r="AC524" i="1" s="1"/>
  <c r="AH435" i="1"/>
  <c r="AG435" i="1" s="1"/>
  <c r="AH385" i="1"/>
  <c r="AG385" i="1" s="1"/>
  <c r="AH246" i="1"/>
  <c r="AG246" i="1" s="1"/>
  <c r="AE246" i="1" s="1"/>
  <c r="AC246" i="1" s="1"/>
  <c r="AH157" i="1"/>
  <c r="AG157" i="1" s="1"/>
  <c r="AH1063" i="1"/>
  <c r="AG1063" i="1" s="1"/>
  <c r="AH672" i="1"/>
  <c r="AG672" i="1" s="1"/>
  <c r="AE672" i="1" s="1"/>
  <c r="AC672" i="1" s="1"/>
  <c r="AH483" i="1"/>
  <c r="AG483" i="1" s="1"/>
  <c r="AE483" i="1" s="1"/>
  <c r="AC483" i="1" s="1"/>
  <c r="AH196" i="1"/>
  <c r="AG196" i="1" s="1"/>
  <c r="AE196" i="1" s="1"/>
  <c r="AC196" i="1" s="1"/>
  <c r="AH932" i="1"/>
  <c r="AG932" i="1" s="1"/>
  <c r="AH1065" i="1"/>
  <c r="AG1065" i="1" s="1"/>
  <c r="AH791" i="1"/>
  <c r="AG791" i="1" s="1"/>
  <c r="AH592" i="1"/>
  <c r="AG592" i="1" s="1"/>
  <c r="AH889" i="1"/>
  <c r="AG889" i="1" s="1"/>
  <c r="AH392" i="1"/>
  <c r="AG392" i="1" s="1"/>
  <c r="AE392" i="1" s="1"/>
  <c r="AC392" i="1" s="1"/>
  <c r="AH448" i="1"/>
  <c r="AG448" i="1" s="1"/>
  <c r="AE448" i="1" s="1"/>
  <c r="AC448" i="1" s="1"/>
  <c r="AH7" i="1"/>
  <c r="AG7" i="1" s="1"/>
  <c r="AH924" i="1"/>
  <c r="AG924" i="1" s="1"/>
  <c r="AH1007" i="1"/>
  <c r="AG1007" i="1" s="1"/>
  <c r="AH1068" i="1"/>
  <c r="AG1068" i="1" s="1"/>
  <c r="AH1219" i="1"/>
  <c r="AG1219" i="1" s="1"/>
  <c r="AH1079" i="1"/>
  <c r="AG1079" i="1" s="1"/>
  <c r="AH990" i="1"/>
  <c r="AG990" i="1" s="1"/>
  <c r="AE990" i="1" s="1"/>
  <c r="AC990" i="1" s="1"/>
  <c r="AH940" i="1"/>
  <c r="AG940" i="1" s="1"/>
  <c r="AH712" i="1"/>
  <c r="AG712" i="1" s="1"/>
  <c r="AH662" i="1"/>
  <c r="AG662" i="1" s="1"/>
  <c r="AH573" i="1"/>
  <c r="AG573" i="1" s="1"/>
  <c r="AH434" i="1"/>
  <c r="AG434" i="1" s="1"/>
  <c r="AH384" i="1"/>
  <c r="AG384" i="1" s="1"/>
  <c r="AH295" i="1"/>
  <c r="AG295" i="1" s="1"/>
  <c r="AE295" i="1" s="1"/>
  <c r="AC295" i="1" s="1"/>
  <c r="AH156" i="1"/>
  <c r="AG156" i="1" s="1"/>
  <c r="AH66" i="1"/>
  <c r="AG66" i="1" s="1"/>
  <c r="AH508" i="1"/>
  <c r="AG508" i="1" s="1"/>
  <c r="AH311" i="1"/>
  <c r="AG311" i="1" s="1"/>
  <c r="AH511" i="1"/>
  <c r="AG511" i="1" s="1"/>
  <c r="AH561" i="1"/>
  <c r="AG561" i="1" s="1"/>
  <c r="AH201" i="1"/>
  <c r="AG201" i="1" s="1"/>
  <c r="AH947" i="1"/>
  <c r="AG947" i="1" s="1"/>
  <c r="AE947" i="1" s="1"/>
  <c r="AC947" i="1" s="1"/>
  <c r="AH754" i="1"/>
  <c r="AG754" i="1" s="1"/>
  <c r="AH701" i="1"/>
  <c r="AG701" i="1" s="1"/>
  <c r="AH787" i="1"/>
  <c r="AG787" i="1" s="1"/>
  <c r="AH176" i="1"/>
  <c r="AG176" i="1" s="1"/>
  <c r="AH144" i="1"/>
  <c r="AG144" i="1" s="1"/>
  <c r="AH869" i="1"/>
  <c r="AG869" i="1" s="1"/>
  <c r="AH593" i="1"/>
  <c r="AG593" i="1" s="1"/>
  <c r="AH449" i="1"/>
  <c r="AG449" i="1" s="1"/>
  <c r="AH278" i="1"/>
  <c r="AG278" i="1" s="1"/>
  <c r="AH562" i="1"/>
  <c r="AG562" i="1" s="1"/>
  <c r="AH698" i="1"/>
  <c r="AG698" i="1" s="1"/>
  <c r="AH505" i="1"/>
  <c r="AG505" i="1" s="1"/>
  <c r="AH1218" i="1"/>
  <c r="AG1218" i="1" s="1"/>
  <c r="AE1218" i="1" s="1"/>
  <c r="AC1218" i="1" s="1"/>
  <c r="AH1078" i="1"/>
  <c r="AG1078" i="1" s="1"/>
  <c r="AH989" i="1"/>
  <c r="AG989" i="1" s="1"/>
  <c r="AH762" i="1"/>
  <c r="AG762" i="1" s="1"/>
  <c r="AH611" i="1"/>
  <c r="AG611" i="1" s="1"/>
  <c r="AE611" i="1" s="1"/>
  <c r="AC611" i="1" s="1"/>
  <c r="AH522" i="1"/>
  <c r="AG522" i="1" s="1"/>
  <c r="AH383" i="1"/>
  <c r="AG383" i="1" s="1"/>
  <c r="AH333" i="1"/>
  <c r="AG333" i="1" s="1"/>
  <c r="AH205" i="1"/>
  <c r="AG205" i="1" s="1"/>
  <c r="AH402" i="1"/>
  <c r="AG402" i="1" s="1"/>
  <c r="AH65" i="1"/>
  <c r="AG65" i="1" s="1"/>
  <c r="AH224" i="1"/>
  <c r="AG224" i="1" s="1"/>
  <c r="AH847" i="1"/>
  <c r="AG847" i="1" s="1"/>
  <c r="AH197" i="1"/>
  <c r="AG197" i="1" s="1"/>
  <c r="AH33" i="1"/>
  <c r="AG33" i="1" s="1"/>
  <c r="AE33" i="1" s="1"/>
  <c r="AC33" i="1" s="1"/>
  <c r="AH232" i="1"/>
  <c r="AG232" i="1" s="1"/>
  <c r="AH453" i="1"/>
  <c r="AG453" i="1" s="1"/>
  <c r="AH785" i="1"/>
  <c r="AG785" i="1" s="1"/>
  <c r="AH756" i="1"/>
  <c r="AG756" i="1" s="1"/>
  <c r="AH789" i="1"/>
  <c r="AG789" i="1" s="1"/>
  <c r="AH34" i="1"/>
  <c r="AG34" i="1" s="1"/>
  <c r="AH1041" i="1"/>
  <c r="AG1041" i="1" s="1"/>
  <c r="AH811" i="1"/>
  <c r="AG811" i="1" s="1"/>
  <c r="AH783" i="1"/>
  <c r="AG783" i="1" s="1"/>
  <c r="AH651" i="1"/>
  <c r="AG651" i="1" s="1"/>
  <c r="AH31" i="1"/>
  <c r="AG31" i="1" s="1"/>
  <c r="AH931" i="1"/>
  <c r="AG931" i="1" s="1"/>
  <c r="AH838" i="1"/>
  <c r="AG838" i="1" s="1"/>
  <c r="AH1009" i="1"/>
  <c r="AG1009" i="1" s="1"/>
  <c r="AH1077" i="1"/>
  <c r="AG1077" i="1" s="1"/>
  <c r="AE1077" i="1" s="1"/>
  <c r="AC1077" i="1" s="1"/>
  <c r="AH888" i="1"/>
  <c r="AG888" i="1" s="1"/>
  <c r="AH710" i="1"/>
  <c r="AG710" i="1" s="1"/>
  <c r="AH660" i="1"/>
  <c r="AG660" i="1" s="1"/>
  <c r="AH571" i="1"/>
  <c r="AG571" i="1" s="1"/>
  <c r="AE571" i="1" s="1"/>
  <c r="AC571" i="1" s="1"/>
  <c r="AH471" i="1"/>
  <c r="AG471" i="1" s="1"/>
  <c r="AH432" i="1"/>
  <c r="AG432" i="1" s="1"/>
  <c r="AH382" i="1"/>
  <c r="AG382" i="1" s="1"/>
  <c r="AH873" i="1"/>
  <c r="AG873" i="1" s="1"/>
  <c r="AH650" i="1"/>
  <c r="AG650" i="1" s="1"/>
  <c r="AH987" i="1"/>
  <c r="AG987" i="1" s="1"/>
  <c r="AE987" i="1" s="1"/>
  <c r="AC987" i="1" s="1"/>
  <c r="AH139" i="1"/>
  <c r="AG139" i="1" s="1"/>
  <c r="AH615" i="1"/>
  <c r="AG615" i="1" s="1"/>
  <c r="AH896" i="1"/>
  <c r="AG896" i="1" s="1"/>
  <c r="AH171" i="1"/>
  <c r="AG171" i="1" s="1"/>
  <c r="AH146" i="1"/>
  <c r="AG146" i="1" s="1"/>
  <c r="AH398" i="1"/>
  <c r="AG398" i="1" s="1"/>
  <c r="AH539" i="1"/>
  <c r="AG539" i="1" s="1"/>
  <c r="AE539" i="1" s="1"/>
  <c r="AC539" i="1" s="1"/>
  <c r="AH250" i="1"/>
  <c r="AG250" i="1" s="1"/>
  <c r="AH679" i="1"/>
  <c r="AG679" i="1" s="1"/>
  <c r="AH53" i="1"/>
  <c r="AG53" i="1" s="1"/>
  <c r="AH166" i="1"/>
  <c r="AG166" i="1" s="1"/>
  <c r="AH671" i="1"/>
  <c r="AG671" i="1" s="1"/>
  <c r="AH257" i="1"/>
  <c r="AG257" i="1" s="1"/>
  <c r="AH90" i="1"/>
  <c r="AG90" i="1" s="1"/>
  <c r="AH1272" i="1"/>
  <c r="AG1272" i="1" s="1"/>
  <c r="AH1188" i="1"/>
  <c r="AG1188" i="1" s="1"/>
  <c r="AH1104" i="1"/>
  <c r="AG1104" i="1" s="1"/>
  <c r="AE1104" i="1" s="1"/>
  <c r="AC1104" i="1" s="1"/>
  <c r="AH976" i="1"/>
  <c r="AG976" i="1" s="1"/>
  <c r="AH837" i="1"/>
  <c r="AG837" i="1" s="1"/>
  <c r="AH76" i="1"/>
  <c r="AG76" i="1" s="1"/>
  <c r="AE76" i="1" s="1"/>
  <c r="AC76" i="1" s="1"/>
  <c r="AH709" i="1"/>
  <c r="AG709" i="1" s="1"/>
  <c r="AH659" i="1"/>
  <c r="AG659" i="1" s="1"/>
  <c r="AH609" i="1"/>
  <c r="AG609" i="1" s="1"/>
  <c r="AE609" i="1" s="1"/>
  <c r="AC609" i="1" s="1"/>
  <c r="AH470" i="1"/>
  <c r="AG470" i="1" s="1"/>
  <c r="AH431" i="1"/>
  <c r="AG431" i="1" s="1"/>
  <c r="AH381" i="1"/>
  <c r="AG381" i="1" s="1"/>
  <c r="AH292" i="1"/>
  <c r="AG292" i="1" s="1"/>
  <c r="AE292" i="1" s="1"/>
  <c r="AC292" i="1" s="1"/>
  <c r="AH192" i="1"/>
  <c r="AG192" i="1" s="1"/>
  <c r="AE192" i="1" s="1"/>
  <c r="AC192" i="1" s="1"/>
  <c r="AH52" i="1"/>
  <c r="AG52" i="1" s="1"/>
  <c r="AH699" i="1"/>
  <c r="AG699" i="1" s="1"/>
  <c r="AH848" i="1"/>
  <c r="AG848" i="1" s="1"/>
  <c r="AH200" i="1"/>
  <c r="AG200" i="1" s="1"/>
  <c r="AE200" i="1" s="1"/>
  <c r="AC200" i="1" s="1"/>
  <c r="AH287" i="1"/>
  <c r="AG287" i="1" s="1"/>
  <c r="AH340" i="1"/>
  <c r="AG340" i="1" s="1"/>
  <c r="AH1034" i="1"/>
  <c r="AG1034" i="1" s="1"/>
  <c r="AH788" i="1"/>
  <c r="AG788" i="1" s="1"/>
  <c r="AH560" i="1"/>
  <c r="AG560" i="1" s="1"/>
  <c r="AH706" i="1"/>
  <c r="AG706" i="1" s="1"/>
  <c r="AH225" i="1"/>
  <c r="AG225" i="1" s="1"/>
  <c r="AH55" i="1"/>
  <c r="AG55" i="1" s="1"/>
  <c r="AH313" i="1"/>
  <c r="AG313" i="1" s="1"/>
  <c r="AH309" i="1"/>
  <c r="AG309" i="1" s="1"/>
  <c r="AH984" i="1"/>
  <c r="AG984" i="1" s="1"/>
  <c r="AH558" i="1"/>
  <c r="AG558" i="1" s="1"/>
  <c r="AH1187" i="1"/>
  <c r="AG1187" i="1" s="1"/>
  <c r="AH1131" i="1"/>
  <c r="AG1131" i="1" s="1"/>
  <c r="AH1103" i="1"/>
  <c r="AG1103" i="1" s="1"/>
  <c r="AH975" i="1"/>
  <c r="AG975" i="1" s="1"/>
  <c r="AH886" i="1"/>
  <c r="AG886" i="1" s="1"/>
  <c r="AH836" i="1"/>
  <c r="AG836" i="1" s="1"/>
  <c r="AH797" i="1"/>
  <c r="AG797" i="1" s="1"/>
  <c r="AE797" i="1" s="1"/>
  <c r="AC797" i="1" s="1"/>
  <c r="AH697" i="1"/>
  <c r="AG697" i="1" s="1"/>
  <c r="AH608" i="1"/>
  <c r="AG608" i="1" s="1"/>
  <c r="AH519" i="1"/>
  <c r="AG519" i="1" s="1"/>
  <c r="AH469" i="1"/>
  <c r="AG469" i="1" s="1"/>
  <c r="AH430" i="1"/>
  <c r="AG430" i="1" s="1"/>
  <c r="AH191" i="1"/>
  <c r="AG191" i="1" s="1"/>
  <c r="AH102" i="1"/>
  <c r="AG102" i="1" s="1"/>
  <c r="AH621" i="1"/>
  <c r="AG621" i="1" s="1"/>
  <c r="AE621" i="1" s="1"/>
  <c r="AC621" i="1" s="1"/>
  <c r="AH614" i="1"/>
  <c r="AG614" i="1" s="1"/>
  <c r="AH339" i="1"/>
  <c r="AG339" i="1" s="1"/>
  <c r="AH876" i="1"/>
  <c r="AG876" i="1" s="1"/>
  <c r="AH259" i="1"/>
  <c r="AG259" i="1" s="1"/>
  <c r="AE259" i="1" s="1"/>
  <c r="AC259" i="1" s="1"/>
  <c r="AH5" i="1"/>
  <c r="AG5" i="1" s="1"/>
  <c r="AH680" i="1"/>
  <c r="AG680" i="1" s="1"/>
  <c r="AH195" i="1"/>
  <c r="AG195" i="1" s="1"/>
  <c r="AH175" i="1"/>
  <c r="AG175" i="1" s="1"/>
  <c r="AH484" i="1"/>
  <c r="AG484" i="1" s="1"/>
  <c r="AH726" i="1"/>
  <c r="AG726" i="1" s="1"/>
  <c r="AH252" i="1"/>
  <c r="AG252" i="1" s="1"/>
  <c r="AH1270" i="1"/>
  <c r="AG1270" i="1" s="1"/>
  <c r="AH1214" i="1"/>
  <c r="AG1214" i="1" s="1"/>
  <c r="AE1214" i="1" s="1"/>
  <c r="AC1214" i="1" s="1"/>
  <c r="AH1186" i="1"/>
  <c r="AG1186" i="1" s="1"/>
  <c r="AE1186" i="1" s="1"/>
  <c r="AC1186" i="1" s="1"/>
  <c r="AH429" i="1"/>
  <c r="AG429" i="1" s="1"/>
  <c r="AH290" i="1"/>
  <c r="AG290" i="1" s="1"/>
  <c r="AH11" i="1"/>
  <c r="AG11" i="1" s="1"/>
  <c r="AH194" i="1"/>
  <c r="AG194" i="1" s="1"/>
  <c r="AH315" i="1"/>
  <c r="AG315" i="1" s="1"/>
  <c r="AH760" i="1"/>
  <c r="AG760" i="1" s="1"/>
  <c r="AH840" i="1"/>
  <c r="AG840" i="1" s="1"/>
  <c r="AH427" i="1"/>
  <c r="AG427" i="1" s="1"/>
  <c r="AH986" i="1"/>
  <c r="AG986" i="1" s="1"/>
  <c r="AH395" i="1"/>
  <c r="AG395" i="1" s="1"/>
  <c r="AH843" i="1"/>
  <c r="AG843" i="1" s="1"/>
  <c r="AH923" i="1"/>
  <c r="AG923" i="1" s="1"/>
  <c r="AH231" i="1"/>
  <c r="AG231" i="1" s="1"/>
  <c r="AH1213" i="1"/>
  <c r="AG1213" i="1" s="1"/>
  <c r="AE1213" i="1" s="1"/>
  <c r="AC1213" i="1" s="1"/>
  <c r="AH67" i="1"/>
  <c r="AG67" i="1" s="1"/>
  <c r="AH656" i="1"/>
  <c r="AG656" i="1" s="1"/>
  <c r="AE656" i="1" s="1"/>
  <c r="AC656" i="1" s="1"/>
  <c r="AH289" i="1"/>
  <c r="AG289" i="1" s="1"/>
  <c r="AH10" i="1"/>
  <c r="AG10" i="1" s="1"/>
  <c r="AE10" i="1" s="1"/>
  <c r="AC10" i="1" s="1"/>
  <c r="AF1294" i="1"/>
  <c r="AB1294" i="1"/>
  <c r="X1294" i="1"/>
  <c r="H1321" i="1"/>
  <c r="F1321" i="1"/>
  <c r="Z189" i="1"/>
  <c r="Y189" i="1" s="1"/>
  <c r="Z508" i="1"/>
  <c r="Y508" i="1" s="1"/>
  <c r="Z333" i="1"/>
  <c r="Y333" i="1" s="1"/>
  <c r="Z961" i="1"/>
  <c r="Y961" i="1" s="1"/>
  <c r="Z1020" i="1"/>
  <c r="Y1020" i="1" s="1"/>
  <c r="Z1091" i="1"/>
  <c r="Y1091" i="1" s="1"/>
  <c r="Z1065" i="1"/>
  <c r="Y1065" i="1" s="1"/>
  <c r="Z871" i="1"/>
  <c r="Y871" i="1" s="1"/>
  <c r="Z108" i="1"/>
  <c r="Y108" i="1" s="1"/>
  <c r="Z1195" i="1"/>
  <c r="Y1195" i="1" s="1"/>
  <c r="Z156" i="1"/>
  <c r="Y156" i="1" s="1"/>
  <c r="Z583" i="1"/>
  <c r="Y583" i="1" s="1"/>
  <c r="Z486" i="1"/>
  <c r="Y486" i="1" s="1"/>
  <c r="Z937" i="1"/>
  <c r="Y937" i="1" s="1"/>
  <c r="Z62" i="1"/>
  <c r="Y62" i="1" s="1"/>
  <c r="Z1095" i="1"/>
  <c r="Y1095" i="1" s="1"/>
  <c r="Z1089" i="1"/>
  <c r="Y1089" i="1" s="1"/>
  <c r="Z943" i="1"/>
  <c r="Y943" i="1" s="1"/>
  <c r="Z1158" i="1"/>
  <c r="Y1158" i="1" s="1"/>
  <c r="Z86" i="1"/>
  <c r="Y86" i="1" s="1"/>
  <c r="Z456" i="1"/>
  <c r="Y456" i="1" s="1"/>
  <c r="Z717" i="1"/>
  <c r="Y717" i="1" s="1"/>
  <c r="Z411" i="1"/>
  <c r="Y411" i="1" s="1"/>
  <c r="Z812" i="1"/>
  <c r="Y812" i="1" s="1"/>
  <c r="Z1026" i="1"/>
  <c r="Y1026" i="1" s="1"/>
  <c r="Z207" i="1"/>
  <c r="Y207" i="1" s="1"/>
  <c r="Z850" i="1"/>
  <c r="Y850" i="1" s="1"/>
  <c r="Z1209" i="1"/>
  <c r="Y1209" i="1" s="1"/>
  <c r="Z198" i="1"/>
  <c r="Y198" i="1" s="1"/>
  <c r="Z874" i="1"/>
  <c r="Y874" i="1" s="1"/>
  <c r="Z1237" i="1"/>
  <c r="Y1237" i="1" s="1"/>
  <c r="Z1202" i="1"/>
  <c r="Y1202" i="1" s="1"/>
  <c r="Z316" i="1"/>
  <c r="Y316" i="1" s="1"/>
  <c r="Z25" i="1"/>
  <c r="Y25" i="1" s="1"/>
  <c r="Z45" i="1"/>
  <c r="Y45" i="1" s="1"/>
  <c r="Z875" i="1"/>
  <c r="Y875" i="1" s="1"/>
  <c r="Z354" i="1"/>
  <c r="Y354" i="1" s="1"/>
  <c r="Z610" i="1"/>
  <c r="Y610" i="1" s="1"/>
  <c r="Z143" i="1"/>
  <c r="Y143" i="1" s="1"/>
  <c r="Z1208" i="1"/>
  <c r="Y1208" i="1" s="1"/>
  <c r="Z1289" i="1"/>
  <c r="Y1289" i="1" s="1"/>
  <c r="Z1292" i="1"/>
  <c r="Y1292" i="1" s="1"/>
  <c r="Z224" i="1"/>
  <c r="Y224" i="1" s="1"/>
  <c r="Z847" i="1"/>
  <c r="Y847" i="1" s="1"/>
  <c r="Z311" i="1"/>
  <c r="Y311" i="1" s="1"/>
  <c r="Z1050" i="1"/>
  <c r="Y1050" i="1" s="1"/>
  <c r="Z249" i="1"/>
  <c r="Y249" i="1" s="1"/>
  <c r="Z768" i="1"/>
  <c r="Y768" i="1" s="1"/>
  <c r="Z1145" i="1"/>
  <c r="Y1145" i="1" s="1"/>
  <c r="Z1212" i="1"/>
  <c r="Y1212" i="1" s="1"/>
  <c r="Z1105" i="1"/>
  <c r="Y1105" i="1" s="1"/>
  <c r="Z96" i="1"/>
  <c r="Y96" i="1" s="1"/>
  <c r="Z435" i="1"/>
  <c r="Y435" i="1" s="1"/>
  <c r="Z625" i="1"/>
  <c r="Y625" i="1" s="1"/>
  <c r="Z89" i="1"/>
  <c r="Y89" i="1" s="1"/>
  <c r="Z502" i="1"/>
  <c r="Y502" i="1" s="1"/>
  <c r="Z29" i="1"/>
  <c r="Y29" i="1" s="1"/>
  <c r="Z934" i="1"/>
  <c r="Y934" i="1" s="1"/>
  <c r="Z12" i="1"/>
  <c r="Y12" i="1" s="1"/>
  <c r="Z337" i="1"/>
  <c r="Y337" i="1" s="1"/>
  <c r="Z407" i="1"/>
  <c r="Y407" i="1" s="1"/>
  <c r="Z620" i="1"/>
  <c r="Y620" i="1" s="1"/>
  <c r="Z1051" i="1"/>
  <c r="Y1051" i="1" s="1"/>
  <c r="Z728" i="1"/>
  <c r="Y728" i="1" s="1"/>
  <c r="Z115" i="1"/>
  <c r="Y115" i="1" s="1"/>
  <c r="Z993" i="1"/>
  <c r="Y993" i="1" s="1"/>
  <c r="Z1044" i="1"/>
  <c r="Y1044" i="1" s="1"/>
  <c r="Z632" i="1"/>
  <c r="Y632" i="1" s="1"/>
  <c r="Z1090" i="1"/>
  <c r="Y1090" i="1" s="1"/>
  <c r="Z104" i="1"/>
  <c r="Y104" i="1" s="1"/>
  <c r="Z729" i="1"/>
  <c r="Y729" i="1" s="1"/>
  <c r="Z1109" i="1"/>
  <c r="Y1109" i="1" s="1"/>
  <c r="Z714" i="1"/>
  <c r="Y714" i="1" s="1"/>
  <c r="Z203" i="1"/>
  <c r="Y203" i="1" s="1"/>
  <c r="Z214" i="1"/>
  <c r="Y214" i="1" s="1"/>
  <c r="Z59" i="1"/>
  <c r="Y59" i="1" s="1"/>
  <c r="Z443" i="1"/>
  <c r="Y443" i="1" s="1"/>
  <c r="Z1273" i="1"/>
  <c r="Y1273" i="1" s="1"/>
  <c r="Z1252" i="1"/>
  <c r="Y1252" i="1" s="1"/>
  <c r="Z22" i="1"/>
  <c r="Y22" i="1" s="1"/>
  <c r="Z791" i="1"/>
  <c r="Y791" i="1" s="1"/>
  <c r="Z1270" i="1"/>
  <c r="Y1270" i="1" s="1"/>
  <c r="Z496" i="1"/>
  <c r="Y496" i="1" s="1"/>
  <c r="Z975" i="1"/>
  <c r="Y975" i="1" s="1"/>
  <c r="Z629" i="1"/>
  <c r="Y629" i="1" s="1"/>
  <c r="Z805" i="1"/>
  <c r="Y805" i="1" s="1"/>
  <c r="Z474" i="1"/>
  <c r="Y474" i="1" s="1"/>
  <c r="Z604" i="1"/>
  <c r="Y604" i="1" s="1"/>
  <c r="Z418" i="1"/>
  <c r="Y418" i="1" s="1"/>
  <c r="Z178" i="1"/>
  <c r="Y178" i="1" s="1"/>
  <c r="Z800" i="1"/>
  <c r="Y800" i="1" s="1"/>
  <c r="Z464" i="1"/>
  <c r="Y464" i="1" s="1"/>
  <c r="Z236" i="1"/>
  <c r="Y236" i="1" s="1"/>
  <c r="Z234" i="1"/>
  <c r="Y234" i="1" s="1"/>
  <c r="Z185" i="1"/>
  <c r="Y185" i="1" s="1"/>
  <c r="Z351" i="1"/>
  <c r="Y351" i="1" s="1"/>
  <c r="Z699" i="1"/>
  <c r="Y699" i="1" s="1"/>
  <c r="Z639" i="1"/>
  <c r="Y639" i="1" s="1"/>
  <c r="Z266" i="1"/>
  <c r="Y266" i="1" s="1"/>
  <c r="Z1080" i="1"/>
  <c r="Y1080" i="1" s="1"/>
  <c r="Z1278" i="1"/>
  <c r="Y1278" i="1" s="1"/>
  <c r="Z197" i="1"/>
  <c r="Y197" i="1" s="1"/>
  <c r="Z511" i="1"/>
  <c r="Y511" i="1" s="1"/>
  <c r="Z219" i="1"/>
  <c r="Y219" i="1" s="1"/>
  <c r="Z557" i="1"/>
  <c r="Y557" i="1" s="1"/>
  <c r="Z1079" i="1"/>
  <c r="Y1079" i="1" s="1"/>
  <c r="Z1039" i="1"/>
  <c r="Y1039" i="1" s="1"/>
  <c r="Z806" i="1"/>
  <c r="Y806" i="1" s="1"/>
  <c r="Z141" i="1"/>
  <c r="Y141" i="1" s="1"/>
  <c r="Z1178" i="1"/>
  <c r="Y1178" i="1" s="1"/>
  <c r="Z1055" i="1"/>
  <c r="Y1055" i="1" s="1"/>
  <c r="Z751" i="1"/>
  <c r="Y751" i="1" s="1"/>
  <c r="Z857" i="1"/>
  <c r="Y857" i="1" s="1"/>
  <c r="Z39" i="1"/>
  <c r="Y39" i="1" s="1"/>
  <c r="Z1247" i="1"/>
  <c r="Y1247" i="1" s="1"/>
  <c r="Z131" i="1"/>
  <c r="Y131" i="1" s="1"/>
  <c r="Z691" i="1"/>
  <c r="Y691" i="1" s="1"/>
  <c r="Z848" i="1"/>
  <c r="Y848" i="1" s="1"/>
  <c r="Z877" i="1"/>
  <c r="Y877" i="1" s="1"/>
  <c r="Z873" i="1"/>
  <c r="Y873" i="1" s="1"/>
  <c r="Z650" i="1"/>
  <c r="Y650" i="1" s="1"/>
  <c r="Z1060" i="1"/>
  <c r="Y1060" i="1" s="1"/>
  <c r="Z52" i="1"/>
  <c r="Y52" i="1" s="1"/>
  <c r="Z561" i="1"/>
  <c r="Y561" i="1" s="1"/>
  <c r="Z47" i="1"/>
  <c r="Y47" i="1" s="1"/>
  <c r="Z1204" i="1"/>
  <c r="Y1204" i="1" s="1"/>
  <c r="Z201" i="1"/>
  <c r="Y201" i="1" s="1"/>
  <c r="Z160" i="1"/>
  <c r="Y160" i="1" s="1"/>
  <c r="Z622" i="1"/>
  <c r="Y622" i="1" s="1"/>
  <c r="Z1266" i="1"/>
  <c r="Y1266" i="1" s="1"/>
  <c r="Z209" i="1"/>
  <c r="Y209" i="1" s="1"/>
  <c r="Z210" i="1"/>
  <c r="Y210" i="1" s="1"/>
  <c r="Z664" i="1"/>
  <c r="Y664" i="1" s="1"/>
  <c r="Z669" i="1"/>
  <c r="Y669" i="1" s="1"/>
  <c r="Z368" i="1"/>
  <c r="Y368" i="1" s="1"/>
  <c r="Z798" i="1"/>
  <c r="Y798" i="1" s="1"/>
  <c r="Z320" i="1"/>
  <c r="Y320" i="1" s="1"/>
  <c r="Z631" i="1"/>
  <c r="Y631" i="1" s="1"/>
  <c r="Z635" i="1"/>
  <c r="Y635" i="1" s="1"/>
  <c r="Z499" i="1"/>
  <c r="Y499" i="1" s="1"/>
  <c r="Z1154" i="1"/>
  <c r="Y1154" i="1" s="1"/>
  <c r="Z504" i="1"/>
  <c r="Y504" i="1" s="1"/>
  <c r="Z460" i="1"/>
  <c r="Y460" i="1" s="1"/>
  <c r="Z476" i="1"/>
  <c r="Y476" i="1" s="1"/>
  <c r="Z595" i="1"/>
  <c r="Y595" i="1" s="1"/>
  <c r="Z1040" i="1"/>
  <c r="Y1040" i="1" s="1"/>
  <c r="Z901" i="1"/>
  <c r="Y901" i="1" s="1"/>
  <c r="Z324" i="1"/>
  <c r="Y324" i="1" s="1"/>
  <c r="Z363" i="1"/>
  <c r="Y363" i="1" s="1"/>
  <c r="Z1261" i="1"/>
  <c r="Y1261" i="1" s="1"/>
  <c r="Z909" i="1"/>
  <c r="Y909" i="1" s="1"/>
  <c r="Z1117" i="1"/>
  <c r="Y1117" i="1" s="1"/>
  <c r="Z1069" i="1"/>
  <c r="Y1069" i="1" s="1"/>
  <c r="Z1263" i="1"/>
  <c r="Y1263" i="1" s="1"/>
  <c r="Z701" i="1"/>
  <c r="Y701" i="1" s="1"/>
  <c r="Z652" i="1"/>
  <c r="Y652" i="1" s="1"/>
  <c r="Z384" i="1"/>
  <c r="Y384" i="1" s="1"/>
  <c r="Z218" i="1"/>
  <c r="Y218" i="1" s="1"/>
  <c r="Z1199" i="1"/>
  <c r="Y1199" i="1" s="1"/>
  <c r="Z430" i="1"/>
  <c r="Y430" i="1" s="1"/>
  <c r="Z171" i="1"/>
  <c r="Y171" i="1" s="1"/>
  <c r="Z789" i="1"/>
  <c r="Y789" i="1" s="1"/>
  <c r="Z915" i="1"/>
  <c r="Y915" i="1" s="1"/>
  <c r="Z78" i="1"/>
  <c r="Y78" i="1" s="1"/>
  <c r="Z596" i="1"/>
  <c r="Y596" i="1" s="1"/>
  <c r="Z1175" i="1"/>
  <c r="Y1175" i="1" s="1"/>
  <c r="Z245" i="1"/>
  <c r="Y245" i="1" s="1"/>
  <c r="Z1285" i="1"/>
  <c r="Y1285" i="1" s="1"/>
  <c r="Z577" i="1"/>
  <c r="Y577" i="1" s="1"/>
  <c r="Z666" i="1"/>
  <c r="Y666" i="1" s="1"/>
  <c r="Z674" i="1"/>
  <c r="Y674" i="1" s="1"/>
  <c r="Z94" i="1"/>
  <c r="Y94" i="1" s="1"/>
  <c r="Z473" i="1"/>
  <c r="Y473" i="1" s="1"/>
  <c r="Z612" i="1"/>
  <c r="Y612" i="1" s="1"/>
  <c r="Z409" i="1"/>
  <c r="Y409" i="1" s="1"/>
  <c r="Z693" i="1"/>
  <c r="Y693" i="1" s="1"/>
  <c r="Z1097" i="1"/>
  <c r="Y1097" i="1" s="1"/>
  <c r="Z220" i="1"/>
  <c r="Y220" i="1" s="1"/>
  <c r="Z584" i="1"/>
  <c r="Y584" i="1" s="1"/>
  <c r="Z509" i="1"/>
  <c r="Y509" i="1" s="1"/>
  <c r="Z816" i="1"/>
  <c r="Y816" i="1" s="1"/>
  <c r="Z670" i="1"/>
  <c r="Y670" i="1" s="1"/>
  <c r="Z1112" i="1"/>
  <c r="Y1112" i="1" s="1"/>
  <c r="Z322" i="1"/>
  <c r="Y322" i="1" s="1"/>
  <c r="Z1099" i="1"/>
  <c r="Y1099" i="1" s="1"/>
  <c r="Z1189" i="1"/>
  <c r="Y1189" i="1" s="1"/>
  <c r="Z280" i="1"/>
  <c r="Y280" i="1" s="1"/>
  <c r="Z1181" i="1"/>
  <c r="Y1181" i="1" s="1"/>
  <c r="Z936" i="1"/>
  <c r="Y936" i="1" s="1"/>
  <c r="Z642" i="1"/>
  <c r="Y642" i="1" s="1"/>
  <c r="Z454" i="1"/>
  <c r="Y454" i="1" s="1"/>
  <c r="Z44" i="1"/>
  <c r="Y44" i="1" s="1"/>
  <c r="Z1017" i="1"/>
  <c r="Y1017" i="1" s="1"/>
  <c r="Z582" i="1"/>
  <c r="Y582" i="1" s="1"/>
  <c r="Z1281" i="1"/>
  <c r="Y1281" i="1" s="1"/>
  <c r="Z924" i="1"/>
  <c r="Y924" i="1" s="1"/>
  <c r="Z429" i="1"/>
  <c r="Y429" i="1" s="1"/>
  <c r="Z1007" i="1"/>
  <c r="Y1007" i="1" s="1"/>
  <c r="Z568" i="1"/>
  <c r="Y568" i="1" s="1"/>
  <c r="Z85" i="1"/>
  <c r="Y85" i="1" s="1"/>
  <c r="Z703" i="1"/>
  <c r="Y703" i="1" s="1"/>
  <c r="Z426" i="1"/>
  <c r="Y426" i="1" s="1"/>
  <c r="Z1144" i="1"/>
  <c r="Y1144" i="1" s="1"/>
  <c r="Z232" i="1"/>
  <c r="Y232" i="1" s="1"/>
  <c r="Z406" i="1"/>
  <c r="Y406" i="1" s="1"/>
  <c r="Z488" i="1"/>
  <c r="Y488" i="1" s="1"/>
  <c r="Z608" i="1"/>
  <c r="Y608" i="1" s="1"/>
  <c r="Z338" i="1"/>
  <c r="Y338" i="1" s="1"/>
  <c r="Z567" i="1"/>
  <c r="Y567" i="1" s="1"/>
  <c r="Z749" i="1"/>
  <c r="Y749" i="1" s="1"/>
  <c r="Z194" i="1"/>
  <c r="Y194" i="1" s="1"/>
  <c r="Z191" i="1"/>
  <c r="Y191" i="1" s="1"/>
  <c r="Z785" i="1"/>
  <c r="Y785" i="1" s="1"/>
  <c r="Z543" i="1"/>
  <c r="Y543" i="1" s="1"/>
  <c r="Z925" i="1"/>
  <c r="Y925" i="1" s="1"/>
  <c r="Z1114" i="1"/>
  <c r="Y1114" i="1" s="1"/>
  <c r="Z905" i="1"/>
  <c r="Y905" i="1" s="1"/>
  <c r="Z155" i="1"/>
  <c r="Y155" i="1" s="1"/>
  <c r="Z1219" i="1"/>
  <c r="Y1219" i="1" s="1"/>
  <c r="Z82" i="1"/>
  <c r="Y82" i="1" s="1"/>
  <c r="Z403" i="1"/>
  <c r="Y403" i="1" s="1"/>
  <c r="Z317" i="1"/>
  <c r="Y317" i="1" s="1"/>
  <c r="Z1072" i="1"/>
  <c r="Y1072" i="1" s="1"/>
  <c r="Z510" i="1"/>
  <c r="Y510" i="1" s="1"/>
  <c r="Z433" i="1"/>
  <c r="Y433" i="1" s="1"/>
  <c r="Z979" i="1"/>
  <c r="Y979" i="1" s="1"/>
  <c r="Z1245" i="1"/>
  <c r="Y1245" i="1" s="1"/>
  <c r="Z713" i="1"/>
  <c r="Y713" i="1" s="1"/>
  <c r="Z1011" i="1"/>
  <c r="Y1011" i="1" s="1"/>
  <c r="Z969" i="1"/>
  <c r="Y969" i="1" s="1"/>
  <c r="Z813" i="1"/>
  <c r="Y813" i="1" s="1"/>
  <c r="Z1280" i="1"/>
  <c r="Y1280" i="1" s="1"/>
  <c r="Z867" i="1"/>
  <c r="Y867" i="1" s="1"/>
  <c r="Z684" i="1"/>
  <c r="Y684" i="1" s="1"/>
  <c r="Z982" i="1"/>
  <c r="Y982" i="1" s="1"/>
  <c r="Z412" i="1"/>
  <c r="Y412" i="1" s="1"/>
  <c r="Z992" i="1"/>
  <c r="Y992" i="1" s="1"/>
  <c r="Z468" i="1"/>
  <c r="Y468" i="1" s="1"/>
  <c r="Z960" i="1"/>
  <c r="Y960" i="1" s="1"/>
  <c r="Z1135" i="1"/>
  <c r="Y1135" i="1" s="1"/>
  <c r="Z1120" i="1"/>
  <c r="Y1120" i="1" s="1"/>
  <c r="Z770" i="1"/>
  <c r="Y770" i="1" s="1"/>
  <c r="Z572" i="1"/>
  <c r="Y572" i="1" s="1"/>
  <c r="Z307" i="1"/>
  <c r="Y307" i="1" s="1"/>
  <c r="Z535" i="1"/>
  <c r="Y535" i="1" s="1"/>
  <c r="Z657" i="1"/>
  <c r="Y657" i="1" s="1"/>
  <c r="Z1176" i="1"/>
  <c r="Y1176" i="1" s="1"/>
  <c r="Z466" i="1"/>
  <c r="Y466" i="1" s="1"/>
  <c r="Z79" i="1"/>
  <c r="Y79" i="1" s="1"/>
  <c r="Z487" i="1"/>
  <c r="Y487" i="1" s="1"/>
  <c r="Z361" i="1"/>
  <c r="Y361" i="1" s="1"/>
  <c r="Z230" i="1"/>
  <c r="Y230" i="1" s="1"/>
  <c r="Z1271" i="1"/>
  <c r="Y1271" i="1" s="1"/>
  <c r="Z103" i="1"/>
  <c r="Y103" i="1" s="1"/>
  <c r="Z490" i="1"/>
  <c r="Y490" i="1" s="1"/>
  <c r="Z74" i="1"/>
  <c r="Y74" i="1" s="1"/>
  <c r="Z1131" i="1"/>
  <c r="Y1131" i="1" s="1"/>
  <c r="Z441" i="1"/>
  <c r="Y441" i="1" s="1"/>
  <c r="Z231" i="1"/>
  <c r="Y231" i="1" s="1"/>
  <c r="Z976" i="1"/>
  <c r="Y976" i="1" s="1"/>
  <c r="Z1182" i="1"/>
  <c r="Y1182" i="1" s="1"/>
  <c r="Z970" i="1"/>
  <c r="Y970" i="1" s="1"/>
  <c r="Z887" i="1"/>
  <c r="Y887" i="1" s="1"/>
  <c r="Z222" i="1"/>
  <c r="Y222" i="1" s="1"/>
  <c r="Z81" i="1"/>
  <c r="Y81" i="1" s="1"/>
  <c r="Z830" i="1"/>
  <c r="Y830" i="1" s="1"/>
  <c r="Z370" i="1"/>
  <c r="Y370" i="1" s="1"/>
  <c r="Z26" i="1"/>
  <c r="Y26" i="1" s="1"/>
  <c r="Z113" i="1"/>
  <c r="Y113" i="1" s="1"/>
  <c r="Z401" i="1"/>
  <c r="Y401" i="1" s="1"/>
  <c r="Z383" i="1"/>
  <c r="Y383" i="1" s="1"/>
  <c r="Z615" i="1"/>
  <c r="Y615" i="1" s="1"/>
  <c r="Z453" i="1"/>
  <c r="Y453" i="1" s="1"/>
  <c r="Z762" i="1"/>
  <c r="Y762" i="1" s="1"/>
  <c r="Z1043" i="1"/>
  <c r="Y1043" i="1" s="1"/>
  <c r="Z678" i="1"/>
  <c r="Y678" i="1" s="1"/>
  <c r="Z603" i="1"/>
  <c r="Y603" i="1" s="1"/>
  <c r="Z1172" i="1"/>
  <c r="Y1172" i="1" s="1"/>
  <c r="Z72" i="1"/>
  <c r="Y72" i="1" s="1"/>
  <c r="Z991" i="1"/>
  <c r="Y991" i="1" s="1"/>
  <c r="Z756" i="1"/>
  <c r="Y756" i="1" s="1"/>
  <c r="Z863" i="1"/>
  <c r="Y863" i="1" s="1"/>
  <c r="Z892" i="1"/>
  <c r="Y892" i="1" s="1"/>
  <c r="Z95" i="1"/>
  <c r="Y95" i="1" s="1"/>
  <c r="Z889" i="1"/>
  <c r="Y889" i="1" s="1"/>
  <c r="Z1078" i="1"/>
  <c r="Y1078" i="1" s="1"/>
  <c r="Z569" i="1"/>
  <c r="Y569" i="1" s="1"/>
  <c r="Z859" i="1"/>
  <c r="Y859" i="1" s="1"/>
  <c r="Z735" i="1"/>
  <c r="Y735" i="1" s="1"/>
  <c r="Z734" i="1"/>
  <c r="Y734" i="1" s="1"/>
  <c r="Z268" i="1"/>
  <c r="Y268" i="1" s="1"/>
  <c r="Z613" i="1"/>
  <c r="Y613" i="1" s="1"/>
  <c r="Z394" i="1"/>
  <c r="Y394" i="1" s="1"/>
  <c r="Z385" i="1"/>
  <c r="Y385" i="1" s="1"/>
  <c r="Z147" i="1"/>
  <c r="Y147" i="1" s="1"/>
  <c r="Z548" i="1"/>
  <c r="Y548" i="1" s="1"/>
  <c r="Z478" i="1"/>
  <c r="Y478" i="1" s="1"/>
  <c r="Z846" i="1"/>
  <c r="Y846" i="1" s="1"/>
  <c r="Z229" i="1"/>
  <c r="Y229" i="1" s="1"/>
  <c r="Z38" i="1"/>
  <c r="Y38" i="1" s="1"/>
  <c r="Z742" i="1"/>
  <c r="Y742" i="1" s="1"/>
  <c r="Z148" i="1"/>
  <c r="Y148" i="1" s="1"/>
  <c r="Z416" i="1"/>
  <c r="Y416" i="1" s="1"/>
  <c r="Z1150" i="1"/>
  <c r="Y1150" i="1" s="1"/>
  <c r="Z182" i="1"/>
  <c r="Y182" i="1" s="1"/>
  <c r="Z930" i="1"/>
  <c r="Y930" i="1" s="1"/>
  <c r="Z775" i="1"/>
  <c r="Y775" i="1" s="1"/>
  <c r="Z1159" i="1"/>
  <c r="Y1159" i="1" s="1"/>
  <c r="Z764" i="1"/>
  <c r="Y764" i="1" s="1"/>
  <c r="Z945" i="1"/>
  <c r="Y945" i="1" s="1"/>
  <c r="Z940" i="1"/>
  <c r="Y940" i="1" s="1"/>
  <c r="Z1207" i="1"/>
  <c r="Y1207" i="1" s="1"/>
  <c r="Z431" i="1"/>
  <c r="Y431" i="1" s="1"/>
  <c r="Z1034" i="1"/>
  <c r="Y1034" i="1" s="1"/>
  <c r="Z788" i="1"/>
  <c r="Y788" i="1" s="1"/>
  <c r="Z275" i="1"/>
  <c r="Y275" i="1" s="1"/>
  <c r="Z560" i="1"/>
  <c r="Y560" i="1" s="1"/>
  <c r="Z1272" i="1"/>
  <c r="Y1272" i="1" s="1"/>
  <c r="Z706" i="1"/>
  <c r="Y706" i="1" s="1"/>
  <c r="Z696" i="1"/>
  <c r="Y696" i="1" s="1"/>
  <c r="Z305" i="1"/>
  <c r="Y305" i="1" s="1"/>
  <c r="Z31" i="1"/>
  <c r="Y31" i="1" s="1"/>
  <c r="Z918" i="1"/>
  <c r="Y918" i="1" s="1"/>
  <c r="Z449" i="1"/>
  <c r="Y449" i="1" s="1"/>
  <c r="Z278" i="1"/>
  <c r="Y278" i="1" s="1"/>
  <c r="Z1081" i="1"/>
  <c r="Y1081" i="1" s="1"/>
  <c r="Z65" i="1"/>
  <c r="Y65" i="1" s="1"/>
  <c r="Z807" i="1"/>
  <c r="Y807" i="1" s="1"/>
  <c r="Z202" i="1"/>
  <c r="Y202" i="1" s="1"/>
  <c r="Z555" i="1"/>
  <c r="Y555" i="1" s="1"/>
  <c r="Z837" i="1"/>
  <c r="Y837" i="1" s="1"/>
  <c r="Z56" i="1"/>
  <c r="Y56" i="1" s="1"/>
  <c r="Z186" i="1"/>
  <c r="Y186" i="1" s="1"/>
  <c r="Z7" i="1"/>
  <c r="Y7" i="1" s="1"/>
  <c r="Z922" i="1"/>
  <c r="Y922" i="1" s="1"/>
  <c r="Z35" i="1"/>
  <c r="Y35" i="1" s="1"/>
  <c r="Z676" i="1"/>
  <c r="Y676" i="1" s="1"/>
  <c r="Z1211" i="1"/>
  <c r="Y1211" i="1" s="1"/>
  <c r="Z1283" i="1"/>
  <c r="Y1283" i="1" s="1"/>
  <c r="Z172" i="1"/>
  <c r="Y172" i="1" s="1"/>
  <c r="Z1180" i="1"/>
  <c r="Y1180" i="1" s="1"/>
  <c r="Z746" i="1"/>
  <c r="Y746" i="1" s="1"/>
  <c r="Z1134" i="1"/>
  <c r="Y1134" i="1" s="1"/>
  <c r="Z759" i="1"/>
  <c r="Y759" i="1" s="1"/>
  <c r="Z732" i="1"/>
  <c r="Y732" i="1" s="1"/>
  <c r="Z879" i="1"/>
  <c r="Y879" i="1" s="1"/>
  <c r="Z533" i="1"/>
  <c r="Y533" i="1" s="1"/>
  <c r="Z359" i="1"/>
  <c r="Y359" i="1" s="1"/>
  <c r="Z1222" i="1"/>
  <c r="Y1222" i="1" s="1"/>
  <c r="Z290" i="1"/>
  <c r="Y290" i="1" s="1"/>
  <c r="Z302" i="1"/>
  <c r="Y302" i="1" s="1"/>
  <c r="Z755" i="1"/>
  <c r="Y755" i="1" s="1"/>
  <c r="Z675" i="1"/>
  <c r="Y675" i="1" s="1"/>
  <c r="Z327" i="1"/>
  <c r="Y327" i="1" s="1"/>
  <c r="Z823" i="1"/>
  <c r="Y823" i="1" s="1"/>
  <c r="Z183" i="1"/>
  <c r="Y183" i="1" s="1"/>
  <c r="Z381" i="1"/>
  <c r="Y381" i="1" s="1"/>
  <c r="Z5" i="1"/>
  <c r="Y5" i="1" s="1"/>
  <c r="Z1000" i="1"/>
  <c r="Y1000" i="1" s="1"/>
  <c r="Z771" i="1"/>
  <c r="Y771" i="1" s="1"/>
  <c r="Z367" i="1"/>
  <c r="Y367" i="1" s="1"/>
  <c r="Z547" i="1"/>
  <c r="Y547" i="1" s="1"/>
  <c r="Z590" i="1"/>
  <c r="Y590" i="1" s="1"/>
  <c r="Z1096" i="1"/>
  <c r="Y1096" i="1" s="1"/>
  <c r="Z301" i="1"/>
  <c r="Y301" i="1" s="1"/>
  <c r="Z858" i="1"/>
  <c r="Y858" i="1" s="1"/>
  <c r="Z719" i="1"/>
  <c r="Y719" i="1" s="1"/>
  <c r="Z165" i="1"/>
  <c r="Y165" i="1" s="1"/>
  <c r="Z425" i="1"/>
  <c r="Y425" i="1" s="1"/>
  <c r="Z724" i="1"/>
  <c r="Y724" i="1" s="1"/>
  <c r="Z1093" i="1"/>
  <c r="Y1093" i="1" s="1"/>
  <c r="Z754" i="1"/>
  <c r="Y754" i="1" s="1"/>
  <c r="Z1256" i="1"/>
  <c r="Y1256" i="1" s="1"/>
  <c r="Z690" i="1"/>
  <c r="Y690" i="1" s="1"/>
  <c r="Z692" i="1"/>
  <c r="Y692" i="1" s="1"/>
  <c r="Z1169" i="1"/>
  <c r="Y1169" i="1" s="1"/>
  <c r="Z208" i="1"/>
  <c r="Y208" i="1" s="1"/>
  <c r="Z896" i="1"/>
  <c r="Y896" i="1" s="1"/>
  <c r="Z217" i="1"/>
  <c r="Y217" i="1" s="1"/>
  <c r="Z1046" i="1"/>
  <c r="Y1046" i="1" s="1"/>
  <c r="Z239" i="1"/>
  <c r="Y239" i="1" s="1"/>
  <c r="Z110" i="1"/>
  <c r="Y110" i="1" s="1"/>
  <c r="Z752" i="1"/>
  <c r="Y752" i="1" s="1"/>
  <c r="Z973" i="1"/>
  <c r="Y973" i="1" s="1"/>
  <c r="Z1067" i="1"/>
  <c r="Y1067" i="1" s="1"/>
  <c r="Z1228" i="1"/>
  <c r="Y1228" i="1" s="1"/>
  <c r="Z1025" i="1"/>
  <c r="Y1025" i="1" s="1"/>
  <c r="Z542" i="1"/>
  <c r="Y542" i="1" s="1"/>
  <c r="Z153" i="1"/>
  <c r="Y153" i="1" s="1"/>
  <c r="Z393" i="1"/>
  <c r="Y393" i="1" s="1"/>
  <c r="Z379" i="1"/>
  <c r="Y379" i="1" s="1"/>
  <c r="Z417" i="1"/>
  <c r="Y417" i="1" s="1"/>
  <c r="Z1123" i="1"/>
  <c r="Y1123" i="1" s="1"/>
  <c r="Z129" i="1"/>
  <c r="Y129" i="1" s="1"/>
  <c r="Z414" i="1"/>
  <c r="Y414" i="1" s="1"/>
  <c r="Z872" i="1"/>
  <c r="Y872" i="1" s="1"/>
  <c r="Z829" i="1"/>
  <c r="Y829" i="1" s="1"/>
  <c r="Z997" i="1"/>
  <c r="Y997" i="1" s="1"/>
  <c r="Z343" i="1"/>
  <c r="Y343" i="1" s="1"/>
  <c r="Z1035" i="1"/>
  <c r="Y1035" i="1" s="1"/>
  <c r="Z1006" i="1"/>
  <c r="Y1006" i="1" s="1"/>
  <c r="Z380" i="1"/>
  <c r="Y380" i="1" s="1"/>
  <c r="Z977" i="1"/>
  <c r="Y977" i="1" s="1"/>
  <c r="Z513" i="1"/>
  <c r="Y513" i="1" s="1"/>
  <c r="Z1241" i="1"/>
  <c r="Y1241" i="1" s="1"/>
  <c r="Z575" i="1"/>
  <c r="Y575" i="1" s="1"/>
  <c r="Z658" i="1"/>
  <c r="Y658" i="1" s="1"/>
  <c r="Z1148" i="1"/>
  <c r="Y1148" i="1" s="1"/>
  <c r="Z1094" i="1"/>
  <c r="Y1094" i="1" s="1"/>
  <c r="Z917" i="1"/>
  <c r="Y917" i="1" s="1"/>
  <c r="Z655" i="1"/>
  <c r="Y655" i="1" s="1"/>
  <c r="Z1122" i="1"/>
  <c r="Y1122" i="1" s="1"/>
  <c r="Z1221" i="1"/>
  <c r="Y1221" i="1" s="1"/>
  <c r="Z1130" i="1"/>
  <c r="Y1130" i="1" s="1"/>
  <c r="Z145" i="1"/>
  <c r="Y145" i="1" s="1"/>
  <c r="Z169" i="1"/>
  <c r="Y169" i="1" s="1"/>
  <c r="Z1231" i="1"/>
  <c r="Y1231" i="1" s="1"/>
  <c r="Z1101" i="1"/>
  <c r="Y1101" i="1" s="1"/>
  <c r="Z904" i="1"/>
  <c r="Y904" i="1" s="1"/>
  <c r="Z1022" i="1"/>
  <c r="Y1022" i="1" s="1"/>
  <c r="Z71" i="1"/>
  <c r="Y71" i="1" s="1"/>
  <c r="Z1004" i="1"/>
  <c r="Y1004" i="1" s="1"/>
  <c r="Z1282" i="1"/>
  <c r="Y1282" i="1" s="1"/>
  <c r="Z423" i="1"/>
  <c r="Y423" i="1" s="1"/>
  <c r="Z994" i="1"/>
  <c r="Y994" i="1" s="1"/>
  <c r="Z591" i="1"/>
  <c r="Y591" i="1" s="1"/>
  <c r="Z804" i="1"/>
  <c r="Y804" i="1" s="1"/>
  <c r="Z235" i="1"/>
  <c r="Y235" i="1" s="1"/>
  <c r="Z883" i="1"/>
  <c r="Y883" i="1" s="1"/>
  <c r="Z342" i="1"/>
  <c r="Y342" i="1" s="1"/>
  <c r="Z836" i="1"/>
  <c r="Y836" i="1" s="1"/>
  <c r="Z1045" i="1"/>
  <c r="Y1045" i="1" s="1"/>
  <c r="Z491" i="1"/>
  <c r="Y491" i="1" s="1"/>
  <c r="Z1028" i="1"/>
  <c r="Y1028" i="1" s="1"/>
  <c r="Z602" i="1"/>
  <c r="Y602" i="1" s="1"/>
  <c r="Z956" i="1"/>
  <c r="Y956" i="1" s="1"/>
  <c r="Z581" i="1"/>
  <c r="Y581" i="1" s="1"/>
  <c r="Z946" i="1"/>
  <c r="Y946" i="1" s="1"/>
  <c r="Z1257" i="1"/>
  <c r="Y1257" i="1" s="1"/>
  <c r="Z1223" i="1"/>
  <c r="Y1223" i="1" s="1"/>
  <c r="Z659" i="1"/>
  <c r="Y659" i="1" s="1"/>
  <c r="Z1174" i="1"/>
  <c r="Y1174" i="1" s="1"/>
  <c r="Z868" i="1"/>
  <c r="Y868" i="1" s="1"/>
  <c r="Z19" i="1"/>
  <c r="Y19" i="1" s="1"/>
  <c r="Z594" i="1"/>
  <c r="Y594" i="1" s="1"/>
  <c r="Z782" i="1"/>
  <c r="Y782" i="1" s="1"/>
  <c r="Z895" i="1"/>
  <c r="Y895" i="1" s="1"/>
  <c r="Z980" i="1"/>
  <c r="Y980" i="1" s="1"/>
  <c r="Z820" i="1"/>
  <c r="Y820" i="1" s="1"/>
  <c r="Z1215" i="1"/>
  <c r="Y1215" i="1" s="1"/>
  <c r="Z1201" i="1"/>
  <c r="Y1201" i="1" s="1"/>
  <c r="Z688" i="1"/>
  <c r="Y688" i="1" s="1"/>
  <c r="Z1070" i="1"/>
  <c r="Y1070" i="1" s="1"/>
  <c r="Z422" i="1"/>
  <c r="Y422" i="1" s="1"/>
  <c r="Z447" i="1"/>
  <c r="Y447" i="1" s="1"/>
  <c r="Z739" i="1"/>
  <c r="Y739" i="1" s="1"/>
  <c r="Z472" i="1"/>
  <c r="Y472" i="1" s="1"/>
  <c r="Z814" i="1"/>
  <c r="Y814" i="1" s="1"/>
  <c r="Z98" i="1"/>
  <c r="Y98" i="1" s="1"/>
  <c r="Z315" i="1"/>
  <c r="Y315" i="1" s="1"/>
  <c r="Z1063" i="1"/>
  <c r="Y1063" i="1" s="1"/>
  <c r="Z614" i="1"/>
  <c r="Y614" i="1" s="1"/>
  <c r="Z339" i="1"/>
  <c r="Y339" i="1" s="1"/>
  <c r="Z876" i="1"/>
  <c r="Y876" i="1" s="1"/>
  <c r="Z100" i="1"/>
  <c r="Y100" i="1" s="1"/>
  <c r="Z340" i="1"/>
  <c r="Y340" i="1" s="1"/>
  <c r="Z1140" i="1"/>
  <c r="Y1140" i="1" s="1"/>
  <c r="Z1002" i="1"/>
  <c r="Y1002" i="1" s="1"/>
  <c r="Z802" i="1"/>
  <c r="Y802" i="1" s="1"/>
  <c r="Z721" i="1"/>
  <c r="Y721" i="1" s="1"/>
  <c r="Z298" i="1"/>
  <c r="Y298" i="1" s="1"/>
  <c r="Z34" i="1"/>
  <c r="Y34" i="1" s="1"/>
  <c r="Z410" i="1"/>
  <c r="Y410" i="1" s="1"/>
  <c r="Z1041" i="1"/>
  <c r="Y1041" i="1" s="1"/>
  <c r="Z811" i="1"/>
  <c r="Y811" i="1" s="1"/>
  <c r="Z783" i="1"/>
  <c r="Y783" i="1" s="1"/>
  <c r="Z869" i="1"/>
  <c r="Y869" i="1" s="1"/>
  <c r="Z121" i="1"/>
  <c r="Y121" i="1" s="1"/>
  <c r="Z989" i="1"/>
  <c r="Y989" i="1" s="1"/>
  <c r="Z1024" i="1"/>
  <c r="Y1024" i="1" s="1"/>
  <c r="Z579" i="1"/>
  <c r="Y579" i="1" s="1"/>
  <c r="Z199" i="1"/>
  <c r="Y199" i="1" s="1"/>
  <c r="Z1188" i="1"/>
  <c r="Y1188" i="1" s="1"/>
  <c r="Z544" i="1"/>
  <c r="Y544" i="1" s="1"/>
  <c r="Z1165" i="1"/>
  <c r="Y1165" i="1" s="1"/>
  <c r="Z434" i="1"/>
  <c r="Y434" i="1" s="1"/>
  <c r="Z444" i="1"/>
  <c r="Y444" i="1" s="1"/>
  <c r="Z704" i="1"/>
  <c r="Y704" i="1" s="1"/>
  <c r="Z256" i="1"/>
  <c r="Y256" i="1" s="1"/>
  <c r="Z23" i="1"/>
  <c r="Y23" i="1" s="1"/>
  <c r="Z32" i="1"/>
  <c r="Y32" i="1" s="1"/>
  <c r="Z1170" i="1"/>
  <c r="Y1170" i="1" s="1"/>
  <c r="Z815" i="1"/>
  <c r="Y815" i="1" s="1"/>
  <c r="Z1005" i="1"/>
  <c r="Y1005" i="1" s="1"/>
  <c r="Z146" i="1"/>
  <c r="Y146" i="1" s="1"/>
  <c r="Z681" i="1"/>
  <c r="Y681" i="1" s="1"/>
  <c r="Z11" i="1"/>
  <c r="Y11" i="1" s="1"/>
  <c r="Z341" i="1"/>
  <c r="Y341" i="1" s="1"/>
  <c r="Z660" i="1"/>
  <c r="Y660" i="1" s="1"/>
  <c r="Z251" i="1"/>
  <c r="Y251" i="1" s="1"/>
  <c r="Z1217" i="1"/>
  <c r="Y1217" i="1" s="1"/>
  <c r="Z1126" i="1"/>
  <c r="Y1126" i="1" s="1"/>
  <c r="Z1076" i="1"/>
  <c r="Y1076" i="1" s="1"/>
  <c r="Z75" i="1"/>
  <c r="Y75" i="1" s="1"/>
  <c r="Z353" i="1"/>
  <c r="Y353" i="1" s="1"/>
  <c r="Z601" i="1"/>
  <c r="Y601" i="1" s="1"/>
  <c r="Z398" i="1"/>
  <c r="Y398" i="1" s="1"/>
  <c r="Z787" i="1"/>
  <c r="Y787" i="1" s="1"/>
  <c r="Z1115" i="1"/>
  <c r="Y1115" i="1" s="1"/>
  <c r="Z144" i="1"/>
  <c r="Y144" i="1" s="1"/>
  <c r="Z289" i="1"/>
  <c r="Y289" i="1" s="1"/>
  <c r="Z140" i="1"/>
  <c r="Y140" i="1" s="1"/>
  <c r="Z372" i="1"/>
  <c r="Y372" i="1" s="1"/>
  <c r="Z1042" i="1"/>
  <c r="Y1042" i="1" s="1"/>
  <c r="Z247" i="1"/>
  <c r="Y247" i="1" s="1"/>
  <c r="Z1177" i="1"/>
  <c r="Y1177" i="1" s="1"/>
  <c r="Z287" i="1"/>
  <c r="Y287" i="1" s="1"/>
  <c r="Z445" i="1"/>
  <c r="Y445" i="1" s="1"/>
  <c r="Z1206" i="1"/>
  <c r="Y1206" i="1" s="1"/>
  <c r="Z176" i="1"/>
  <c r="Y176" i="1" s="1"/>
  <c r="Z1153" i="1"/>
  <c r="Y1153" i="1" s="1"/>
  <c r="Z1242" i="1"/>
  <c r="Y1242" i="1" s="1"/>
  <c r="Z1184" i="1"/>
  <c r="Y1184" i="1" s="1"/>
  <c r="Z364" i="1"/>
  <c r="Y364" i="1" s="1"/>
  <c r="Z695" i="1"/>
  <c r="Y695" i="1" s="1"/>
  <c r="Z88" i="1"/>
  <c r="Y88" i="1" s="1"/>
  <c r="Z452" i="1"/>
  <c r="Y452" i="1" s="1"/>
  <c r="Z1128" i="1"/>
  <c r="Y1128" i="1" s="1"/>
  <c r="Z1015" i="1"/>
  <c r="Y1015" i="1" s="1"/>
  <c r="Z276" i="1"/>
  <c r="Y276" i="1" s="1"/>
  <c r="Z795" i="1"/>
  <c r="Y795" i="1" s="1"/>
  <c r="Z1030" i="1"/>
  <c r="Y1030" i="1" s="1"/>
  <c r="Z334" i="1"/>
  <c r="Y334" i="1" s="1"/>
  <c r="Z1151" i="1"/>
  <c r="Y1151" i="1" s="1"/>
  <c r="Z1234" i="1"/>
  <c r="Y1234" i="1" s="1"/>
  <c r="Z387" i="1"/>
  <c r="Y387" i="1" s="1"/>
  <c r="Z69" i="1"/>
  <c r="Y69" i="1" s="1"/>
  <c r="Z727" i="1"/>
  <c r="Y727" i="1" s="1"/>
  <c r="Z1049" i="1"/>
  <c r="Y1049" i="1" s="1"/>
  <c r="Z279" i="1"/>
  <c r="Y279" i="1" s="1"/>
  <c r="Z42" i="1"/>
  <c r="Y42" i="1" s="1"/>
  <c r="Z944" i="1"/>
  <c r="Y944" i="1" s="1"/>
  <c r="Z865" i="1"/>
  <c r="Y865" i="1" s="1"/>
  <c r="Z163" i="1"/>
  <c r="Y163" i="1" s="1"/>
  <c r="Z261" i="1"/>
  <c r="Y261" i="1" s="1"/>
  <c r="Z378" i="1"/>
  <c r="Y378" i="1" s="1"/>
  <c r="Z265" i="1"/>
  <c r="Y265" i="1" s="1"/>
  <c r="Z680" i="1"/>
  <c r="Y680" i="1" s="1"/>
  <c r="Z722" i="1"/>
  <c r="Y722" i="1" s="1"/>
  <c r="Z556" i="1"/>
  <c r="Y556" i="1" s="1"/>
  <c r="Z1259" i="1"/>
  <c r="Y1259" i="1" s="1"/>
  <c r="Z494" i="1"/>
  <c r="Y494" i="1" s="1"/>
  <c r="Z195" i="1"/>
  <c r="Y195" i="1" s="1"/>
  <c r="Z68" i="1"/>
  <c r="Y68" i="1" s="1"/>
  <c r="Z1190" i="1"/>
  <c r="Y1190" i="1" s="1"/>
  <c r="Z679" i="1"/>
  <c r="Y679" i="1" s="1"/>
  <c r="Z931" i="1"/>
  <c r="Y931" i="1" s="1"/>
  <c r="Z1164" i="1"/>
  <c r="Y1164" i="1" s="1"/>
  <c r="Z66" i="1"/>
  <c r="Y66" i="1" s="1"/>
  <c r="Z562" i="1"/>
  <c r="Y562" i="1" s="1"/>
  <c r="Z303" i="1"/>
  <c r="Y303" i="1" s="1"/>
  <c r="Z698" i="1"/>
  <c r="Y698" i="1" s="1"/>
  <c r="Z1143" i="1"/>
  <c r="Y1143" i="1" s="1"/>
  <c r="Z1136" i="1"/>
  <c r="Y1136" i="1" s="1"/>
  <c r="Z1062" i="1"/>
  <c r="Y1062" i="1" s="1"/>
  <c r="Z518" i="1"/>
  <c r="Y518" i="1" s="1"/>
  <c r="Z643" i="1"/>
  <c r="Y643" i="1" s="1"/>
  <c r="Z70" i="1"/>
  <c r="Y70" i="1" s="1"/>
  <c r="Z619" i="1"/>
  <c r="Y619" i="1" s="1"/>
  <c r="Z715" i="1"/>
  <c r="Y715" i="1" s="1"/>
  <c r="Z607" i="1"/>
  <c r="Y607" i="1" s="1"/>
  <c r="Z1183" i="1"/>
  <c r="Y1183" i="1" s="1"/>
  <c r="Z493" i="1"/>
  <c r="Y493" i="1" s="1"/>
  <c r="Z935" i="1"/>
  <c r="Y935" i="1" s="1"/>
  <c r="Z142" i="1"/>
  <c r="Y142" i="1" s="1"/>
  <c r="Z534" i="1"/>
  <c r="Y534" i="1" s="1"/>
  <c r="Z181" i="1"/>
  <c r="Y181" i="1" s="1"/>
  <c r="Z151" i="1"/>
  <c r="Y151" i="1" s="1"/>
  <c r="Z723" i="1"/>
  <c r="Y723" i="1" s="1"/>
  <c r="Z564" i="1"/>
  <c r="Y564" i="1" s="1"/>
  <c r="Z1021" i="1"/>
  <c r="Y1021" i="1" s="1"/>
  <c r="Z1023" i="1"/>
  <c r="Y1023" i="1" s="1"/>
  <c r="Z281" i="1"/>
  <c r="Y281" i="1" s="1"/>
  <c r="Z856" i="1"/>
  <c r="Y856" i="1" s="1"/>
  <c r="Z1198" i="1"/>
  <c r="Y1198" i="1" s="1"/>
  <c r="Z371" i="1"/>
  <c r="Y371" i="1" s="1"/>
  <c r="Z206" i="1"/>
  <c r="Y206" i="1" s="1"/>
  <c r="Z855" i="1"/>
  <c r="Y855" i="1" s="1"/>
  <c r="Z1038" i="1"/>
  <c r="Y1038" i="1" s="1"/>
  <c r="Z332" i="1"/>
  <c r="Y332" i="1" s="1"/>
  <c r="Z685" i="1"/>
  <c r="Y685" i="1" s="1"/>
  <c r="Z725" i="1"/>
  <c r="Y725" i="1" s="1"/>
  <c r="Z1064" i="1"/>
  <c r="Y1064" i="1" s="1"/>
  <c r="Z653" i="1"/>
  <c r="Y653" i="1" s="1"/>
  <c r="Z9" i="1"/>
  <c r="Y9" i="1" s="1"/>
  <c r="Z712" i="1"/>
  <c r="Y712" i="1" s="1"/>
  <c r="Z760" i="1"/>
  <c r="Y760" i="1" s="1"/>
  <c r="Z840" i="1"/>
  <c r="Y840" i="1" s="1"/>
  <c r="Z500" i="1"/>
  <c r="Y500" i="1" s="1"/>
  <c r="Z852" i="1"/>
  <c r="Y852" i="1" s="1"/>
  <c r="Z272" i="1"/>
  <c r="Y272" i="1" s="1"/>
  <c r="Z159" i="1"/>
  <c r="Y159" i="1" s="1"/>
  <c r="Z769" i="1"/>
  <c r="Y769" i="1" s="1"/>
  <c r="Z225" i="1"/>
  <c r="Y225" i="1" s="1"/>
  <c r="Z402" i="1"/>
  <c r="Y402" i="1" s="1"/>
  <c r="Z50" i="1"/>
  <c r="Y50" i="1" s="1"/>
  <c r="Z1173" i="1"/>
  <c r="Y1173" i="1" s="1"/>
  <c r="Z972" i="1"/>
  <c r="Y972" i="1" s="1"/>
  <c r="Z838" i="1"/>
  <c r="Y838" i="1" s="1"/>
  <c r="Z709" i="1"/>
  <c r="Y709" i="1" s="1"/>
  <c r="Z1246" i="1"/>
  <c r="Y1246" i="1" s="1"/>
  <c r="Z776" i="1"/>
  <c r="Y776" i="1" s="1"/>
  <c r="Z471" i="1"/>
  <c r="Y471" i="1" s="1"/>
  <c r="Z457" i="1"/>
  <c r="Y457" i="1" s="1"/>
  <c r="Z514" i="1"/>
  <c r="Y514" i="1" s="1"/>
  <c r="Z626" i="1"/>
  <c r="Y626" i="1" s="1"/>
  <c r="Z205" i="1"/>
  <c r="Y205" i="1" s="1"/>
  <c r="Z605" i="1"/>
  <c r="Y605" i="1" s="1"/>
  <c r="Z179" i="1"/>
  <c r="Y179" i="1" s="1"/>
  <c r="Z130" i="1"/>
  <c r="Y130" i="1" s="1"/>
  <c r="Z255" i="1"/>
  <c r="Y255" i="1" s="1"/>
  <c r="Z796" i="1"/>
  <c r="Y796" i="1" s="1"/>
  <c r="Z853" i="1"/>
  <c r="Y853" i="1" s="1"/>
  <c r="Z1216" i="1"/>
  <c r="Y1216" i="1" s="1"/>
  <c r="Z574" i="1"/>
  <c r="Y574" i="1" s="1"/>
  <c r="Z559" i="1"/>
  <c r="Y559" i="1" s="1"/>
  <c r="Z521" i="1"/>
  <c r="Y521" i="1" s="1"/>
  <c r="Z1251" i="1"/>
  <c r="Y1251" i="1" s="1"/>
  <c r="Z240" i="1"/>
  <c r="Y240" i="1" s="1"/>
  <c r="Z481" i="1"/>
  <c r="Y481" i="1" s="1"/>
  <c r="Z686" i="1"/>
  <c r="Y686" i="1" s="1"/>
  <c r="Z1226" i="1"/>
  <c r="Y1226" i="1" s="1"/>
  <c r="Z1286" i="1"/>
  <c r="Y1286" i="1" s="1"/>
  <c r="Z1267" i="1"/>
  <c r="Y1267" i="1" s="1"/>
  <c r="Z1142" i="1"/>
  <c r="Y1142" i="1" s="1"/>
  <c r="Z267" i="1"/>
  <c r="Y267" i="1" s="1"/>
  <c r="Z881" i="1"/>
  <c r="Y881" i="1" s="1"/>
  <c r="Z898" i="1"/>
  <c r="Y898" i="1" s="1"/>
  <c r="Z437" i="1"/>
  <c r="Y437" i="1" s="1"/>
  <c r="Z677" i="1"/>
  <c r="Y677" i="1" s="1"/>
  <c r="Z778" i="1"/>
  <c r="Y778" i="1" s="1"/>
  <c r="Z1010" i="1"/>
  <c r="Y1010" i="1" s="1"/>
  <c r="Z908" i="1"/>
  <c r="Y908" i="1" s="1"/>
  <c r="Z860" i="1"/>
  <c r="Y860" i="1" s="1"/>
  <c r="Z1197" i="1"/>
  <c r="Y1197" i="1" s="1"/>
  <c r="Z1118" i="1"/>
  <c r="Y1118" i="1" s="1"/>
  <c r="Z439" i="1"/>
  <c r="Y439" i="1" s="1"/>
  <c r="Z1107" i="1"/>
  <c r="Y1107" i="1" s="1"/>
  <c r="Z1227" i="1"/>
  <c r="Y1227" i="1" s="1"/>
  <c r="Z780" i="1"/>
  <c r="Y780" i="1" s="1"/>
  <c r="Z427" i="1"/>
  <c r="Y427" i="1" s="1"/>
  <c r="Z689" i="1"/>
  <c r="Y689" i="1" s="1"/>
  <c r="Z101" i="1"/>
  <c r="Y101" i="1" s="1"/>
  <c r="Z356" i="1"/>
  <c r="Y356" i="1" s="1"/>
  <c r="Z1084" i="1"/>
  <c r="Y1084" i="1" s="1"/>
  <c r="Z1291" i="1"/>
  <c r="Y1291" i="1" s="1"/>
  <c r="Z1191" i="1"/>
  <c r="Y1191" i="1" s="1"/>
  <c r="Z910" i="1"/>
  <c r="Y910" i="1" s="1"/>
  <c r="Z157" i="1"/>
  <c r="Y157" i="1" s="1"/>
  <c r="Z662" i="1"/>
  <c r="Y662" i="1" s="1"/>
  <c r="Z737" i="1"/>
  <c r="Y737" i="1" s="1"/>
  <c r="Z1103" i="1"/>
  <c r="Y1103" i="1" s="1"/>
  <c r="Z505" i="1"/>
  <c r="Y505" i="1" s="1"/>
  <c r="Z522" i="1"/>
  <c r="Y522" i="1" s="1"/>
  <c r="Z67" i="1"/>
  <c r="Y67" i="1" s="1"/>
  <c r="Z349" i="1"/>
  <c r="Y349" i="1" s="1"/>
  <c r="Z552" i="1"/>
  <c r="Y552" i="1" s="1"/>
  <c r="Z345" i="1"/>
  <c r="Y345" i="1" s="1"/>
  <c r="Z617" i="1"/>
  <c r="Y617" i="1" s="1"/>
  <c r="Z106" i="1"/>
  <c r="Y106" i="1" s="1"/>
  <c r="Z243" i="1"/>
  <c r="Y243" i="1" s="1"/>
  <c r="Z707" i="1"/>
  <c r="Y707" i="1" s="1"/>
  <c r="Z277" i="1"/>
  <c r="Y277" i="1" s="1"/>
  <c r="Z1230" i="1"/>
  <c r="Y1230" i="1" s="1"/>
  <c r="Z362" i="1"/>
  <c r="Y362" i="1" s="1"/>
  <c r="Z531" i="1"/>
  <c r="Y531" i="1" s="1"/>
  <c r="Z628" i="1"/>
  <c r="Y628" i="1" s="1"/>
  <c r="Z477" i="1"/>
  <c r="Y477" i="1" s="1"/>
  <c r="Z516" i="1"/>
  <c r="Y516" i="1" s="1"/>
  <c r="Z168" i="1"/>
  <c r="Y168" i="1" s="1"/>
  <c r="Z515" i="1"/>
  <c r="Y515" i="1" s="1"/>
  <c r="Z1277" i="1"/>
  <c r="Y1277" i="1" s="1"/>
  <c r="Z150" i="1"/>
  <c r="Y150" i="1" s="1"/>
  <c r="Z844" i="1"/>
  <c r="Y844" i="1" s="1"/>
  <c r="Z1037" i="1"/>
  <c r="Y1037" i="1" s="1"/>
  <c r="Z891" i="1"/>
  <c r="Y891" i="1" s="1"/>
  <c r="Z120" i="1"/>
  <c r="Y120" i="1" s="1"/>
  <c r="Z920" i="1"/>
  <c r="Y920" i="1" s="1"/>
  <c r="Z927" i="1"/>
  <c r="Y927" i="1" s="1"/>
  <c r="Z565" i="1"/>
  <c r="Y565" i="1" s="1"/>
  <c r="Z665" i="1"/>
  <c r="Y665" i="1" s="1"/>
  <c r="Z566" i="1"/>
  <c r="Y566" i="1" s="1"/>
  <c r="Z687" i="1"/>
  <c r="Y687" i="1" s="1"/>
  <c r="Z228" i="1"/>
  <c r="Y228" i="1" s="1"/>
  <c r="Z1013" i="1"/>
  <c r="Y1013" i="1" s="1"/>
  <c r="Z97" i="1"/>
  <c r="Y97" i="1" s="1"/>
  <c r="Z907" i="1"/>
  <c r="Y907" i="1" s="1"/>
  <c r="Z296" i="1"/>
  <c r="Y296" i="1" s="1"/>
  <c r="Z851" i="1"/>
  <c r="Y851" i="1" s="1"/>
  <c r="Z894" i="1"/>
  <c r="Y894" i="1" s="1"/>
  <c r="Z1132" i="1"/>
  <c r="Y1132" i="1" s="1"/>
  <c r="Z1161" i="1"/>
  <c r="Y1161" i="1" s="1"/>
  <c r="Z986" i="1"/>
  <c r="Y986" i="1" s="1"/>
  <c r="Z949" i="1"/>
  <c r="Y949" i="1" s="1"/>
  <c r="Z102" i="1"/>
  <c r="Y102" i="1" s="1"/>
  <c r="Z995" i="1"/>
  <c r="Y995" i="1" s="1"/>
  <c r="Z740" i="1"/>
  <c r="Y740" i="1" s="1"/>
  <c r="Z1056" i="1"/>
  <c r="Y1056" i="1" s="1"/>
  <c r="Z55" i="1"/>
  <c r="Y55" i="1" s="1"/>
  <c r="Z53" i="1"/>
  <c r="Y53" i="1" s="1"/>
  <c r="Z166" i="1"/>
  <c r="Y166" i="1" s="1"/>
  <c r="Z238" i="1"/>
  <c r="Y238" i="1" s="1"/>
  <c r="Z1009" i="1"/>
  <c r="Y1009" i="1" s="1"/>
  <c r="Z667" i="1"/>
  <c r="Y667" i="1" s="1"/>
  <c r="Z470" i="1"/>
  <c r="Y470" i="1" s="1"/>
  <c r="Z1058" i="1"/>
  <c r="Y1058" i="1" s="1"/>
  <c r="Z204" i="1"/>
  <c r="Y204" i="1" s="1"/>
  <c r="Z17" i="1"/>
  <c r="Y17" i="1" s="1"/>
  <c r="Z532" i="1"/>
  <c r="Y532" i="1" s="1"/>
  <c r="Z28" i="1"/>
  <c r="Y28" i="1" s="1"/>
  <c r="Z576" i="1"/>
  <c r="Y576" i="1" s="1"/>
  <c r="Z952" i="1"/>
  <c r="Y952" i="1" s="1"/>
  <c r="Z285" i="1"/>
  <c r="Y285" i="1" s="1"/>
  <c r="Z1262" i="1"/>
  <c r="Y1262" i="1" s="1"/>
  <c r="Z538" i="1"/>
  <c r="Y538" i="1" s="1"/>
  <c r="Z885" i="1"/>
  <c r="Y885" i="1" s="1"/>
  <c r="Z733" i="1"/>
  <c r="Y733" i="1" s="1"/>
  <c r="Z1167" i="1"/>
  <c r="Y1167" i="1" s="1"/>
  <c r="Z801" i="1"/>
  <c r="Y801" i="1" s="1"/>
  <c r="Z132" i="1"/>
  <c r="Y132" i="1" s="1"/>
  <c r="Z1243" i="1"/>
  <c r="Y1243" i="1" s="1"/>
  <c r="Z1116" i="1"/>
  <c r="Y1116" i="1" s="1"/>
  <c r="Z636" i="1"/>
  <c r="Y636" i="1" s="1"/>
  <c r="Z57" i="1"/>
  <c r="Y57" i="1" s="1"/>
  <c r="Z773" i="1"/>
  <c r="Y773" i="1" s="1"/>
  <c r="Z1155" i="1"/>
  <c r="Y1155" i="1" s="1"/>
  <c r="Z926" i="1"/>
  <c r="Y926" i="1" s="1"/>
  <c r="Z1235" i="1"/>
  <c r="Y1235" i="1" s="1"/>
  <c r="Z1016" i="1"/>
  <c r="Y1016" i="1" s="1"/>
  <c r="Z1185" i="1"/>
  <c r="Y1185" i="1" s="1"/>
  <c r="Z906" i="1"/>
  <c r="Y906" i="1" s="1"/>
  <c r="Z188" i="1"/>
  <c r="Y188" i="1" s="1"/>
  <c r="Z241" i="1"/>
  <c r="Y241" i="1" s="1"/>
  <c r="Z1152" i="1"/>
  <c r="Y1152" i="1" s="1"/>
  <c r="Z1160" i="1"/>
  <c r="Y1160" i="1" s="1"/>
  <c r="Z861" i="1"/>
  <c r="Y861" i="1" s="1"/>
  <c r="Z461" i="1"/>
  <c r="Y461" i="1" s="1"/>
  <c r="Z428" i="1"/>
  <c r="Y428" i="1" s="1"/>
  <c r="Z661" i="1"/>
  <c r="Y661" i="1" s="1"/>
  <c r="Z119" i="1"/>
  <c r="Y119" i="1" s="1"/>
  <c r="Z1019" i="1"/>
  <c r="Y1019" i="1" s="1"/>
  <c r="Z765" i="1"/>
  <c r="Y765" i="1" s="1"/>
  <c r="Z1119" i="1"/>
  <c r="Y1119" i="1" s="1"/>
  <c r="Z395" i="1"/>
  <c r="Y395" i="1" s="1"/>
  <c r="Z573" i="1"/>
  <c r="Y573" i="1" s="1"/>
  <c r="Z1232" i="1"/>
  <c r="Y1232" i="1" s="1"/>
  <c r="Z492" i="1"/>
  <c r="Y492" i="1" s="1"/>
  <c r="Z580" i="1"/>
  <c r="Y580" i="1" s="1"/>
  <c r="Z964" i="1"/>
  <c r="Y964" i="1" s="1"/>
  <c r="Z1139" i="1"/>
  <c r="Y1139" i="1" s="1"/>
  <c r="Z313" i="1"/>
  <c r="Y313" i="1" s="1"/>
  <c r="Z671" i="1"/>
  <c r="Y671" i="1" s="1"/>
  <c r="Z257" i="1"/>
  <c r="Y257" i="1" s="1"/>
  <c r="Z469" i="1"/>
  <c r="Y469" i="1" s="1"/>
  <c r="Z90" i="1"/>
  <c r="Y90" i="1" s="1"/>
  <c r="Z318" i="1"/>
  <c r="Y318" i="1" s="1"/>
  <c r="Z648" i="1"/>
  <c r="Y648" i="1" s="1"/>
  <c r="Z1036" i="1"/>
  <c r="Y1036" i="1" s="1"/>
  <c r="Z158" i="1"/>
  <c r="Y158" i="1" s="1"/>
  <c r="Z965" i="1"/>
  <c r="Y965" i="1" s="1"/>
  <c r="Z545" i="1"/>
  <c r="Y545" i="1" s="1"/>
  <c r="Z638" i="1"/>
  <c r="Y638" i="1" s="1"/>
  <c r="Z1258" i="1"/>
  <c r="Y1258" i="1" s="1"/>
  <c r="Z58" i="1"/>
  <c r="Y58" i="1" s="1"/>
  <c r="Z957" i="1"/>
  <c r="Y957" i="1" s="1"/>
  <c r="Z64" i="1"/>
  <c r="Y64" i="1" s="1"/>
  <c r="Z826" i="1"/>
  <c r="Y826" i="1" s="1"/>
  <c r="Z162" i="1"/>
  <c r="Y162" i="1" s="1"/>
  <c r="Z365" i="1"/>
  <c r="Y365" i="1" s="1"/>
  <c r="Z916" i="1"/>
  <c r="Y916" i="1" s="1"/>
  <c r="Z1269" i="1"/>
  <c r="Y1269" i="1" s="1"/>
  <c r="Z273" i="1"/>
  <c r="Y273" i="1" s="1"/>
  <c r="Z112" i="1"/>
  <c r="Y112" i="1" s="1"/>
  <c r="Z1210" i="1"/>
  <c r="Y1210" i="1" s="1"/>
  <c r="Z180" i="1"/>
  <c r="Y180" i="1" s="1"/>
  <c r="Z841" i="1"/>
  <c r="Y841" i="1" s="1"/>
  <c r="Z326" i="1"/>
  <c r="Y326" i="1" s="1"/>
  <c r="Z1124" i="1"/>
  <c r="Y1124" i="1" s="1"/>
  <c r="Z161" i="1"/>
  <c r="Y161" i="1" s="1"/>
  <c r="Z446" i="1"/>
  <c r="Y446" i="1" s="1"/>
  <c r="Z833" i="1"/>
  <c r="Y833" i="1" s="1"/>
  <c r="Z482" i="1"/>
  <c r="Y482" i="1" s="1"/>
  <c r="Z244" i="1"/>
  <c r="Y244" i="1" s="1"/>
  <c r="Z190" i="1"/>
  <c r="Y190" i="1" s="1"/>
  <c r="Z221" i="1"/>
  <c r="Y221" i="1" s="1"/>
  <c r="Z388" i="1"/>
  <c r="Y388" i="1" s="1"/>
  <c r="Z507" i="1"/>
  <c r="Y507" i="1" s="1"/>
  <c r="Z663" i="1"/>
  <c r="Y663" i="1" s="1"/>
  <c r="Z451" i="1"/>
  <c r="Y451" i="1" s="1"/>
  <c r="Z152" i="1"/>
  <c r="Y152" i="1" s="1"/>
  <c r="Z93" i="1"/>
  <c r="Y93" i="1" s="1"/>
  <c r="Z971" i="1"/>
  <c r="Y971" i="1" s="1"/>
  <c r="Z400" i="1"/>
  <c r="Y400" i="1" s="1"/>
  <c r="Z1276" i="1"/>
  <c r="Y1276" i="1" s="1"/>
  <c r="Z843" i="1"/>
  <c r="Y843" i="1" s="1"/>
  <c r="Z1083" i="1"/>
  <c r="Y1083" i="1" s="1"/>
  <c r="Z710" i="1"/>
  <c r="Y710" i="1" s="1"/>
  <c r="Z923" i="1"/>
  <c r="Y923" i="1" s="1"/>
  <c r="Z634" i="1"/>
  <c r="Y634" i="1" s="1"/>
  <c r="Z175" i="1"/>
  <c r="Y175" i="1" s="1"/>
  <c r="Z309" i="1"/>
  <c r="Y309" i="1" s="1"/>
  <c r="Z984" i="1"/>
  <c r="Y984" i="1" s="1"/>
  <c r="Z598" i="1"/>
  <c r="Y598" i="1" s="1"/>
  <c r="Z630" i="1"/>
  <c r="Y630" i="1" s="1"/>
  <c r="Z558" i="1"/>
  <c r="Y558" i="1" s="1"/>
  <c r="Z167" i="1"/>
  <c r="Y167" i="1" s="1"/>
  <c r="Z921" i="1"/>
  <c r="Y921" i="1" s="1"/>
  <c r="Z741" i="1"/>
  <c r="Y741" i="1" s="1"/>
  <c r="Z1229" i="1"/>
  <c r="Y1229" i="1" s="1"/>
  <c r="Z498" i="1"/>
  <c r="Y498" i="1" s="1"/>
  <c r="Z440" i="1"/>
  <c r="Y440" i="1" s="1"/>
  <c r="Z747" i="1"/>
  <c r="Y747" i="1" s="1"/>
  <c r="Z624" i="1"/>
  <c r="Y624" i="1" s="1"/>
  <c r="Z465" i="1"/>
  <c r="Y465" i="1" s="1"/>
  <c r="Z708" i="1"/>
  <c r="Y708" i="1" s="1"/>
  <c r="Z123" i="1"/>
  <c r="Y123" i="1" s="1"/>
  <c r="Z523" i="1"/>
  <c r="Y523" i="1" s="1"/>
  <c r="Z939" i="1"/>
  <c r="Y939" i="1" s="1"/>
  <c r="Z134" i="1"/>
  <c r="Y134" i="1" s="1"/>
  <c r="Z1133" i="1"/>
  <c r="Y1133" i="1" s="1"/>
  <c r="Z325" i="1"/>
  <c r="Y325" i="1" s="1"/>
  <c r="Z929" i="1"/>
  <c r="Y929" i="1" s="1"/>
  <c r="Z54" i="1"/>
  <c r="Y54" i="1" s="1"/>
  <c r="Z374" i="1"/>
  <c r="Y374" i="1" s="1"/>
  <c r="Z900" i="1"/>
  <c r="Y900" i="1" s="1"/>
  <c r="Z485" i="1"/>
  <c r="Y485" i="1" s="1"/>
  <c r="Z323" i="1"/>
  <c r="Y323" i="1" s="1"/>
  <c r="Z1194" i="1"/>
  <c r="Y1194" i="1" s="1"/>
  <c r="Z107" i="1"/>
  <c r="Y107" i="1" s="1"/>
  <c r="Z938" i="1"/>
  <c r="Y938" i="1" s="1"/>
  <c r="Z408" i="1"/>
  <c r="Y408" i="1" s="1"/>
  <c r="Z13" i="1"/>
  <c r="Y13" i="1" s="1"/>
  <c r="Z20" i="1"/>
  <c r="Y20" i="1" s="1"/>
  <c r="Z549" i="1"/>
  <c r="Y549" i="1" s="1"/>
  <c r="Z711" i="1"/>
  <c r="Y711" i="1" s="1"/>
  <c r="Z996" i="1"/>
  <c r="Y996" i="1" s="1"/>
  <c r="Z269" i="1"/>
  <c r="Y269" i="1" s="1"/>
  <c r="Z396" i="1"/>
  <c r="Y396" i="1" s="1"/>
  <c r="Z501" i="1"/>
  <c r="Y501" i="1" s="1"/>
  <c r="Z1192" i="1"/>
  <c r="Y1192" i="1" s="1"/>
  <c r="Z1075" i="1"/>
  <c r="Y1075" i="1" s="1"/>
  <c r="Z645" i="1"/>
  <c r="Y645" i="1" s="1"/>
  <c r="Z436" i="1"/>
  <c r="Y436" i="1" s="1"/>
  <c r="Z1138" i="1"/>
  <c r="Y1138" i="1" s="1"/>
  <c r="Z215" i="1"/>
  <c r="Y215" i="1" s="1"/>
  <c r="Z1248" i="1"/>
  <c r="Y1248" i="1" s="1"/>
  <c r="Z644" i="1"/>
  <c r="Y644" i="1" s="1"/>
  <c r="Z390" i="1"/>
  <c r="Y390" i="1" s="1"/>
  <c r="Z731" i="1"/>
  <c r="Y731" i="1" s="1"/>
  <c r="Z216" i="1"/>
  <c r="Y216" i="1" s="1"/>
  <c r="Z480" i="1"/>
  <c r="Y480" i="1" s="1"/>
  <c r="Z1048" i="1"/>
  <c r="Y1048" i="1" s="1"/>
  <c r="Z459" i="1"/>
  <c r="Y459" i="1" s="1"/>
  <c r="Z849" i="1"/>
  <c r="Y849" i="1" s="1"/>
  <c r="Z700" i="1"/>
  <c r="Y700" i="1" s="1"/>
  <c r="Z1003" i="1"/>
  <c r="Y1003" i="1" s="1"/>
  <c r="Z293" i="1"/>
  <c r="Y293" i="1" s="1"/>
  <c r="Z128" i="1"/>
  <c r="Y128" i="1" s="1"/>
  <c r="Z519" i="1"/>
  <c r="Y519" i="1" s="1"/>
  <c r="Z484" i="1"/>
  <c r="Y484" i="1" s="1"/>
  <c r="Z726" i="1"/>
  <c r="Y726" i="1" s="1"/>
  <c r="Z888" i="1"/>
  <c r="Y888" i="1" s="1"/>
  <c r="Z550" i="1"/>
  <c r="Y550" i="1" s="1"/>
  <c r="Z252" i="1"/>
  <c r="Y252" i="1" s="1"/>
  <c r="Z1239" i="1"/>
  <c r="Y1239" i="1" s="1"/>
  <c r="Z551" i="1"/>
  <c r="Y551" i="1" s="1"/>
  <c r="Z886" i="1"/>
  <c r="Y886" i="1" s="1"/>
  <c r="F362" i="1"/>
  <c r="F1165" i="1"/>
  <c r="F380" i="1"/>
  <c r="F1058" i="1"/>
  <c r="F686" i="1"/>
  <c r="F674" i="1"/>
  <c r="F1195" i="1"/>
  <c r="F40" i="1"/>
  <c r="F161" i="1"/>
  <c r="F337" i="1"/>
  <c r="F1168" i="1"/>
  <c r="F828" i="1"/>
  <c r="F289" i="1"/>
  <c r="F936" i="1"/>
  <c r="F293" i="1"/>
  <c r="F1128" i="1"/>
  <c r="F1105" i="1"/>
  <c r="F181" i="1"/>
  <c r="F421" i="1"/>
  <c r="F1259" i="1"/>
  <c r="F976" i="1"/>
  <c r="F693" i="1"/>
  <c r="F942" i="1"/>
  <c r="F925" i="1"/>
  <c r="F643" i="1"/>
  <c r="F867" i="1"/>
  <c r="F1115" i="1"/>
  <c r="F372" i="1"/>
  <c r="F476" i="1"/>
  <c r="F711" i="1"/>
  <c r="F1244" i="1"/>
  <c r="F229" i="1"/>
  <c r="F449" i="1"/>
  <c r="F1175" i="1"/>
  <c r="F1230" i="1"/>
  <c r="F633" i="1"/>
  <c r="F108" i="1"/>
  <c r="F209" i="1"/>
  <c r="F1225" i="1"/>
  <c r="F975" i="1"/>
  <c r="F99" i="1"/>
  <c r="F461" i="1"/>
  <c r="F194" i="1"/>
  <c r="F1258" i="1"/>
  <c r="F1220" i="1"/>
  <c r="F959" i="1"/>
  <c r="F446" i="1"/>
  <c r="F611" i="1"/>
  <c r="F1250" i="1"/>
  <c r="F712" i="1"/>
  <c r="F538" i="1"/>
  <c r="F130" i="1"/>
  <c r="F1246" i="1"/>
  <c r="F514" i="1"/>
  <c r="F1185" i="1"/>
  <c r="F1142" i="1"/>
  <c r="F1042" i="1"/>
  <c r="F779" i="1"/>
  <c r="F565" i="1"/>
  <c r="F791" i="1"/>
  <c r="F663" i="1"/>
  <c r="F1206" i="1"/>
  <c r="F466" i="1"/>
  <c r="F1172" i="1"/>
  <c r="F541" i="1"/>
  <c r="F746" i="1"/>
  <c r="F727" i="1"/>
  <c r="F123" i="1"/>
  <c r="F1095" i="1"/>
  <c r="F523" i="1"/>
  <c r="F12" i="1"/>
  <c r="F1093" i="1"/>
  <c r="F551" i="1"/>
  <c r="F427" i="1"/>
  <c r="F949" i="1"/>
  <c r="F25" i="1"/>
  <c r="F784" i="1"/>
  <c r="F438" i="1"/>
  <c r="F1132" i="1"/>
  <c r="F299" i="1"/>
  <c r="F519" i="1"/>
  <c r="F532" i="1"/>
  <c r="F247" i="1"/>
  <c r="F284" i="1"/>
  <c r="F1200" i="1"/>
  <c r="F583" i="1"/>
  <c r="F824" i="1"/>
  <c r="F1016" i="1"/>
  <c r="F893" i="1"/>
  <c r="F771" i="1"/>
  <c r="F1124" i="1"/>
  <c r="F1121" i="1"/>
  <c r="F846" i="1"/>
  <c r="F1163" i="1"/>
  <c r="F1224" i="1"/>
  <c r="F141" i="1"/>
  <c r="F556" i="1"/>
  <c r="F644" i="1"/>
  <c r="F352" i="1"/>
  <c r="F213" i="1"/>
  <c r="F124" i="1"/>
  <c r="F408" i="1"/>
  <c r="F1011" i="1"/>
  <c r="F1007" i="1"/>
  <c r="F885" i="1"/>
  <c r="F638" i="1"/>
  <c r="F534" i="1"/>
  <c r="F741" i="1"/>
  <c r="F350" i="1"/>
  <c r="F1265" i="1"/>
  <c r="F692" i="1"/>
  <c r="F575" i="1"/>
  <c r="F1158" i="1"/>
  <c r="F439" i="1"/>
  <c r="F1221" i="1"/>
  <c r="F1029" i="1"/>
  <c r="F356" i="1"/>
  <c r="F897" i="1"/>
  <c r="F1139" i="1"/>
  <c r="F469" i="1"/>
  <c r="F83" i="1"/>
  <c r="F982" i="1"/>
  <c r="F572" i="1"/>
  <c r="F331" i="1"/>
  <c r="F617" i="1"/>
  <c r="F22" i="1"/>
  <c r="F1293" i="1"/>
  <c r="F260" i="1"/>
  <c r="F452" i="1"/>
  <c r="F646" i="1"/>
  <c r="F830" i="1"/>
  <c r="F667" i="1"/>
  <c r="F769" i="1"/>
  <c r="F14" i="1"/>
  <c r="F227" i="1"/>
  <c r="F462" i="1"/>
  <c r="F993" i="1"/>
  <c r="F470" i="1"/>
  <c r="F855" i="1"/>
  <c r="F740" i="1"/>
  <c r="F70" i="1"/>
  <c r="F277" i="1"/>
  <c r="F1187" i="1"/>
  <c r="F822" i="1"/>
  <c r="F1123" i="1"/>
  <c r="F1071" i="1"/>
  <c r="F1180" i="1"/>
  <c r="F1243" i="1"/>
  <c r="F312" i="1"/>
  <c r="F1267" i="1"/>
  <c r="F1006" i="1"/>
  <c r="F89" i="1"/>
  <c r="F601" i="1"/>
  <c r="F587" i="1"/>
  <c r="F588" i="1"/>
  <c r="F398" i="1"/>
  <c r="F468" i="1"/>
  <c r="F717" i="1"/>
  <c r="F1118" i="1"/>
  <c r="F1146" i="1"/>
  <c r="F1154" i="1"/>
  <c r="F119" i="1"/>
  <c r="F1290" i="1"/>
  <c r="F989" i="1"/>
  <c r="F834" i="1"/>
  <c r="F93" i="1"/>
  <c r="F1024" i="1"/>
  <c r="F467" i="1"/>
  <c r="F687" i="1"/>
  <c r="F349" i="1"/>
  <c r="F602" i="1"/>
  <c r="F112" i="1"/>
  <c r="F306" i="1"/>
  <c r="F390" i="1"/>
  <c r="F450" i="1"/>
  <c r="F262" i="1"/>
  <c r="F1052" i="1"/>
  <c r="F872" i="1"/>
  <c r="F969" i="1"/>
  <c r="F835" i="1"/>
  <c r="F641" i="1"/>
  <c r="F340" i="1"/>
  <c r="F1279" i="1"/>
  <c r="F680" i="1"/>
  <c r="F1174" i="1"/>
  <c r="F91" i="1"/>
  <c r="F1190" i="1"/>
  <c r="F278" i="1"/>
  <c r="F580" i="1"/>
  <c r="F974" i="1"/>
  <c r="F950" i="1"/>
  <c r="F630" i="1"/>
  <c r="F569" i="1"/>
  <c r="F1211" i="1"/>
  <c r="F280" i="1"/>
  <c r="F1025" i="1"/>
  <c r="F1203" i="1"/>
  <c r="F1036" i="1"/>
  <c r="F1179" i="1"/>
  <c r="F104" i="1"/>
  <c r="F1253" i="1"/>
  <c r="F502" i="1"/>
  <c r="F307" i="1"/>
  <c r="F45" i="1"/>
  <c r="F196" i="1"/>
  <c r="F859" i="1"/>
  <c r="F24" i="1"/>
  <c r="F245" i="1"/>
  <c r="F516" i="1"/>
  <c r="F319" i="1"/>
  <c r="F1112" i="1"/>
  <c r="F343" i="1"/>
  <c r="F524" i="1"/>
  <c r="F232" i="1"/>
  <c r="F841" i="1"/>
  <c r="F1089" i="1"/>
  <c r="F381" i="1"/>
  <c r="F1192" i="1"/>
  <c r="F3" i="1"/>
  <c r="F1134" i="1"/>
  <c r="F190" i="1"/>
  <c r="F1099" i="1"/>
  <c r="F1272" i="1"/>
  <c r="F300" i="1"/>
  <c r="F113" i="1"/>
  <c r="F689" i="1"/>
  <c r="F595" i="1"/>
  <c r="F1164" i="1"/>
  <c r="F1202" i="1"/>
  <c r="F710" i="1"/>
  <c r="F886" i="1"/>
  <c r="F1066" i="1"/>
  <c r="F455" i="1"/>
  <c r="F550" i="1"/>
  <c r="F218" i="1"/>
  <c r="F613" i="1"/>
  <c r="F389" i="1"/>
  <c r="F271" i="1"/>
  <c r="F1151" i="1"/>
  <c r="F225" i="1"/>
  <c r="F162" i="1"/>
  <c r="F668" i="1"/>
  <c r="F134" i="1"/>
  <c r="F35" i="1"/>
  <c r="F269" i="1"/>
  <c r="F1130" i="1"/>
  <c r="F1143" i="1"/>
  <c r="F333" i="1"/>
  <c r="F567" i="1"/>
  <c r="F738" i="1"/>
  <c r="F38" i="1"/>
  <c r="F801" i="1"/>
  <c r="F430" i="1"/>
  <c r="F624" i="1"/>
  <c r="F1073" i="1"/>
  <c r="F775" i="1"/>
  <c r="F996" i="1"/>
  <c r="F754" i="1"/>
  <c r="F940" i="1"/>
  <c r="F412" i="1"/>
  <c r="F528" i="1"/>
  <c r="F7" i="1"/>
  <c r="F1138" i="1"/>
  <c r="F915" i="1"/>
  <c r="F750" i="1"/>
  <c r="F734" i="1"/>
  <c r="F1161" i="1"/>
  <c r="F50" i="1"/>
  <c r="F178" i="1"/>
  <c r="F74" i="1"/>
  <c r="F354" i="1"/>
  <c r="F596" i="1"/>
  <c r="F85" i="1"/>
  <c r="F922" i="1"/>
  <c r="F1081" i="1"/>
  <c r="F1127" i="1"/>
  <c r="F409" i="1"/>
  <c r="F109" i="1"/>
  <c r="F928" i="1"/>
  <c r="F857" i="1"/>
  <c r="F336" i="1"/>
  <c r="F224" i="1"/>
  <c r="F1114" i="1"/>
  <c r="F559" i="1"/>
  <c r="F720" i="1"/>
  <c r="F795" i="1"/>
  <c r="F1194" i="1"/>
  <c r="F353" i="1"/>
  <c r="F1057" i="1"/>
  <c r="F896" i="1"/>
  <c r="F1049" i="1"/>
  <c r="F1222" i="1"/>
  <c r="F865" i="1"/>
  <c r="F658" i="1"/>
  <c r="F955" i="1"/>
  <c r="F721" i="1"/>
  <c r="F1135" i="1"/>
  <c r="F500" i="1"/>
  <c r="F207" i="1"/>
  <c r="F385" i="1"/>
  <c r="F765" i="1"/>
  <c r="F1043" i="1"/>
  <c r="F573" i="1"/>
  <c r="F809" i="1"/>
  <c r="F1271" i="1"/>
  <c r="F715" i="1"/>
  <c r="F59" i="1"/>
  <c r="F256" i="1"/>
  <c r="F1076" i="1"/>
  <c r="F782" i="1"/>
  <c r="F895" i="1"/>
  <c r="F980" i="1"/>
  <c r="F995" i="1"/>
  <c r="F436" i="1"/>
  <c r="F909" i="1"/>
  <c r="F26" i="1"/>
  <c r="F1109" i="1"/>
  <c r="F889" i="1"/>
  <c r="F1231" i="1"/>
  <c r="F399" i="1"/>
  <c r="F639" i="1"/>
  <c r="F1215" i="1"/>
  <c r="F1060" i="1"/>
  <c r="F564" i="1"/>
  <c r="F979" i="1"/>
  <c r="F814" i="1"/>
  <c r="F845" i="1"/>
  <c r="F991" i="1"/>
  <c r="F206" i="1"/>
  <c r="F977" i="1"/>
  <c r="F146" i="1"/>
  <c r="F685" i="1"/>
  <c r="F607" i="1"/>
  <c r="F86" i="1"/>
  <c r="F265" i="1"/>
  <c r="F917" i="1"/>
  <c r="F410" i="1"/>
  <c r="F1107" i="1"/>
  <c r="F115" i="1"/>
  <c r="F869" i="1"/>
  <c r="F752" i="1"/>
  <c r="F1276" i="1"/>
  <c r="F586" i="1"/>
  <c r="F640" i="1"/>
  <c r="F405" i="1"/>
  <c r="F185" i="1"/>
  <c r="F1147" i="1"/>
  <c r="F1285" i="1"/>
  <c r="F577" i="1"/>
  <c r="F584" i="1"/>
  <c r="F151" i="1"/>
  <c r="F547" i="1"/>
  <c r="F240" i="1"/>
  <c r="F705" i="1"/>
  <c r="F9" i="1"/>
  <c r="F474" i="1"/>
  <c r="F772" i="1"/>
  <c r="F248" i="1"/>
  <c r="F147" i="1"/>
  <c r="F1269" i="1"/>
  <c r="F475" i="1"/>
  <c r="F47" i="1"/>
  <c r="F53" i="1"/>
  <c r="F417" i="1"/>
  <c r="F840" i="1"/>
  <c r="F285" i="1"/>
  <c r="F1226" i="1"/>
  <c r="F402" i="1"/>
  <c r="F1050" i="1"/>
  <c r="F226" i="1"/>
  <c r="F666" i="1"/>
  <c r="F1262" i="1"/>
  <c r="F1238" i="1"/>
  <c r="F473" i="1"/>
  <c r="F129" i="1"/>
  <c r="F1145" i="1"/>
  <c r="F994" i="1"/>
  <c r="F33" i="1"/>
  <c r="F1037" i="1"/>
  <c r="F854" i="1"/>
  <c r="F599" i="1"/>
  <c r="F927" i="1"/>
  <c r="F831" i="1"/>
  <c r="F368" i="1"/>
  <c r="F431" i="1"/>
  <c r="F1191" i="1"/>
  <c r="F963" i="1"/>
  <c r="F810" i="1"/>
  <c r="F515" i="1"/>
  <c r="F1088" i="1"/>
  <c r="F894" i="1"/>
  <c r="F341" i="1"/>
  <c r="F709" i="1"/>
  <c r="F594" i="1"/>
  <c r="F1009" i="1"/>
  <c r="F186" i="1"/>
  <c r="F317" i="1"/>
  <c r="F174" i="1"/>
  <c r="F54" i="1"/>
  <c r="F916" i="1"/>
  <c r="F20" i="1"/>
  <c r="F876" i="1"/>
  <c r="F97" i="1"/>
  <c r="F609" i="1"/>
  <c r="F1014" i="1"/>
  <c r="F597" i="1"/>
  <c r="F234" i="1"/>
  <c r="F984" i="1"/>
  <c r="F558" i="1"/>
  <c r="F1047" i="1"/>
  <c r="F92" i="1"/>
  <c r="F23" i="1"/>
  <c r="F645" i="1"/>
  <c r="F745" i="1"/>
  <c r="F887" i="1"/>
  <c r="F386" i="1"/>
  <c r="F42" i="1"/>
  <c r="F1031" i="1"/>
  <c r="F1286" i="1"/>
  <c r="F817" i="1"/>
  <c r="F760" i="1"/>
  <c r="F836" i="1"/>
  <c r="F314" i="1"/>
  <c r="F669" i="1"/>
  <c r="F786" i="1"/>
  <c r="F768" i="1"/>
  <c r="F392" i="1"/>
  <c r="F1197" i="1"/>
  <c r="F933" i="1"/>
  <c r="F521" i="1"/>
  <c r="F477" i="1"/>
  <c r="F983" i="1"/>
  <c r="F183" i="1"/>
  <c r="F149" i="1"/>
  <c r="F305" i="1"/>
  <c r="F879" i="1"/>
  <c r="F1149" i="1"/>
  <c r="F623" i="1"/>
  <c r="F1184" i="1"/>
  <c r="F364" i="1"/>
  <c r="F355" i="1"/>
  <c r="F433" i="1"/>
  <c r="F75" i="1"/>
  <c r="F1004" i="1"/>
  <c r="F968" i="1"/>
  <c r="F451" i="1"/>
  <c r="F1218" i="1"/>
  <c r="F903" i="1"/>
  <c r="F629" i="1"/>
  <c r="F820" i="1"/>
  <c r="F683" i="1"/>
  <c r="F1013" i="1"/>
  <c r="F819" i="1"/>
  <c r="F1156" i="1"/>
  <c r="F531" i="1"/>
  <c r="F264" i="1"/>
  <c r="F1196" i="1"/>
  <c r="F348" i="1"/>
  <c r="F1167" i="1"/>
  <c r="F187" i="1"/>
  <c r="F180" i="1"/>
  <c r="F945" i="1"/>
  <c r="F228" i="1"/>
  <c r="F620" i="1"/>
  <c r="F767" i="1"/>
  <c r="F68" i="1"/>
  <c r="F755" i="1"/>
  <c r="F127" i="1"/>
  <c r="F953" i="1"/>
  <c r="F493" i="1"/>
  <c r="F545" i="1"/>
  <c r="F756" i="1"/>
  <c r="F540" i="1"/>
  <c r="F1125" i="1"/>
  <c r="F593" i="1"/>
  <c r="F987" i="1"/>
  <c r="F813" i="1"/>
  <c r="F375" i="1"/>
  <c r="F941" i="1"/>
  <c r="F65" i="1"/>
  <c r="F1160" i="1"/>
  <c r="F377" i="1"/>
  <c r="F344" i="1"/>
  <c r="F1062" i="1"/>
  <c r="F426" i="1"/>
  <c r="F1199" i="1"/>
  <c r="F826" i="1"/>
  <c r="F1277" i="1"/>
  <c r="F962" i="1"/>
  <c r="F821" i="1"/>
  <c r="F944" i="1"/>
  <c r="F753" i="1"/>
  <c r="F1152" i="1"/>
  <c r="F1055" i="1"/>
  <c r="F863" i="1"/>
  <c r="F159" i="1"/>
  <c r="F211" i="1"/>
  <c r="F140" i="1"/>
  <c r="F242" i="1"/>
  <c r="F384" i="1"/>
  <c r="F255" i="1"/>
  <c r="F796" i="1"/>
  <c r="F56" i="1"/>
  <c r="F326" i="1"/>
  <c r="F781" i="1"/>
  <c r="F939" i="1"/>
  <c r="F954" i="1"/>
  <c r="F1266" i="1"/>
  <c r="F871" i="1"/>
  <c r="F1239" i="1"/>
  <c r="F55" i="1"/>
  <c r="F359" i="1"/>
  <c r="F5" i="1"/>
  <c r="F529" i="1"/>
  <c r="F1083" i="1"/>
  <c r="F429" i="1"/>
  <c r="F441" i="1"/>
  <c r="F1205" i="1"/>
  <c r="F1022" i="1"/>
  <c r="F574" i="1"/>
  <c r="F536" i="1"/>
  <c r="F905" i="1"/>
  <c r="F323" i="1"/>
  <c r="F1116" i="1"/>
  <c r="F160" i="1"/>
  <c r="F332" i="1"/>
  <c r="F244" i="1"/>
  <c r="F631" i="1"/>
  <c r="F907" i="1"/>
  <c r="F144" i="1"/>
  <c r="F39" i="1"/>
  <c r="F346" i="1"/>
  <c r="F199" i="1"/>
  <c r="F634" i="1"/>
  <c r="F1117" i="1"/>
  <c r="F2" i="1"/>
  <c r="F231" i="1"/>
  <c r="F106" i="1"/>
  <c r="F243" i="1"/>
  <c r="F116" i="1"/>
  <c r="F1153" i="1"/>
  <c r="F1208" i="1"/>
  <c r="F1141" i="1"/>
  <c r="F358" i="1"/>
  <c r="F1003" i="1"/>
  <c r="F1002" i="1"/>
  <c r="F694" i="1"/>
  <c r="F282" i="1"/>
  <c r="F403" i="1"/>
  <c r="F139" i="1"/>
  <c r="F861" i="1"/>
  <c r="F122" i="1"/>
  <c r="F1001" i="1"/>
  <c r="F862" i="1"/>
  <c r="F803" i="1"/>
  <c r="F837" i="1"/>
  <c r="F1070" i="1"/>
  <c r="F719" i="1"/>
  <c r="F997" i="1"/>
  <c r="F360" i="1"/>
  <c r="F437" i="1"/>
  <c r="F960" i="1"/>
  <c r="F783" i="1"/>
  <c r="F395" i="1"/>
  <c r="F84" i="1"/>
  <c r="F492" i="1"/>
  <c r="F864" i="1"/>
  <c r="F28" i="1"/>
  <c r="F576" i="1"/>
  <c r="F96" i="1"/>
  <c r="F4" i="1"/>
  <c r="F191" i="1"/>
  <c r="F1098" i="1"/>
  <c r="F72" i="1"/>
  <c r="F884" i="1"/>
  <c r="F382" i="1"/>
  <c r="F632" i="1"/>
  <c r="F793" i="1"/>
  <c r="F731" i="1"/>
  <c r="F41" i="1"/>
  <c r="F1216" i="1"/>
  <c r="F62" i="1"/>
  <c r="F489" i="1"/>
  <c r="F714" i="1"/>
  <c r="F498" i="1"/>
  <c r="F688" i="1"/>
  <c r="F1213" i="1"/>
  <c r="F892" i="1"/>
  <c r="F628" i="1"/>
  <c r="F1251" i="1"/>
  <c r="F169" i="1"/>
  <c r="F198" i="1"/>
  <c r="F1270" i="1"/>
  <c r="F136" i="1"/>
  <c r="F105" i="1"/>
  <c r="F807" i="1"/>
  <c r="F553" i="1"/>
  <c r="F366" i="1"/>
  <c r="F258" i="1"/>
  <c r="F171" i="1"/>
  <c r="F875" i="1"/>
  <c r="F237" i="1"/>
  <c r="F1257" i="1"/>
  <c r="F223" i="1"/>
  <c r="F600" i="1"/>
  <c r="F1198" i="1"/>
  <c r="F78" i="1"/>
  <c r="F878" i="1"/>
  <c r="F708" i="1"/>
  <c r="F318" i="1"/>
  <c r="F938" i="1"/>
  <c r="F345" i="1"/>
  <c r="F918" i="1"/>
  <c r="F290" i="1"/>
  <c r="F751" i="1"/>
  <c r="F480" i="1"/>
  <c r="F407" i="1"/>
  <c r="F1094" i="1"/>
  <c r="F1086" i="1"/>
  <c r="F388" i="1"/>
  <c r="F716" i="1"/>
  <c r="F250" i="1"/>
  <c r="F1019" i="1"/>
  <c r="F1032" i="1"/>
  <c r="F459" i="1"/>
  <c r="F1247" i="1"/>
  <c r="F230" i="1"/>
  <c r="F797" i="1"/>
  <c r="F490" i="1"/>
  <c r="F704" i="1"/>
  <c r="F804" i="1"/>
  <c r="F10" i="1"/>
  <c r="F158" i="1"/>
  <c r="F965" i="1"/>
  <c r="F1183" i="1"/>
  <c r="F172" i="1"/>
  <c r="F316" i="1"/>
  <c r="F952" i="1"/>
  <c r="F1157" i="1"/>
  <c r="F1078" i="1"/>
  <c r="F682" i="1"/>
  <c r="F733" i="1"/>
  <c r="F957" i="1"/>
  <c r="F802" i="1"/>
  <c r="F102" i="1"/>
  <c r="F981" i="1"/>
  <c r="F478" i="1"/>
  <c r="F167" i="1"/>
  <c r="F292" i="1"/>
  <c r="F1096" i="1"/>
  <c r="F1240" i="1"/>
  <c r="F1252" i="1"/>
  <c r="F472" i="1"/>
  <c r="F424" i="1"/>
  <c r="F220" i="1"/>
  <c r="F773" i="1"/>
  <c r="F117" i="1"/>
  <c r="F627" i="1"/>
  <c r="F396" i="1"/>
  <c r="F654" i="1"/>
  <c r="F818" i="1"/>
  <c r="F378" i="1"/>
  <c r="F1177" i="1"/>
  <c r="F415" i="1"/>
  <c r="F1248" i="1"/>
  <c r="F46" i="1"/>
  <c r="F696" i="1"/>
  <c r="F152" i="1"/>
  <c r="F138" i="1"/>
  <c r="F79" i="1"/>
  <c r="F901" i="1"/>
  <c r="F605" i="1"/>
  <c r="F19" i="1"/>
  <c r="F254" i="1"/>
  <c r="F537" i="1"/>
  <c r="F518" i="1"/>
  <c r="F890" i="1"/>
  <c r="F912" i="1"/>
  <c r="F1133" i="1"/>
  <c r="F325" i="1"/>
  <c r="F1054" i="1"/>
  <c r="F1150" i="1"/>
  <c r="F911" i="1"/>
  <c r="F542" i="1"/>
  <c r="F8" i="1"/>
  <c r="F440" i="1"/>
  <c r="F1186" i="1"/>
  <c r="F999" i="1"/>
  <c r="F414" i="1"/>
  <c r="F1234" i="1"/>
  <c r="F267" i="1"/>
  <c r="F100" i="1"/>
  <c r="F951" i="1"/>
  <c r="F1274" i="1"/>
  <c r="F507" i="1"/>
  <c r="F651" i="1"/>
  <c r="F849" i="1"/>
  <c r="F1012" i="1"/>
  <c r="F1129" i="1"/>
  <c r="F111" i="1"/>
  <c r="F548" i="1"/>
  <c r="F926" i="1"/>
  <c r="F899" i="1"/>
  <c r="F43" i="1"/>
  <c r="F1045" i="1"/>
  <c r="F848" i="1"/>
  <c r="F263" i="1"/>
  <c r="F400" i="1"/>
  <c r="F870" i="1"/>
  <c r="F520" i="1"/>
  <c r="F656" i="1"/>
  <c r="F58" i="1"/>
  <c r="F376" i="1"/>
  <c r="F219" i="1"/>
  <c r="F856" i="1"/>
  <c r="F1063" i="1"/>
  <c r="F1155" i="1"/>
  <c r="F501" i="1"/>
  <c r="F860" i="1"/>
  <c r="F411" i="1"/>
  <c r="F618" i="1"/>
  <c r="F931" i="1"/>
  <c r="F487" i="1"/>
  <c r="F662" i="1"/>
  <c r="F522" i="1"/>
  <c r="F61" i="1"/>
  <c r="F655" i="1"/>
  <c r="F787" i="1"/>
  <c r="F858" i="1"/>
  <c r="F1223" i="1"/>
  <c r="F1264" i="1"/>
  <c r="F1201" i="1"/>
  <c r="F749" i="1"/>
  <c r="F743" i="1"/>
  <c r="F1061" i="1"/>
  <c r="F906" i="1"/>
  <c r="F1263" i="1"/>
  <c r="F1077" i="1"/>
  <c r="F418" i="1"/>
  <c r="F175" i="1"/>
  <c r="F642" i="1"/>
  <c r="F707" i="1"/>
  <c r="F148" i="1"/>
  <c r="F1084" i="1"/>
  <c r="F1178" i="1"/>
  <c r="F275" i="1"/>
  <c r="F1010" i="1"/>
  <c r="F913" i="1"/>
  <c r="F681" i="1"/>
  <c r="F1068" i="1"/>
  <c r="F557" i="1"/>
  <c r="F606" i="1"/>
  <c r="F1170" i="1"/>
  <c r="F1235" i="1"/>
  <c r="F428" i="1"/>
  <c r="F622" i="1"/>
  <c r="F118" i="1"/>
  <c r="F485" i="1"/>
  <c r="F742" i="1"/>
  <c r="F649" i="1"/>
  <c r="F1232" i="1"/>
  <c r="F36" i="1"/>
  <c r="F142" i="1"/>
  <c r="F321" i="1"/>
  <c r="F650" i="1"/>
  <c r="F723" i="1"/>
  <c r="F373" i="1"/>
  <c r="F1249" i="1"/>
  <c r="F416" i="1"/>
  <c r="F87" i="1"/>
  <c r="F69" i="1"/>
  <c r="F549" i="1"/>
  <c r="F1053" i="1"/>
  <c r="F322" i="1"/>
  <c r="F1241" i="1"/>
  <c r="F15" i="1"/>
  <c r="F762" i="1"/>
  <c r="F908" i="1"/>
  <c r="F222" i="1"/>
  <c r="F722" i="1"/>
  <c r="F1122" i="1"/>
  <c r="F728" i="1"/>
  <c r="F272" i="1"/>
  <c r="F657" i="1"/>
  <c r="F568" i="1"/>
  <c r="F1108" i="1"/>
  <c r="F1181" i="1"/>
  <c r="F125" i="1"/>
  <c r="F367" i="1"/>
  <c r="F978" i="1"/>
  <c r="F137" i="1"/>
  <c r="F505" i="1"/>
  <c r="F1106" i="1"/>
  <c r="F32" i="1"/>
  <c r="F1126" i="1"/>
  <c r="F891" i="1"/>
  <c r="F51" i="1"/>
  <c r="F1280" i="1"/>
  <c r="F1228" i="1"/>
  <c r="F966" i="1"/>
  <c r="F287" i="1"/>
  <c r="F660" i="1"/>
  <c r="F827" i="1"/>
  <c r="F157" i="1"/>
  <c r="F214" i="1"/>
  <c r="F444" i="1"/>
  <c r="F257" i="1"/>
  <c r="F143" i="1"/>
  <c r="F619" i="1"/>
  <c r="F578" i="1"/>
  <c r="F673" i="1"/>
  <c r="F215" i="1"/>
  <c r="F251" i="1"/>
  <c r="F914" i="1"/>
  <c r="F94" i="1"/>
  <c r="F347" i="1"/>
  <c r="F554" i="1"/>
  <c r="F555" i="1"/>
  <c r="F729" i="1"/>
  <c r="F176" i="1"/>
  <c r="F303" i="1"/>
  <c r="F208" i="1"/>
  <c r="F379" i="1"/>
  <c r="F1020" i="1"/>
  <c r="F327" i="1"/>
  <c r="F616" i="1"/>
  <c r="F511" i="1"/>
  <c r="F739" i="1"/>
  <c r="F713" i="1"/>
  <c r="F200" i="1"/>
  <c r="F777" i="1"/>
  <c r="F1275" i="1"/>
  <c r="F1038" i="1"/>
  <c r="F943" i="1"/>
  <c r="F406" i="1"/>
  <c r="F301" i="1"/>
  <c r="F1110" i="1"/>
  <c r="F320" i="1"/>
  <c r="F221" i="1"/>
  <c r="F1171" i="1"/>
  <c r="F329" i="1"/>
  <c r="F535" i="1"/>
  <c r="F80" i="1"/>
  <c r="F679" i="1"/>
  <c r="F6" i="1"/>
  <c r="F1173" i="1"/>
  <c r="F324" i="1"/>
  <c r="F923" i="1"/>
  <c r="F1082" i="1"/>
  <c r="F1103" i="1"/>
  <c r="F581" i="1"/>
  <c r="F297" i="1"/>
  <c r="F1182" i="1"/>
  <c r="F672" i="1"/>
  <c r="F790" i="1"/>
  <c r="F296" i="1"/>
  <c r="F281" i="1"/>
  <c r="F1035" i="1"/>
  <c r="F661" i="1"/>
  <c r="F434" i="1"/>
  <c r="F764" i="1"/>
  <c r="F29" i="1"/>
  <c r="F374" i="1"/>
  <c r="F1069" i="1"/>
  <c r="F589" i="1"/>
  <c r="F1085" i="1"/>
  <c r="F52" i="1"/>
  <c r="F1204" i="1"/>
  <c r="F34" i="1"/>
  <c r="F956" i="1"/>
  <c r="F1256" i="1"/>
  <c r="F921" i="1"/>
  <c r="F311" i="1"/>
  <c r="F1169" i="1"/>
  <c r="F1236" i="1"/>
  <c r="F525" i="1"/>
  <c r="F334" i="1"/>
  <c r="F829" i="1"/>
  <c r="F1144" i="1"/>
  <c r="F465" i="1"/>
  <c r="F391" i="1"/>
  <c r="F246" i="1"/>
  <c r="F898" i="1"/>
  <c r="F934" i="1"/>
  <c r="F785" i="1"/>
  <c r="F566" i="1"/>
  <c r="F283" i="1"/>
  <c r="F1102" i="1"/>
  <c r="F780" i="1"/>
  <c r="F598" i="1"/>
  <c r="F677" i="1"/>
  <c r="F210" i="1"/>
  <c r="F1091" i="1"/>
  <c r="F463" i="1"/>
  <c r="F648" i="1"/>
  <c r="F1072" i="1"/>
  <c r="F612" i="1"/>
  <c r="F98" i="1"/>
  <c r="F308" i="1"/>
  <c r="F363" i="1"/>
  <c r="F935" i="1"/>
  <c r="F702" i="1"/>
  <c r="F873" i="1"/>
  <c r="F510" i="1"/>
  <c r="F1065" i="1"/>
  <c r="F44" i="1"/>
  <c r="F481" i="1"/>
  <c r="F133" i="1"/>
  <c r="F182" i="1"/>
  <c r="F970" i="1"/>
  <c r="F506" i="1"/>
  <c r="F339" i="1"/>
  <c r="F664" i="1"/>
  <c r="F1140" i="1"/>
  <c r="F833" i="1"/>
  <c r="F1166" i="1"/>
  <c r="F816" i="1"/>
  <c r="F77" i="1"/>
  <c r="F164" i="1"/>
  <c r="F706" i="1"/>
  <c r="F585" i="1"/>
  <c r="F1044" i="1"/>
  <c r="F1119" i="1"/>
  <c r="F193" i="1"/>
  <c r="F700" i="1"/>
  <c r="F1008" i="1"/>
  <c r="F1028" i="1"/>
  <c r="F202" i="1"/>
  <c r="F309" i="1"/>
  <c r="F530" i="1"/>
  <c r="F76" i="1"/>
  <c r="F291" i="1"/>
  <c r="F1289" i="1"/>
  <c r="F1292" i="1"/>
  <c r="F81" i="1"/>
  <c r="F1217" i="1"/>
  <c r="F63" i="1"/>
  <c r="F805" i="1"/>
  <c r="F394" i="1"/>
  <c r="F335" i="1"/>
  <c r="F973" i="1"/>
  <c r="F239" i="1"/>
  <c r="F67" i="1"/>
  <c r="F778" i="1"/>
  <c r="F732" i="1"/>
  <c r="F971" i="1"/>
  <c r="F261" i="1"/>
  <c r="F310" i="1"/>
  <c r="F637" i="1"/>
  <c r="F241" i="1"/>
  <c r="F66" i="1"/>
  <c r="F832" i="1"/>
  <c r="F1034" i="1"/>
  <c r="F1079" i="1"/>
  <c r="F1026" i="1"/>
  <c r="F1039" i="1"/>
  <c r="F82" i="1"/>
  <c r="F847" i="1"/>
  <c r="F401" i="1"/>
  <c r="F1268" i="1"/>
  <c r="F1162" i="1"/>
  <c r="F844" i="1"/>
  <c r="F422" i="1"/>
  <c r="F1188" i="1"/>
  <c r="F1212" i="1"/>
  <c r="F1041" i="1"/>
  <c r="F615" i="1"/>
  <c r="F608" i="1"/>
  <c r="F235" i="1"/>
  <c r="F64" i="1"/>
  <c r="F135" i="1"/>
  <c r="F958" i="1"/>
  <c r="F563" i="1"/>
  <c r="F888" i="1"/>
  <c r="F88" i="1"/>
  <c r="F423" i="1"/>
  <c r="F1278" i="1"/>
  <c r="F276" i="1"/>
  <c r="F736" i="1"/>
  <c r="F561" i="1"/>
  <c r="F823" i="1"/>
  <c r="F419" i="1"/>
  <c r="F930" i="1"/>
  <c r="F1210" i="1"/>
  <c r="F697" i="1"/>
  <c r="F947" i="1"/>
  <c r="F684" i="1"/>
  <c r="F794" i="1"/>
  <c r="F448" i="1"/>
  <c r="F653" i="1"/>
  <c r="F842" i="1"/>
  <c r="F539" i="1"/>
  <c r="F770" i="1"/>
  <c r="F1137" i="1"/>
  <c r="F195" i="1"/>
  <c r="F216" i="1"/>
  <c r="F1260" i="1"/>
  <c r="F552" i="1"/>
  <c r="F1059" i="1"/>
  <c r="F1067" i="1"/>
  <c r="F544" i="1"/>
  <c r="F253" i="1"/>
  <c r="F603" i="1"/>
  <c r="F457" i="1"/>
  <c r="F647" i="1"/>
  <c r="F1242" i="1"/>
  <c r="F155" i="1"/>
  <c r="F1219" i="1"/>
  <c r="F488" i="1"/>
  <c r="F357" i="1"/>
  <c r="F342" i="1"/>
  <c r="F205" i="1"/>
  <c r="F1048" i="1"/>
  <c r="F919" i="1"/>
  <c r="F815" i="1"/>
  <c r="F1176" i="1"/>
  <c r="F724" i="1"/>
  <c r="F800" i="1"/>
  <c r="F964" i="1"/>
  <c r="F766" i="1"/>
  <c r="F471" i="1"/>
  <c r="F726" i="1"/>
  <c r="F1092" i="1"/>
  <c r="F252" i="1"/>
  <c r="F48" i="1"/>
  <c r="F730" i="1"/>
  <c r="F761" i="1"/>
  <c r="F1120" i="1"/>
  <c r="F184" i="1"/>
  <c r="F1189" i="1"/>
  <c r="F145" i="1"/>
  <c r="F27" i="1"/>
  <c r="F101" i="1"/>
  <c r="F1040" i="1"/>
  <c r="F1291" i="1"/>
  <c r="F758" i="1"/>
  <c r="F128" i="1"/>
  <c r="F533" i="1"/>
  <c r="F238" i="1"/>
  <c r="F591" i="1"/>
  <c r="F16" i="1"/>
  <c r="F71" i="1"/>
  <c r="F1104" i="1"/>
  <c r="F483" i="1"/>
  <c r="F509" i="1"/>
  <c r="F286" i="1"/>
  <c r="F570" i="1"/>
  <c r="F806" i="1"/>
  <c r="F880" i="1"/>
  <c r="F192" i="1"/>
  <c r="F839" i="1"/>
  <c r="F1131" i="1"/>
  <c r="F1283" i="1"/>
  <c r="F201" i="1"/>
  <c r="F17" i="1"/>
  <c r="F464" i="1"/>
  <c r="F695" i="1"/>
  <c r="F546" i="1"/>
  <c r="F1080" i="1"/>
  <c r="F900" i="1"/>
  <c r="F503" i="1"/>
  <c r="F383" i="1"/>
  <c r="F1023" i="1"/>
  <c r="F747" i="1"/>
  <c r="F1097" i="1"/>
  <c r="F1074" i="1"/>
  <c r="F512" i="1"/>
  <c r="F453" i="1"/>
  <c r="F920" i="1"/>
  <c r="F496" i="1"/>
  <c r="F659" i="1"/>
  <c r="F188" i="1"/>
  <c r="F49" i="1"/>
  <c r="F95" i="1"/>
  <c r="F397" i="1"/>
  <c r="F1033" i="1"/>
  <c r="F1111" i="1"/>
  <c r="F217" i="1"/>
  <c r="F1209" i="1"/>
  <c r="F986" i="1"/>
  <c r="F458" i="1"/>
  <c r="F843" i="1"/>
  <c r="F990" i="1"/>
  <c r="F103" i="1"/>
  <c r="F294" i="1"/>
  <c r="F671" i="1"/>
  <c r="F413" i="1"/>
  <c r="F744" i="1"/>
  <c r="F883" i="1"/>
  <c r="F189" i="1"/>
  <c r="F508" i="1"/>
  <c r="F1017" i="1"/>
  <c r="F972" i="1"/>
  <c r="F315" i="1"/>
  <c r="F233" i="1"/>
  <c r="F678" i="1"/>
  <c r="F853" i="1"/>
  <c r="F932" i="1"/>
  <c r="F177" i="1"/>
  <c r="F204" i="1"/>
  <c r="F249" i="1"/>
  <c r="F676" i="1"/>
  <c r="F168" i="1"/>
  <c r="F1233" i="1"/>
  <c r="F387" i="1"/>
  <c r="F571" i="1"/>
  <c r="F937" i="1"/>
  <c r="F1284" i="1"/>
  <c r="F513" i="1"/>
  <c r="F882" i="1"/>
  <c r="F259" i="1"/>
  <c r="F1075" i="1"/>
  <c r="F1087" i="1"/>
  <c r="F652" i="1"/>
  <c r="F799" i="1"/>
  <c r="F499" i="1"/>
  <c r="F494" i="1"/>
  <c r="F30" i="1"/>
  <c r="F866" i="1"/>
  <c r="F1101" i="1"/>
  <c r="F37" i="1"/>
  <c r="F361" i="1"/>
  <c r="F268" i="1"/>
  <c r="F203" i="1"/>
  <c r="F1136" i="1"/>
  <c r="F484" i="1"/>
  <c r="F114" i="1"/>
  <c r="F675" i="1"/>
  <c r="F1287" i="1"/>
  <c r="F699" i="1"/>
  <c r="F1273" i="1"/>
  <c r="F1015" i="1"/>
  <c r="F1064" i="1"/>
  <c r="F1237" i="1"/>
  <c r="F1005" i="1"/>
  <c r="F614" i="1"/>
  <c r="F371" i="1"/>
  <c r="F560" i="1"/>
  <c r="F698" i="1"/>
  <c r="F929" i="1"/>
  <c r="F961" i="1"/>
  <c r="F621" i="1"/>
  <c r="F1229" i="1"/>
  <c r="F197" i="1"/>
  <c r="F447" i="1"/>
  <c r="F132" i="1"/>
  <c r="F1113" i="1"/>
  <c r="F150" i="1"/>
  <c r="F304" i="1"/>
  <c r="F625" i="1"/>
  <c r="F1159" i="1"/>
  <c r="F946" i="1"/>
  <c r="F370" i="1"/>
  <c r="F1207" i="1"/>
  <c r="F992" i="1"/>
  <c r="F456" i="1"/>
  <c r="F924" i="1"/>
  <c r="F902" i="1"/>
  <c r="F73" i="1"/>
  <c r="F852" i="1"/>
  <c r="F173" i="1"/>
  <c r="F270" i="1"/>
  <c r="F110" i="1"/>
  <c r="F338" i="1"/>
  <c r="F904" i="1"/>
  <c r="F432" i="1"/>
  <c r="F236" i="1"/>
  <c r="F776" i="1"/>
  <c r="F153" i="1"/>
  <c r="F610" i="1"/>
  <c r="F590" i="1"/>
  <c r="F131" i="1"/>
  <c r="F691" i="1"/>
  <c r="F527" i="1"/>
  <c r="F425" i="1"/>
  <c r="F365" i="1"/>
  <c r="F156" i="1"/>
  <c r="F636" i="1"/>
  <c r="F1100" i="1"/>
  <c r="F517" i="1"/>
  <c r="F279" i="1"/>
  <c r="F495" i="1"/>
  <c r="F701" i="1"/>
  <c r="F163" i="1"/>
  <c r="F1148" i="1"/>
  <c r="F798" i="1"/>
  <c r="F298" i="1"/>
  <c r="F812" i="1"/>
  <c r="F763" i="1"/>
  <c r="F1227" i="1"/>
  <c r="F850" i="1"/>
  <c r="F121" i="1"/>
  <c r="F288" i="1"/>
  <c r="F302" i="1"/>
  <c r="F491" i="1"/>
  <c r="F838" i="1"/>
  <c r="F1261" i="1"/>
  <c r="F737" i="1"/>
  <c r="F792" i="1"/>
  <c r="F443" i="1"/>
  <c r="F690" i="1"/>
  <c r="F808" i="1"/>
  <c r="F948" i="1"/>
  <c r="F404" i="1"/>
  <c r="F748" i="1"/>
  <c r="F967" i="1"/>
  <c r="F670" i="1"/>
  <c r="F482" i="1"/>
  <c r="F442" i="1"/>
  <c r="F1018" i="1"/>
  <c r="F604" i="1"/>
  <c r="F774" i="1"/>
  <c r="F11" i="1"/>
  <c r="F18" i="1"/>
  <c r="F393" i="1"/>
  <c r="F266" i="1"/>
  <c r="F454" i="1"/>
  <c r="F295" i="1"/>
  <c r="F1254" i="1"/>
  <c r="F1030" i="1"/>
  <c r="F107" i="1"/>
  <c r="F497" i="1"/>
  <c r="F273" i="1"/>
  <c r="F486" i="1"/>
  <c r="F985" i="1"/>
  <c r="F881" i="1"/>
  <c r="F757" i="1"/>
  <c r="F1281" i="1"/>
  <c r="F725" i="1"/>
  <c r="F179" i="1"/>
  <c r="F21" i="1"/>
  <c r="F526" i="1"/>
  <c r="F1051" i="1"/>
  <c r="F759" i="1"/>
  <c r="F851" i="1"/>
  <c r="F504" i="1"/>
  <c r="F165" i="1"/>
  <c r="F874" i="1"/>
  <c r="F868" i="1"/>
  <c r="F328" i="1"/>
  <c r="F910" i="1"/>
  <c r="F330" i="1"/>
  <c r="F166" i="1"/>
  <c r="F274" i="1"/>
  <c r="F351" i="1"/>
  <c r="F626" i="1"/>
  <c r="F170" i="1"/>
  <c r="F212" i="1"/>
  <c r="F789" i="1"/>
  <c r="F825" i="1"/>
  <c r="F1000" i="1"/>
  <c r="F562" i="1"/>
  <c r="F57" i="1"/>
  <c r="F460" i="1"/>
  <c r="F582" i="1"/>
  <c r="F811" i="1"/>
  <c r="F369" i="1"/>
  <c r="F1282" i="1"/>
  <c r="F877" i="1"/>
  <c r="F703" i="1"/>
  <c r="F60" i="1"/>
  <c r="F735" i="1"/>
  <c r="F1021" i="1"/>
  <c r="F1245" i="1"/>
  <c r="F126" i="1"/>
  <c r="F13" i="1"/>
  <c r="F435" i="1"/>
  <c r="F592" i="1"/>
  <c r="F120" i="1"/>
  <c r="F1255" i="1"/>
  <c r="F445" i="1"/>
  <c r="F665" i="1"/>
  <c r="F718" i="1"/>
  <c r="F1214" i="1"/>
  <c r="F788" i="1"/>
  <c r="F635" i="1"/>
  <c r="F543" i="1"/>
  <c r="F1046" i="1"/>
  <c r="F479" i="1"/>
  <c r="F31" i="1"/>
  <c r="F1090" i="1"/>
  <c r="F579" i="1"/>
  <c r="F154" i="1"/>
  <c r="F1056" i="1"/>
  <c r="F420" i="1"/>
  <c r="F313" i="1"/>
  <c r="F1193" i="1"/>
  <c r="F998" i="1"/>
  <c r="F90" i="1"/>
  <c r="F1027" i="1"/>
  <c r="F1288" i="1"/>
  <c r="F988" i="1"/>
  <c r="AE36" i="1" l="1"/>
  <c r="AC36" i="1" s="1"/>
  <c r="AE1108" i="1"/>
  <c r="AC1108" i="1" s="1"/>
  <c r="AE963" i="1"/>
  <c r="AC963" i="1" s="1"/>
  <c r="AE1233" i="1"/>
  <c r="AC1233" i="1" s="1"/>
  <c r="AE623" i="1"/>
  <c r="AC623" i="1" s="1"/>
  <c r="AE149" i="1"/>
  <c r="AC149" i="1" s="1"/>
  <c r="AE761" i="1"/>
  <c r="AC761" i="1" s="1"/>
  <c r="AE757" i="1"/>
  <c r="AC757" i="1" s="1"/>
  <c r="AE1225" i="1"/>
  <c r="AC1225" i="1" s="1"/>
  <c r="AE1032" i="1"/>
  <c r="AC1032" i="1" s="1"/>
  <c r="AE212" i="1"/>
  <c r="AC212" i="1" s="1"/>
  <c r="AE306" i="1"/>
  <c r="AC306" i="1" s="1"/>
  <c r="AE405" i="1"/>
  <c r="AC405" i="1" s="1"/>
  <c r="AE651" i="1"/>
  <c r="AC651" i="1" s="1"/>
  <c r="AE933" i="1"/>
  <c r="AC933" i="1" s="1"/>
  <c r="AE122" i="1"/>
  <c r="AC122" i="1" s="1"/>
  <c r="AE983" i="1"/>
  <c r="AC983" i="1" s="1"/>
  <c r="AE438" i="1"/>
  <c r="AC438" i="1" s="1"/>
  <c r="AE697" i="1"/>
  <c r="AC697" i="1" s="1"/>
  <c r="AE46" i="1"/>
  <c r="AC46" i="1" s="1"/>
  <c r="AE911" i="1"/>
  <c r="AC911" i="1" s="1"/>
  <c r="AE1054" i="1"/>
  <c r="AC1054" i="1" s="1"/>
  <c r="AE1068" i="1"/>
  <c r="AC1068" i="1" s="1"/>
  <c r="AE250" i="1"/>
  <c r="AC250" i="1" s="1"/>
  <c r="AE1220" i="1"/>
  <c r="AC1220" i="1" s="1"/>
  <c r="AE627" i="1"/>
  <c r="AC627" i="1" s="1"/>
  <c r="AE526" i="1"/>
  <c r="AC526" i="1" s="1"/>
  <c r="AE1275" i="1"/>
  <c r="AC1275" i="1" s="1"/>
  <c r="AE1157" i="1"/>
  <c r="AC1157" i="1" s="1"/>
  <c r="AE527" i="1"/>
  <c r="AC527" i="1" s="1"/>
  <c r="AE592" i="1"/>
  <c r="AC592" i="1" s="1"/>
  <c r="AE926" i="1"/>
  <c r="AC926" i="1" s="1"/>
  <c r="AE883" i="1"/>
  <c r="AC883" i="1" s="1"/>
  <c r="AE1097" i="1"/>
  <c r="AC1097" i="1" s="1"/>
  <c r="AE551" i="1"/>
  <c r="AC551" i="1" s="1"/>
  <c r="AE396" i="1"/>
  <c r="AC396" i="1" s="1"/>
  <c r="AE498" i="1"/>
  <c r="AC498" i="1" s="1"/>
  <c r="AE482" i="1"/>
  <c r="AC482" i="1" s="1"/>
  <c r="AE469" i="1"/>
  <c r="AC469" i="1" s="1"/>
  <c r="AE1155" i="1"/>
  <c r="AC1155" i="1" s="1"/>
  <c r="AE1056" i="1"/>
  <c r="AC1056" i="1" s="1"/>
  <c r="AE168" i="1"/>
  <c r="AC168" i="1" s="1"/>
  <c r="AE689" i="1"/>
  <c r="AC689" i="1" s="1"/>
  <c r="AE1216" i="1"/>
  <c r="AC1216" i="1" s="1"/>
  <c r="AE712" i="1"/>
  <c r="AC712" i="1" s="1"/>
  <c r="AE70" i="1"/>
  <c r="AC70" i="1" s="1"/>
  <c r="AE279" i="1"/>
  <c r="AC279" i="1" s="1"/>
  <c r="AE140" i="1"/>
  <c r="AC140" i="1" s="1"/>
  <c r="AE544" i="1"/>
  <c r="AC544" i="1" s="1"/>
  <c r="AE739" i="1"/>
  <c r="AC739" i="1" s="1"/>
  <c r="AE235" i="1"/>
  <c r="AC235" i="1" s="1"/>
  <c r="AE1035" i="1"/>
  <c r="AC1035" i="1" s="1"/>
  <c r="AE754" i="1"/>
  <c r="AC754" i="1" s="1"/>
  <c r="AE759" i="1"/>
  <c r="AC759" i="1" s="1"/>
  <c r="AE275" i="1"/>
  <c r="AC275" i="1" s="1"/>
  <c r="AE859" i="1"/>
  <c r="AC859" i="1" s="1"/>
  <c r="AE976" i="1"/>
  <c r="AC976" i="1" s="1"/>
  <c r="AE1280" i="1"/>
  <c r="AC1280" i="1" s="1"/>
  <c r="AE232" i="1"/>
  <c r="AC232" i="1" s="1"/>
  <c r="AE693" i="1"/>
  <c r="AC693" i="1" s="1"/>
  <c r="AE324" i="1"/>
  <c r="AC324" i="1" s="1"/>
  <c r="AE873" i="1"/>
  <c r="AC873" i="1" s="1"/>
  <c r="AE464" i="1"/>
  <c r="AC464" i="1" s="1"/>
  <c r="AE728" i="1"/>
  <c r="AC728" i="1" s="1"/>
  <c r="AE875" i="1"/>
  <c r="AC875" i="1" s="1"/>
  <c r="AE871" i="1"/>
  <c r="AC871" i="1" s="1"/>
  <c r="AE1146" i="1"/>
  <c r="AC1146" i="1" s="1"/>
  <c r="AE951" i="1"/>
  <c r="AC951" i="1" s="1"/>
  <c r="AE1239" i="1"/>
  <c r="AC1239" i="1" s="1"/>
  <c r="AE269" i="1"/>
  <c r="AC269" i="1" s="1"/>
  <c r="AE1229" i="1"/>
  <c r="AC1229" i="1" s="1"/>
  <c r="AE833" i="1"/>
  <c r="AC833" i="1" s="1"/>
  <c r="AE257" i="1"/>
  <c r="AC257" i="1" s="1"/>
  <c r="AE773" i="1"/>
  <c r="AC773" i="1" s="1"/>
  <c r="AE740" i="1"/>
  <c r="AC740" i="1" s="1"/>
  <c r="AE516" i="1"/>
  <c r="AC516" i="1" s="1"/>
  <c r="AE427" i="1"/>
  <c r="AC427" i="1" s="1"/>
  <c r="AE853" i="1"/>
  <c r="AC853" i="1" s="1"/>
  <c r="AE9" i="1"/>
  <c r="AC9" i="1" s="1"/>
  <c r="AE643" i="1"/>
  <c r="AC643" i="1" s="1"/>
  <c r="AE1049" i="1"/>
  <c r="AC1049" i="1" s="1"/>
  <c r="AE289" i="1"/>
  <c r="AC289" i="1" s="1"/>
  <c r="AE1188" i="1"/>
  <c r="AC1188" i="1" s="1"/>
  <c r="AE447" i="1"/>
  <c r="AC447" i="1" s="1"/>
  <c r="AE804" i="1"/>
  <c r="AC804" i="1" s="1"/>
  <c r="AE343" i="1"/>
  <c r="AC343" i="1" s="1"/>
  <c r="AE1093" i="1"/>
  <c r="AC1093" i="1" s="1"/>
  <c r="AE1134" i="1"/>
  <c r="AC1134" i="1" s="1"/>
  <c r="AE788" i="1"/>
  <c r="AC788" i="1" s="1"/>
  <c r="AE569" i="1"/>
  <c r="AC569" i="1" s="1"/>
  <c r="AE231" i="1"/>
  <c r="AC231" i="1" s="1"/>
  <c r="AE813" i="1"/>
  <c r="AC813" i="1" s="1"/>
  <c r="AE1144" i="1"/>
  <c r="AC1144" i="1" s="1"/>
  <c r="AE409" i="1"/>
  <c r="AC409" i="1" s="1"/>
  <c r="AE901" i="1"/>
  <c r="AC901" i="1" s="1"/>
  <c r="AE877" i="1"/>
  <c r="AC877" i="1" s="1"/>
  <c r="AE800" i="1"/>
  <c r="AC800" i="1" s="1"/>
  <c r="AE1051" i="1"/>
  <c r="AC1051" i="1" s="1"/>
  <c r="AE45" i="1"/>
  <c r="AC45" i="1" s="1"/>
  <c r="AE1065" i="1"/>
  <c r="AC1065" i="1" s="1"/>
  <c r="AE748" i="1"/>
  <c r="AC748" i="1" s="1"/>
  <c r="AE705" i="1"/>
  <c r="AC705" i="1" s="1"/>
  <c r="AE955" i="1"/>
  <c r="AC955" i="1" s="1"/>
  <c r="AE919" i="1"/>
  <c r="AC919" i="1" s="1"/>
  <c r="AE1059" i="1"/>
  <c r="AC1059" i="1" s="1"/>
  <c r="AE90" i="1"/>
  <c r="AC90" i="1" s="1"/>
  <c r="AE472" i="1"/>
  <c r="AC472" i="1" s="1"/>
  <c r="AE363" i="1"/>
  <c r="AC363" i="1" s="1"/>
  <c r="AE1029" i="1"/>
  <c r="AC1029" i="1" s="1"/>
  <c r="AE671" i="1"/>
  <c r="AC671" i="1" s="1"/>
  <c r="AE484" i="1"/>
  <c r="AC484" i="1" s="1"/>
  <c r="AE13" i="1"/>
  <c r="AC13" i="1" s="1"/>
  <c r="AE630" i="1"/>
  <c r="AC630" i="1" s="1"/>
  <c r="AE841" i="1"/>
  <c r="AC841" i="1" s="1"/>
  <c r="AE580" i="1"/>
  <c r="AC580" i="1" s="1"/>
  <c r="AE132" i="1"/>
  <c r="AC132" i="1" s="1"/>
  <c r="AE1161" i="1"/>
  <c r="AC1161" i="1" s="1"/>
  <c r="AE1230" i="1"/>
  <c r="AC1230" i="1" s="1"/>
  <c r="AE1118" i="1"/>
  <c r="AC1118" i="1" s="1"/>
  <c r="AE605" i="1"/>
  <c r="AC605" i="1" s="1"/>
  <c r="AE332" i="1"/>
  <c r="AC332" i="1" s="1"/>
  <c r="AE698" i="1"/>
  <c r="AC698" i="1" s="1"/>
  <c r="AE1151" i="1"/>
  <c r="AC1151" i="1" s="1"/>
  <c r="AE601" i="1"/>
  <c r="AC601" i="1" s="1"/>
  <c r="AE121" i="1"/>
  <c r="AC121" i="1" s="1"/>
  <c r="AE1215" i="1"/>
  <c r="AC1215" i="1" s="1"/>
  <c r="AE1004" i="1"/>
  <c r="AC1004" i="1" s="1"/>
  <c r="AE129" i="1"/>
  <c r="AC129" i="1" s="1"/>
  <c r="AE858" i="1"/>
  <c r="AC858" i="1" s="1"/>
  <c r="AE1211" i="1"/>
  <c r="AC1211" i="1" s="1"/>
  <c r="AE945" i="1"/>
  <c r="AC945" i="1" s="1"/>
  <c r="AE863" i="1"/>
  <c r="AC863" i="1" s="1"/>
  <c r="AE103" i="1"/>
  <c r="AC103" i="1" s="1"/>
  <c r="AE979" i="1"/>
  <c r="AC979" i="1" s="1"/>
  <c r="AE1007" i="1"/>
  <c r="AC1007" i="1" s="1"/>
  <c r="AE666" i="1"/>
  <c r="AC666" i="1" s="1"/>
  <c r="AE504" i="1"/>
  <c r="AC504" i="1" s="1"/>
  <c r="AE39" i="1"/>
  <c r="AC39" i="1" s="1"/>
  <c r="AE805" i="1"/>
  <c r="AC805" i="1" s="1"/>
  <c r="AE934" i="1"/>
  <c r="AC934" i="1" s="1"/>
  <c r="AE874" i="1"/>
  <c r="AC874" i="1" s="1"/>
  <c r="AE508" i="1"/>
  <c r="AC508" i="1" s="1"/>
  <c r="AE1106" i="1"/>
  <c r="AC1106" i="1" s="1"/>
  <c r="AE1125" i="1"/>
  <c r="AC1125" i="1" s="1"/>
  <c r="AE932" i="1"/>
  <c r="AC932" i="1" s="1"/>
  <c r="AE1236" i="1"/>
  <c r="AC1236" i="1" s="1"/>
  <c r="AE959" i="1"/>
  <c r="AC959" i="1" s="1"/>
  <c r="AE331" i="1"/>
  <c r="AC331" i="1" s="1"/>
  <c r="AE893" i="1"/>
  <c r="AC893" i="1" s="1"/>
  <c r="AE1031" i="1"/>
  <c r="AC1031" i="1" s="1"/>
  <c r="AE501" i="1"/>
  <c r="AC501" i="1" s="1"/>
  <c r="AE372" i="1"/>
  <c r="AC372" i="1" s="1"/>
  <c r="AE236" i="1"/>
  <c r="AC236" i="1" s="1"/>
  <c r="AE518" i="1"/>
  <c r="AC518" i="1" s="1"/>
  <c r="AE746" i="1"/>
  <c r="AC746" i="1" s="1"/>
  <c r="AE25" i="1"/>
  <c r="AC25" i="1" s="1"/>
  <c r="AE313" i="1"/>
  <c r="AC313" i="1" s="1"/>
  <c r="AE1115" i="1"/>
  <c r="AC1115" i="1" s="1"/>
  <c r="AE1011" i="1"/>
  <c r="AC1011" i="1" s="1"/>
  <c r="AE1116" i="1"/>
  <c r="AC1116" i="1" s="1"/>
  <c r="AE95" i="1"/>
  <c r="AC95" i="1" s="1"/>
  <c r="AE961" i="1"/>
  <c r="AC961" i="1" s="1"/>
  <c r="AE111" i="1"/>
  <c r="AC111" i="1" s="1"/>
  <c r="AE986" i="1"/>
  <c r="AC986" i="1" s="1"/>
  <c r="AE1234" i="1"/>
  <c r="AC1234" i="1" s="1"/>
  <c r="AE1282" i="1"/>
  <c r="AC1282" i="1" s="1"/>
  <c r="AE1283" i="1"/>
  <c r="AC1283" i="1" s="1"/>
  <c r="AE568" i="1"/>
  <c r="AC568" i="1" s="1"/>
  <c r="AE674" i="1"/>
  <c r="AC674" i="1" s="1"/>
  <c r="AE460" i="1"/>
  <c r="AC460" i="1" s="1"/>
  <c r="AE1247" i="1"/>
  <c r="AC1247" i="1" s="1"/>
  <c r="AE474" i="1"/>
  <c r="AC474" i="1" s="1"/>
  <c r="AE12" i="1"/>
  <c r="AC12" i="1" s="1"/>
  <c r="AE1284" i="1"/>
  <c r="AC1284" i="1" s="1"/>
  <c r="AE350" i="1"/>
  <c r="AC350" i="1" s="1"/>
  <c r="AE164" i="1"/>
  <c r="AC164" i="1" s="1"/>
  <c r="AE519" i="1"/>
  <c r="AC519" i="1" s="1"/>
  <c r="AE408" i="1"/>
  <c r="AC408" i="1" s="1"/>
  <c r="AE598" i="1"/>
  <c r="AC598" i="1" s="1"/>
  <c r="AE180" i="1"/>
  <c r="AC180" i="1" s="1"/>
  <c r="AE492" i="1"/>
  <c r="AC492" i="1" s="1"/>
  <c r="AE801" i="1"/>
  <c r="AC801" i="1" s="1"/>
  <c r="AE1132" i="1"/>
  <c r="AC1132" i="1" s="1"/>
  <c r="AE277" i="1"/>
  <c r="AC277" i="1" s="1"/>
  <c r="AE1197" i="1"/>
  <c r="AC1197" i="1" s="1"/>
  <c r="AE205" i="1"/>
  <c r="AC205" i="1" s="1"/>
  <c r="AE1038" i="1"/>
  <c r="AC1038" i="1" s="1"/>
  <c r="AE303" i="1"/>
  <c r="AC303" i="1" s="1"/>
  <c r="AE334" i="1"/>
  <c r="AC334" i="1" s="1"/>
  <c r="AE353" i="1"/>
  <c r="AC353" i="1" s="1"/>
  <c r="AE869" i="1"/>
  <c r="AC869" i="1" s="1"/>
  <c r="AE820" i="1"/>
  <c r="AC820" i="1" s="1"/>
  <c r="AE71" i="1"/>
  <c r="AC71" i="1" s="1"/>
  <c r="AE1123" i="1"/>
  <c r="AC1123" i="1" s="1"/>
  <c r="AE301" i="1"/>
  <c r="AC301" i="1" s="1"/>
  <c r="AE676" i="1"/>
  <c r="AC676" i="1" s="1"/>
  <c r="AE764" i="1"/>
  <c r="AC764" i="1" s="1"/>
  <c r="AE756" i="1"/>
  <c r="AC756" i="1" s="1"/>
  <c r="AE1271" i="1"/>
  <c r="AC1271" i="1" s="1"/>
  <c r="AE433" i="1"/>
  <c r="AC433" i="1" s="1"/>
  <c r="AE429" i="1"/>
  <c r="AC429" i="1" s="1"/>
  <c r="AE577" i="1"/>
  <c r="AC577" i="1" s="1"/>
  <c r="AE1154" i="1"/>
  <c r="AC1154" i="1" s="1"/>
  <c r="AE857" i="1"/>
  <c r="AC857" i="1" s="1"/>
  <c r="AE629" i="1"/>
  <c r="AC629" i="1" s="1"/>
  <c r="AE29" i="1"/>
  <c r="AC29" i="1" s="1"/>
  <c r="AE198" i="1"/>
  <c r="AC198" i="1" s="1"/>
  <c r="AE189" i="1"/>
  <c r="AC189" i="1" s="1"/>
  <c r="AE1290" i="1"/>
  <c r="AC1290" i="1" s="1"/>
  <c r="AE640" i="1"/>
  <c r="AC640" i="1" s="1"/>
  <c r="AE1224" i="1"/>
  <c r="AC1224" i="1" s="1"/>
  <c r="AE1253" i="1"/>
  <c r="AC1253" i="1" s="1"/>
  <c r="AE779" i="1"/>
  <c r="AC779" i="1" s="1"/>
  <c r="AE130" i="1"/>
  <c r="AC130" i="1" s="1"/>
  <c r="AE984" i="1"/>
  <c r="AC984" i="1" s="1"/>
  <c r="AE1210" i="1"/>
  <c r="AC1210" i="1" s="1"/>
  <c r="AE1232" i="1"/>
  <c r="AC1232" i="1" s="1"/>
  <c r="AE1167" i="1"/>
  <c r="AC1167" i="1" s="1"/>
  <c r="AE894" i="1"/>
  <c r="AC894" i="1" s="1"/>
  <c r="AE707" i="1"/>
  <c r="AC707" i="1" s="1"/>
  <c r="AE860" i="1"/>
  <c r="AC860" i="1" s="1"/>
  <c r="AE626" i="1"/>
  <c r="AC626" i="1" s="1"/>
  <c r="AE855" i="1"/>
  <c r="AC855" i="1" s="1"/>
  <c r="AE562" i="1"/>
  <c r="AC562" i="1" s="1"/>
  <c r="AE1030" i="1"/>
  <c r="AC1030" i="1" s="1"/>
  <c r="AE75" i="1"/>
  <c r="AC75" i="1" s="1"/>
  <c r="AE783" i="1"/>
  <c r="AC783" i="1" s="1"/>
  <c r="AE980" i="1"/>
  <c r="AC980" i="1" s="1"/>
  <c r="AE1022" i="1"/>
  <c r="AC1022" i="1" s="1"/>
  <c r="AE417" i="1"/>
  <c r="AC417" i="1" s="1"/>
  <c r="AE1096" i="1"/>
  <c r="AC1096" i="1" s="1"/>
  <c r="AE35" i="1"/>
  <c r="AC35" i="1" s="1"/>
  <c r="AE1159" i="1"/>
  <c r="AC1159" i="1" s="1"/>
  <c r="AE991" i="1"/>
  <c r="AC991" i="1" s="1"/>
  <c r="AE230" i="1"/>
  <c r="AC230" i="1" s="1"/>
  <c r="AE510" i="1"/>
  <c r="AC510" i="1" s="1"/>
  <c r="AE924" i="1"/>
  <c r="AC924" i="1" s="1"/>
  <c r="AE1285" i="1"/>
  <c r="AC1285" i="1" s="1"/>
  <c r="AE499" i="1"/>
  <c r="AC499" i="1" s="1"/>
  <c r="AE751" i="1"/>
  <c r="AC751" i="1" s="1"/>
  <c r="AE975" i="1"/>
  <c r="AC975" i="1" s="1"/>
  <c r="AE502" i="1"/>
  <c r="AC502" i="1" s="1"/>
  <c r="AE1209" i="1"/>
  <c r="AC1209" i="1" s="1"/>
  <c r="AE253" i="1"/>
  <c r="AC253" i="1" s="1"/>
  <c r="AE27" i="1"/>
  <c r="AC27" i="1" s="1"/>
  <c r="AE309" i="1"/>
  <c r="AC309" i="1" s="1"/>
  <c r="AE112" i="1"/>
  <c r="AC112" i="1" s="1"/>
  <c r="AE908" i="1"/>
  <c r="AC908" i="1" s="1"/>
  <c r="AE922" i="1"/>
  <c r="AC922" i="1" s="1"/>
  <c r="AE361" i="1"/>
  <c r="AC361" i="1" s="1"/>
  <c r="AE1072" i="1"/>
  <c r="AC1072" i="1" s="1"/>
  <c r="AE1281" i="1"/>
  <c r="AC1281" i="1" s="1"/>
  <c r="AE245" i="1"/>
  <c r="AC245" i="1" s="1"/>
  <c r="AE635" i="1"/>
  <c r="AC635" i="1" s="1"/>
  <c r="AE1055" i="1"/>
  <c r="AC1055" i="1" s="1"/>
  <c r="AE496" i="1"/>
  <c r="AC496" i="1" s="1"/>
  <c r="AE89" i="1"/>
  <c r="AC89" i="1" s="1"/>
  <c r="AE850" i="1"/>
  <c r="AC850" i="1" s="1"/>
  <c r="AE1129" i="1"/>
  <c r="AC1129" i="1" s="1"/>
  <c r="AE606" i="1"/>
  <c r="AC606" i="1" s="1"/>
  <c r="AE1249" i="1"/>
  <c r="AC1249" i="1" s="1"/>
  <c r="AE968" i="1"/>
  <c r="AC968" i="1" s="1"/>
  <c r="AE1264" i="1"/>
  <c r="AC1264" i="1" s="1"/>
  <c r="AE24" i="1"/>
  <c r="AC24" i="1" s="1"/>
  <c r="AE531" i="1"/>
  <c r="AC531" i="1" s="1"/>
  <c r="AE733" i="1"/>
  <c r="AC733" i="1" s="1"/>
  <c r="AE1003" i="1"/>
  <c r="AC1003" i="1" s="1"/>
  <c r="AE1194" i="1"/>
  <c r="AC1194" i="1" s="1"/>
  <c r="AE175" i="1"/>
  <c r="AC175" i="1" s="1"/>
  <c r="AE273" i="1"/>
  <c r="AC273" i="1" s="1"/>
  <c r="AE395" i="1"/>
  <c r="AC395" i="1" s="1"/>
  <c r="AE885" i="1"/>
  <c r="AC885" i="1" s="1"/>
  <c r="AE296" i="1"/>
  <c r="AC296" i="1" s="1"/>
  <c r="AE106" i="1"/>
  <c r="AC106" i="1" s="1"/>
  <c r="AE1010" i="1"/>
  <c r="AC1010" i="1" s="1"/>
  <c r="AE457" i="1"/>
  <c r="AC457" i="1" s="1"/>
  <c r="AE371" i="1"/>
  <c r="AC371" i="1" s="1"/>
  <c r="AE1164" i="1"/>
  <c r="AC1164" i="1" s="1"/>
  <c r="AE276" i="1"/>
  <c r="AC276" i="1" s="1"/>
  <c r="AE1126" i="1"/>
  <c r="AC1126" i="1" s="1"/>
  <c r="AE1041" i="1"/>
  <c r="AC1041" i="1" s="1"/>
  <c r="AE782" i="1"/>
  <c r="AC782" i="1" s="1"/>
  <c r="AE1101" i="1"/>
  <c r="AC1101" i="1" s="1"/>
  <c r="AE393" i="1"/>
  <c r="AC393" i="1" s="1"/>
  <c r="AE547" i="1"/>
  <c r="AC547" i="1" s="1"/>
  <c r="AE7" i="1"/>
  <c r="AC7" i="1" s="1"/>
  <c r="AE930" i="1"/>
  <c r="AC930" i="1" s="1"/>
  <c r="AE1172" i="1"/>
  <c r="AC1172" i="1" s="1"/>
  <c r="AE487" i="1"/>
  <c r="AC487" i="1" s="1"/>
  <c r="AE317" i="1"/>
  <c r="AC317" i="1" s="1"/>
  <c r="AE582" i="1"/>
  <c r="AC582" i="1" s="1"/>
  <c r="AE1175" i="1"/>
  <c r="AC1175" i="1" s="1"/>
  <c r="AE631" i="1"/>
  <c r="AC631" i="1" s="1"/>
  <c r="AE1178" i="1"/>
  <c r="AC1178" i="1" s="1"/>
  <c r="AE1270" i="1"/>
  <c r="AC1270" i="1" s="1"/>
  <c r="AE625" i="1"/>
  <c r="AC625" i="1" s="1"/>
  <c r="AE207" i="1"/>
  <c r="AC207" i="1" s="1"/>
  <c r="AE647" i="1"/>
  <c r="AC647" i="1" s="1"/>
  <c r="AE1162" i="1"/>
  <c r="AC1162" i="1" s="1"/>
  <c r="AE1127" i="1"/>
  <c r="AC1127" i="1" s="1"/>
  <c r="AE589" i="1"/>
  <c r="AC589" i="1" s="1"/>
  <c r="AE1076" i="1"/>
  <c r="AC1076" i="1" s="1"/>
  <c r="AE700" i="1"/>
  <c r="AC700" i="1" s="1"/>
  <c r="AE323" i="1"/>
  <c r="AC323" i="1" s="1"/>
  <c r="AE634" i="1"/>
  <c r="AC634" i="1" s="1"/>
  <c r="AE1269" i="1"/>
  <c r="AC1269" i="1" s="1"/>
  <c r="AE1119" i="1"/>
  <c r="AC1119" i="1" s="1"/>
  <c r="AE538" i="1"/>
  <c r="AC538" i="1" s="1"/>
  <c r="AE907" i="1"/>
  <c r="AC907" i="1" s="1"/>
  <c r="AE617" i="1"/>
  <c r="AC617" i="1" s="1"/>
  <c r="AE778" i="1"/>
  <c r="AC778" i="1" s="1"/>
  <c r="AE471" i="1"/>
  <c r="AC471" i="1" s="1"/>
  <c r="AE1198" i="1"/>
  <c r="AC1198" i="1" s="1"/>
  <c r="AE931" i="1"/>
  <c r="AC931" i="1" s="1"/>
  <c r="AE1015" i="1"/>
  <c r="AC1015" i="1" s="1"/>
  <c r="AE1217" i="1"/>
  <c r="AC1217" i="1" s="1"/>
  <c r="AE410" i="1"/>
  <c r="AC410" i="1" s="1"/>
  <c r="AE594" i="1"/>
  <c r="AC594" i="1" s="1"/>
  <c r="AE1231" i="1"/>
  <c r="AC1231" i="1" s="1"/>
  <c r="AE153" i="1"/>
  <c r="AC153" i="1" s="1"/>
  <c r="AE367" i="1"/>
  <c r="AC367" i="1" s="1"/>
  <c r="AE186" i="1"/>
  <c r="AC186" i="1" s="1"/>
  <c r="AE182" i="1"/>
  <c r="AC182" i="1" s="1"/>
  <c r="AE603" i="1"/>
  <c r="AC603" i="1" s="1"/>
  <c r="AE79" i="1"/>
  <c r="AC79" i="1" s="1"/>
  <c r="AE403" i="1"/>
  <c r="AC403" i="1" s="1"/>
  <c r="AE1017" i="1"/>
  <c r="AC1017" i="1" s="1"/>
  <c r="AE596" i="1"/>
  <c r="AC596" i="1" s="1"/>
  <c r="AE320" i="1"/>
  <c r="AC320" i="1" s="1"/>
  <c r="AE141" i="1"/>
  <c r="AC141" i="1" s="1"/>
  <c r="AE791" i="1"/>
  <c r="AC791" i="1" s="1"/>
  <c r="AE435" i="1"/>
  <c r="AC435" i="1" s="1"/>
  <c r="AE1026" i="1"/>
  <c r="AC1026" i="1" s="1"/>
  <c r="AE1196" i="1"/>
  <c r="AC1196" i="1" s="1"/>
  <c r="AE80" i="1"/>
  <c r="AC80" i="1" s="1"/>
  <c r="AE1237" i="1"/>
  <c r="AC1237" i="1" s="1"/>
  <c r="AE573" i="1"/>
  <c r="AC573" i="1" s="1"/>
  <c r="AE849" i="1"/>
  <c r="AC849" i="1" s="1"/>
  <c r="AE485" i="1"/>
  <c r="AC485" i="1" s="1"/>
  <c r="AE923" i="1"/>
  <c r="AC923" i="1" s="1"/>
  <c r="AE916" i="1"/>
  <c r="AC916" i="1" s="1"/>
  <c r="AE765" i="1"/>
  <c r="AC765" i="1" s="1"/>
  <c r="AE1262" i="1"/>
  <c r="AC1262" i="1" s="1"/>
  <c r="AE97" i="1"/>
  <c r="AC97" i="1" s="1"/>
  <c r="AE345" i="1"/>
  <c r="AC345" i="1" s="1"/>
  <c r="AE677" i="1"/>
  <c r="AC677" i="1" s="1"/>
  <c r="AE776" i="1"/>
  <c r="AC776" i="1" s="1"/>
  <c r="AE856" i="1"/>
  <c r="AC856" i="1" s="1"/>
  <c r="AE679" i="1"/>
  <c r="AC679" i="1" s="1"/>
  <c r="AE1128" i="1"/>
  <c r="AC1128" i="1" s="1"/>
  <c r="AE251" i="1"/>
  <c r="AC251" i="1" s="1"/>
  <c r="AE34" i="1"/>
  <c r="AC34" i="1" s="1"/>
  <c r="AE19" i="1"/>
  <c r="AC19" i="1" s="1"/>
  <c r="AE169" i="1"/>
  <c r="AC169" i="1" s="1"/>
  <c r="AE542" i="1"/>
  <c r="AC542" i="1" s="1"/>
  <c r="AE771" i="1"/>
  <c r="AC771" i="1" s="1"/>
  <c r="AE56" i="1"/>
  <c r="AC56" i="1" s="1"/>
  <c r="AE1150" i="1"/>
  <c r="AC1150" i="1" s="1"/>
  <c r="AE678" i="1"/>
  <c r="AC678" i="1" s="1"/>
  <c r="AE466" i="1"/>
  <c r="AC466" i="1" s="1"/>
  <c r="AE82" i="1"/>
  <c r="AC82" i="1" s="1"/>
  <c r="AE44" i="1"/>
  <c r="AC44" i="1" s="1"/>
  <c r="AE78" i="1"/>
  <c r="AC78" i="1" s="1"/>
  <c r="AE798" i="1"/>
  <c r="AC798" i="1" s="1"/>
  <c r="AE806" i="1"/>
  <c r="AC806" i="1" s="1"/>
  <c r="AE22" i="1"/>
  <c r="AC22" i="1" s="1"/>
  <c r="AE96" i="1"/>
  <c r="AC96" i="1" s="1"/>
  <c r="AE812" i="1"/>
  <c r="AC812" i="1" s="1"/>
  <c r="AE1187" i="1"/>
  <c r="AC1187" i="1" s="1"/>
  <c r="AE817" i="1"/>
  <c r="AC817" i="1" s="1"/>
  <c r="AE1288" i="1"/>
  <c r="AC1288" i="1" s="1"/>
  <c r="AE880" i="1"/>
  <c r="AC880" i="1" s="1"/>
  <c r="AE777" i="1"/>
  <c r="AC777" i="1" s="1"/>
  <c r="AE949" i="1"/>
  <c r="AC949" i="1" s="1"/>
  <c r="AE811" i="1"/>
  <c r="AC811" i="1" s="1"/>
  <c r="AE459" i="1"/>
  <c r="AC459" i="1" s="1"/>
  <c r="AE900" i="1"/>
  <c r="AC900" i="1" s="1"/>
  <c r="AE710" i="1"/>
  <c r="AC710" i="1" s="1"/>
  <c r="AE365" i="1"/>
  <c r="AC365" i="1" s="1"/>
  <c r="AE1019" i="1"/>
  <c r="AC1019" i="1" s="1"/>
  <c r="AE285" i="1"/>
  <c r="AC285" i="1" s="1"/>
  <c r="AE1013" i="1"/>
  <c r="AC1013" i="1" s="1"/>
  <c r="AE552" i="1"/>
  <c r="AC552" i="1" s="1"/>
  <c r="AE437" i="1"/>
  <c r="AC437" i="1" s="1"/>
  <c r="AE1246" i="1"/>
  <c r="AC1246" i="1" s="1"/>
  <c r="AE281" i="1"/>
  <c r="AC281" i="1" s="1"/>
  <c r="AE1190" i="1"/>
  <c r="AC1190" i="1" s="1"/>
  <c r="AE452" i="1"/>
  <c r="AC452" i="1" s="1"/>
  <c r="AE660" i="1"/>
  <c r="AC660" i="1" s="1"/>
  <c r="AE298" i="1"/>
  <c r="AC298" i="1" s="1"/>
  <c r="AE868" i="1"/>
  <c r="AC868" i="1" s="1"/>
  <c r="AE145" i="1"/>
  <c r="AC145" i="1" s="1"/>
  <c r="AE1025" i="1"/>
  <c r="AC1025" i="1" s="1"/>
  <c r="AE1000" i="1"/>
  <c r="AC1000" i="1" s="1"/>
  <c r="AE837" i="1"/>
  <c r="AC837" i="1" s="1"/>
  <c r="AE416" i="1"/>
  <c r="AC416" i="1" s="1"/>
  <c r="AE1043" i="1"/>
  <c r="AC1043" i="1" s="1"/>
  <c r="AE1176" i="1"/>
  <c r="AC1176" i="1" s="1"/>
  <c r="AE1219" i="1"/>
  <c r="AC1219" i="1" s="1"/>
  <c r="AE454" i="1"/>
  <c r="AC454" i="1" s="1"/>
  <c r="AE915" i="1"/>
  <c r="AC915" i="1" s="1"/>
  <c r="AE368" i="1"/>
  <c r="AC368" i="1" s="1"/>
  <c r="AE1039" i="1"/>
  <c r="AC1039" i="1" s="1"/>
  <c r="AE1252" i="1"/>
  <c r="AC1252" i="1" s="1"/>
  <c r="AE1105" i="1"/>
  <c r="AC1105" i="1" s="1"/>
  <c r="AE411" i="1"/>
  <c r="AC411" i="1" s="1"/>
  <c r="AE941" i="1"/>
  <c r="AC941" i="1" s="1"/>
  <c r="AE546" i="1"/>
  <c r="AC546" i="1" s="1"/>
  <c r="AE808" i="1"/>
  <c r="AC808" i="1" s="1"/>
  <c r="AE172" i="1"/>
  <c r="AC172" i="1" s="1"/>
  <c r="AE904" i="1"/>
  <c r="AC904" i="1" s="1"/>
  <c r="AE1048" i="1"/>
  <c r="AC1048" i="1" s="1"/>
  <c r="AE374" i="1"/>
  <c r="AC374" i="1" s="1"/>
  <c r="AE1083" i="1"/>
  <c r="AC1083" i="1" s="1"/>
  <c r="AE162" i="1"/>
  <c r="AC162" i="1" s="1"/>
  <c r="AE119" i="1"/>
  <c r="AC119" i="1" s="1"/>
  <c r="AE952" i="1"/>
  <c r="AC952" i="1" s="1"/>
  <c r="AE228" i="1"/>
  <c r="AC228" i="1" s="1"/>
  <c r="AE349" i="1"/>
  <c r="AC349" i="1" s="1"/>
  <c r="AE898" i="1"/>
  <c r="AC898" i="1" s="1"/>
  <c r="AE709" i="1"/>
  <c r="AC709" i="1" s="1"/>
  <c r="AE1023" i="1"/>
  <c r="AC1023" i="1" s="1"/>
  <c r="AE68" i="1"/>
  <c r="AC68" i="1" s="1"/>
  <c r="AE88" i="1"/>
  <c r="AC88" i="1" s="1"/>
  <c r="AE341" i="1"/>
  <c r="AC341" i="1" s="1"/>
  <c r="AE721" i="1"/>
  <c r="AC721" i="1" s="1"/>
  <c r="AE1174" i="1"/>
  <c r="AC1174" i="1" s="1"/>
  <c r="AE1130" i="1"/>
  <c r="AC1130" i="1" s="1"/>
  <c r="AE1228" i="1"/>
  <c r="AC1228" i="1" s="1"/>
  <c r="AE5" i="1"/>
  <c r="AC5" i="1" s="1"/>
  <c r="AE555" i="1"/>
  <c r="AC555" i="1" s="1"/>
  <c r="AE148" i="1"/>
  <c r="AC148" i="1" s="1"/>
  <c r="AE762" i="1"/>
  <c r="AC762" i="1" s="1"/>
  <c r="AE657" i="1"/>
  <c r="AC657" i="1" s="1"/>
  <c r="AE155" i="1"/>
  <c r="AC155" i="1" s="1"/>
  <c r="AE642" i="1"/>
  <c r="AC642" i="1" s="1"/>
  <c r="AE789" i="1"/>
  <c r="AC789" i="1" s="1"/>
  <c r="AE669" i="1"/>
  <c r="AC669" i="1" s="1"/>
  <c r="AE1079" i="1"/>
  <c r="AC1079" i="1" s="1"/>
  <c r="AE1273" i="1"/>
  <c r="AC1273" i="1" s="1"/>
  <c r="AE1212" i="1"/>
  <c r="AC1212" i="1" s="1"/>
  <c r="AE717" i="1"/>
  <c r="AC717" i="1" s="1"/>
  <c r="AE998" i="1"/>
  <c r="AC998" i="1" s="1"/>
  <c r="AE668" i="1"/>
  <c r="AC668" i="1" s="1"/>
  <c r="AE223" i="1"/>
  <c r="AC223" i="1" s="1"/>
  <c r="AE423" i="1"/>
  <c r="AC423" i="1" s="1"/>
  <c r="AE243" i="1"/>
  <c r="AC243" i="1" s="1"/>
  <c r="AE480" i="1"/>
  <c r="AC480" i="1" s="1"/>
  <c r="AE54" i="1"/>
  <c r="AC54" i="1" s="1"/>
  <c r="AE843" i="1"/>
  <c r="AC843" i="1" s="1"/>
  <c r="AE826" i="1"/>
  <c r="AC826" i="1" s="1"/>
  <c r="AE661" i="1"/>
  <c r="AC661" i="1" s="1"/>
  <c r="AE576" i="1"/>
  <c r="AC576" i="1" s="1"/>
  <c r="AE687" i="1"/>
  <c r="AC687" i="1" s="1"/>
  <c r="AE67" i="1"/>
  <c r="AC67" i="1" s="1"/>
  <c r="AE881" i="1"/>
  <c r="AC881" i="1" s="1"/>
  <c r="AE838" i="1"/>
  <c r="AC838" i="1" s="1"/>
  <c r="AE1021" i="1"/>
  <c r="AC1021" i="1" s="1"/>
  <c r="AE195" i="1"/>
  <c r="AC195" i="1" s="1"/>
  <c r="AE695" i="1"/>
  <c r="AC695" i="1" s="1"/>
  <c r="AE11" i="1"/>
  <c r="AC11" i="1" s="1"/>
  <c r="AE802" i="1"/>
  <c r="AC802" i="1" s="1"/>
  <c r="AE659" i="1"/>
  <c r="AC659" i="1" s="1"/>
  <c r="AE1221" i="1"/>
  <c r="AC1221" i="1" s="1"/>
  <c r="AE1067" i="1"/>
  <c r="AC1067" i="1" s="1"/>
  <c r="AE381" i="1"/>
  <c r="AC381" i="1" s="1"/>
  <c r="AE202" i="1"/>
  <c r="AC202" i="1" s="1"/>
  <c r="AE742" i="1"/>
  <c r="AC742" i="1" s="1"/>
  <c r="AE453" i="1"/>
  <c r="AC453" i="1" s="1"/>
  <c r="AE535" i="1"/>
  <c r="AC535" i="1" s="1"/>
  <c r="AE905" i="1"/>
  <c r="AC905" i="1" s="1"/>
  <c r="AE936" i="1"/>
  <c r="AC936" i="1" s="1"/>
  <c r="AE171" i="1"/>
  <c r="AC171" i="1" s="1"/>
  <c r="AE664" i="1"/>
  <c r="AC664" i="1" s="1"/>
  <c r="AE557" i="1"/>
  <c r="AC557" i="1" s="1"/>
  <c r="AE443" i="1"/>
  <c r="AC443" i="1" s="1"/>
  <c r="AE1145" i="1"/>
  <c r="AC1145" i="1" s="1"/>
  <c r="AE456" i="1"/>
  <c r="AC456" i="1" s="1"/>
  <c r="AE489" i="1"/>
  <c r="AC489" i="1" s="1"/>
  <c r="AE637" i="1"/>
  <c r="AC637" i="1" s="1"/>
  <c r="AE329" i="1"/>
  <c r="AC329" i="1" s="1"/>
  <c r="AE1200" i="1"/>
  <c r="AC1200" i="1" s="1"/>
  <c r="AE389" i="1"/>
  <c r="AC389" i="1" s="1"/>
  <c r="AE387" i="1"/>
  <c r="AC387" i="1" s="1"/>
  <c r="AE895" i="1"/>
  <c r="AC895" i="1" s="1"/>
  <c r="AE216" i="1"/>
  <c r="AC216" i="1" s="1"/>
  <c r="AE929" i="1"/>
  <c r="AC929" i="1" s="1"/>
  <c r="AE1276" i="1"/>
  <c r="AC1276" i="1" s="1"/>
  <c r="AE64" i="1"/>
  <c r="AC64" i="1" s="1"/>
  <c r="AE428" i="1"/>
  <c r="AC428" i="1" s="1"/>
  <c r="AE28" i="1"/>
  <c r="AC28" i="1" s="1"/>
  <c r="AE566" i="1"/>
  <c r="AC566" i="1" s="1"/>
  <c r="AE522" i="1"/>
  <c r="AC522" i="1" s="1"/>
  <c r="AE267" i="1"/>
  <c r="AC267" i="1" s="1"/>
  <c r="AE972" i="1"/>
  <c r="AC972" i="1" s="1"/>
  <c r="AE564" i="1"/>
  <c r="AC564" i="1" s="1"/>
  <c r="AE494" i="1"/>
  <c r="AC494" i="1" s="1"/>
  <c r="AE364" i="1"/>
  <c r="AC364" i="1" s="1"/>
  <c r="AE681" i="1"/>
  <c r="AC681" i="1" s="1"/>
  <c r="AE1002" i="1"/>
  <c r="AC1002" i="1" s="1"/>
  <c r="AE1223" i="1"/>
  <c r="AC1223" i="1" s="1"/>
  <c r="AE1122" i="1"/>
  <c r="AC1122" i="1" s="1"/>
  <c r="AE973" i="1"/>
  <c r="AC973" i="1" s="1"/>
  <c r="AE183" i="1"/>
  <c r="AC183" i="1" s="1"/>
  <c r="AE807" i="1"/>
  <c r="AC807" i="1" s="1"/>
  <c r="AE38" i="1"/>
  <c r="AC38" i="1" s="1"/>
  <c r="AE615" i="1"/>
  <c r="AC615" i="1" s="1"/>
  <c r="AE307" i="1"/>
  <c r="AC307" i="1" s="1"/>
  <c r="AE1114" i="1"/>
  <c r="AC1114" i="1" s="1"/>
  <c r="AE1181" i="1"/>
  <c r="AC1181" i="1" s="1"/>
  <c r="AE430" i="1"/>
  <c r="AC430" i="1" s="1"/>
  <c r="AE210" i="1"/>
  <c r="AC210" i="1" s="1"/>
  <c r="AE219" i="1"/>
  <c r="AC219" i="1" s="1"/>
  <c r="AE59" i="1"/>
  <c r="AC59" i="1" s="1"/>
  <c r="AE768" i="1"/>
  <c r="AC768" i="1" s="1"/>
  <c r="AE86" i="1"/>
  <c r="AC86" i="1" s="1"/>
  <c r="AE694" i="1"/>
  <c r="AC694" i="1" s="1"/>
  <c r="AE1168" i="1"/>
  <c r="AC1168" i="1" s="1"/>
  <c r="AE1260" i="1"/>
  <c r="AC1260" i="1" s="1"/>
  <c r="AE525" i="1"/>
  <c r="AC525" i="1" s="1"/>
  <c r="AE787" i="1"/>
  <c r="AC787" i="1" s="1"/>
  <c r="AE775" i="1"/>
  <c r="AC775" i="1" s="1"/>
  <c r="AE731" i="1"/>
  <c r="AC731" i="1" s="1"/>
  <c r="AE325" i="1"/>
  <c r="AC325" i="1" s="1"/>
  <c r="AE400" i="1"/>
  <c r="AC400" i="1" s="1"/>
  <c r="AE957" i="1"/>
  <c r="AC957" i="1" s="1"/>
  <c r="AE461" i="1"/>
  <c r="AC461" i="1" s="1"/>
  <c r="AE532" i="1"/>
  <c r="AC532" i="1" s="1"/>
  <c r="AE665" i="1"/>
  <c r="AC665" i="1" s="1"/>
  <c r="AE505" i="1"/>
  <c r="AC505" i="1" s="1"/>
  <c r="AE1142" i="1"/>
  <c r="AC1142" i="1" s="1"/>
  <c r="AE1173" i="1"/>
  <c r="AC1173" i="1" s="1"/>
  <c r="AE723" i="1"/>
  <c r="AC723" i="1" s="1"/>
  <c r="AE1259" i="1"/>
  <c r="AC1259" i="1" s="1"/>
  <c r="AE1184" i="1"/>
  <c r="AC1184" i="1" s="1"/>
  <c r="AE146" i="1"/>
  <c r="AC146" i="1" s="1"/>
  <c r="AE1140" i="1"/>
  <c r="AC1140" i="1" s="1"/>
  <c r="AE1257" i="1"/>
  <c r="AC1257" i="1" s="1"/>
  <c r="AE655" i="1"/>
  <c r="AC655" i="1" s="1"/>
  <c r="AE752" i="1"/>
  <c r="AC752" i="1" s="1"/>
  <c r="AE823" i="1"/>
  <c r="AC823" i="1" s="1"/>
  <c r="AE65" i="1"/>
  <c r="AC65" i="1" s="1"/>
  <c r="AE229" i="1"/>
  <c r="AC229" i="1" s="1"/>
  <c r="AE383" i="1"/>
  <c r="AC383" i="1" s="1"/>
  <c r="AE572" i="1"/>
  <c r="AC572" i="1" s="1"/>
  <c r="AE925" i="1"/>
  <c r="AC925" i="1" s="1"/>
  <c r="AE280" i="1"/>
  <c r="AC280" i="1" s="1"/>
  <c r="AE1199" i="1"/>
  <c r="AC1199" i="1" s="1"/>
  <c r="AE209" i="1"/>
  <c r="AC209" i="1" s="1"/>
  <c r="AE511" i="1"/>
  <c r="AC511" i="1" s="1"/>
  <c r="AE214" i="1"/>
  <c r="AC214" i="1" s="1"/>
  <c r="AE249" i="1"/>
  <c r="AC249" i="1" s="1"/>
  <c r="AE1158" i="1"/>
  <c r="AC1158" i="1" s="1"/>
  <c r="AE866" i="1"/>
  <c r="AC866" i="1" s="1"/>
  <c r="AE84" i="1"/>
  <c r="AC84" i="1" s="1"/>
  <c r="AE475" i="1"/>
  <c r="AC475" i="1" s="1"/>
  <c r="AE553" i="1"/>
  <c r="AC553" i="1" s="1"/>
  <c r="AE138" i="1"/>
  <c r="AC138" i="1" s="1"/>
  <c r="AE419" i="1"/>
  <c r="AC419" i="1" s="1"/>
  <c r="AE167" i="1"/>
  <c r="AC167" i="1" s="1"/>
  <c r="AE333" i="1"/>
  <c r="AC333" i="1" s="1"/>
  <c r="AE851" i="1"/>
  <c r="AC851" i="1" s="1"/>
  <c r="AE390" i="1"/>
  <c r="AC390" i="1" s="1"/>
  <c r="AE1133" i="1"/>
  <c r="AC1133" i="1" s="1"/>
  <c r="AE971" i="1"/>
  <c r="AC971" i="1" s="1"/>
  <c r="AE58" i="1"/>
  <c r="AC58" i="1" s="1"/>
  <c r="AE861" i="1"/>
  <c r="AC861" i="1" s="1"/>
  <c r="AE17" i="1"/>
  <c r="AC17" i="1" s="1"/>
  <c r="AE565" i="1"/>
  <c r="AC565" i="1" s="1"/>
  <c r="AE1103" i="1"/>
  <c r="AC1103" i="1" s="1"/>
  <c r="AE1267" i="1"/>
  <c r="AC1267" i="1" s="1"/>
  <c r="AE50" i="1"/>
  <c r="AC50" i="1" s="1"/>
  <c r="AE151" i="1"/>
  <c r="AC151" i="1" s="1"/>
  <c r="AE556" i="1"/>
  <c r="AC556" i="1" s="1"/>
  <c r="AE1242" i="1"/>
  <c r="AC1242" i="1" s="1"/>
  <c r="AE1005" i="1"/>
  <c r="AC1005" i="1" s="1"/>
  <c r="AE340" i="1"/>
  <c r="AC340" i="1" s="1"/>
  <c r="AE946" i="1"/>
  <c r="AC946" i="1" s="1"/>
  <c r="AE917" i="1"/>
  <c r="AC917" i="1" s="1"/>
  <c r="AE110" i="1"/>
  <c r="AC110" i="1" s="1"/>
  <c r="AE327" i="1"/>
  <c r="AC327" i="1" s="1"/>
  <c r="AE1081" i="1"/>
  <c r="AC1081" i="1" s="1"/>
  <c r="AE846" i="1"/>
  <c r="AC846" i="1" s="1"/>
  <c r="AE401" i="1"/>
  <c r="AC401" i="1" s="1"/>
  <c r="AE770" i="1"/>
  <c r="AC770" i="1" s="1"/>
  <c r="AE543" i="1"/>
  <c r="AC543" i="1" s="1"/>
  <c r="AE1189" i="1"/>
  <c r="AC1189" i="1" s="1"/>
  <c r="AE218" i="1"/>
  <c r="AC218" i="1" s="1"/>
  <c r="AE1266" i="1"/>
  <c r="AC1266" i="1" s="1"/>
  <c r="AE197" i="1"/>
  <c r="AC197" i="1" s="1"/>
  <c r="AE203" i="1"/>
  <c r="AC203" i="1" s="1"/>
  <c r="AE1050" i="1"/>
  <c r="AC1050" i="1" s="1"/>
  <c r="AE943" i="1"/>
  <c r="AC943" i="1" s="1"/>
  <c r="AE83" i="1"/>
  <c r="AC83" i="1" s="1"/>
  <c r="AE1107" i="1"/>
  <c r="AC1107" i="1" s="1"/>
  <c r="AE590" i="1"/>
  <c r="AC590" i="1" s="1"/>
  <c r="AE644" i="1"/>
  <c r="AC644" i="1" s="1"/>
  <c r="AE134" i="1"/>
  <c r="AC134" i="1" s="1"/>
  <c r="AE93" i="1"/>
  <c r="AC93" i="1" s="1"/>
  <c r="AE1258" i="1"/>
  <c r="AC1258" i="1" s="1"/>
  <c r="AE1160" i="1"/>
  <c r="AC1160" i="1" s="1"/>
  <c r="AE204" i="1"/>
  <c r="AC204" i="1" s="1"/>
  <c r="AE927" i="1"/>
  <c r="AC927" i="1" s="1"/>
  <c r="AE737" i="1"/>
  <c r="AC737" i="1" s="1"/>
  <c r="AE1286" i="1"/>
  <c r="AC1286" i="1" s="1"/>
  <c r="AE402" i="1"/>
  <c r="AC402" i="1" s="1"/>
  <c r="AE181" i="1"/>
  <c r="AC181" i="1" s="1"/>
  <c r="AE722" i="1"/>
  <c r="AC722" i="1" s="1"/>
  <c r="AE1153" i="1"/>
  <c r="AC1153" i="1" s="1"/>
  <c r="AE815" i="1"/>
  <c r="AC815" i="1" s="1"/>
  <c r="AE100" i="1"/>
  <c r="AC100" i="1" s="1"/>
  <c r="AE581" i="1"/>
  <c r="AC581" i="1" s="1"/>
  <c r="AE1094" i="1"/>
  <c r="AC1094" i="1" s="1"/>
  <c r="AE239" i="1"/>
  <c r="AC239" i="1" s="1"/>
  <c r="AE675" i="1"/>
  <c r="AC675" i="1" s="1"/>
  <c r="AE278" i="1"/>
  <c r="AC278" i="1" s="1"/>
  <c r="AE478" i="1"/>
  <c r="AC478" i="1" s="1"/>
  <c r="AE113" i="1"/>
  <c r="AC113" i="1" s="1"/>
  <c r="AE1120" i="1"/>
  <c r="AC1120" i="1" s="1"/>
  <c r="AE785" i="1"/>
  <c r="AC785" i="1" s="1"/>
  <c r="AE1099" i="1"/>
  <c r="AC1099" i="1" s="1"/>
  <c r="AE384" i="1"/>
  <c r="AC384" i="1" s="1"/>
  <c r="AE622" i="1"/>
  <c r="AC622" i="1" s="1"/>
  <c r="AE1278" i="1"/>
  <c r="AC1278" i="1" s="1"/>
  <c r="AE714" i="1"/>
  <c r="AC714" i="1" s="1"/>
  <c r="AE311" i="1"/>
  <c r="AC311" i="1" s="1"/>
  <c r="AE1089" i="1"/>
  <c r="AC1089" i="1" s="1"/>
  <c r="AE839" i="1"/>
  <c r="AC839" i="1" s="1"/>
  <c r="AE139" i="1"/>
  <c r="AC139" i="1" s="1"/>
  <c r="AE593" i="1"/>
  <c r="AC593" i="1" s="1"/>
  <c r="AE803" i="1"/>
  <c r="AC803" i="1" s="1"/>
  <c r="AE878" i="1"/>
  <c r="AC878" i="1" s="1"/>
  <c r="AE503" i="1"/>
  <c r="AC503" i="1" s="1"/>
  <c r="AE903" i="1"/>
  <c r="AC903" i="1" s="1"/>
  <c r="AE357" i="1"/>
  <c r="AC357" i="1" s="1"/>
  <c r="AE974" i="1"/>
  <c r="AC974" i="1" s="1"/>
  <c r="AE244" i="1"/>
  <c r="AC244" i="1" s="1"/>
  <c r="AE619" i="1"/>
  <c r="AC619" i="1" s="1"/>
  <c r="AE735" i="1"/>
  <c r="AC735" i="1" s="1"/>
  <c r="AE354" i="1"/>
  <c r="AC354" i="1" s="1"/>
  <c r="AE57" i="1"/>
  <c r="AC57" i="1" s="1"/>
  <c r="AE199" i="1"/>
  <c r="AC199" i="1" s="1"/>
  <c r="AE969" i="1"/>
  <c r="AC969" i="1" s="1"/>
  <c r="AE711" i="1"/>
  <c r="AC711" i="1" s="1"/>
  <c r="AE1227" i="1"/>
  <c r="AC1227" i="1" s="1"/>
  <c r="AE1070" i="1"/>
  <c r="AC1070" i="1" s="1"/>
  <c r="AE889" i="1"/>
  <c r="AC889" i="1" s="1"/>
  <c r="AE407" i="1"/>
  <c r="AC407" i="1" s="1"/>
  <c r="AE725" i="1"/>
  <c r="AC725" i="1" s="1"/>
  <c r="AE713" i="1"/>
  <c r="AC713" i="1" s="1"/>
  <c r="AE1202" i="1"/>
  <c r="AC1202" i="1" s="1"/>
  <c r="AE685" i="1"/>
  <c r="AC685" i="1" s="1"/>
  <c r="AE795" i="1"/>
  <c r="AC795" i="1" s="1"/>
  <c r="AE1248" i="1"/>
  <c r="AC1248" i="1" s="1"/>
  <c r="AE939" i="1"/>
  <c r="AC939" i="1" s="1"/>
  <c r="AE152" i="1"/>
  <c r="AC152" i="1" s="1"/>
  <c r="AE638" i="1"/>
  <c r="AC638" i="1" s="1"/>
  <c r="AE1152" i="1"/>
  <c r="AC1152" i="1" s="1"/>
  <c r="AE1058" i="1"/>
  <c r="AC1058" i="1" s="1"/>
  <c r="AE920" i="1"/>
  <c r="AC920" i="1" s="1"/>
  <c r="AE662" i="1"/>
  <c r="AC662" i="1" s="1"/>
  <c r="AE1226" i="1"/>
  <c r="AC1226" i="1" s="1"/>
  <c r="AE225" i="1"/>
  <c r="AC225" i="1" s="1"/>
  <c r="AE534" i="1"/>
  <c r="AC534" i="1" s="1"/>
  <c r="AE680" i="1"/>
  <c r="AC680" i="1" s="1"/>
  <c r="AE176" i="1"/>
  <c r="AC176" i="1" s="1"/>
  <c r="AE1170" i="1"/>
  <c r="AC1170" i="1" s="1"/>
  <c r="AE876" i="1"/>
  <c r="AC876" i="1" s="1"/>
  <c r="AE956" i="1"/>
  <c r="AC956" i="1" s="1"/>
  <c r="AE1148" i="1"/>
  <c r="AC1148" i="1" s="1"/>
  <c r="AE1046" i="1"/>
  <c r="AC1046" i="1" s="1"/>
  <c r="AE755" i="1"/>
  <c r="AC755" i="1" s="1"/>
  <c r="AE449" i="1"/>
  <c r="AC449" i="1" s="1"/>
  <c r="AE548" i="1"/>
  <c r="AC548" i="1" s="1"/>
  <c r="AE26" i="1"/>
  <c r="AC26" i="1" s="1"/>
  <c r="AE1135" i="1"/>
  <c r="AC1135" i="1" s="1"/>
  <c r="AE191" i="1"/>
  <c r="AC191" i="1" s="1"/>
  <c r="AE322" i="1"/>
  <c r="AC322" i="1" s="1"/>
  <c r="AE652" i="1"/>
  <c r="AC652" i="1" s="1"/>
  <c r="AE160" i="1"/>
  <c r="AC160" i="1" s="1"/>
  <c r="AE1080" i="1"/>
  <c r="AC1080" i="1" s="1"/>
  <c r="AE1109" i="1"/>
  <c r="AC1109" i="1" s="1"/>
  <c r="AE847" i="1"/>
  <c r="AC847" i="1" s="1"/>
  <c r="AE1095" i="1"/>
  <c r="AC1095" i="1" s="1"/>
  <c r="AE1086" i="1"/>
  <c r="AC1086" i="1" s="1"/>
  <c r="AE377" i="1"/>
  <c r="AC377" i="1" s="1"/>
  <c r="AE554" i="1"/>
  <c r="AC554" i="1" s="1"/>
  <c r="AE274" i="1"/>
  <c r="AC274" i="1" s="1"/>
  <c r="AE101" i="1"/>
  <c r="AC101" i="1" s="1"/>
  <c r="AE1256" i="1"/>
  <c r="AC1256" i="1" s="1"/>
  <c r="AE406" i="1"/>
  <c r="AC406" i="1" s="1"/>
  <c r="AE446" i="1"/>
  <c r="AC446" i="1" s="1"/>
  <c r="AE653" i="1"/>
  <c r="AC653" i="1" s="1"/>
  <c r="AE724" i="1"/>
  <c r="AC724" i="1" s="1"/>
  <c r="AE848" i="1"/>
  <c r="AC848" i="1" s="1"/>
  <c r="AE550" i="1"/>
  <c r="AC550" i="1" s="1"/>
  <c r="AE255" i="1"/>
  <c r="AC255" i="1" s="1"/>
  <c r="AE829" i="1"/>
  <c r="AC829" i="1" s="1"/>
  <c r="AE703" i="1"/>
  <c r="AC703" i="1" s="1"/>
  <c r="AE316" i="1"/>
  <c r="AC316" i="1" s="1"/>
  <c r="AE1024" i="1"/>
  <c r="AC1024" i="1" s="1"/>
  <c r="AE74" i="1"/>
  <c r="AC74" i="1" s="1"/>
  <c r="AE604" i="1"/>
  <c r="AC604" i="1" s="1"/>
  <c r="AE310" i="1"/>
  <c r="AC310" i="1" s="1"/>
  <c r="AE726" i="1"/>
  <c r="AC726" i="1" s="1"/>
  <c r="AE439" i="1"/>
  <c r="AC439" i="1" s="1"/>
  <c r="AE719" i="1"/>
  <c r="AC719" i="1" s="1"/>
  <c r="AE658" i="1"/>
  <c r="AC658" i="1" s="1"/>
  <c r="AE382" i="1"/>
  <c r="AC382" i="1" s="1"/>
  <c r="AE432" i="1"/>
  <c r="AC432" i="1" s="1"/>
  <c r="AE1141" i="1"/>
  <c r="AC1141" i="1" s="1"/>
  <c r="AE55" i="1"/>
  <c r="AC55" i="1" s="1"/>
  <c r="AE42" i="1"/>
  <c r="AC42" i="1" s="1"/>
  <c r="AE560" i="1"/>
  <c r="AC560" i="1" s="1"/>
  <c r="AE115" i="1"/>
  <c r="AC115" i="1" s="1"/>
  <c r="AE780" i="1"/>
  <c r="AC780" i="1" s="1"/>
  <c r="AE997" i="1"/>
  <c r="AC997" i="1" s="1"/>
  <c r="AE612" i="1"/>
  <c r="AC612" i="1" s="1"/>
  <c r="AE636" i="1"/>
  <c r="AC636" i="1" s="1"/>
  <c r="AE69" i="1"/>
  <c r="AC69" i="1" s="1"/>
  <c r="AE431" i="1"/>
  <c r="AC431" i="1" s="1"/>
  <c r="AE418" i="1"/>
  <c r="AC418" i="1" s="1"/>
  <c r="AE549" i="1"/>
  <c r="AC549" i="1" s="1"/>
  <c r="AE872" i="1"/>
  <c r="AC872" i="1" s="1"/>
  <c r="AE476" i="1"/>
  <c r="AC476" i="1" s="1"/>
  <c r="AE20" i="1"/>
  <c r="AC20" i="1" s="1"/>
  <c r="AE362" i="1"/>
  <c r="AC362" i="1" s="1"/>
  <c r="AE989" i="1"/>
  <c r="AC989" i="1" s="1"/>
  <c r="AE490" i="1"/>
  <c r="AC490" i="1" s="1"/>
  <c r="AE379" i="1"/>
  <c r="AC379" i="1" s="1"/>
  <c r="AE545" i="1"/>
  <c r="AC545" i="1" s="1"/>
  <c r="AE157" i="1"/>
  <c r="AC157" i="1" s="1"/>
  <c r="AE32" i="1"/>
  <c r="AC32" i="1" s="1"/>
  <c r="AE217" i="1"/>
  <c r="AC217" i="1" s="1"/>
  <c r="AE370" i="1"/>
  <c r="AC370" i="1" s="1"/>
  <c r="AE701" i="1"/>
  <c r="AC701" i="1" s="1"/>
  <c r="AE224" i="1"/>
  <c r="AC224" i="1" s="1"/>
  <c r="AE1138" i="1"/>
  <c r="AC1138" i="1" s="1"/>
  <c r="AE123" i="1"/>
  <c r="AC123" i="1" s="1"/>
  <c r="AE663" i="1"/>
  <c r="AC663" i="1" s="1"/>
  <c r="AE965" i="1"/>
  <c r="AC965" i="1" s="1"/>
  <c r="AE188" i="1"/>
  <c r="AC188" i="1" s="1"/>
  <c r="AE667" i="1"/>
  <c r="AC667" i="1" s="1"/>
  <c r="AE891" i="1"/>
  <c r="AC891" i="1" s="1"/>
  <c r="AE910" i="1"/>
  <c r="AC910" i="1" s="1"/>
  <c r="AE481" i="1"/>
  <c r="AC481" i="1" s="1"/>
  <c r="AE159" i="1"/>
  <c r="AC159" i="1" s="1"/>
  <c r="AE935" i="1"/>
  <c r="AC935" i="1" s="1"/>
  <c r="AE378" i="1"/>
  <c r="AC378" i="1" s="1"/>
  <c r="AE445" i="1"/>
  <c r="AC445" i="1" s="1"/>
  <c r="AE23" i="1"/>
  <c r="AC23" i="1" s="1"/>
  <c r="AE614" i="1"/>
  <c r="AC614" i="1" s="1"/>
  <c r="AE1028" i="1"/>
  <c r="AC1028" i="1" s="1"/>
  <c r="AE575" i="1"/>
  <c r="AC575" i="1" s="1"/>
  <c r="AE896" i="1"/>
  <c r="AC896" i="1" s="1"/>
  <c r="AE290" i="1"/>
  <c r="AC290" i="1" s="1"/>
  <c r="AE31" i="1"/>
  <c r="AC31" i="1" s="1"/>
  <c r="AE385" i="1"/>
  <c r="AC385" i="1" s="1"/>
  <c r="AE830" i="1"/>
  <c r="AC830" i="1" s="1"/>
  <c r="AE468" i="1"/>
  <c r="AC468" i="1" s="1"/>
  <c r="AE749" i="1"/>
  <c r="AC749" i="1" s="1"/>
  <c r="AE670" i="1"/>
  <c r="AC670" i="1" s="1"/>
  <c r="AE1263" i="1"/>
  <c r="AC1263" i="1" s="1"/>
  <c r="AE1204" i="1"/>
  <c r="AC1204" i="1" s="1"/>
  <c r="AE639" i="1"/>
  <c r="AC639" i="1" s="1"/>
  <c r="AE104" i="1"/>
  <c r="AC104" i="1" s="1"/>
  <c r="AE1292" i="1"/>
  <c r="AC1292" i="1" s="1"/>
  <c r="AE937" i="1"/>
  <c r="AC937" i="1" s="1"/>
  <c r="AE774" i="1"/>
  <c r="AC774" i="1" s="1"/>
  <c r="AE270" i="1"/>
  <c r="AC270" i="1" s="1"/>
  <c r="AE760" i="1"/>
  <c r="AC760" i="1" s="1"/>
  <c r="AE1182" i="1"/>
  <c r="AC1182" i="1" s="1"/>
  <c r="AE741" i="1"/>
  <c r="AC741" i="1" s="1"/>
  <c r="AE796" i="1"/>
  <c r="AC796" i="1" s="1"/>
  <c r="AE591" i="1"/>
  <c r="AC591" i="1" s="1"/>
  <c r="AE441" i="1"/>
  <c r="AC441" i="1" s="1"/>
  <c r="AE178" i="1"/>
  <c r="AC178" i="1" s="1"/>
  <c r="AE102" i="1"/>
  <c r="AC102" i="1" s="1"/>
  <c r="AE579" i="1"/>
  <c r="AC579" i="1" s="1"/>
  <c r="AE1131" i="1"/>
  <c r="AC1131" i="1" s="1"/>
  <c r="AE1020" i="1"/>
  <c r="AC1020" i="1" s="1"/>
  <c r="AE888" i="1"/>
  <c r="AC888" i="1" s="1"/>
  <c r="AE688" i="1"/>
  <c r="AC688" i="1" s="1"/>
  <c r="AE94" i="1"/>
  <c r="AC94" i="1" s="1"/>
  <c r="AE964" i="1"/>
  <c r="AC964" i="1" s="1"/>
  <c r="AE179" i="1"/>
  <c r="AC179" i="1" s="1"/>
  <c r="AE1201" i="1"/>
  <c r="AC1201" i="1" s="1"/>
  <c r="AE892" i="1"/>
  <c r="AC892" i="1" s="1"/>
  <c r="AE128" i="1"/>
  <c r="AC128" i="1" s="1"/>
  <c r="AE66" i="1"/>
  <c r="AC66" i="1" s="1"/>
  <c r="AE215" i="1"/>
  <c r="AC215" i="1" s="1"/>
  <c r="AE241" i="1"/>
  <c r="AC241" i="1" s="1"/>
  <c r="AE769" i="1"/>
  <c r="AC769" i="1" s="1"/>
  <c r="AE1206" i="1"/>
  <c r="AC1206" i="1" s="1"/>
  <c r="AE602" i="1"/>
  <c r="AC602" i="1" s="1"/>
  <c r="AE147" i="1"/>
  <c r="AC147" i="1" s="1"/>
  <c r="AE194" i="1"/>
  <c r="AC194" i="1" s="1"/>
  <c r="AE266" i="1"/>
  <c r="AC266" i="1" s="1"/>
  <c r="AE436" i="1"/>
  <c r="AC436" i="1" s="1"/>
  <c r="AE708" i="1"/>
  <c r="AC708" i="1" s="1"/>
  <c r="AE507" i="1"/>
  <c r="AC507" i="1" s="1"/>
  <c r="AE158" i="1"/>
  <c r="AC158" i="1" s="1"/>
  <c r="AE906" i="1"/>
  <c r="AC906" i="1" s="1"/>
  <c r="AE1009" i="1"/>
  <c r="AC1009" i="1" s="1"/>
  <c r="AE1037" i="1"/>
  <c r="AC1037" i="1" s="1"/>
  <c r="AE1191" i="1"/>
  <c r="AC1191" i="1" s="1"/>
  <c r="AE240" i="1"/>
  <c r="AC240" i="1" s="1"/>
  <c r="AE272" i="1"/>
  <c r="AC272" i="1" s="1"/>
  <c r="AE493" i="1"/>
  <c r="AC493" i="1" s="1"/>
  <c r="AE261" i="1"/>
  <c r="AC261" i="1" s="1"/>
  <c r="AE287" i="1"/>
  <c r="AC287" i="1" s="1"/>
  <c r="AE256" i="1"/>
  <c r="AC256" i="1" s="1"/>
  <c r="AE1063" i="1"/>
  <c r="AC1063" i="1" s="1"/>
  <c r="AE491" i="1"/>
  <c r="AC491" i="1" s="1"/>
  <c r="AE1241" i="1"/>
  <c r="AC1241" i="1" s="1"/>
  <c r="AE208" i="1"/>
  <c r="AC208" i="1" s="1"/>
  <c r="AE1222" i="1"/>
  <c r="AC1222" i="1" s="1"/>
  <c r="AE305" i="1"/>
  <c r="AC305" i="1" s="1"/>
  <c r="AE394" i="1"/>
  <c r="AC394" i="1" s="1"/>
  <c r="AE81" i="1"/>
  <c r="AC81" i="1" s="1"/>
  <c r="AE992" i="1"/>
  <c r="AC992" i="1" s="1"/>
  <c r="AE567" i="1"/>
  <c r="AC567" i="1" s="1"/>
  <c r="AE816" i="1"/>
  <c r="AC816" i="1" s="1"/>
  <c r="AE1069" i="1"/>
  <c r="AC1069" i="1" s="1"/>
  <c r="AE47" i="1"/>
  <c r="AC47" i="1" s="1"/>
  <c r="AE699" i="1"/>
  <c r="AC699" i="1" s="1"/>
  <c r="AE1090" i="1"/>
  <c r="AC1090" i="1" s="1"/>
  <c r="AE1289" i="1"/>
  <c r="AC1289" i="1" s="1"/>
  <c r="AE486" i="1"/>
  <c r="AC486" i="1" s="1"/>
  <c r="AE792" i="1"/>
  <c r="AC792" i="1" s="1"/>
  <c r="AE1254" i="1"/>
  <c r="AC1254" i="1" s="1"/>
  <c r="AE738" i="1"/>
  <c r="AC738" i="1" s="1"/>
  <c r="AE1008" i="1"/>
  <c r="AC1008" i="1" s="1"/>
  <c r="AE515" i="1"/>
  <c r="AC515" i="1" s="1"/>
  <c r="AE1006" i="1"/>
  <c r="AC1006" i="1" s="1"/>
  <c r="AE867" i="1"/>
  <c r="AC867" i="1" s="1"/>
  <c r="AE252" i="1"/>
  <c r="AC252" i="1" s="1"/>
  <c r="AE477" i="1"/>
  <c r="AC477" i="1" s="1"/>
  <c r="AE144" i="1"/>
  <c r="AC144" i="1" s="1"/>
  <c r="AE1034" i="1"/>
  <c r="AC1034" i="1" s="1"/>
  <c r="AE1040" i="1"/>
  <c r="AC1040" i="1" s="1"/>
  <c r="AE1091" i="1"/>
  <c r="AC1091" i="1" s="1"/>
  <c r="AE161" i="1"/>
  <c r="AC161" i="1" s="1"/>
  <c r="AE1062" i="1"/>
  <c r="AC1062" i="1" s="1"/>
  <c r="AE1180" i="1"/>
  <c r="AC1180" i="1" s="1"/>
  <c r="AE595" i="1"/>
  <c r="AC595" i="1" s="1"/>
  <c r="AE1124" i="1"/>
  <c r="AC1124" i="1" s="1"/>
  <c r="AE165" i="1"/>
  <c r="AC165" i="1" s="1"/>
  <c r="AE131" i="1"/>
  <c r="AC131" i="1" s="1"/>
  <c r="AE1243" i="1"/>
  <c r="AC1243" i="1" s="1"/>
  <c r="AE398" i="1"/>
  <c r="AC398" i="1" s="1"/>
  <c r="AE1245" i="1"/>
  <c r="AC1245" i="1" s="1"/>
  <c r="AE938" i="1"/>
  <c r="AC938" i="1" s="1"/>
  <c r="AE293" i="1"/>
  <c r="AC293" i="1" s="1"/>
  <c r="AE206" i="1"/>
  <c r="AC206" i="1" s="1"/>
  <c r="AE451" i="1"/>
  <c r="AC451" i="1" s="1"/>
  <c r="AE470" i="1"/>
  <c r="AC470" i="1" s="1"/>
  <c r="AE142" i="1"/>
  <c r="AC142" i="1" s="1"/>
  <c r="AE339" i="1"/>
  <c r="AC339" i="1" s="1"/>
  <c r="AE302" i="1"/>
  <c r="AC302" i="1" s="1"/>
  <c r="AE960" i="1"/>
  <c r="AC960" i="1" s="1"/>
  <c r="AE201" i="1"/>
  <c r="AC201" i="1" s="1"/>
  <c r="AE62" i="1"/>
  <c r="AC62" i="1" s="1"/>
  <c r="AE645" i="1"/>
  <c r="AC645" i="1" s="1"/>
  <c r="AE465" i="1"/>
  <c r="AC465" i="1" s="1"/>
  <c r="AE388" i="1"/>
  <c r="AC388" i="1" s="1"/>
  <c r="AE1036" i="1"/>
  <c r="AC1036" i="1" s="1"/>
  <c r="AE1185" i="1"/>
  <c r="AC1185" i="1" s="1"/>
  <c r="AE238" i="1"/>
  <c r="AC238" i="1" s="1"/>
  <c r="AE844" i="1"/>
  <c r="AC844" i="1" s="1"/>
  <c r="AE1291" i="1"/>
  <c r="AC1291" i="1" s="1"/>
  <c r="AE1251" i="1"/>
  <c r="AC1251" i="1" s="1"/>
  <c r="AE852" i="1"/>
  <c r="AC852" i="1" s="1"/>
  <c r="AE1183" i="1"/>
  <c r="AC1183" i="1" s="1"/>
  <c r="AE163" i="1"/>
  <c r="AC163" i="1" s="1"/>
  <c r="AE1177" i="1"/>
  <c r="AC1177" i="1" s="1"/>
  <c r="AE704" i="1"/>
  <c r="AC704" i="1" s="1"/>
  <c r="AE315" i="1"/>
  <c r="AC315" i="1" s="1"/>
  <c r="AE1045" i="1"/>
  <c r="AC1045" i="1" s="1"/>
  <c r="AE513" i="1"/>
  <c r="AC513" i="1" s="1"/>
  <c r="AE1169" i="1"/>
  <c r="AC1169" i="1" s="1"/>
  <c r="AE359" i="1"/>
  <c r="AC359" i="1" s="1"/>
  <c r="AE696" i="1"/>
  <c r="AC696" i="1" s="1"/>
  <c r="AE613" i="1"/>
  <c r="AC613" i="1" s="1"/>
  <c r="AE222" i="1"/>
  <c r="AC222" i="1" s="1"/>
  <c r="AE412" i="1"/>
  <c r="AC412" i="1" s="1"/>
  <c r="AE338" i="1"/>
  <c r="AC338" i="1" s="1"/>
  <c r="AE509" i="1"/>
  <c r="AC509" i="1" s="1"/>
  <c r="AE1117" i="1"/>
  <c r="AC1117" i="1" s="1"/>
  <c r="AE561" i="1"/>
  <c r="AC561" i="1" s="1"/>
  <c r="AE351" i="1"/>
  <c r="AC351" i="1" s="1"/>
  <c r="AE632" i="1"/>
  <c r="AC632" i="1" s="1"/>
  <c r="AE1208" i="1"/>
  <c r="AC1208" i="1" s="1"/>
  <c r="AE583" i="1"/>
  <c r="AC583" i="1" s="1"/>
  <c r="AE1073" i="1"/>
  <c r="AC1073" i="1" s="1"/>
  <c r="AE1027" i="1"/>
  <c r="AC1027" i="1" s="1"/>
  <c r="AE335" i="1"/>
  <c r="AC335" i="1" s="1"/>
  <c r="AE73" i="1"/>
  <c r="AC73" i="1" s="1"/>
  <c r="AE528" i="1"/>
  <c r="AC528" i="1" s="1"/>
  <c r="AE886" i="1"/>
  <c r="AC886" i="1" s="1"/>
  <c r="AE574" i="1"/>
  <c r="AC574" i="1" s="1"/>
  <c r="AE732" i="1"/>
  <c r="AC732" i="1" s="1"/>
  <c r="AE108" i="1"/>
  <c r="AC108" i="1" s="1"/>
  <c r="AE995" i="1"/>
  <c r="AC995" i="1" s="1"/>
  <c r="AE422" i="1"/>
  <c r="AC422" i="1" s="1"/>
  <c r="AE426" i="1"/>
  <c r="AC426" i="1" s="1"/>
  <c r="AE921" i="1"/>
  <c r="AC921" i="1" s="1"/>
  <c r="AE1064" i="1"/>
  <c r="AC1064" i="1" s="1"/>
  <c r="AE425" i="1"/>
  <c r="AC425" i="1" s="1"/>
  <c r="AE473" i="1"/>
  <c r="AC473" i="1" s="1"/>
  <c r="AE1136" i="1"/>
  <c r="AC1136" i="1" s="1"/>
  <c r="AE85" i="1"/>
  <c r="AC85" i="1" s="1"/>
  <c r="AE558" i="1"/>
  <c r="AC558" i="1" s="1"/>
  <c r="AE1143" i="1"/>
  <c r="AC1143" i="1" s="1"/>
  <c r="AE940" i="1"/>
  <c r="AC940" i="1" s="1"/>
  <c r="AE107" i="1"/>
  <c r="AC107" i="1" s="1"/>
  <c r="AE514" i="1"/>
  <c r="AC514" i="1" s="1"/>
  <c r="AE523" i="1"/>
  <c r="AC523" i="1" s="1"/>
  <c r="AE120" i="1"/>
  <c r="AC120" i="1" s="1"/>
  <c r="AE265" i="1"/>
  <c r="AC265" i="1" s="1"/>
  <c r="AE918" i="1"/>
  <c r="AC918" i="1" s="1"/>
  <c r="AE729" i="1"/>
  <c r="AC729" i="1" s="1"/>
  <c r="AE1075" i="1"/>
  <c r="AC1075" i="1" s="1"/>
  <c r="AE624" i="1"/>
  <c r="AC624" i="1" s="1"/>
  <c r="AE221" i="1"/>
  <c r="AC221" i="1" s="1"/>
  <c r="AE648" i="1"/>
  <c r="AC648" i="1" s="1"/>
  <c r="AE1016" i="1"/>
  <c r="AC1016" i="1" s="1"/>
  <c r="AE166" i="1"/>
  <c r="AC166" i="1" s="1"/>
  <c r="AE150" i="1"/>
  <c r="AC150" i="1" s="1"/>
  <c r="AE1084" i="1"/>
  <c r="AC1084" i="1" s="1"/>
  <c r="AE521" i="1"/>
  <c r="AC521" i="1" s="1"/>
  <c r="AE500" i="1"/>
  <c r="AC500" i="1" s="1"/>
  <c r="AE607" i="1"/>
  <c r="AC607" i="1" s="1"/>
  <c r="AE865" i="1"/>
  <c r="AC865" i="1" s="1"/>
  <c r="AE247" i="1"/>
  <c r="AC247" i="1" s="1"/>
  <c r="AE444" i="1"/>
  <c r="AC444" i="1" s="1"/>
  <c r="AE98" i="1"/>
  <c r="AC98" i="1" s="1"/>
  <c r="AE836" i="1"/>
  <c r="AC836" i="1" s="1"/>
  <c r="AE977" i="1"/>
  <c r="AC977" i="1" s="1"/>
  <c r="AE692" i="1"/>
  <c r="AC692" i="1" s="1"/>
  <c r="AE533" i="1"/>
  <c r="AC533" i="1" s="1"/>
  <c r="AE706" i="1"/>
  <c r="AC706" i="1" s="1"/>
  <c r="AE268" i="1"/>
  <c r="AC268" i="1" s="1"/>
  <c r="AE887" i="1"/>
  <c r="AC887" i="1" s="1"/>
  <c r="AE982" i="1"/>
  <c r="AC982" i="1" s="1"/>
  <c r="AE608" i="1"/>
  <c r="AC608" i="1" s="1"/>
  <c r="AE584" i="1"/>
  <c r="AC584" i="1" s="1"/>
  <c r="AE909" i="1"/>
  <c r="AC909" i="1" s="1"/>
  <c r="AE52" i="1"/>
  <c r="AC52" i="1" s="1"/>
  <c r="AE185" i="1"/>
  <c r="AC185" i="1" s="1"/>
  <c r="AE1044" i="1"/>
  <c r="AC1044" i="1" s="1"/>
  <c r="AE143" i="1"/>
  <c r="AC143" i="1" s="1"/>
  <c r="AE156" i="1"/>
  <c r="AC156" i="1" s="1"/>
  <c r="AE587" i="1"/>
  <c r="AC587" i="1" s="1"/>
  <c r="AE862" i="1"/>
  <c r="AC862" i="1" s="1"/>
  <c r="AE1255" i="1"/>
  <c r="AC1255" i="1" s="1"/>
  <c r="AE585" i="1"/>
  <c r="AC585" i="1" s="1"/>
  <c r="AE440" i="1"/>
  <c r="AC440" i="1" s="1"/>
  <c r="AE1165" i="1"/>
  <c r="AC1165" i="1" s="1"/>
  <c r="AE650" i="1"/>
  <c r="AC650" i="1" s="1"/>
  <c r="AE996" i="1"/>
  <c r="AC996" i="1" s="1"/>
  <c r="AE727" i="1"/>
  <c r="AC727" i="1" s="1"/>
  <c r="AE1078" i="1"/>
  <c r="AC1078" i="1" s="1"/>
  <c r="AE620" i="1"/>
  <c r="AC620" i="1" s="1"/>
  <c r="AE628" i="1"/>
  <c r="AC628" i="1" s="1"/>
  <c r="AE994" i="1"/>
  <c r="AC994" i="1" s="1"/>
  <c r="AE691" i="1"/>
  <c r="AC691" i="1" s="1"/>
  <c r="AE1139" i="1"/>
  <c r="AC1139" i="1" s="1"/>
  <c r="AE1207" i="1"/>
  <c r="AC1207" i="1" s="1"/>
  <c r="AE337" i="1"/>
  <c r="AC337" i="1" s="1"/>
  <c r="AE326" i="1"/>
  <c r="AC326" i="1" s="1"/>
  <c r="AE414" i="1"/>
  <c r="AC414" i="1" s="1"/>
  <c r="AE72" i="1"/>
  <c r="AC72" i="1" s="1"/>
  <c r="AE686" i="1"/>
  <c r="AC686" i="1" s="1"/>
  <c r="AE1112" i="1"/>
  <c r="AC1112" i="1" s="1"/>
  <c r="AE1192" i="1"/>
  <c r="AC1192" i="1" s="1"/>
  <c r="AE747" i="1"/>
  <c r="AC747" i="1" s="1"/>
  <c r="AE190" i="1"/>
  <c r="AC190" i="1" s="1"/>
  <c r="AE318" i="1"/>
  <c r="AC318" i="1" s="1"/>
  <c r="AE1235" i="1"/>
  <c r="AC1235" i="1" s="1"/>
  <c r="AE53" i="1"/>
  <c r="AC53" i="1" s="1"/>
  <c r="AE1277" i="1"/>
  <c r="AC1277" i="1" s="1"/>
  <c r="AE356" i="1"/>
  <c r="AC356" i="1" s="1"/>
  <c r="AE559" i="1"/>
  <c r="AC559" i="1" s="1"/>
  <c r="AE840" i="1"/>
  <c r="AC840" i="1" s="1"/>
  <c r="AE715" i="1"/>
  <c r="AC715" i="1" s="1"/>
  <c r="AE944" i="1"/>
  <c r="AC944" i="1" s="1"/>
  <c r="AE1042" i="1"/>
  <c r="AC1042" i="1" s="1"/>
  <c r="AE434" i="1"/>
  <c r="AC434" i="1" s="1"/>
  <c r="AE814" i="1"/>
  <c r="AC814" i="1" s="1"/>
  <c r="AE342" i="1"/>
  <c r="AC342" i="1" s="1"/>
  <c r="AE380" i="1"/>
  <c r="AC380" i="1" s="1"/>
  <c r="AE690" i="1"/>
  <c r="AC690" i="1" s="1"/>
  <c r="AE879" i="1"/>
  <c r="AC879" i="1" s="1"/>
  <c r="AE1272" i="1"/>
  <c r="AC1272" i="1" s="1"/>
  <c r="AE734" i="1"/>
  <c r="AC734" i="1" s="1"/>
  <c r="AE970" i="1"/>
  <c r="AC970" i="1" s="1"/>
  <c r="AE684" i="1"/>
  <c r="AC684" i="1" s="1"/>
  <c r="AE488" i="1"/>
  <c r="AC488" i="1" s="1"/>
  <c r="AE220" i="1"/>
  <c r="AC220" i="1" s="1"/>
  <c r="AE1261" i="1"/>
  <c r="AC1261" i="1" s="1"/>
  <c r="AE1060" i="1"/>
  <c r="AC1060" i="1" s="1"/>
  <c r="AE234" i="1"/>
  <c r="AC234" i="1" s="1"/>
  <c r="AE993" i="1"/>
  <c r="AC993" i="1" s="1"/>
  <c r="AE610" i="1"/>
  <c r="AC610" i="1" s="1"/>
  <c r="AE1195" i="1"/>
  <c r="AC1195" i="1" s="1"/>
  <c r="AE1193" i="1"/>
  <c r="AC1193" i="1" s="1"/>
  <c r="AB1327" i="1"/>
  <c r="AH1315" i="1"/>
</calcChain>
</file>

<file path=xl/sharedStrings.xml><?xml version="1.0" encoding="utf-8"?>
<sst xmlns="http://schemas.openxmlformats.org/spreadsheetml/2006/main" count="17538" uniqueCount="4102">
  <si>
    <t>TransactionID</t>
  </si>
  <si>
    <t>TransactionDate</t>
  </si>
  <si>
    <t>CustomerID</t>
  </si>
  <si>
    <t>ProductID</t>
  </si>
  <si>
    <t>Region</t>
  </si>
  <si>
    <t>BusinessUnit</t>
  </si>
  <si>
    <t>SalesChannel</t>
  </si>
  <si>
    <t>Quantity</t>
  </si>
  <si>
    <t>UnitPrice</t>
  </si>
  <si>
    <t>ListPrice</t>
  </si>
  <si>
    <t>GrossRevenue</t>
  </si>
  <si>
    <t>DiscountAmount</t>
  </si>
  <si>
    <t>NetRevenue</t>
  </si>
  <si>
    <t>Currency</t>
  </si>
  <si>
    <t>Salesperson</t>
  </si>
  <si>
    <t>ContractType</t>
  </si>
  <si>
    <t>CustomerSegment</t>
  </si>
  <si>
    <t>TXN-10702</t>
  </si>
  <si>
    <t>C-1048</t>
  </si>
  <si>
    <t>P-FS-004</t>
  </si>
  <si>
    <t>North America</t>
  </si>
  <si>
    <t>Field Services</t>
  </si>
  <si>
    <t>Direct</t>
  </si>
  <si>
    <t>USD</t>
  </si>
  <si>
    <t>Garcia-EM</t>
  </si>
  <si>
    <t>Frame Agreement</t>
  </si>
  <si>
    <t>Aerospace &amp; Defense</t>
  </si>
  <si>
    <t>TXN-10995</t>
  </si>
  <si>
    <t>C-1038</t>
  </si>
  <si>
    <t>P-SA-001</t>
  </si>
  <si>
    <t>APAC</t>
  </si>
  <si>
    <t>Software &amp; Analytics</t>
  </si>
  <si>
    <t xml:space="preserve">  Direct </t>
  </si>
  <si>
    <t>Bell-NA</t>
  </si>
  <si>
    <t>Annual License</t>
  </si>
  <si>
    <t>Process Industries</t>
  </si>
  <si>
    <t>TXN-10351</t>
  </si>
  <si>
    <t>02/23/2025</t>
  </si>
  <si>
    <t>C-1027</t>
  </si>
  <si>
    <t>P-FS-006</t>
  </si>
  <si>
    <t>Distributor</t>
  </si>
  <si>
    <t>Blackwell-EM</t>
  </si>
  <si>
    <t>Standard PO</t>
  </si>
  <si>
    <t>Energy &amp; Utilities</t>
  </si>
  <si>
    <t>TXN-10987</t>
  </si>
  <si>
    <t>C-1155</t>
  </si>
  <si>
    <t>P-SI-006</t>
  </si>
  <si>
    <t>S&amp;I</t>
  </si>
  <si>
    <t>Harding</t>
  </si>
  <si>
    <t>Manufacturing</t>
  </si>
  <si>
    <t>TXN-10410</t>
  </si>
  <si>
    <t>C-1006</t>
  </si>
  <si>
    <t>P-SI-002</t>
  </si>
  <si>
    <t>Sensors &amp; Instruments</t>
  </si>
  <si>
    <t>JOHNSON</t>
  </si>
  <si>
    <t>Spot</t>
  </si>
  <si>
    <t>TXN-10918</t>
  </si>
  <si>
    <t>C-1035</t>
  </si>
  <si>
    <t>P-SI-005</t>
  </si>
  <si>
    <t>White-NA</t>
  </si>
  <si>
    <t>TXN-10906</t>
  </si>
  <si>
    <t>C-1108</t>
  </si>
  <si>
    <t>P-SI-004</t>
  </si>
  <si>
    <t xml:space="preserve">  APAC </t>
  </si>
  <si>
    <t>Moss-AP</t>
  </si>
  <si>
    <t>Research &amp; Labs</t>
  </si>
  <si>
    <t>TXN-11118</t>
  </si>
  <si>
    <t>C-1175</t>
  </si>
  <si>
    <t>Price</t>
  </si>
  <si>
    <t>TXN-11169</t>
  </si>
  <si>
    <t>C-1105</t>
  </si>
  <si>
    <t>P-SI-003</t>
  </si>
  <si>
    <t>Evans-EM</t>
  </si>
  <si>
    <t>TXN-10345</t>
  </si>
  <si>
    <t>C-1152</t>
  </si>
  <si>
    <t>P-SA-005</t>
  </si>
  <si>
    <t>EMEA</t>
  </si>
  <si>
    <t>distributor</t>
  </si>
  <si>
    <t>Taylor-AP</t>
  </si>
  <si>
    <t>TXN-11217</t>
  </si>
  <si>
    <t>Jan 27, 2025</t>
  </si>
  <si>
    <t>C-1039</t>
  </si>
  <si>
    <t>Latin America</t>
  </si>
  <si>
    <t>Rocha</t>
  </si>
  <si>
    <t>TXN-11047</t>
  </si>
  <si>
    <t>20-02-2025</t>
  </si>
  <si>
    <t>C-1177</t>
  </si>
  <si>
    <t>EMEA Region</t>
  </si>
  <si>
    <t>$2,450.00</t>
  </si>
  <si>
    <t>Santos</t>
  </si>
  <si>
    <t>TXN-10232</t>
  </si>
  <si>
    <t>C-1147</t>
  </si>
  <si>
    <t>P-SI-008</t>
  </si>
  <si>
    <t>direct</t>
  </si>
  <si>
    <t>Williams-EM</t>
  </si>
  <si>
    <t>TXN-10951</t>
  </si>
  <si>
    <t>C-1057</t>
  </si>
  <si>
    <t>P-SI-001</t>
  </si>
  <si>
    <t>sensors &amp; instruments</t>
  </si>
  <si>
    <t>EUR</t>
  </si>
  <si>
    <t>Lee-NA</t>
  </si>
  <si>
    <t>TXN-10193</t>
  </si>
  <si>
    <t>C-1120</t>
  </si>
  <si>
    <t>P-FS-005</t>
  </si>
  <si>
    <t>Bates</t>
  </si>
  <si>
    <t>TXN-10740</t>
  </si>
  <si>
    <t>06/04/2025</t>
  </si>
  <si>
    <t>Gibson</t>
  </si>
  <si>
    <t>TXN-10353</t>
  </si>
  <si>
    <t>Mar 26, 2025</t>
  </si>
  <si>
    <t>C-1100</t>
  </si>
  <si>
    <t>P-SA-004</t>
  </si>
  <si>
    <t>Collins-EM</t>
  </si>
  <si>
    <t>Subscription</t>
  </si>
  <si>
    <t>TXN-11063</t>
  </si>
  <si>
    <t>2025.04.16</t>
  </si>
  <si>
    <t>C-1167</t>
  </si>
  <si>
    <t>P-SI-007</t>
  </si>
  <si>
    <t>Valenzuela</t>
  </si>
  <si>
    <t>TXN-10555</t>
  </si>
  <si>
    <t>May 15, 2025</t>
  </si>
  <si>
    <t>P-FS-001</t>
  </si>
  <si>
    <t>apac</t>
  </si>
  <si>
    <t>$324.31</t>
  </si>
  <si>
    <t>Koch</t>
  </si>
  <si>
    <t>TXN-10364</t>
  </si>
  <si>
    <t>C-1019</t>
  </si>
  <si>
    <t>APAC Region</t>
  </si>
  <si>
    <t>GBP</t>
  </si>
  <si>
    <t>Lloyd-EM</t>
  </si>
  <si>
    <t>TXN-10066</t>
  </si>
  <si>
    <t>C-1034</t>
  </si>
  <si>
    <t>Joyce-AP</t>
  </si>
  <si>
    <t>TXN-10102</t>
  </si>
  <si>
    <t>17-02-2025</t>
  </si>
  <si>
    <t>C-1112</t>
  </si>
  <si>
    <t>Morales</t>
  </si>
  <si>
    <t>TXN-11120</t>
  </si>
  <si>
    <t>02-06-2025</t>
  </si>
  <si>
    <t>C-1171</t>
  </si>
  <si>
    <t>Davis-NA</t>
  </si>
  <si>
    <t>TXN-11051</t>
  </si>
  <si>
    <t>p-fs-004</t>
  </si>
  <si>
    <t>$3,014.21</t>
  </si>
  <si>
    <t>Alvarez-NA</t>
  </si>
  <si>
    <t>TXN-11119</t>
  </si>
  <si>
    <t>C-1095</t>
  </si>
  <si>
    <t>$215.00</t>
  </si>
  <si>
    <t>Ward-EM</t>
  </si>
  <si>
    <t>TXN-11028</t>
  </si>
  <si>
    <t>C-1061</t>
  </si>
  <si>
    <t>Jordan-AP</t>
  </si>
  <si>
    <t>TXN-11288</t>
  </si>
  <si>
    <t>C-1161</t>
  </si>
  <si>
    <t>$970.00</t>
  </si>
  <si>
    <t>Cuevas-AP</t>
  </si>
  <si>
    <t>TXN-10621</t>
  </si>
  <si>
    <t>C-1021</t>
  </si>
  <si>
    <t>197.90</t>
  </si>
  <si>
    <t>CARLSON-EM</t>
  </si>
  <si>
    <t>TXN-10722</t>
  </si>
  <si>
    <t>Jefferson</t>
  </si>
  <si>
    <t>TXN-10197</t>
  </si>
  <si>
    <t>C-1164</t>
  </si>
  <si>
    <t>$4,900.00</t>
  </si>
  <si>
    <t>Hansen-EM</t>
  </si>
  <si>
    <t>TXN-10683</t>
  </si>
  <si>
    <t>C-1008</t>
  </si>
  <si>
    <t>north america</t>
  </si>
  <si>
    <t>3,826.08</t>
  </si>
  <si>
    <t>THOMAS</t>
  </si>
  <si>
    <t>TXN-10974</t>
  </si>
  <si>
    <t>C-1099</t>
  </si>
  <si>
    <t xml:space="preserve">  Distributor </t>
  </si>
  <si>
    <t>WILLIAMS-EM</t>
  </si>
  <si>
    <t>TXN-10052</t>
  </si>
  <si>
    <t>C-1062</t>
  </si>
  <si>
    <t>emea</t>
  </si>
  <si>
    <t>Miller</t>
  </si>
  <si>
    <t>TXN-10812</t>
  </si>
  <si>
    <t>C-1158</t>
  </si>
  <si>
    <t>Partner Portal</t>
  </si>
  <si>
    <t>$1,737.40</t>
  </si>
  <si>
    <t>Martin</t>
  </si>
  <si>
    <t>TXN-10116</t>
  </si>
  <si>
    <t>2025.01.04</t>
  </si>
  <si>
    <t>C-1063</t>
  </si>
  <si>
    <t>Hernandez-EM</t>
  </si>
  <si>
    <t>TXN-10868</t>
  </si>
  <si>
    <t>06/28/2025</t>
  </si>
  <si>
    <t>C-1082</t>
  </si>
  <si>
    <t>Murray</t>
  </si>
  <si>
    <t>TXN-11269</t>
  </si>
  <si>
    <t>C-1079</t>
  </si>
  <si>
    <t>TXN-10745</t>
  </si>
  <si>
    <t>C-1015</t>
  </si>
  <si>
    <t xml:space="preserve"> P-SI-002 </t>
  </si>
  <si>
    <t>Gordon-AP</t>
  </si>
  <si>
    <t>TXN-10979</t>
  </si>
  <si>
    <t>Jun 30, 2025</t>
  </si>
  <si>
    <t>C-1070</t>
  </si>
  <si>
    <t>Silva</t>
  </si>
  <si>
    <t>TXN-11229</t>
  </si>
  <si>
    <t>C-1005</t>
  </si>
  <si>
    <t>N. America</t>
  </si>
  <si>
    <t>Software and Analytics</t>
  </si>
  <si>
    <t>Rodriguez</t>
  </si>
  <si>
    <t>TXN-10874</t>
  </si>
  <si>
    <t>C-1076</t>
  </si>
  <si>
    <t>Keller</t>
  </si>
  <si>
    <t>Perpetual</t>
  </si>
  <si>
    <t>TXN-10310</t>
  </si>
  <si>
    <t>Higgins</t>
  </si>
  <si>
    <t>TXN-10428</t>
  </si>
  <si>
    <t>C-1169</t>
  </si>
  <si>
    <t>90.55</t>
  </si>
  <si>
    <t>Lewis-AP</t>
  </si>
  <si>
    <t>TXN-10765</t>
  </si>
  <si>
    <t>C-1098</t>
  </si>
  <si>
    <t>Woods-NA</t>
  </si>
  <si>
    <t>TXN-11203</t>
  </si>
  <si>
    <t>05/25/2025</t>
  </si>
  <si>
    <t>P-FS-003</t>
  </si>
  <si>
    <t>Henderson-AP</t>
  </si>
  <si>
    <t>Annual</t>
  </si>
  <si>
    <t>TXN-10533</t>
  </si>
  <si>
    <t>P-SA-002</t>
  </si>
  <si>
    <t>Reed</t>
  </si>
  <si>
    <t>TXN-10064</t>
  </si>
  <si>
    <t>Feb 09, 2025</t>
  </si>
  <si>
    <t>Parker-NA</t>
  </si>
  <si>
    <t>TXN-10550</t>
  </si>
  <si>
    <t>Griffith</t>
  </si>
  <si>
    <t>TXN-10165</t>
  </si>
  <si>
    <t>2025.03.06</t>
  </si>
  <si>
    <t>TXN-10696</t>
  </si>
  <si>
    <t>02/01/2025</t>
  </si>
  <si>
    <t>Yang</t>
  </si>
  <si>
    <t>TXN-10576</t>
  </si>
  <si>
    <t>C-1092</t>
  </si>
  <si>
    <t>$1,361.13</t>
  </si>
  <si>
    <t>Hoffman-EM</t>
  </si>
  <si>
    <t>TXN-10810</t>
  </si>
  <si>
    <t>C-1059</t>
  </si>
  <si>
    <t>Field Svcs</t>
  </si>
  <si>
    <t>Harris-EM</t>
  </si>
  <si>
    <t>TXN-10045</t>
  </si>
  <si>
    <t>C-1045</t>
  </si>
  <si>
    <t>Nguyen</t>
  </si>
  <si>
    <t>TXN-10077</t>
  </si>
  <si>
    <t>C-1043</t>
  </si>
  <si>
    <t>Patel</t>
  </si>
  <si>
    <t>TXN-10234</t>
  </si>
  <si>
    <t>C-1144</t>
  </si>
  <si>
    <t>BALL-NA</t>
  </si>
  <si>
    <t>TXN-10429</t>
  </si>
  <si>
    <t>12-06-2025</t>
  </si>
  <si>
    <t>C-1154</t>
  </si>
  <si>
    <t>P-SA-003</t>
  </si>
  <si>
    <t>Carr</t>
  </si>
  <si>
    <t>TXN-10738</t>
  </si>
  <si>
    <t>02/09/2025</t>
  </si>
  <si>
    <t>C-1148</t>
  </si>
  <si>
    <t>3,880.00</t>
  </si>
  <si>
    <t>Hebert</t>
  </si>
  <si>
    <t>TXN-10539</t>
  </si>
  <si>
    <t>2025.01.22</t>
  </si>
  <si>
    <t>C-1119</t>
  </si>
  <si>
    <t>P-FS-002</t>
  </si>
  <si>
    <t>Martinez</t>
  </si>
  <si>
    <t>TXN-11088</t>
  </si>
  <si>
    <t>C-1113</t>
  </si>
  <si>
    <t xml:space="preserve">  Sensors &amp; Instruments </t>
  </si>
  <si>
    <t>Gibbs-AP</t>
  </si>
  <si>
    <t>TXN-10050</t>
  </si>
  <si>
    <t>Jun 01, 2025</t>
  </si>
  <si>
    <t>C-1129</t>
  </si>
  <si>
    <t>Webster-AP</t>
  </si>
  <si>
    <t>TXN-11079</t>
  </si>
  <si>
    <t>Hickman-NA</t>
  </si>
  <si>
    <t>TXN-10615</t>
  </si>
  <si>
    <t>Rodriguez-NA</t>
  </si>
  <si>
    <t>TXN-10478</t>
  </si>
  <si>
    <t>2025.04.12</t>
  </si>
  <si>
    <t>C-1101</t>
  </si>
  <si>
    <t>p-si-001</t>
  </si>
  <si>
    <t>106.54</t>
  </si>
  <si>
    <t>Saunders</t>
  </si>
  <si>
    <t>TXN-10870</t>
  </si>
  <si>
    <t>C-1081</t>
  </si>
  <si>
    <t>Lopez</t>
  </si>
  <si>
    <t>TXN-11174</t>
  </si>
  <si>
    <t>C-1065</t>
  </si>
  <si>
    <t>$4,100.00</t>
  </si>
  <si>
    <t>Sanders</t>
  </si>
  <si>
    <t>Multi-Year</t>
  </si>
  <si>
    <t>TXN-10211</t>
  </si>
  <si>
    <t>C-1181</t>
  </si>
  <si>
    <t>PETERSON-AP</t>
  </si>
  <si>
    <t>TXN-10024</t>
  </si>
  <si>
    <t>C-1089</t>
  </si>
  <si>
    <t>Hawkins-NA</t>
  </si>
  <si>
    <t>TXN-10044</t>
  </si>
  <si>
    <t>01/30/2025</t>
  </si>
  <si>
    <t>P-XX-999</t>
  </si>
  <si>
    <t>Collins</t>
  </si>
  <si>
    <t>TXN-10209</t>
  </si>
  <si>
    <t>27-04-2025</t>
  </si>
  <si>
    <t>$1,223.37</t>
  </si>
  <si>
    <t>TXN-11176</t>
  </si>
  <si>
    <t>2025.03.04</t>
  </si>
  <si>
    <t>$-7.57</t>
  </si>
  <si>
    <t>NAVARRO</t>
  </si>
  <si>
    <t>TXN-10290</t>
  </si>
  <si>
    <t>CUST-123</t>
  </si>
  <si>
    <t>$540.56</t>
  </si>
  <si>
    <t>Gilbert-AP</t>
  </si>
  <si>
    <t>TXN-10382</t>
  </si>
  <si>
    <t xml:space="preserve">  Field Services </t>
  </si>
  <si>
    <t>1,516.96</t>
  </si>
  <si>
    <t>Murphy-EM</t>
  </si>
  <si>
    <t>TXN-10287</t>
  </si>
  <si>
    <t>Guerra</t>
  </si>
  <si>
    <t>TXN-10079</t>
  </si>
  <si>
    <t>Mar 13, 2025</t>
  </si>
  <si>
    <t>C-1030</t>
  </si>
  <si>
    <t>HANSEN-EM</t>
  </si>
  <si>
    <t>TXN-10661</t>
  </si>
  <si>
    <t>2025.03.17</t>
  </si>
  <si>
    <t>C-1145</t>
  </si>
  <si>
    <t>$1,370.88</t>
  </si>
  <si>
    <t>Baker</t>
  </si>
  <si>
    <t>TXN-10715</t>
  </si>
  <si>
    <t>C-1033</t>
  </si>
  <si>
    <t>Mitchell-EM</t>
  </si>
  <si>
    <t>TXN-10833</t>
  </si>
  <si>
    <t>C-1109</t>
  </si>
  <si>
    <t>Graves-EM</t>
  </si>
  <si>
    <t>TXN-10544</t>
  </si>
  <si>
    <t>C-1017A</t>
  </si>
  <si>
    <t>Lin-EM</t>
  </si>
  <si>
    <t>TXN-10779</t>
  </si>
  <si>
    <t>Moore-AP</t>
  </si>
  <si>
    <t>TXN-11071</t>
  </si>
  <si>
    <t>18-06-2025</t>
  </si>
  <si>
    <t>C-1125</t>
  </si>
  <si>
    <t>Barrett-NA</t>
  </si>
  <si>
    <t>TXN-10851</t>
  </si>
  <si>
    <t>Brandt-AP</t>
  </si>
  <si>
    <t>TXN-11024</t>
  </si>
  <si>
    <t>Feb 23, 2025</t>
  </si>
  <si>
    <t>C-1004</t>
  </si>
  <si>
    <t>TXN-11104</t>
  </si>
  <si>
    <t>25-05-2025</t>
  </si>
  <si>
    <t>C-1037</t>
  </si>
  <si>
    <t>1,650.00</t>
  </si>
  <si>
    <t>TXN-10278</t>
  </si>
  <si>
    <t>C-1078</t>
  </si>
  <si>
    <t>WALKER</t>
  </si>
  <si>
    <t>TXN-10255</t>
  </si>
  <si>
    <t>C-1067</t>
  </si>
  <si>
    <t>SALAS</t>
  </si>
  <si>
    <t>TXN-11182</t>
  </si>
  <si>
    <t>May 21, 2025</t>
  </si>
  <si>
    <t>C-XXXX</t>
  </si>
  <si>
    <t>Hartman</t>
  </si>
  <si>
    <t>TXN-10412</t>
  </si>
  <si>
    <t>C-1024</t>
  </si>
  <si>
    <t>Cole</t>
  </si>
  <si>
    <t>TXN-10411</t>
  </si>
  <si>
    <t>C-1130</t>
  </si>
  <si>
    <t>Hernandez</t>
  </si>
  <si>
    <t>TXN-10543</t>
  </si>
  <si>
    <t>2025.06.29</t>
  </si>
  <si>
    <t>C-1102</t>
  </si>
  <si>
    <t>Dougherty-AP</t>
  </si>
  <si>
    <t>TXN-10244</t>
  </si>
  <si>
    <t>LEE</t>
  </si>
  <si>
    <t>TXN-10262</t>
  </si>
  <si>
    <t>Feb 13, 2025</t>
  </si>
  <si>
    <t>C-1029</t>
  </si>
  <si>
    <t>TXN-10033</t>
  </si>
  <si>
    <t>03/31/2025</t>
  </si>
  <si>
    <t>White</t>
  </si>
  <si>
    <t>TXN-10619</t>
  </si>
  <si>
    <t>C-1084</t>
  </si>
  <si>
    <t>Wiggins</t>
  </si>
  <si>
    <t>TXN-10400</t>
  </si>
  <si>
    <t>C-1184</t>
  </si>
  <si>
    <t>Moore</t>
  </si>
  <si>
    <t>TXN-11027</t>
  </si>
  <si>
    <t xml:space="preserve"> P-FS-002 </t>
  </si>
  <si>
    <t>Wolfe-NA</t>
  </si>
  <si>
    <t>TXN-10082</t>
  </si>
  <si>
    <t>C-1128</t>
  </si>
  <si>
    <t>TXN-11200</t>
  </si>
  <si>
    <t>C-1142</t>
  </si>
  <si>
    <t>Turner</t>
  </si>
  <si>
    <t>TXN-10248</t>
  </si>
  <si>
    <t>C-1110</t>
  </si>
  <si>
    <t>Hammond</t>
  </si>
  <si>
    <t>TXN-10919</t>
  </si>
  <si>
    <t>C-1041</t>
  </si>
  <si>
    <t>Medina-EM</t>
  </si>
  <si>
    <t>TXN-10349</t>
  </si>
  <si>
    <t>C-1163</t>
  </si>
  <si>
    <t>Harris</t>
  </si>
  <si>
    <t>TXN-10843</t>
  </si>
  <si>
    <t>C-1093</t>
  </si>
  <si>
    <t>182.17</t>
  </si>
  <si>
    <t>Daniel</t>
  </si>
  <si>
    <t>TXN-10523</t>
  </si>
  <si>
    <t>C-1126</t>
  </si>
  <si>
    <t xml:space="preserve">  partner portal </t>
  </si>
  <si>
    <t>Chavez-NA</t>
  </si>
  <si>
    <t>TXN-11025</t>
  </si>
  <si>
    <t>03/19/2025</t>
  </si>
  <si>
    <t>Mitchell</t>
  </si>
  <si>
    <t>TXN-10994</t>
  </si>
  <si>
    <t>Feb 14, 2025</t>
  </si>
  <si>
    <t>partner portal</t>
  </si>
  <si>
    <t>Oconnor-AP</t>
  </si>
  <si>
    <t>TXN-11189</t>
  </si>
  <si>
    <t>C-1121</t>
  </si>
  <si>
    <t>Johnson-AP</t>
  </si>
  <si>
    <t>TXN-10283</t>
  </si>
  <si>
    <t>$1,224.08</t>
  </si>
  <si>
    <t>Thomas-EM</t>
  </si>
  <si>
    <t>TXN-10821</t>
  </si>
  <si>
    <t>C-1009</t>
  </si>
  <si>
    <t>Anderson</t>
  </si>
  <si>
    <t>TXN-10866</t>
  </si>
  <si>
    <t>Gray-EM</t>
  </si>
  <si>
    <t>TXN-11144</t>
  </si>
  <si>
    <t>Jackson</t>
  </si>
  <si>
    <t>TXN-10809</t>
  </si>
  <si>
    <t>03/18/2025</t>
  </si>
  <si>
    <t>$160.93</t>
  </si>
  <si>
    <t>Leach-EM</t>
  </si>
  <si>
    <t>TXN-11058</t>
  </si>
  <si>
    <t>$7,840.00</t>
  </si>
  <si>
    <t>$833.52</t>
  </si>
  <si>
    <t>Madden-EM</t>
  </si>
  <si>
    <t>TXN-10452</t>
  </si>
  <si>
    <t xml:space="preserve"> P-SI-006 </t>
  </si>
  <si>
    <t>Galloway-EM</t>
  </si>
  <si>
    <t>TXN-11175</t>
  </si>
  <si>
    <t>C-1042</t>
  </si>
  <si>
    <t>3,152.64</t>
  </si>
  <si>
    <t>Flores-EM</t>
  </si>
  <si>
    <t>TXN-11272</t>
  </si>
  <si>
    <t>TXN-10635</t>
  </si>
  <si>
    <t>2025.06.14</t>
  </si>
  <si>
    <t>PROD-001</t>
  </si>
  <si>
    <t>Armstrong</t>
  </si>
  <si>
    <t>TXN-10375</t>
  </si>
  <si>
    <t>C-1020</t>
  </si>
  <si>
    <t>TXN-11266</t>
  </si>
  <si>
    <t>Arnold-AP</t>
  </si>
  <si>
    <t>TXN-10468</t>
  </si>
  <si>
    <t>C-1153</t>
  </si>
  <si>
    <t>$1,890.00</t>
  </si>
  <si>
    <t>$287.72</t>
  </si>
  <si>
    <t>Andrews-NA</t>
  </si>
  <si>
    <t>TXN-10568</t>
  </si>
  <si>
    <t>Smith</t>
  </si>
  <si>
    <t>TXN-10514</t>
  </si>
  <si>
    <t>C-1111</t>
  </si>
  <si>
    <t>Montgomery-NA</t>
  </si>
  <si>
    <t>TXN-10900</t>
  </si>
  <si>
    <t>C-1151</t>
  </si>
  <si>
    <t>Odom-EM</t>
  </si>
  <si>
    <t>TXN-10245</t>
  </si>
  <si>
    <t>C-1016</t>
  </si>
  <si>
    <t>Gregory-AP</t>
  </si>
  <si>
    <t>TXN-10059</t>
  </si>
  <si>
    <t>C-1174</t>
  </si>
  <si>
    <t>8,074.33</t>
  </si>
  <si>
    <t>TXN-10553</t>
  </si>
  <si>
    <t>20-01-2025</t>
  </si>
  <si>
    <t>Ferrell</t>
  </si>
  <si>
    <t>TXN-11044</t>
  </si>
  <si>
    <t>Clayton-EM</t>
  </si>
  <si>
    <t>TXN-10507</t>
  </si>
  <si>
    <t>C-1104</t>
  </si>
  <si>
    <t>1,216.47</t>
  </si>
  <si>
    <t>SHIELDS-EM</t>
  </si>
  <si>
    <t>TXN-10614</t>
  </si>
  <si>
    <t>Rivera</t>
  </si>
  <si>
    <t>TXN-10552</t>
  </si>
  <si>
    <t>2025.02.27</t>
  </si>
  <si>
    <t>C-1133</t>
  </si>
  <si>
    <t>TXN-10630</t>
  </si>
  <si>
    <t>03-03-2025</t>
  </si>
  <si>
    <t>C-1132</t>
  </si>
  <si>
    <t xml:space="preserve">  North America </t>
  </si>
  <si>
    <t>Griffith-AP</t>
  </si>
  <si>
    <t>TXN-10378</t>
  </si>
  <si>
    <t>C-1176</t>
  </si>
  <si>
    <t>Carney</t>
  </si>
  <si>
    <t>TXN-11159</t>
  </si>
  <si>
    <t>C-9999</t>
  </si>
  <si>
    <t>TXN-10366</t>
  </si>
  <si>
    <t xml:space="preserve"> P-SI-005 </t>
  </si>
  <si>
    <t>TXN-10865</t>
  </si>
  <si>
    <t>Coleman</t>
  </si>
  <si>
    <t>TXN-10087</t>
  </si>
  <si>
    <t>C-1091</t>
  </si>
  <si>
    <t>Edwards-NA</t>
  </si>
  <si>
    <t>TXN-10124</t>
  </si>
  <si>
    <t>150.61</t>
  </si>
  <si>
    <t>BURTON</t>
  </si>
  <si>
    <t>TXN-11092</t>
  </si>
  <si>
    <t>Reed-NA</t>
  </si>
  <si>
    <t>TXN-10317</t>
  </si>
  <si>
    <t>$311.79</t>
  </si>
  <si>
    <t>Mills</t>
  </si>
  <si>
    <t>TXN-10276</t>
  </si>
  <si>
    <t>C-1173</t>
  </si>
  <si>
    <t>Hughes</t>
  </si>
  <si>
    <t>TXN-10915</t>
  </si>
  <si>
    <t>Horton-AP</t>
  </si>
  <si>
    <t>TXN-10440</t>
  </si>
  <si>
    <t>C-1054</t>
  </si>
  <si>
    <t>79.06</t>
  </si>
  <si>
    <t>Downs</t>
  </si>
  <si>
    <t>TXN-10679</t>
  </si>
  <si>
    <t>Apr 09, 2025</t>
  </si>
  <si>
    <t>Huang-EM</t>
  </si>
  <si>
    <t>TXN-10129</t>
  </si>
  <si>
    <t>Macias</t>
  </si>
  <si>
    <t>TXN-11075</t>
  </si>
  <si>
    <t>Clark-EM</t>
  </si>
  <si>
    <t>TXN-11194</t>
  </si>
  <si>
    <t>p-fs-005</t>
  </si>
  <si>
    <t>Guerra-EM</t>
  </si>
  <si>
    <t>TXN-10483</t>
  </si>
  <si>
    <t>HOLMES</t>
  </si>
  <si>
    <t>TXN-10383</t>
  </si>
  <si>
    <t>Phillips-AP</t>
  </si>
  <si>
    <t>TXN-10221</t>
  </si>
  <si>
    <t>C-1075</t>
  </si>
  <si>
    <t>Rose-EM</t>
  </si>
  <si>
    <t>TXN-10417</t>
  </si>
  <si>
    <t>Richardson-EM</t>
  </si>
  <si>
    <t>TXN-10185</t>
  </si>
  <si>
    <t>Apr 14, 2025</t>
  </si>
  <si>
    <t>$2,304.71</t>
  </si>
  <si>
    <t>TXN-11035</t>
  </si>
  <si>
    <t>2025.04.02</t>
  </si>
  <si>
    <t>C-1136</t>
  </si>
  <si>
    <t>King</t>
  </si>
  <si>
    <t>TXN-11085</t>
  </si>
  <si>
    <t>Fernandez</t>
  </si>
  <si>
    <t>TXN-10766</t>
  </si>
  <si>
    <t>Boyle-NA</t>
  </si>
  <si>
    <t>TXN-10030</t>
  </si>
  <si>
    <t>4,850.00</t>
  </si>
  <si>
    <t>TXN-10755</t>
  </si>
  <si>
    <t>CRAIG-EM</t>
  </si>
  <si>
    <t>TXN-10559</t>
  </si>
  <si>
    <t>2025.02.09</t>
  </si>
  <si>
    <t>C-1083</t>
  </si>
  <si>
    <t>Bryant</t>
  </si>
  <si>
    <t>TXN-10032</t>
  </si>
  <si>
    <t>C-1007</t>
  </si>
  <si>
    <t>Bell</t>
  </si>
  <si>
    <t>TXN-10724</t>
  </si>
  <si>
    <t>C-1087</t>
  </si>
  <si>
    <t>Dorsey</t>
  </si>
  <si>
    <t>TXN-10372</t>
  </si>
  <si>
    <t>C-1060</t>
  </si>
  <si>
    <t>software &amp; analytics</t>
  </si>
  <si>
    <t>$8,400.00</t>
  </si>
  <si>
    <t>2,267.20</t>
  </si>
  <si>
    <t>Richardson</t>
  </si>
  <si>
    <t>TXN-10260</t>
  </si>
  <si>
    <t>Apr 16, 2025</t>
  </si>
  <si>
    <t>Dawson-EM</t>
  </si>
  <si>
    <t>TXN-10219</t>
  </si>
  <si>
    <t>C-1053</t>
  </si>
  <si>
    <t>Fernandez-NA</t>
  </si>
  <si>
    <t>TXN-10071</t>
  </si>
  <si>
    <t>Duran</t>
  </si>
  <si>
    <t>TXN-10436</t>
  </si>
  <si>
    <t>C-1088</t>
  </si>
  <si>
    <t>Reeves</t>
  </si>
  <si>
    <t>TXN-10706</t>
  </si>
  <si>
    <t>Taylor</t>
  </si>
  <si>
    <t>TXN-10760</t>
  </si>
  <si>
    <t>C-1067A</t>
  </si>
  <si>
    <t>p-si-004</t>
  </si>
  <si>
    <t>Patterson</t>
  </si>
  <si>
    <t>TXN-10292</t>
  </si>
  <si>
    <t xml:space="preserve"> P-FS-001 </t>
  </si>
  <si>
    <t>1,514.88</t>
  </si>
  <si>
    <t>Smith-AP</t>
  </si>
  <si>
    <t>TXN-10846</t>
  </si>
  <si>
    <t>Jun 27, 2025</t>
  </si>
  <si>
    <t>Vance-NA</t>
  </si>
  <si>
    <t>TXN-10589</t>
  </si>
  <si>
    <t>Grant</t>
  </si>
  <si>
    <t>TXN-10969</t>
  </si>
  <si>
    <t>Bowen-NA</t>
  </si>
  <si>
    <t>TXN-10701</t>
  </si>
  <si>
    <t>C-1086</t>
  </si>
  <si>
    <t>$2,494.11</t>
  </si>
  <si>
    <t>Hall</t>
  </si>
  <si>
    <t>TXN-10778</t>
  </si>
  <si>
    <t>Mar 14, 2025</t>
  </si>
  <si>
    <t>C-1156</t>
  </si>
  <si>
    <t>Marshall-NA</t>
  </si>
  <si>
    <t>TXN-10049</t>
  </si>
  <si>
    <t>C-1166</t>
  </si>
  <si>
    <t>MOORE</t>
  </si>
  <si>
    <t>TXN-10114</t>
  </si>
  <si>
    <t>Feb 02, 2025</t>
  </si>
  <si>
    <t>C-1011</t>
  </si>
  <si>
    <t>2,229.33</t>
  </si>
  <si>
    <t>Mullen-AP</t>
  </si>
  <si>
    <t>TXN-10156</t>
  </si>
  <si>
    <t>C-1064</t>
  </si>
  <si>
    <t>Armstrong-NA</t>
  </si>
  <si>
    <t>TXN-10772</t>
  </si>
  <si>
    <t>05/08/2025</t>
  </si>
  <si>
    <t>Aguilar</t>
  </si>
  <si>
    <t>TXN-10895</t>
  </si>
  <si>
    <t>C-1170</t>
  </si>
  <si>
    <t>Ray-EM</t>
  </si>
  <si>
    <t>TXN-11172</t>
  </si>
  <si>
    <t>C-1157</t>
  </si>
  <si>
    <t>TXN-10719</t>
  </si>
  <si>
    <t>C-1179A</t>
  </si>
  <si>
    <t xml:space="preserve">  distributor </t>
  </si>
  <si>
    <t>Pearson-EM</t>
  </si>
  <si>
    <t>TXN-11168</t>
  </si>
  <si>
    <t>Wheeler-NA</t>
  </si>
  <si>
    <t>TXN-10954</t>
  </si>
  <si>
    <t>02/04/2025</t>
  </si>
  <si>
    <t>TXN-11282</t>
  </si>
  <si>
    <t>TXN-11129</t>
  </si>
  <si>
    <t>03/17/2025</t>
  </si>
  <si>
    <t>382.08</t>
  </si>
  <si>
    <t>Garcia</t>
  </si>
  <si>
    <t>TXN-10199</t>
  </si>
  <si>
    <t>Murphy</t>
  </si>
  <si>
    <t>TXN-10421</t>
  </si>
  <si>
    <t>C-1085</t>
  </si>
  <si>
    <t>$1,850.00</t>
  </si>
  <si>
    <t>TXN-10623</t>
  </si>
  <si>
    <t>Rios-EM</t>
  </si>
  <si>
    <t>TXN-10849</t>
  </si>
  <si>
    <t>C-1049</t>
  </si>
  <si>
    <t>Bennett</t>
  </si>
  <si>
    <t>TXN-10108</t>
  </si>
  <si>
    <t>Jones</t>
  </si>
  <si>
    <t>TXN-11010</t>
  </si>
  <si>
    <t>2025.05.23</t>
  </si>
  <si>
    <t>TXN-10266</t>
  </si>
  <si>
    <t>Palmer-EM</t>
  </si>
  <si>
    <t>TXN-11036</t>
  </si>
  <si>
    <t>12/25/2024</t>
  </si>
  <si>
    <t>8,379.70</t>
  </si>
  <si>
    <t>Gomez</t>
  </si>
  <si>
    <t>TXN-11165</t>
  </si>
  <si>
    <t>C-1162</t>
  </si>
  <si>
    <t>Jordan</t>
  </si>
  <si>
    <t>TXN-10714</t>
  </si>
  <si>
    <t>3,360.00</t>
  </si>
  <si>
    <t>Avila-NA</t>
  </si>
  <si>
    <t>TXN-11244</t>
  </si>
  <si>
    <t>Knapp-EM</t>
  </si>
  <si>
    <t>TXN-11208</t>
  </si>
  <si>
    <t>Ferguson</t>
  </si>
  <si>
    <t>TXN-11197</t>
  </si>
  <si>
    <t>Pope-EM</t>
  </si>
  <si>
    <t>TXN-10618</t>
  </si>
  <si>
    <t>25-12-2024</t>
  </si>
  <si>
    <t>189.43</t>
  </si>
  <si>
    <t>Roach-AP</t>
  </si>
  <si>
    <t>TXN-10406</t>
  </si>
  <si>
    <t>Young-NA</t>
  </si>
  <si>
    <t>TXN-10309</t>
  </si>
  <si>
    <t xml:space="preserve">  EMEA </t>
  </si>
  <si>
    <t>927.97</t>
  </si>
  <si>
    <t>TXN-10462</t>
  </si>
  <si>
    <t>02/28/2025</t>
  </si>
  <si>
    <t>C-1131</t>
  </si>
  <si>
    <t>Jones-AP</t>
  </si>
  <si>
    <t>TXN-10431</t>
  </si>
  <si>
    <t>Lutz</t>
  </si>
  <si>
    <t>TXN-11290</t>
  </si>
  <si>
    <t>Thompson-NA</t>
  </si>
  <si>
    <t>TXN-10169</t>
  </si>
  <si>
    <t>C-1165</t>
  </si>
  <si>
    <t>p-si-002</t>
  </si>
  <si>
    <t>Ritter-EM</t>
  </si>
  <si>
    <t>TXN-10495</t>
  </si>
  <si>
    <t>Weber-AP</t>
  </si>
  <si>
    <t>TXN-11057</t>
  </si>
  <si>
    <t>$5,059.89</t>
  </si>
  <si>
    <t>Rivera-NA</t>
  </si>
  <si>
    <t>TXN-10487</t>
  </si>
  <si>
    <t xml:space="preserve"> P-SI-001 </t>
  </si>
  <si>
    <t>Perez-EM</t>
  </si>
  <si>
    <t>TXN-10472</t>
  </si>
  <si>
    <t>03/25/2025</t>
  </si>
  <si>
    <t>Owens</t>
  </si>
  <si>
    <t>TXN-11270</t>
  </si>
  <si>
    <t>Salinas</t>
  </si>
  <si>
    <t>TXN-10486</t>
  </si>
  <si>
    <t>Donovan</t>
  </si>
  <si>
    <t>TXN-10554</t>
  </si>
  <si>
    <t>Owens-EM</t>
  </si>
  <si>
    <t>TXN-10645</t>
  </si>
  <si>
    <t>355.52</t>
  </si>
  <si>
    <t>Charles-AP</t>
  </si>
  <si>
    <t>TXN-10175</t>
  </si>
  <si>
    <t>$1,375.45</t>
  </si>
  <si>
    <t>274.55</t>
  </si>
  <si>
    <t>Schroeder-NA</t>
  </si>
  <si>
    <t>TXN-10592</t>
  </si>
  <si>
    <t>Morrison</t>
  </si>
  <si>
    <t>TXN-10747</t>
  </si>
  <si>
    <t xml:space="preserve">  Latin America </t>
  </si>
  <si>
    <t>Lamb-EM</t>
  </si>
  <si>
    <t>TXN-11178</t>
  </si>
  <si>
    <t>Apr 11, 2025</t>
  </si>
  <si>
    <t>Faulkner</t>
  </si>
  <si>
    <t>TXN-10271</t>
  </si>
  <si>
    <t>Wilkerson-AP</t>
  </si>
  <si>
    <t>TXN-10055</t>
  </si>
  <si>
    <t>2025.01.11</t>
  </si>
  <si>
    <t>C-1017</t>
  </si>
  <si>
    <t>$2,111.14</t>
  </si>
  <si>
    <t>Lawson</t>
  </si>
  <si>
    <t>TXN-10222</t>
  </si>
  <si>
    <t>Stanley-NA</t>
  </si>
  <si>
    <t>TXN-10313</t>
  </si>
  <si>
    <t>05/18/2025</t>
  </si>
  <si>
    <t>C-1139</t>
  </si>
  <si>
    <t>$3,474.78</t>
  </si>
  <si>
    <t>TXN-10869</t>
  </si>
  <si>
    <t>TXN-10057</t>
  </si>
  <si>
    <t>Lewis</t>
  </si>
  <si>
    <t>TXN-10839</t>
  </si>
  <si>
    <t>MITCHELL-EM</t>
  </si>
  <si>
    <t>TXN-10716</t>
  </si>
  <si>
    <t>TXN-10164</t>
  </si>
  <si>
    <t>Haas-EM</t>
  </si>
  <si>
    <t>TXN-10110</t>
  </si>
  <si>
    <t>17-05-2025</t>
  </si>
  <si>
    <t>264.49</t>
  </si>
  <si>
    <t>Schmidt</t>
  </si>
  <si>
    <t>TXN-11213</t>
  </si>
  <si>
    <t>C-1013</t>
  </si>
  <si>
    <t>TXN-11157</t>
  </si>
  <si>
    <t>22-04-2025</t>
  </si>
  <si>
    <t>Ellis</t>
  </si>
  <si>
    <t>TXN-10677</t>
  </si>
  <si>
    <t>Berry-AP</t>
  </si>
  <si>
    <t>TXN-10528</t>
  </si>
  <si>
    <t>Peterson</t>
  </si>
  <si>
    <t>TXN-10343</t>
  </si>
  <si>
    <t>C-1071</t>
  </si>
  <si>
    <t>Mendoza</t>
  </si>
  <si>
    <t>TXN-11135</t>
  </si>
  <si>
    <t>3,340.71</t>
  </si>
  <si>
    <t>TXN-11114</t>
  </si>
  <si>
    <t>Adams-AP</t>
  </si>
  <si>
    <t>TXN-10504</t>
  </si>
  <si>
    <t>field services</t>
  </si>
  <si>
    <t>Morgan</t>
  </si>
  <si>
    <t>TXN-10652</t>
  </si>
  <si>
    <t>p-fs-002</t>
  </si>
  <si>
    <t>BENNETT-NA</t>
  </si>
  <si>
    <t>TXN-10414</t>
  </si>
  <si>
    <t>WALLACE</t>
  </si>
  <si>
    <t>TXN-11253</t>
  </si>
  <si>
    <t>C-1025</t>
  </si>
  <si>
    <t>latin america</t>
  </si>
  <si>
    <t>Davis</t>
  </si>
  <si>
    <t>TXN-10803</t>
  </si>
  <si>
    <t>27-03-2025</t>
  </si>
  <si>
    <t>C-1159</t>
  </si>
  <si>
    <t>Fox-EM</t>
  </si>
  <si>
    <t>TXN-11019</t>
  </si>
  <si>
    <t>TXN-10529</t>
  </si>
  <si>
    <t>TXN-10655</t>
  </si>
  <si>
    <t>TXN-10668</t>
  </si>
  <si>
    <t>2025.06.13</t>
  </si>
  <si>
    <t>Wise</t>
  </si>
  <si>
    <t>TXN-10997</t>
  </si>
  <si>
    <t>Payne</t>
  </si>
  <si>
    <t>TXN-10241</t>
  </si>
  <si>
    <t>C-1118</t>
  </si>
  <si>
    <t>Sheppard-AP</t>
  </si>
  <si>
    <t>TXN-10611</t>
  </si>
  <si>
    <t>08-05-2025</t>
  </si>
  <si>
    <t>C-1003</t>
  </si>
  <si>
    <t>$980.00</t>
  </si>
  <si>
    <t>Hart-EM</t>
  </si>
  <si>
    <t>TXN-11261</t>
  </si>
  <si>
    <t>Feb 06, 2025</t>
  </si>
  <si>
    <t>$485.00</t>
  </si>
  <si>
    <t>Rodriguez-EM</t>
  </si>
  <si>
    <t>TXN-11188</t>
  </si>
  <si>
    <t>TXN-10804</t>
  </si>
  <si>
    <t>C-1044</t>
  </si>
  <si>
    <t>Rice-EM</t>
  </si>
  <si>
    <t>TXN-10948</t>
  </si>
  <si>
    <t>TXN-10391</t>
  </si>
  <si>
    <t>Mendez-NA</t>
  </si>
  <si>
    <t>TXN-10622</t>
  </si>
  <si>
    <t>Baker-EM</t>
  </si>
  <si>
    <t>TXN-10240</t>
  </si>
  <si>
    <t xml:space="preserve">  sensors &amp; instruments </t>
  </si>
  <si>
    <t>407.84</t>
  </si>
  <si>
    <t>Allen-AP</t>
  </si>
  <si>
    <t>TXN-10882</t>
  </si>
  <si>
    <t>15-06-2025</t>
  </si>
  <si>
    <t>POWERS</t>
  </si>
  <si>
    <t>TXN-10598</t>
  </si>
  <si>
    <t>$2,404.70</t>
  </si>
  <si>
    <t>Stone-NA</t>
  </si>
  <si>
    <t>TXN-11259</t>
  </si>
  <si>
    <t>C-1182</t>
  </si>
  <si>
    <t>$3,781.44</t>
  </si>
  <si>
    <t>Johnson</t>
  </si>
  <si>
    <t>TXN-10171</t>
  </si>
  <si>
    <t>192.29</t>
  </si>
  <si>
    <t>Bishop-EM</t>
  </si>
  <si>
    <t>TXN-10340</t>
  </si>
  <si>
    <t>Greer-AP</t>
  </si>
  <si>
    <t>TXN-10480</t>
  </si>
  <si>
    <t>Shaw-EM</t>
  </si>
  <si>
    <t>TXN-10299</t>
  </si>
  <si>
    <t>2,679.24</t>
  </si>
  <si>
    <t>Young</t>
  </si>
  <si>
    <t>TXN-10210</t>
  </si>
  <si>
    <t>BEAN-EM</t>
  </si>
  <si>
    <t>TXN-10307</t>
  </si>
  <si>
    <t>Herrera</t>
  </si>
  <si>
    <t>TXN-10141</t>
  </si>
  <si>
    <t>Jones-NA</t>
  </si>
  <si>
    <t>TXN-10920</t>
  </si>
  <si>
    <t>TXN-10983</t>
  </si>
  <si>
    <t>TXN-10200</t>
  </si>
  <si>
    <t>685.08</t>
  </si>
  <si>
    <t>TXN-10304</t>
  </si>
  <si>
    <t>07-03-2025</t>
  </si>
  <si>
    <t>C-1068</t>
  </si>
  <si>
    <t>Brown-NA</t>
  </si>
  <si>
    <t>TXN-10482</t>
  </si>
  <si>
    <t xml:space="preserve">  direct </t>
  </si>
  <si>
    <t>TXN-10332</t>
  </si>
  <si>
    <t>2025.04.17</t>
  </si>
  <si>
    <t xml:space="preserve">  Software &amp; Analytics </t>
  </si>
  <si>
    <t>Sandoval-AP</t>
  </si>
  <si>
    <t>TXN-10011</t>
  </si>
  <si>
    <t>Moore-EM</t>
  </si>
  <si>
    <t>TXN-10148</t>
  </si>
  <si>
    <t>2025.05.31</t>
  </si>
  <si>
    <t>TXN-10423</t>
  </si>
  <si>
    <t>Holmes-AP</t>
  </si>
  <si>
    <t>TXN-10416</t>
  </si>
  <si>
    <t>Taylor-EM</t>
  </si>
  <si>
    <t>TXN-10947</t>
  </si>
  <si>
    <t>MEADOWS-EM</t>
  </si>
  <si>
    <t>TXN-10352</t>
  </si>
  <si>
    <t>$315.02</t>
  </si>
  <si>
    <t>Stewart</t>
  </si>
  <si>
    <t>TXN-10362</t>
  </si>
  <si>
    <t>Rios</t>
  </si>
  <si>
    <t>TXN-10813</t>
  </si>
  <si>
    <t>2025.05.02</t>
  </si>
  <si>
    <t>Bond</t>
  </si>
  <si>
    <t>TXN-10381</t>
  </si>
  <si>
    <t>TXN-10799</t>
  </si>
  <si>
    <t>Gill-EM</t>
  </si>
  <si>
    <t>TXN-10853</t>
  </si>
  <si>
    <t>03-05-2025</t>
  </si>
  <si>
    <t>TXN-10136</t>
  </si>
  <si>
    <t>Harrison-AP</t>
  </si>
  <si>
    <t>TXN-10732</t>
  </si>
  <si>
    <t>Curry</t>
  </si>
  <si>
    <t>TXN-10395</t>
  </si>
  <si>
    <t>01/25/2025</t>
  </si>
  <si>
    <t>Brown</t>
  </si>
  <si>
    <t>TXN-10925</t>
  </si>
  <si>
    <t>C-1134</t>
  </si>
  <si>
    <t>$362.34</t>
  </si>
  <si>
    <t>BROWN-EM</t>
  </si>
  <si>
    <t>TXN-10498</t>
  </si>
  <si>
    <t>05/01/2025</t>
  </si>
  <si>
    <t>860.00</t>
  </si>
  <si>
    <t>Davidson-NA</t>
  </si>
  <si>
    <t>TXN-10454</t>
  </si>
  <si>
    <t>247.05</t>
  </si>
  <si>
    <t>$827.95</t>
  </si>
  <si>
    <t>TXN-10159</t>
  </si>
  <si>
    <t>Mason-EM</t>
  </si>
  <si>
    <t>TXN-10586</t>
  </si>
  <si>
    <t>2025.02.26</t>
  </si>
  <si>
    <t>TXN-11152</t>
  </si>
  <si>
    <t>Ward</t>
  </si>
  <si>
    <t>TXN-10888</t>
  </si>
  <si>
    <t>May 07, 2025</t>
  </si>
  <si>
    <t>p-sa-002</t>
  </si>
  <si>
    <t>Webster</t>
  </si>
  <si>
    <t>TXN-10368</t>
  </si>
  <si>
    <t>Huber</t>
  </si>
  <si>
    <t>TXN-10829</t>
  </si>
  <si>
    <t>C-1073</t>
  </si>
  <si>
    <t>TXN-10890</t>
  </si>
  <si>
    <t>TXN-10297</t>
  </si>
  <si>
    <t>C-1106</t>
  </si>
  <si>
    <t>Henderson</t>
  </si>
  <si>
    <t>TXN-10097</t>
  </si>
  <si>
    <t>C-1047</t>
  </si>
  <si>
    <t>Norris-AP</t>
  </si>
  <si>
    <t>TXN-11242</t>
  </si>
  <si>
    <t>24-02-2025</t>
  </si>
  <si>
    <t>Webb</t>
  </si>
  <si>
    <t>TXN-10298</t>
  </si>
  <si>
    <t>C-1060A</t>
  </si>
  <si>
    <t>Parsons</t>
  </si>
  <si>
    <t>TXN-11070</t>
  </si>
  <si>
    <t>C-1025A</t>
  </si>
  <si>
    <t>Daniels-NA</t>
  </si>
  <si>
    <t>TXN-10433</t>
  </si>
  <si>
    <t>TXN-10157</t>
  </si>
  <si>
    <t>Lopez-NA</t>
  </si>
  <si>
    <t>TXN-11160</t>
  </si>
  <si>
    <t>Apr 03, 2025</t>
  </si>
  <si>
    <t>C-1052</t>
  </si>
  <si>
    <t>Foster</t>
  </si>
  <si>
    <t>TXN-10479</t>
  </si>
  <si>
    <t>ANDERSON</t>
  </si>
  <si>
    <t>TXN-10323</t>
  </si>
  <si>
    <t>29-04-2025</t>
  </si>
  <si>
    <t>TXN-10347</t>
  </si>
  <si>
    <t>C-1072A</t>
  </si>
  <si>
    <t>Acevedo</t>
  </si>
  <si>
    <t>TXN-10459</t>
  </si>
  <si>
    <t>2025.04.21</t>
  </si>
  <si>
    <t>p-si-006</t>
  </si>
  <si>
    <t>BIRD</t>
  </si>
  <si>
    <t>TXN-10537</t>
  </si>
  <si>
    <t>28-06-2025</t>
  </si>
  <si>
    <t>$7,963.77</t>
  </si>
  <si>
    <t>TXN-10430</t>
  </si>
  <si>
    <t>Jan 24, 2025</t>
  </si>
  <si>
    <t>C-1094</t>
  </si>
  <si>
    <t>Benson-AP</t>
  </si>
  <si>
    <t>TXN-11250</t>
  </si>
  <si>
    <t>C-1072</t>
  </si>
  <si>
    <t xml:space="preserve"> P-FS-006 </t>
  </si>
  <si>
    <t>Mueller</t>
  </si>
  <si>
    <t>TXN-10571</t>
  </si>
  <si>
    <t>C-1160</t>
  </si>
  <si>
    <t>TXN-10359</t>
  </si>
  <si>
    <t>02/03/2025</t>
  </si>
  <si>
    <t>MITCHELL</t>
  </si>
  <si>
    <t>TXN-10939</t>
  </si>
  <si>
    <t>Jun 24, 2025</t>
  </si>
  <si>
    <t>Jacobs</t>
  </si>
  <si>
    <t>TXN-10465</t>
  </si>
  <si>
    <t>$80.68</t>
  </si>
  <si>
    <t>Mendoza-NA</t>
  </si>
  <si>
    <t>TXN-11086</t>
  </si>
  <si>
    <t>Reyes</t>
  </si>
  <si>
    <t>TXN-10669</t>
  </si>
  <si>
    <t>C-1051</t>
  </si>
  <si>
    <t>Bush-AP</t>
  </si>
  <si>
    <t>TXN-11107</t>
  </si>
  <si>
    <t>Lopez-EM</t>
  </si>
  <si>
    <t>TXN-10788</t>
  </si>
  <si>
    <t>C-1001</t>
  </si>
  <si>
    <t>p-si-003</t>
  </si>
  <si>
    <t>Walker</t>
  </si>
  <si>
    <t>TXN-10985</t>
  </si>
  <si>
    <t>Sanchez-AP</t>
  </si>
  <si>
    <t>TXN-10179</t>
  </si>
  <si>
    <t>$481.32</t>
  </si>
  <si>
    <t>Cook-AP</t>
  </si>
  <si>
    <t>TXN-10288</t>
  </si>
  <si>
    <t>Blake-EM</t>
  </si>
  <si>
    <t>TXN-10494</t>
  </si>
  <si>
    <t>9,876.27</t>
  </si>
  <si>
    <t>Hill-EM</t>
  </si>
  <si>
    <t>TXN-11090</t>
  </si>
  <si>
    <t>2025.06.17</t>
  </si>
  <si>
    <t>Miller-AP</t>
  </si>
  <si>
    <t>TXN-10295</t>
  </si>
  <si>
    <t>Bentley-EM</t>
  </si>
  <si>
    <t>TXN-10728</t>
  </si>
  <si>
    <t>Johnson-EM</t>
  </si>
  <si>
    <t>TXN-10873</t>
  </si>
  <si>
    <t>TXN-10717</t>
  </si>
  <si>
    <t>C-1137</t>
  </si>
  <si>
    <t>TXN-10922</t>
  </si>
  <si>
    <t>Mathews-EM</t>
  </si>
  <si>
    <t>TXN-10089</t>
  </si>
  <si>
    <t>Sullivan</t>
  </si>
  <si>
    <t>TXN-10721</t>
  </si>
  <si>
    <t>Rodgers-EM</t>
  </si>
  <si>
    <t>TXN-10399</t>
  </si>
  <si>
    <t>Brady-NA</t>
  </si>
  <si>
    <t>TXN-10840</t>
  </si>
  <si>
    <t>TXN-10536</t>
  </si>
  <si>
    <t>3,349.68</t>
  </si>
  <si>
    <t>Robertson-AP</t>
  </si>
  <si>
    <t>TXN-10889</t>
  </si>
  <si>
    <t>2025.03.16</t>
  </si>
  <si>
    <t>C-1012</t>
  </si>
  <si>
    <t>TXN-10978</t>
  </si>
  <si>
    <t>C-1124</t>
  </si>
  <si>
    <t>Tran-AP</t>
  </si>
  <si>
    <t>TXN-10291</t>
  </si>
  <si>
    <t>Bullock-AP</t>
  </si>
  <si>
    <t>TXN-10286</t>
  </si>
  <si>
    <t>2025.05.08</t>
  </si>
  <si>
    <t>C-1122</t>
  </si>
  <si>
    <t>Kennedy</t>
  </si>
  <si>
    <t>TXN-10651</t>
  </si>
  <si>
    <t>C-1056</t>
  </si>
  <si>
    <t>Mendoza-AP</t>
  </si>
  <si>
    <t>TXN-11241</t>
  </si>
  <si>
    <t>TXN-10992</t>
  </si>
  <si>
    <t>12-03-2025</t>
  </si>
  <si>
    <t xml:space="preserve"> P-SA-001 </t>
  </si>
  <si>
    <t>Singh</t>
  </si>
  <si>
    <t>TXN-10267</t>
  </si>
  <si>
    <t>TXN-10328</t>
  </si>
  <si>
    <t>Burgess-NA</t>
  </si>
  <si>
    <t>TXN-10894</t>
  </si>
  <si>
    <t>Johnston-NA</t>
  </si>
  <si>
    <t>TXN-10060</t>
  </si>
  <si>
    <t>TXN-10434</t>
  </si>
  <si>
    <t>TXN-11237</t>
  </si>
  <si>
    <t>Ford-NA</t>
  </si>
  <si>
    <t>TXN-10859</t>
  </si>
  <si>
    <t>Irwin</t>
  </si>
  <si>
    <t>TXN-10977</t>
  </si>
  <si>
    <t>SMITH-NA</t>
  </si>
  <si>
    <t>TXN-10784</t>
  </si>
  <si>
    <t>Vaughn-AP</t>
  </si>
  <si>
    <t>TXN-11215</t>
  </si>
  <si>
    <t>Burnett</t>
  </si>
  <si>
    <t>TXN-10334</t>
  </si>
  <si>
    <t xml:space="preserve"> P-SI-007 </t>
  </si>
  <si>
    <t>Perkins</t>
  </si>
  <si>
    <t>TXN-10970</t>
  </si>
  <si>
    <t>Feb 28, 2025</t>
  </si>
  <si>
    <t>Gill</t>
  </si>
  <si>
    <t>TXN-10924</t>
  </si>
  <si>
    <t>Ford</t>
  </si>
  <si>
    <t>TXN-11073</t>
  </si>
  <si>
    <t>JEFFERSON-EM</t>
  </si>
  <si>
    <t>TXN-10671</t>
  </si>
  <si>
    <t xml:space="preserve"> P-SI-003 </t>
  </si>
  <si>
    <t>222.16</t>
  </si>
  <si>
    <t>Burns-EM</t>
  </si>
  <si>
    <t>TXN-10863</t>
  </si>
  <si>
    <t>C-1074</t>
  </si>
  <si>
    <t>FORD-AP</t>
  </si>
  <si>
    <t>TXN-11003</t>
  </si>
  <si>
    <t>7,585.05</t>
  </si>
  <si>
    <t>Combs</t>
  </si>
  <si>
    <t>TXN-11082</t>
  </si>
  <si>
    <t>Feb 08, 2025</t>
  </si>
  <si>
    <t>Knight</t>
  </si>
  <si>
    <t>TXN-11279</t>
  </si>
  <si>
    <t>May 06, 2025</t>
  </si>
  <si>
    <t>Smith-NA</t>
  </si>
  <si>
    <t>TXN-11000</t>
  </si>
  <si>
    <t>23-03-2025</t>
  </si>
  <si>
    <t>C-1018</t>
  </si>
  <si>
    <t>$734.57</t>
  </si>
  <si>
    <t>Mooney-AP</t>
  </si>
  <si>
    <t>TXN-10329</t>
  </si>
  <si>
    <t>Kelly-AP</t>
  </si>
  <si>
    <t>TXN-10443</t>
  </si>
  <si>
    <t>610.55</t>
  </si>
  <si>
    <t>1,716.75</t>
  </si>
  <si>
    <t>Pierce-NA</t>
  </si>
  <si>
    <t>TXN-10319</t>
  </si>
  <si>
    <t>Ashley</t>
  </si>
  <si>
    <t>TXN-11006</t>
  </si>
  <si>
    <t>2025.03.18</t>
  </si>
  <si>
    <t>p-sa-005</t>
  </si>
  <si>
    <t>$2,984.73</t>
  </si>
  <si>
    <t>Williams-AP</t>
  </si>
  <si>
    <t>TXN-10084</t>
  </si>
  <si>
    <t>C-1036</t>
  </si>
  <si>
    <t>Graham-NA</t>
  </si>
  <si>
    <t>TXN-10130</t>
  </si>
  <si>
    <t>Day-NA</t>
  </si>
  <si>
    <t>TXN-10942</t>
  </si>
  <si>
    <t>Ballard-NA</t>
  </si>
  <si>
    <t>TXN-11125</t>
  </si>
  <si>
    <t>TXN-10172</t>
  </si>
  <si>
    <t>Jun 16, 2025</t>
  </si>
  <si>
    <t>Cox-NA</t>
  </si>
  <si>
    <t>TXN-10561</t>
  </si>
  <si>
    <t>TXN-10261</t>
  </si>
  <si>
    <t>Black</t>
  </si>
  <si>
    <t>TXN-10953</t>
  </si>
  <si>
    <t>Burgess</t>
  </si>
  <si>
    <t>TXN-10650</t>
  </si>
  <si>
    <t>6,344.96</t>
  </si>
  <si>
    <t>BOLTON-NA</t>
  </si>
  <si>
    <t>TXN-11080</t>
  </si>
  <si>
    <t>Feb 15, 2025</t>
  </si>
  <si>
    <t>Evans</t>
  </si>
  <si>
    <t>TXN-10808</t>
  </si>
  <si>
    <t>Poole-AP</t>
  </si>
  <si>
    <t>TXN-10333</t>
  </si>
  <si>
    <t>01/26/2025</t>
  </si>
  <si>
    <t>40.61</t>
  </si>
  <si>
    <t>TXN-10356</t>
  </si>
  <si>
    <t>TXN-10139</t>
  </si>
  <si>
    <t>p-sa-003</t>
  </si>
  <si>
    <t>Vargas</t>
  </si>
  <si>
    <t>TXN-10293</t>
  </si>
  <si>
    <t>TXN-11067</t>
  </si>
  <si>
    <t>Feb 25, 2025</t>
  </si>
  <si>
    <t>Glass-EM</t>
  </si>
  <si>
    <t>TXN-10439</t>
  </si>
  <si>
    <t>4,900.00</t>
  </si>
  <si>
    <t>Ponce-AP</t>
  </si>
  <si>
    <t>TXN-10142</t>
  </si>
  <si>
    <t>C-1058</t>
  </si>
  <si>
    <t>TXN-10708</t>
  </si>
  <si>
    <t>$170.41</t>
  </si>
  <si>
    <t>Spence</t>
  </si>
  <si>
    <t>TXN-10945</t>
  </si>
  <si>
    <t>01/06/2025</t>
  </si>
  <si>
    <t>Robinson-NA</t>
  </si>
  <si>
    <t>TXN-10530</t>
  </si>
  <si>
    <t>Hensley-NA</t>
  </si>
  <si>
    <t>TXN-10140</t>
  </si>
  <si>
    <t>C-1114</t>
  </si>
  <si>
    <t>TXN-11004</t>
  </si>
  <si>
    <t>18-05-2025</t>
  </si>
  <si>
    <t>TXN-11007</t>
  </si>
  <si>
    <t>TXN-10225</t>
  </si>
  <si>
    <t>Mar 01, 2025</t>
  </si>
  <si>
    <t>1,450.00</t>
  </si>
  <si>
    <t>Harper-NA</t>
  </si>
  <si>
    <t>TXN-10463</t>
  </si>
  <si>
    <t>C-1178</t>
  </si>
  <si>
    <t>TXN-10275</t>
  </si>
  <si>
    <t>C-1014</t>
  </si>
  <si>
    <t>Brooks-NA</t>
  </si>
  <si>
    <t>TXN-10324</t>
  </si>
  <si>
    <t>C-1180A</t>
  </si>
  <si>
    <t>MARKS-NA</t>
  </si>
  <si>
    <t>TXN-10674</t>
  </si>
  <si>
    <t>Michael-AP</t>
  </si>
  <si>
    <t>TXN-10326</t>
  </si>
  <si>
    <t>Hughes-NA</t>
  </si>
  <si>
    <t>TXN-10562</t>
  </si>
  <si>
    <t>23-04-2025</t>
  </si>
  <si>
    <t>Williams</t>
  </si>
  <si>
    <t>TXN-11285</t>
  </si>
  <si>
    <t>2025.05.20</t>
  </si>
  <si>
    <t>$3,979.85</t>
  </si>
  <si>
    <t>3,979.85</t>
  </si>
  <si>
    <t>Arias</t>
  </si>
  <si>
    <t>TXN-11276</t>
  </si>
  <si>
    <t>C-1134A</t>
  </si>
  <si>
    <t>Ware-EM</t>
  </si>
  <si>
    <t>TXN-10515</t>
  </si>
  <si>
    <t>$3,967.24</t>
  </si>
  <si>
    <t>TXN-11218</t>
  </si>
  <si>
    <t>Rodriguez-AP</t>
  </si>
  <si>
    <t>TXN-10681</t>
  </si>
  <si>
    <t>C-1116</t>
  </si>
  <si>
    <t>Reed-AP</t>
  </si>
  <si>
    <t>TXN-11095</t>
  </si>
  <si>
    <t>$2,709.62</t>
  </si>
  <si>
    <t>TXN-10737</t>
  </si>
  <si>
    <t>Morrison-EM</t>
  </si>
  <si>
    <t>TXN-11166</t>
  </si>
  <si>
    <t>Colon</t>
  </si>
  <si>
    <t>TXN-10901</t>
  </si>
  <si>
    <t>$1,593.15</t>
  </si>
  <si>
    <t>Boyd</t>
  </si>
  <si>
    <t>TXN-10448</t>
  </si>
  <si>
    <t xml:space="preserve">  Partner Portal </t>
  </si>
  <si>
    <t>TXN-10591</t>
  </si>
  <si>
    <t>609.23</t>
  </si>
  <si>
    <t>Thomas</t>
  </si>
  <si>
    <t>TXN-10913</t>
  </si>
  <si>
    <t>James-AP</t>
  </si>
  <si>
    <t>TXN-10567</t>
  </si>
  <si>
    <t>Apr 25, 2025</t>
  </si>
  <si>
    <t>TXN-10856</t>
  </si>
  <si>
    <t>2025.02.01</t>
  </si>
  <si>
    <t>Haney-EM</t>
  </si>
  <si>
    <t>TXN-10580</t>
  </si>
  <si>
    <t>May 22, 2025</t>
  </si>
  <si>
    <t>TXN-10707</t>
  </si>
  <si>
    <t>OCONNELL</t>
  </si>
  <si>
    <t>TXN-10322</t>
  </si>
  <si>
    <t>Romero-AP</t>
  </si>
  <si>
    <t>TXN-10876</t>
  </si>
  <si>
    <t>2025.01.02</t>
  </si>
  <si>
    <t>Mayer-EM</t>
  </si>
  <si>
    <t>TXN-10963</t>
  </si>
  <si>
    <t>Wong-EM</t>
  </si>
  <si>
    <t>TXN-11205</t>
  </si>
  <si>
    <t>13-04-2025</t>
  </si>
  <si>
    <t>TXN-11009</t>
  </si>
  <si>
    <t>16-04-2025</t>
  </si>
  <si>
    <t>$2,750.00</t>
  </si>
  <si>
    <t>Mccoy-NA</t>
  </si>
  <si>
    <t>TXN-10573</t>
  </si>
  <si>
    <t>Powell-NA</t>
  </si>
  <si>
    <t>TXN-10040</t>
  </si>
  <si>
    <t>30-01-2025</t>
  </si>
  <si>
    <t>$471.24</t>
  </si>
  <si>
    <t>Moreno</t>
  </si>
  <si>
    <t>TXN-10031</t>
  </si>
  <si>
    <t>$3,369.81</t>
  </si>
  <si>
    <t>TXN-10243</t>
  </si>
  <si>
    <t>Mckee-EM</t>
  </si>
  <si>
    <t>TXN-10938</t>
  </si>
  <si>
    <t>$3,920.00</t>
  </si>
  <si>
    <t>$894.28</t>
  </si>
  <si>
    <t>TXN-10912</t>
  </si>
  <si>
    <t>13,268.60</t>
  </si>
  <si>
    <t>TXN-10137</t>
  </si>
  <si>
    <t>C-1032</t>
  </si>
  <si>
    <t>WELCH</t>
  </si>
  <si>
    <t>TXN-10311</t>
  </si>
  <si>
    <t>$1,450.00</t>
  </si>
  <si>
    <t>Carter-NA</t>
  </si>
  <si>
    <t>TXN-11094</t>
  </si>
  <si>
    <t>TXN-11146</t>
  </si>
  <si>
    <t>Adams-NA</t>
  </si>
  <si>
    <t>TXN-10426</t>
  </si>
  <si>
    <t>Hampton-AP</t>
  </si>
  <si>
    <t>TXN-11158</t>
  </si>
  <si>
    <t>175.52</t>
  </si>
  <si>
    <t>TXN-11283</t>
  </si>
  <si>
    <t>TXN-10744</t>
  </si>
  <si>
    <t>TXN-10004</t>
  </si>
  <si>
    <t>C-1168</t>
  </si>
  <si>
    <t>TXN-10112</t>
  </si>
  <si>
    <t>PARSONS-EM</t>
  </si>
  <si>
    <t>TXN-11236</t>
  </si>
  <si>
    <t>2025.02.17</t>
  </si>
  <si>
    <t>p-fs-006</t>
  </si>
  <si>
    <t>Brooks-AP</t>
  </si>
  <si>
    <t>TXN-11289</t>
  </si>
  <si>
    <t>TXN-10819</t>
  </si>
  <si>
    <t>Griffin</t>
  </si>
  <si>
    <t>TXN-10984</t>
  </si>
  <si>
    <t>1,432.56</t>
  </si>
  <si>
    <t>Hudson</t>
  </si>
  <si>
    <t>TXN-10891</t>
  </si>
  <si>
    <t>2025.05.26</t>
  </si>
  <si>
    <t>HOLDER</t>
  </si>
  <si>
    <t>TXN-10377</t>
  </si>
  <si>
    <t>TXN-10582</t>
  </si>
  <si>
    <t>Bryan</t>
  </si>
  <si>
    <t>TXN-11141</t>
  </si>
  <si>
    <t>Sanchez-EM</t>
  </si>
  <si>
    <t>TXN-10315</t>
  </si>
  <si>
    <t>2025.06.22</t>
  </si>
  <si>
    <t>$2,499.03</t>
  </si>
  <si>
    <t>TXN-11062</t>
  </si>
  <si>
    <t>13-01-2025</t>
  </si>
  <si>
    <t>TXN-10320</t>
  </si>
  <si>
    <t>Stephens-EM</t>
  </si>
  <si>
    <t>TXN-10625</t>
  </si>
  <si>
    <t>p-si-007</t>
  </si>
  <si>
    <t>980.00</t>
  </si>
  <si>
    <t>87.67</t>
  </si>
  <si>
    <t>Lane</t>
  </si>
  <si>
    <t>TXN-11256</t>
  </si>
  <si>
    <t>TXN-10006</t>
  </si>
  <si>
    <t>C-1172</t>
  </si>
  <si>
    <t>TXN-10101</t>
  </si>
  <si>
    <t>Graham-AP</t>
  </si>
  <si>
    <t>TXN-10425</t>
  </si>
  <si>
    <t>31-03-2025</t>
  </si>
  <si>
    <t xml:space="preserve"> p-si-005 </t>
  </si>
  <si>
    <t>Wilson</t>
  </si>
  <si>
    <t>TXN-11106</t>
  </si>
  <si>
    <t>TXN-11292</t>
  </si>
  <si>
    <t>TXN-11091</t>
  </si>
  <si>
    <t>Mcgee</t>
  </si>
  <si>
    <t>TXN-11084</t>
  </si>
  <si>
    <t>Rhodes</t>
  </si>
  <si>
    <t>TXN-10424</t>
  </si>
  <si>
    <t>21-03-2025</t>
  </si>
  <si>
    <t>Mcintyre</t>
  </si>
  <si>
    <t>TXN-11001</t>
  </si>
  <si>
    <t>Bernard-NA</t>
  </si>
  <si>
    <t>TXN-10899</t>
  </si>
  <si>
    <t>C-1181A</t>
  </si>
  <si>
    <t>Walter</t>
  </si>
  <si>
    <t>TXN-10599</t>
  </si>
  <si>
    <t>2025.06.07</t>
  </si>
  <si>
    <t>P-FS-000</t>
  </si>
  <si>
    <t>TXN-10782</t>
  </si>
  <si>
    <t>Barron</t>
  </si>
  <si>
    <t>TXN-10228</t>
  </si>
  <si>
    <t xml:space="preserve">  software &amp; analytics </t>
  </si>
  <si>
    <t>Schwartz-NA</t>
  </si>
  <si>
    <t>TXN-10600</t>
  </si>
  <si>
    <t>BARRY</t>
  </si>
  <si>
    <t>TXN-10629</t>
  </si>
  <si>
    <t>Warren</t>
  </si>
  <si>
    <t>TXN-10763</t>
  </si>
  <si>
    <t>TXN-10713</t>
  </si>
  <si>
    <t>TXN-10067</t>
  </si>
  <si>
    <t>C-1066</t>
  </si>
  <si>
    <t>106.05</t>
  </si>
  <si>
    <t>Brown-EM</t>
  </si>
  <si>
    <t>TXN-11055</t>
  </si>
  <si>
    <t>2,050.91</t>
  </si>
  <si>
    <t>Bruce</t>
  </si>
  <si>
    <t>TXN-10068</t>
  </si>
  <si>
    <t>$3,712.82</t>
  </si>
  <si>
    <t>HARRIS-NA</t>
  </si>
  <si>
    <t>TXN-10535</t>
  </si>
  <si>
    <t>Hodges</t>
  </si>
  <si>
    <t>TXN-10212</t>
  </si>
  <si>
    <t>Miranda</t>
  </si>
  <si>
    <t>TXN-10013</t>
  </si>
  <si>
    <t>Feb 26, 2025</t>
  </si>
  <si>
    <t>C-8888</t>
  </si>
  <si>
    <t>Boone</t>
  </si>
  <si>
    <t>TXN-10875</t>
  </si>
  <si>
    <t>C-1103</t>
  </si>
  <si>
    <t>Mendez</t>
  </si>
  <si>
    <t>TXN-10771</t>
  </si>
  <si>
    <t>TXN-10300</t>
  </si>
  <si>
    <t>C-1135</t>
  </si>
  <si>
    <t>TXN-10595</t>
  </si>
  <si>
    <t>Jan 10, 2025</t>
  </si>
  <si>
    <t>$243.52</t>
  </si>
  <si>
    <t>$1,206.48</t>
  </si>
  <si>
    <t>TXN-10907</t>
  </si>
  <si>
    <t>2025.01.25</t>
  </si>
  <si>
    <t>Thompson</t>
  </si>
  <si>
    <t>TXN-11177</t>
  </si>
  <si>
    <t>Chen</t>
  </si>
  <si>
    <t>TXN-10797</t>
  </si>
  <si>
    <t>Pham</t>
  </si>
  <si>
    <t>TXN-10860</t>
  </si>
  <si>
    <t>9,800.00</t>
  </si>
  <si>
    <t>Davenport</t>
  </si>
  <si>
    <t>TXN-10712</t>
  </si>
  <si>
    <t>Feb 03, 2025</t>
  </si>
  <si>
    <t>Alvarez-EM</t>
  </si>
  <si>
    <t>TXN-11243</t>
  </si>
  <si>
    <t>13-03-2025</t>
  </si>
  <si>
    <t>TXN-10827</t>
  </si>
  <si>
    <t>$3,158.80</t>
  </si>
  <si>
    <t>TXN-10632</t>
  </si>
  <si>
    <t>TXN-11112</t>
  </si>
  <si>
    <t>C-1069</t>
  </si>
  <si>
    <t>WRIGHT-NA</t>
  </si>
  <si>
    <t>TXN-10814</t>
  </si>
  <si>
    <t>Ramos</t>
  </si>
  <si>
    <t>TXN-11224</t>
  </si>
  <si>
    <t>Newman-AP</t>
  </si>
  <si>
    <t>TXN-10491</t>
  </si>
  <si>
    <t>Miller-EM</t>
  </si>
  <si>
    <t>TXN-10678</t>
  </si>
  <si>
    <t>$1,158.95</t>
  </si>
  <si>
    <t>Daniels</t>
  </si>
  <si>
    <t>TXN-11134</t>
  </si>
  <si>
    <t>Shields</t>
  </si>
  <si>
    <t>TXN-10274</t>
  </si>
  <si>
    <t>2025.03.30</t>
  </si>
  <si>
    <t>$3,592.68</t>
  </si>
  <si>
    <t>TXN-11222</t>
  </si>
  <si>
    <t>05/04/2025</t>
  </si>
  <si>
    <t>C-1022</t>
  </si>
  <si>
    <t>Salazar</t>
  </si>
  <si>
    <t>TXN-10363</t>
  </si>
  <si>
    <t>Nelson-AP</t>
  </si>
  <si>
    <t>TXN-10238</t>
  </si>
  <si>
    <t>Bowers-NA</t>
  </si>
  <si>
    <t>TXN-11201</t>
  </si>
  <si>
    <t>$2,263.00</t>
  </si>
  <si>
    <t>King-AP</t>
  </si>
  <si>
    <t>TXN-10549</t>
  </si>
  <si>
    <t>C-1023</t>
  </si>
  <si>
    <t>$2,816.24</t>
  </si>
  <si>
    <t>Peck</t>
  </si>
  <si>
    <t>TXN-10003</t>
  </si>
  <si>
    <t>May 19, 2025</t>
  </si>
  <si>
    <t>Pugh-NA</t>
  </si>
  <si>
    <t>TXN-10007</t>
  </si>
  <si>
    <t>$980.55</t>
  </si>
  <si>
    <t>$697.25</t>
  </si>
  <si>
    <t>Roberts-EM</t>
  </si>
  <si>
    <t>TXN-10371</t>
  </si>
  <si>
    <t>Holt-NA</t>
  </si>
  <si>
    <t>TXN-10312</t>
  </si>
  <si>
    <t>01/04/2025</t>
  </si>
  <si>
    <t xml:space="preserve"> P-SI-008 </t>
  </si>
  <si>
    <t>SMITH</t>
  </si>
  <si>
    <t>TXN-11126</t>
  </si>
  <si>
    <t>24-06-2025</t>
  </si>
  <si>
    <t>Jordan-EM</t>
  </si>
  <si>
    <t>TXN-11192</t>
  </si>
  <si>
    <t>Clark-NA</t>
  </si>
  <si>
    <t>TXN-10639</t>
  </si>
  <si>
    <t>C-1050</t>
  </si>
  <si>
    <t>Barnes</t>
  </si>
  <si>
    <t>TXN-10794</t>
  </si>
  <si>
    <t>Miles</t>
  </si>
  <si>
    <t>TXN-10534</t>
  </si>
  <si>
    <t>$1,338.36</t>
  </si>
  <si>
    <t>Ross-EM</t>
  </si>
  <si>
    <t>TXN-10216</t>
  </si>
  <si>
    <t>TXN-10527</t>
  </si>
  <si>
    <t>Marshall</t>
  </si>
  <si>
    <t>TXN-10662</t>
  </si>
  <si>
    <t>Washington-EM</t>
  </si>
  <si>
    <t>TXN-10028</t>
  </si>
  <si>
    <t>Johnson-NA</t>
  </si>
  <si>
    <t>TXN-10896</t>
  </si>
  <si>
    <t>805.39</t>
  </si>
  <si>
    <t>Barton</t>
  </si>
  <si>
    <t>TXN-11263</t>
  </si>
  <si>
    <t>$772.84</t>
  </si>
  <si>
    <t>772.84</t>
  </si>
  <si>
    <t>SPEARS</t>
  </si>
  <si>
    <t>TXN-11016</t>
  </si>
  <si>
    <t>184.94</t>
  </si>
  <si>
    <t>Peck-AP</t>
  </si>
  <si>
    <t>TXN-10858</t>
  </si>
  <si>
    <t>Anderson-NA</t>
  </si>
  <si>
    <t>TXN-10937</t>
  </si>
  <si>
    <t>1,682.95</t>
  </si>
  <si>
    <t>TXN-10584</t>
  </si>
  <si>
    <t>$2,437.98</t>
  </si>
  <si>
    <t>TXN-10583</t>
  </si>
  <si>
    <t>Hanson</t>
  </si>
  <si>
    <t>TXN-10880</t>
  </si>
  <si>
    <t>Wheeler</t>
  </si>
  <si>
    <t>TXN-10934</t>
  </si>
  <si>
    <t>Watson-EM</t>
  </si>
  <si>
    <t>TXN-10355</t>
  </si>
  <si>
    <t>Ochoa</t>
  </si>
  <si>
    <t>TXN-11148</t>
  </si>
  <si>
    <t>Jackson-NA</t>
  </si>
  <si>
    <t>TXN-10807</t>
  </si>
  <si>
    <t xml:space="preserve">  apac </t>
  </si>
  <si>
    <t>TXN-10257</t>
  </si>
  <si>
    <t>04/02/2025</t>
  </si>
  <si>
    <t>$15,422.12</t>
  </si>
  <si>
    <t>Castillo</t>
  </si>
  <si>
    <t>TXN-10026</t>
  </si>
  <si>
    <t>TXN-10337</t>
  </si>
  <si>
    <t>TXN-10048</t>
  </si>
  <si>
    <t>Ware-AP</t>
  </si>
  <si>
    <t>TXN-10107</t>
  </si>
  <si>
    <t>2025.01.26</t>
  </si>
  <si>
    <t>704.35</t>
  </si>
  <si>
    <t>Maxwell</t>
  </si>
  <si>
    <t>TXN-11193</t>
  </si>
  <si>
    <t>Salinas-NA</t>
  </si>
  <si>
    <t>TXN-10056</t>
  </si>
  <si>
    <t>PERRY-NA</t>
  </si>
  <si>
    <t>TXN-10627</t>
  </si>
  <si>
    <t>TXN-10214</t>
  </si>
  <si>
    <t>29-03-2025</t>
  </si>
  <si>
    <t>970.00</t>
  </si>
  <si>
    <t>Cooke-EM</t>
  </si>
  <si>
    <t>TXN-10121</t>
  </si>
  <si>
    <t>Malone-NA</t>
  </si>
  <si>
    <t>TXN-10673</t>
  </si>
  <si>
    <t>Castro</t>
  </si>
  <si>
    <t>TXN-11248</t>
  </si>
  <si>
    <t>04/28/2025</t>
  </si>
  <si>
    <t>Bailey-AP</t>
  </si>
  <si>
    <t>TXN-10073</t>
  </si>
  <si>
    <t>Wilson-NA</t>
  </si>
  <si>
    <t>TXN-10606</t>
  </si>
  <si>
    <t>Kirby</t>
  </si>
  <si>
    <t>TXN-10046</t>
  </si>
  <si>
    <t>C-1090</t>
  </si>
  <si>
    <t>Pugh</t>
  </si>
  <si>
    <t>TXN-10943</t>
  </si>
  <si>
    <t>$2,387.10</t>
  </si>
  <si>
    <t>Matthews-EM</t>
  </si>
  <si>
    <t>TXN-10524</t>
  </si>
  <si>
    <t>21,000.00</t>
  </si>
  <si>
    <t>BARKER</t>
  </si>
  <si>
    <t>TXN-11032</t>
  </si>
  <si>
    <t>857.82</t>
  </si>
  <si>
    <t>TXN-10667</t>
  </si>
  <si>
    <t>Hendrix</t>
  </si>
  <si>
    <t>TXN-10616</t>
  </si>
  <si>
    <t>$2,226.73</t>
  </si>
  <si>
    <t>Butler-EM</t>
  </si>
  <si>
    <t>TXN-10466</t>
  </si>
  <si>
    <t>05-01-2025</t>
  </si>
  <si>
    <t>Jenkins-NA</t>
  </si>
  <si>
    <t>TXN-11121</t>
  </si>
  <si>
    <t>Hahn</t>
  </si>
  <si>
    <t>TXN-10603</t>
  </si>
  <si>
    <t>Jun 05, 2025</t>
  </si>
  <si>
    <t>TXN-10061</t>
  </si>
  <si>
    <t>C-1179</t>
  </si>
  <si>
    <t>Gregory</t>
  </si>
  <si>
    <t>TXN-10093</t>
  </si>
  <si>
    <t>C-1138</t>
  </si>
  <si>
    <t>Burch-NA</t>
  </si>
  <si>
    <t>TXN-10989</t>
  </si>
  <si>
    <t>Hines-AP</t>
  </si>
  <si>
    <t>TXN-10195</t>
  </si>
  <si>
    <t>4,647.04</t>
  </si>
  <si>
    <t>Fletcher-NA</t>
  </si>
  <si>
    <t>TXN-10281</t>
  </si>
  <si>
    <t>Espinoza-AP</t>
  </si>
  <si>
    <t>TXN-10360</t>
  </si>
  <si>
    <t>Atkins</t>
  </si>
  <si>
    <t>TXN-10520</t>
  </si>
  <si>
    <t>3,357.16</t>
  </si>
  <si>
    <t>TXN-10631</t>
  </si>
  <si>
    <t>C-1185A</t>
  </si>
  <si>
    <t>TXN-10597</t>
  </si>
  <si>
    <t>05-02-2025</t>
  </si>
  <si>
    <t>C-1141</t>
  </si>
  <si>
    <t>Brock-AP</t>
  </si>
  <si>
    <t>TXN-10183</t>
  </si>
  <si>
    <t xml:space="preserve">  north america </t>
  </si>
  <si>
    <t>TXN-10111</t>
  </si>
  <si>
    <t>$278.45</t>
  </si>
  <si>
    <t>Lee</t>
  </si>
  <si>
    <t>TXN-10848</t>
  </si>
  <si>
    <t>Stark-EM</t>
  </si>
  <si>
    <t>TXN-10711</t>
  </si>
  <si>
    <t>Gilmore-EM</t>
  </si>
  <si>
    <t>TXN-10205</t>
  </si>
  <si>
    <t>$192.63</t>
  </si>
  <si>
    <t>757.37</t>
  </si>
  <si>
    <t>Davis-AP</t>
  </si>
  <si>
    <t>TXN-10637</t>
  </si>
  <si>
    <t>TXN-10971</t>
  </si>
  <si>
    <t>09-02-2025</t>
  </si>
  <si>
    <t>C-1150</t>
  </si>
  <si>
    <t>Flores</t>
  </si>
  <si>
    <t>TXN-10546</t>
  </si>
  <si>
    <t>Estes-NA</t>
  </si>
  <si>
    <t>TXN-10965</t>
  </si>
  <si>
    <t>27-02-2025</t>
  </si>
  <si>
    <t>TXN-10694</t>
  </si>
  <si>
    <t>NELSON-AP</t>
  </si>
  <si>
    <t>TXN-10917</t>
  </si>
  <si>
    <t>2025.06.20</t>
  </si>
  <si>
    <t>2,319.12</t>
  </si>
  <si>
    <t>TXN-10585</t>
  </si>
  <si>
    <t>TXN-10184</t>
  </si>
  <si>
    <t>1,262.70</t>
  </si>
  <si>
    <t>York</t>
  </si>
  <si>
    <t>TXN-10138</t>
  </si>
  <si>
    <t xml:space="preserve"> P-SA-005 </t>
  </si>
  <si>
    <t>TXN-10756</t>
  </si>
  <si>
    <t>TXN-10081</t>
  </si>
  <si>
    <t>C-1098A</t>
  </si>
  <si>
    <t>Gomez-EM</t>
  </si>
  <si>
    <t>TXN-11226</t>
  </si>
  <si>
    <t>Rasmussen</t>
  </si>
  <si>
    <t>TXN-11151</t>
  </si>
  <si>
    <t>May 27, 2025</t>
  </si>
  <si>
    <t>C-1031</t>
  </si>
  <si>
    <t>4,200.00</t>
  </si>
  <si>
    <t>TXN-10542</t>
  </si>
  <si>
    <t>TXN-10574</t>
  </si>
  <si>
    <t>TXN-10481</t>
  </si>
  <si>
    <t>Oneill</t>
  </si>
  <si>
    <t>TXN-10166</t>
  </si>
  <si>
    <t>Lucas</t>
  </si>
  <si>
    <t>TXN-10249</t>
  </si>
  <si>
    <t>Strickland-AP</t>
  </si>
  <si>
    <t>TXN-10308</t>
  </si>
  <si>
    <t>TXN-10916</t>
  </si>
  <si>
    <t>Russell</t>
  </si>
  <si>
    <t>TXN-10579</t>
  </si>
  <si>
    <t>C-1028</t>
  </si>
  <si>
    <t>191.40</t>
  </si>
  <si>
    <t>TXN-10335</t>
  </si>
  <si>
    <t>Sherman-AP</t>
  </si>
  <si>
    <t>TXN-10098</t>
  </si>
  <si>
    <t>Cox</t>
  </si>
  <si>
    <t>TXN-10590</t>
  </si>
  <si>
    <t>437.90</t>
  </si>
  <si>
    <t>Diaz-NA</t>
  </si>
  <si>
    <t>TXN-10753</t>
  </si>
  <si>
    <t>$8,699.90</t>
  </si>
  <si>
    <t>Rogers-NA</t>
  </si>
  <si>
    <t>TXN-10967</t>
  </si>
  <si>
    <t>C-1096A</t>
  </si>
  <si>
    <t>Owens-AP</t>
  </si>
  <si>
    <t>TXN-10935</t>
  </si>
  <si>
    <t>Nichols</t>
  </si>
  <si>
    <t>TXN-10824</t>
  </si>
  <si>
    <t>Hansen-NA</t>
  </si>
  <si>
    <t>TXN-11171</t>
  </si>
  <si>
    <t>Dominguez-EM</t>
  </si>
  <si>
    <t>TXN-10680</t>
  </si>
  <si>
    <t>2025.01.09</t>
  </si>
  <si>
    <t>Foster-EM</t>
  </si>
  <si>
    <t>TXN-11186</t>
  </si>
  <si>
    <t>Osborn-NA</t>
  </si>
  <si>
    <t>TXN-10303</t>
  </si>
  <si>
    <t>DEAN</t>
  </si>
  <si>
    <t>TXN-11076</t>
  </si>
  <si>
    <t>TXN-10389</t>
  </si>
  <si>
    <t>Acosta-AP</t>
  </si>
  <si>
    <t>TXN-10236</t>
  </si>
  <si>
    <t>$673.04</t>
  </si>
  <si>
    <t>Bishop-NA</t>
  </si>
  <si>
    <t>TXN-10975</t>
  </si>
  <si>
    <t>TXN-10991</t>
  </si>
  <si>
    <t>Cummings</t>
  </si>
  <si>
    <t>TXN-10306</t>
  </si>
  <si>
    <t>03/28/2025</t>
  </si>
  <si>
    <t>Porter-NA</t>
  </si>
  <si>
    <t>TXN-10926</t>
  </si>
  <si>
    <t>06-04-2025</t>
  </si>
  <si>
    <t>Gutierrez-NA</t>
  </si>
  <si>
    <t>TXN-11064</t>
  </si>
  <si>
    <t>C-1140</t>
  </si>
  <si>
    <t xml:space="preserve"> P-SA-004 </t>
  </si>
  <si>
    <t>Schwartz</t>
  </si>
  <si>
    <t>TXN-10250</t>
  </si>
  <si>
    <t>$1,704.64</t>
  </si>
  <si>
    <t>TXN-10910</t>
  </si>
  <si>
    <t>TXN-10893</t>
  </si>
  <si>
    <t>Hendricks-EM</t>
  </si>
  <si>
    <t>TXN-10072</t>
  </si>
  <si>
    <t>$288.96</t>
  </si>
  <si>
    <t>ROBERTS</t>
  </si>
  <si>
    <t>TXN-10095</t>
  </si>
  <si>
    <t>$183.36</t>
  </si>
  <si>
    <t>Meza-AP</t>
  </si>
  <si>
    <t>TXN-11002</t>
  </si>
  <si>
    <t>02/08/2025</t>
  </si>
  <si>
    <t>p-sa-001</t>
  </si>
  <si>
    <t>TXN-10034</t>
  </si>
  <si>
    <t>16-06-2025</t>
  </si>
  <si>
    <t>TXN-10923</t>
  </si>
  <si>
    <t>TXN-10449</t>
  </si>
  <si>
    <t>2,003.28</t>
  </si>
  <si>
    <t>Thompson-EM</t>
  </si>
  <si>
    <t>TXN-10446</t>
  </si>
  <si>
    <t>C-1117</t>
  </si>
  <si>
    <t>751.43</t>
  </si>
  <si>
    <t>TXN-10990</t>
  </si>
  <si>
    <t>TXN-11042</t>
  </si>
  <si>
    <t xml:space="preserve"> P-SA-002 </t>
  </si>
  <si>
    <t>9,549.08</t>
  </si>
  <si>
    <t>Terry-EM</t>
  </si>
  <si>
    <t>TXN-10815</t>
  </si>
  <si>
    <t>C-1143</t>
  </si>
  <si>
    <t>Frazier</t>
  </si>
  <si>
    <t>TXN-10078</t>
  </si>
  <si>
    <t>C-1183</t>
  </si>
  <si>
    <t>TXN-10085</t>
  </si>
  <si>
    <t>TXN-11167</t>
  </si>
  <si>
    <t>Curtis-NA</t>
  </si>
  <si>
    <t>TXN-10083</t>
  </si>
  <si>
    <t>Harmon-AP</t>
  </si>
  <si>
    <t>TXN-10458</t>
  </si>
  <si>
    <t>Mcdonald-NA</t>
  </si>
  <si>
    <t>TXN-10768</t>
  </si>
  <si>
    <t>Reyes-EM</t>
  </si>
  <si>
    <t>TXN-10887</t>
  </si>
  <si>
    <t>FERNANDEZ-NA</t>
  </si>
  <si>
    <t>TXN-10437</t>
  </si>
  <si>
    <t>2025.01.14</t>
  </si>
  <si>
    <t>Osborn</t>
  </si>
  <si>
    <t>TXN-11247</t>
  </si>
  <si>
    <t>Cross</t>
  </si>
  <si>
    <t>TXN-11049</t>
  </si>
  <si>
    <t>C-0000</t>
  </si>
  <si>
    <t>Sullivan-EM</t>
  </si>
  <si>
    <t>TXN-10405</t>
  </si>
  <si>
    <t>C-1053A</t>
  </si>
  <si>
    <t>Martinez-EM</t>
  </si>
  <si>
    <t>TXN-11143</t>
  </si>
  <si>
    <t>01/27/2025</t>
  </si>
  <si>
    <t>$1,721.16</t>
  </si>
  <si>
    <t>Jennings</t>
  </si>
  <si>
    <t>TXN-10725</t>
  </si>
  <si>
    <t>Butler</t>
  </si>
  <si>
    <t>TXN-10773</t>
  </si>
  <si>
    <t>Berry</t>
  </si>
  <si>
    <t>TXN-10105</t>
  </si>
  <si>
    <t>REESE-EM</t>
  </si>
  <si>
    <t>TXN-10610</t>
  </si>
  <si>
    <t>$3,074.53</t>
  </si>
  <si>
    <t>Burns</t>
  </si>
  <si>
    <t>TXN-10644</t>
  </si>
  <si>
    <t>Ruiz</t>
  </si>
  <si>
    <t>TXN-10723</t>
  </si>
  <si>
    <t>TXN-10063</t>
  </si>
  <si>
    <t>Rose-NA</t>
  </si>
  <si>
    <t>TXN-10282</t>
  </si>
  <si>
    <t>ROGERS</t>
  </si>
  <si>
    <t>TXN-10789</t>
  </si>
  <si>
    <t>2025.05.22</t>
  </si>
  <si>
    <t>C-1014A</t>
  </si>
  <si>
    <t>TXN-10239</t>
  </si>
  <si>
    <t>Mar 09, 2025</t>
  </si>
  <si>
    <t>P-SI-999</t>
  </si>
  <si>
    <t>TXN-10224</t>
  </si>
  <si>
    <t>Williamson-NA</t>
  </si>
  <si>
    <t>TXN-10146</t>
  </si>
  <si>
    <t>Newman</t>
  </si>
  <si>
    <t>TXN-11223</t>
  </si>
  <si>
    <t>TXN-10374</t>
  </si>
  <si>
    <t>TXN-10119</t>
  </si>
  <si>
    <t>C-1077</t>
  </si>
  <si>
    <t>TXN-10968</t>
  </si>
  <si>
    <t>196.20</t>
  </si>
  <si>
    <t>Lang-NA</t>
  </si>
  <si>
    <t>TXN-10251</t>
  </si>
  <si>
    <t>$7,149.64</t>
  </si>
  <si>
    <t>7,149.64</t>
  </si>
  <si>
    <t>Barnes-NA</t>
  </si>
  <si>
    <t>TXN-11262</t>
  </si>
  <si>
    <t>Marsh-NA</t>
  </si>
  <si>
    <t>TXN-10010</t>
  </si>
  <si>
    <t>836.75</t>
  </si>
  <si>
    <t>ROMERO-NA</t>
  </si>
  <si>
    <t>TXN-10450</t>
  </si>
  <si>
    <t>TXN-10256</t>
  </si>
  <si>
    <t>3,045.67</t>
  </si>
  <si>
    <t>TXN-10594</t>
  </si>
  <si>
    <t>TXN-10390</t>
  </si>
  <si>
    <t>2025.06.16</t>
  </si>
  <si>
    <t>Buck-EM</t>
  </si>
  <si>
    <t>TXN-10746</t>
  </si>
  <si>
    <t>Nelson-NA</t>
  </si>
  <si>
    <t>TXN-11053</t>
  </si>
  <si>
    <t>1,643.00</t>
  </si>
  <si>
    <t>Warner-NA</t>
  </si>
  <si>
    <t>TXN-10558</t>
  </si>
  <si>
    <t>TXN-10461</t>
  </si>
  <si>
    <t>1,311.19</t>
  </si>
  <si>
    <t>Henson-AP</t>
  </si>
  <si>
    <t>TXN-11207</t>
  </si>
  <si>
    <t>2025.01.03</t>
  </si>
  <si>
    <t>AGUILAR</t>
  </si>
  <si>
    <t>TXN-10145</t>
  </si>
  <si>
    <t>Mitchell-AP</t>
  </si>
  <si>
    <t>TXN-10502</t>
  </si>
  <si>
    <t>Weber</t>
  </si>
  <si>
    <t>TXN-11210</t>
  </si>
  <si>
    <t>p-si-008</t>
  </si>
  <si>
    <t>$4,750.00</t>
  </si>
  <si>
    <t>549.10</t>
  </si>
  <si>
    <t>4,200.90</t>
  </si>
  <si>
    <t>Kane-EM</t>
  </si>
  <si>
    <t>TXN-10540</t>
  </si>
  <si>
    <t>2,414.34</t>
  </si>
  <si>
    <t>Cole-NA</t>
  </si>
  <si>
    <t>TXN-10178</t>
  </si>
  <si>
    <t>1,890.00</t>
  </si>
  <si>
    <t>Mccoy</t>
  </si>
  <si>
    <t>TXN-11264</t>
  </si>
  <si>
    <t>TXN-10731</t>
  </si>
  <si>
    <t>220.41</t>
  </si>
  <si>
    <t>TXN-11139</t>
  </si>
  <si>
    <t>2,900.00</t>
  </si>
  <si>
    <t>Hansen</t>
  </si>
  <si>
    <t>TXN-10988</t>
  </si>
  <si>
    <t>TXN-11286</t>
  </si>
  <si>
    <t>Mclean-AP</t>
  </si>
  <si>
    <t>TXN-10008</t>
  </si>
  <si>
    <t>TXN-10666</t>
  </si>
  <si>
    <t>2025.04.01</t>
  </si>
  <si>
    <t>David-EM</t>
  </si>
  <si>
    <t>TXN-11099</t>
  </si>
  <si>
    <t>Novak</t>
  </si>
  <si>
    <t>TXN-10358</t>
  </si>
  <si>
    <t>$2,041.36</t>
  </si>
  <si>
    <t>TXN-10330</t>
  </si>
  <si>
    <t>TXN-10844</t>
  </si>
  <si>
    <t>Stuart-AP</t>
  </si>
  <si>
    <t>TXN-10999</t>
  </si>
  <si>
    <t>2025.04.08</t>
  </si>
  <si>
    <t>Preston-EM</t>
  </si>
  <si>
    <t>TXN-10909</t>
  </si>
  <si>
    <t>2025.03.24</t>
  </si>
  <si>
    <t>Peters</t>
  </si>
  <si>
    <t>TXN-10259</t>
  </si>
  <si>
    <t>119.52</t>
  </si>
  <si>
    <t>Villa-EM</t>
  </si>
  <si>
    <t>TXN-11034</t>
  </si>
  <si>
    <t>Harvey-AP</t>
  </si>
  <si>
    <t>TXN-10373</t>
  </si>
  <si>
    <t>2025.01.16</t>
  </si>
  <si>
    <t>C-1127</t>
  </si>
  <si>
    <t>TXN-10931</t>
  </si>
  <si>
    <t>2025.01.21</t>
  </si>
  <si>
    <t>Rivera-EM</t>
  </si>
  <si>
    <t>TXN-10781</t>
  </si>
  <si>
    <t>2,342.02</t>
  </si>
  <si>
    <t>$323.94</t>
  </si>
  <si>
    <t>Leblanc-EM</t>
  </si>
  <si>
    <t>TXN-10998</t>
  </si>
  <si>
    <t>White-AP</t>
  </si>
  <si>
    <t>TXN-10526</t>
  </si>
  <si>
    <t>p-si-005</t>
  </si>
  <si>
    <t>PERRY-AP</t>
  </si>
  <si>
    <t>TXN-10980</t>
  </si>
  <si>
    <t>01/12/2025</t>
  </si>
  <si>
    <t>Cortez-NA</t>
  </si>
  <si>
    <t>TXN-11251</t>
  </si>
  <si>
    <t>Boyd-NA</t>
  </si>
  <si>
    <t>TXN-10902</t>
  </si>
  <si>
    <t>Gutierrez-EM</t>
  </si>
  <si>
    <t>TXN-11246</t>
  </si>
  <si>
    <t>TXN-10441</t>
  </si>
  <si>
    <t>Contreras-AP</t>
  </si>
  <si>
    <t>TXN-10532</t>
  </si>
  <si>
    <t>Travis-EM</t>
  </si>
  <si>
    <t>TXN-10964</t>
  </si>
  <si>
    <t>Parker-AP</t>
  </si>
  <si>
    <t>TXN-10227</t>
  </si>
  <si>
    <t>02-05-2025</t>
  </si>
  <si>
    <t>TXN-10817</t>
  </si>
  <si>
    <t>2025.03.20</t>
  </si>
  <si>
    <t>Burns-AP</t>
  </si>
  <si>
    <t>TXN-10229</t>
  </si>
  <si>
    <t>06/19/2025</t>
  </si>
  <si>
    <t>TXN-11138</t>
  </si>
  <si>
    <t>Hardy</t>
  </si>
  <si>
    <t>TXN-10213</t>
  </si>
  <si>
    <t>LEE-NA</t>
  </si>
  <si>
    <t>TXN-10080</t>
  </si>
  <si>
    <t>Barnett-EM</t>
  </si>
  <si>
    <t>TXN-10149</t>
  </si>
  <si>
    <t>TXN-10709</t>
  </si>
  <si>
    <t>TXN-10672</t>
  </si>
  <si>
    <t>TXN-11008</t>
  </si>
  <si>
    <t>TXN-10847</t>
  </si>
  <si>
    <t>West</t>
  </si>
  <si>
    <t>TXN-10705</t>
  </si>
  <si>
    <t>Jun 29, 2025</t>
  </si>
  <si>
    <t>Maldonado</t>
  </si>
  <si>
    <t>TXN-10134</t>
  </si>
  <si>
    <t>TXN-10940</t>
  </si>
  <si>
    <t>TXN-10409</t>
  </si>
  <si>
    <t>Herring</t>
  </si>
  <si>
    <t>TXN-11150</t>
  </si>
  <si>
    <t>24-05-2025</t>
  </si>
  <si>
    <t>p-fs-001</t>
  </si>
  <si>
    <t>TXN-10508</t>
  </si>
  <si>
    <t>Miller-NA</t>
  </si>
  <si>
    <t>TXN-11040</t>
  </si>
  <si>
    <t>$116.96</t>
  </si>
  <si>
    <t>Stevens</t>
  </si>
  <si>
    <t>TXN-10505</t>
  </si>
  <si>
    <t>Mar 15, 2025</t>
  </si>
  <si>
    <t>C-1096</t>
  </si>
  <si>
    <t>Bradshaw</t>
  </si>
  <si>
    <t>Schmitt-NA</t>
  </si>
  <si>
    <t>TXN-10348</t>
  </si>
  <si>
    <t>TXN-10387</t>
  </si>
  <si>
    <t>Wallace-EM</t>
  </si>
  <si>
    <t>TXN-10001</t>
  </si>
  <si>
    <t>TXN-10361</t>
  </si>
  <si>
    <t>TXN-11284</t>
  </si>
  <si>
    <t>TXN-10476</t>
  </si>
  <si>
    <t>Arnold-NA</t>
  </si>
  <si>
    <t>TXN-11281</t>
  </si>
  <si>
    <t>TXN-10933</t>
  </si>
  <si>
    <t>Cole-EM</t>
  </si>
  <si>
    <t>TXN-10927</t>
  </si>
  <si>
    <t>154.20</t>
  </si>
  <si>
    <t>Butler-NA</t>
  </si>
  <si>
    <t>TXN-10904</t>
  </si>
  <si>
    <t>Hawkins-EM</t>
  </si>
  <si>
    <t>TXN-10742</t>
  </si>
  <si>
    <t>TXN-10173</t>
  </si>
  <si>
    <t>Hardin</t>
  </si>
  <si>
    <t>TXN-10451</t>
  </si>
  <si>
    <t>TXN-10126</t>
  </si>
  <si>
    <t>Elliott</t>
  </si>
  <si>
    <t>TXN-11123</t>
  </si>
  <si>
    <t>04/26/2025</t>
  </si>
  <si>
    <t>Juarez</t>
  </si>
  <si>
    <t>TXN-10531</t>
  </si>
  <si>
    <t>FLORES</t>
  </si>
  <si>
    <t>TXN-10091</t>
  </si>
  <si>
    <t>Mar 04, 2025</t>
  </si>
  <si>
    <t>C-1010</t>
  </si>
  <si>
    <t>Roberts</t>
  </si>
  <si>
    <t>TXN-11267</t>
  </si>
  <si>
    <t>C-1055</t>
  </si>
  <si>
    <t>7,848.99</t>
  </si>
  <si>
    <t>TXN-10182</t>
  </si>
  <si>
    <t>TXN-10786</t>
  </si>
  <si>
    <t>Shepard</t>
  </si>
  <si>
    <t>TXN-10415</t>
  </si>
  <si>
    <t>$3,132.34</t>
  </si>
  <si>
    <t>TXN-10252</t>
  </si>
  <si>
    <t>C-1080</t>
  </si>
  <si>
    <t>Martin-AP</t>
  </si>
  <si>
    <t>TXN-10070</t>
  </si>
  <si>
    <t>TXN-10132</t>
  </si>
  <si>
    <t>12,250.00</t>
  </si>
  <si>
    <t>$3,663.10</t>
  </si>
  <si>
    <t>Morris</t>
  </si>
  <si>
    <t>TXN-10301</t>
  </si>
  <si>
    <t>19-05-2025</t>
  </si>
  <si>
    <t>Allen</t>
  </si>
  <si>
    <t>TXN-11100</t>
  </si>
  <si>
    <t>Nguyen-AP</t>
  </si>
  <si>
    <t>TXN-10327</t>
  </si>
  <si>
    <t>Brooks-EM</t>
  </si>
  <si>
    <t>TXN-10949</t>
  </si>
  <si>
    <t>182.47</t>
  </si>
  <si>
    <t>Stout</t>
  </si>
  <si>
    <t>TXN-10500</t>
  </si>
  <si>
    <t>Carpenter-EM</t>
  </si>
  <si>
    <t>TXN-10793</t>
  </si>
  <si>
    <t>TXN-10365</t>
  </si>
  <si>
    <t>Kim-NA</t>
  </si>
  <si>
    <t>TXN-10496</t>
  </si>
  <si>
    <t>C-1026</t>
  </si>
  <si>
    <t>TXN-11220</t>
  </si>
  <si>
    <t>Ortega</t>
  </si>
  <si>
    <t>TXN-10339</t>
  </si>
  <si>
    <t>Jan 26, 2025</t>
  </si>
  <si>
    <t>1,940.00</t>
  </si>
  <si>
    <t>Day</t>
  </si>
  <si>
    <t>TXN-10422</t>
  </si>
  <si>
    <t>1,850.00</t>
  </si>
  <si>
    <t>TXN-10029</t>
  </si>
  <si>
    <t>$1,468.63</t>
  </si>
  <si>
    <t>TXN-10517</t>
  </si>
  <si>
    <t>$1,449.11</t>
  </si>
  <si>
    <t>$3,300.00</t>
  </si>
  <si>
    <t>Gardner</t>
  </si>
  <si>
    <t>TXN-10194</t>
  </si>
  <si>
    <t>TXN-10757</t>
  </si>
  <si>
    <t>$177.01</t>
  </si>
  <si>
    <t>354.02</t>
  </si>
  <si>
    <t>CARR-AP</t>
  </si>
  <si>
    <t>TXN-11275</t>
  </si>
  <si>
    <t>Mclaughlin-NA</t>
  </si>
  <si>
    <t>TXN-10170</t>
  </si>
  <si>
    <t>TXN-10850</t>
  </si>
  <si>
    <t>TXN-10653</t>
  </si>
  <si>
    <t>2025.03.28</t>
  </si>
  <si>
    <t>Frye-NA</t>
  </si>
  <si>
    <t>TXN-10174</t>
  </si>
  <si>
    <t>05/30/2025</t>
  </si>
  <si>
    <t>TXN-10519</t>
  </si>
  <si>
    <t>$1,573.67</t>
  </si>
  <si>
    <t>1,573.67</t>
  </si>
  <si>
    <t>Turner-NA</t>
  </si>
  <si>
    <t>TXN-11066</t>
  </si>
  <si>
    <t>Nelson</t>
  </si>
  <si>
    <t>TXN-11273</t>
  </si>
  <si>
    <t>$1,318.05</t>
  </si>
  <si>
    <t>Sandoval</t>
  </si>
  <si>
    <t>TXN-10492</t>
  </si>
  <si>
    <t>C-1139A</t>
  </si>
  <si>
    <t>Gonzalez-AP</t>
  </si>
  <si>
    <t>TXN-10074</t>
  </si>
  <si>
    <t>Jimenez-NA</t>
  </si>
  <si>
    <t>TXN-11098</t>
  </si>
  <si>
    <t>Larson</t>
  </si>
  <si>
    <t>TXN-10588</t>
  </si>
  <si>
    <t>Hatfield-NA</t>
  </si>
  <si>
    <t>TXN-10658</t>
  </si>
  <si>
    <t>Dillon-EM</t>
  </si>
  <si>
    <t>TXN-10235</t>
  </si>
  <si>
    <t>$401.50</t>
  </si>
  <si>
    <t>Montes-AP</t>
  </si>
  <si>
    <t>TXN-10733</t>
  </si>
  <si>
    <t>Brennan</t>
  </si>
  <si>
    <t>TXN-10215</t>
  </si>
  <si>
    <t>TXN-10163</t>
  </si>
  <si>
    <t>Monroe-AP</t>
  </si>
  <si>
    <t>TXN-10133</t>
  </si>
  <si>
    <t>$1,650.00</t>
  </si>
  <si>
    <t>Maddox-EM</t>
  </si>
  <si>
    <t>TXN-10932</t>
  </si>
  <si>
    <t>TXN-11059</t>
  </si>
  <si>
    <t>DICKSON</t>
  </si>
  <si>
    <t>TXN-11078</t>
  </si>
  <si>
    <t>05/09/2025</t>
  </si>
  <si>
    <t>144.52</t>
  </si>
  <si>
    <t>Nicholson-AP</t>
  </si>
  <si>
    <t>TXN-10186</t>
  </si>
  <si>
    <t>Morrison-AP</t>
  </si>
  <si>
    <t>TXN-10042</t>
  </si>
  <si>
    <t>Chavez-EM</t>
  </si>
  <si>
    <t>TXN-10693</t>
  </si>
  <si>
    <t>TXN-10109</t>
  </si>
  <si>
    <t>Schultz-AP</t>
  </si>
  <si>
    <t>TXN-11023</t>
  </si>
  <si>
    <t>TXN-10569</t>
  </si>
  <si>
    <t>353.86</t>
  </si>
  <si>
    <t>TXN-10775</t>
  </si>
  <si>
    <t>Ward-NA</t>
  </si>
  <si>
    <t>TXN-11111</t>
  </si>
  <si>
    <t>Phillips</t>
  </si>
  <si>
    <t>TXN-11260</t>
  </si>
  <si>
    <t>C-1137A</t>
  </si>
  <si>
    <t>1,039.06</t>
  </si>
  <si>
    <t>$3,160.94</t>
  </si>
  <si>
    <t>Cooper-AP</t>
  </si>
  <si>
    <t>TXN-10484</t>
  </si>
  <si>
    <t>Mar 31, 2025</t>
  </si>
  <si>
    <t>Torres-AP</t>
  </si>
  <si>
    <t>TXN-10469</t>
  </si>
  <si>
    <t>Martinez-NA</t>
  </si>
  <si>
    <t>TXN-10025</t>
  </si>
  <si>
    <t>16-02-2025</t>
  </si>
  <si>
    <t>Lynch</t>
  </si>
  <si>
    <t>TXN-10946</t>
  </si>
  <si>
    <t>TXN-10811</t>
  </si>
  <si>
    <t>Herrera-NA</t>
  </si>
  <si>
    <t>TXN-11011</t>
  </si>
  <si>
    <t>Hernandez-NA</t>
  </si>
  <si>
    <t>TXN-11109</t>
  </si>
  <si>
    <t>James</t>
  </si>
  <si>
    <t>TXN-10367</t>
  </si>
  <si>
    <t>05/12/2025</t>
  </si>
  <si>
    <t>C-1146</t>
  </si>
  <si>
    <t>412.38</t>
  </si>
  <si>
    <t>GONZALES-EM</t>
  </si>
  <si>
    <t>TXN-11012</t>
  </si>
  <si>
    <t>Robinson</t>
  </si>
  <si>
    <t>TXN-11221</t>
  </si>
  <si>
    <t>9,700.00</t>
  </si>
  <si>
    <t>Jackson-EM</t>
  </si>
  <si>
    <t>TXN-10384</t>
  </si>
  <si>
    <t>$2,425.00</t>
  </si>
  <si>
    <t>GRIFFIN-NA</t>
  </si>
  <si>
    <t>TXN-10735</t>
  </si>
  <si>
    <t>TXN-10718</t>
  </si>
  <si>
    <t>Mack</t>
  </si>
  <si>
    <t>TXN-10455</t>
  </si>
  <si>
    <t>Snyder</t>
  </si>
  <si>
    <t>TXN-10265</t>
  </si>
  <si>
    <t>TXN-10911</t>
  </si>
  <si>
    <t>Cooper</t>
  </si>
  <si>
    <t>TXN-10233</t>
  </si>
  <si>
    <t>03/26/2025</t>
  </si>
  <si>
    <t>159.29</t>
  </si>
  <si>
    <t>55.71</t>
  </si>
  <si>
    <t>TXN-10445</t>
  </si>
  <si>
    <t>02/25/2025</t>
  </si>
  <si>
    <t>TXN-10396</t>
  </si>
  <si>
    <t>Apr 20, 2025</t>
  </si>
  <si>
    <t>Lambert</t>
  </si>
  <si>
    <t>TXN-11184</t>
  </si>
  <si>
    <t>04/23/2025</t>
  </si>
  <si>
    <t>Frederick</t>
  </si>
  <si>
    <t>TXN-10177</t>
  </si>
  <si>
    <t>TXN-10019</t>
  </si>
  <si>
    <t>TXN-11149</t>
  </si>
  <si>
    <t>Hill-AP</t>
  </si>
  <si>
    <t>TXN-10845</t>
  </si>
  <si>
    <t>C-1019A</t>
  </si>
  <si>
    <t>TXN-11038</t>
  </si>
  <si>
    <t>TXN-11081</t>
  </si>
  <si>
    <t>Elliott-EM</t>
  </si>
  <si>
    <t>TXN-10596</t>
  </si>
  <si>
    <t>Reeves-AP</t>
  </si>
  <si>
    <t>TXN-10062</t>
  </si>
  <si>
    <t>Apr 21, 2025</t>
  </si>
  <si>
    <t>TXN-10273</t>
  </si>
  <si>
    <t>Perry-NA</t>
  </si>
  <si>
    <t>TXN-11231</t>
  </si>
  <si>
    <t>02/14/2025</t>
  </si>
  <si>
    <t>Walker-EM</t>
  </si>
  <si>
    <t>TXN-10279</t>
  </si>
  <si>
    <t>Mar 02, 2025</t>
  </si>
  <si>
    <t>TXN-11014</t>
  </si>
  <si>
    <t>2025.06.15</t>
  </si>
  <si>
    <t>TXN-10695</t>
  </si>
  <si>
    <t>TXN-10369</t>
  </si>
  <si>
    <t>MORGAN</t>
  </si>
  <si>
    <t>TXN-11206</t>
  </si>
  <si>
    <t>Harper</t>
  </si>
  <si>
    <t>TXN-10037</t>
  </si>
  <si>
    <t>Figueroa</t>
  </si>
  <si>
    <t>TXN-10736</t>
  </si>
  <si>
    <t>TXN-10986</t>
  </si>
  <si>
    <t>05/28/2025</t>
  </si>
  <si>
    <t>430.00</t>
  </si>
  <si>
    <t>Pierce-EM</t>
  </si>
  <si>
    <t>TXN-10663</t>
  </si>
  <si>
    <t>Bernard</t>
  </si>
  <si>
    <t>TXN-10862</t>
  </si>
  <si>
    <t>Good</t>
  </si>
  <si>
    <t>TXN-11037</t>
  </si>
  <si>
    <t>TXN-10548</t>
  </si>
  <si>
    <t>Li</t>
  </si>
  <si>
    <t>TXN-11048</t>
  </si>
  <si>
    <t>28-02-2025</t>
  </si>
  <si>
    <t>TXN-10689</t>
  </si>
  <si>
    <t>$2,254.77</t>
  </si>
  <si>
    <t>TXN-10739</t>
  </si>
  <si>
    <t>Rogers-EM</t>
  </si>
  <si>
    <t>TXN-10192</t>
  </si>
  <si>
    <t>2025.04.24</t>
  </si>
  <si>
    <t>$7,362.38</t>
  </si>
  <si>
    <t>DOUGLAS</t>
  </si>
  <si>
    <t>TXN-10457</t>
  </si>
  <si>
    <t>3,572.51</t>
  </si>
  <si>
    <t>TXN-10394</t>
  </si>
  <si>
    <t>Moody-AP</t>
  </si>
  <si>
    <t>TXN-10676</t>
  </si>
  <si>
    <t>02/02/2025</t>
  </si>
  <si>
    <t>TXN-10761</t>
  </si>
  <si>
    <t>TXN-10729</t>
  </si>
  <si>
    <t>Huff</t>
  </si>
  <si>
    <t>TXN-10420</t>
  </si>
  <si>
    <t>Horne</t>
  </si>
  <si>
    <t>TXN-10376</t>
  </si>
  <si>
    <t>06-05-2025</t>
  </si>
  <si>
    <t>Coleman-AP</t>
  </si>
  <si>
    <t>TXN-10413</t>
  </si>
  <si>
    <t>Watson-NA</t>
  </si>
  <si>
    <t>TXN-10075</t>
  </si>
  <si>
    <t>TXN-11227</t>
  </si>
  <si>
    <t>Jan 30, 2025</t>
  </si>
  <si>
    <t>$18,062.70</t>
  </si>
  <si>
    <t>TXN-11031</t>
  </si>
  <si>
    <t>Hull-EM</t>
  </si>
  <si>
    <t>TXN-10501</t>
  </si>
  <si>
    <t>TXN-10826</t>
  </si>
  <si>
    <t>Parker</t>
  </si>
  <si>
    <t>TXN-10966</t>
  </si>
  <si>
    <t>Andrade-NA</t>
  </si>
  <si>
    <t>TXN-10617</t>
  </si>
  <si>
    <t>TXN-10115</t>
  </si>
  <si>
    <t>Brewer</t>
  </si>
  <si>
    <t>TXN-10418</t>
  </si>
  <si>
    <t>Jun 09, 2025</t>
  </si>
  <si>
    <t>Edwards-EM</t>
  </si>
  <si>
    <t>TXN-10602</t>
  </si>
  <si>
    <t>Velazquez-EM</t>
  </si>
  <si>
    <t>TXN-10605</t>
  </si>
  <si>
    <t>2025.03.15</t>
  </si>
  <si>
    <t>C-1079A</t>
  </si>
  <si>
    <t>Jensen</t>
  </si>
  <si>
    <t>TXN-11005</t>
  </si>
  <si>
    <t>Meyers</t>
  </si>
  <si>
    <t>TXN-10090</t>
  </si>
  <si>
    <t>04/14/2025</t>
  </si>
  <si>
    <t>1,422.22</t>
  </si>
  <si>
    <t>Bowman-AP</t>
  </si>
  <si>
    <t>TXN-11041</t>
  </si>
  <si>
    <t>22-03-2025</t>
  </si>
  <si>
    <t>Sanchez-NA</t>
  </si>
  <si>
    <t>TXN-11254</t>
  </si>
  <si>
    <t>C-1009A</t>
  </si>
  <si>
    <t>1,499.64</t>
  </si>
  <si>
    <t>Bowen-AP</t>
  </si>
  <si>
    <t>TXN-10754</t>
  </si>
  <si>
    <t>Phillips-NA</t>
  </si>
  <si>
    <t>TXN-10499</t>
  </si>
  <si>
    <t>TXN-10512</t>
  </si>
  <si>
    <t>TXN-11287</t>
  </si>
  <si>
    <t>TXN-11043</t>
  </si>
  <si>
    <t>TXN-10012</t>
  </si>
  <si>
    <t>Olson-EM</t>
  </si>
  <si>
    <t>TXN-10397</t>
  </si>
  <si>
    <t>1,757.31</t>
  </si>
  <si>
    <t>TXN-10905</t>
  </si>
  <si>
    <t>TXN-10556</t>
  </si>
  <si>
    <t>Jimenez</t>
  </si>
  <si>
    <t>TXN-10043</t>
  </si>
  <si>
    <t>TXN-10842</t>
  </si>
  <si>
    <t>May 17, 2025</t>
  </si>
  <si>
    <t>$950.00</t>
  </si>
  <si>
    <t>May</t>
  </si>
  <si>
    <t>TXN-10168</t>
  </si>
  <si>
    <t>Zimmerman-AP</t>
  </si>
  <si>
    <t>TXN-10577</t>
  </si>
  <si>
    <t>TXN-10835</t>
  </si>
  <si>
    <t>01/16/2025</t>
  </si>
  <si>
    <t>Brown-AP</t>
  </si>
  <si>
    <t>TXN-10268</t>
  </si>
  <si>
    <t>04/29/2025</t>
  </si>
  <si>
    <t>TXN-11161</t>
  </si>
  <si>
    <t>Skinner-AP</t>
  </si>
  <si>
    <t>TXN-10427</t>
  </si>
  <si>
    <t>Padilla</t>
  </si>
  <si>
    <t>TXN-10691</t>
  </si>
  <si>
    <t>C-1086A</t>
  </si>
  <si>
    <t>179.38</t>
  </si>
  <si>
    <t>Clayton</t>
  </si>
  <si>
    <t>TXN-10545</t>
  </si>
  <si>
    <t>01/24/2025</t>
  </si>
  <si>
    <t>2,711.67</t>
  </si>
  <si>
    <t>Barnes-AP</t>
  </si>
  <si>
    <t>TXN-11228</t>
  </si>
  <si>
    <t>HOGAN</t>
  </si>
  <si>
    <t>TXN-10675</t>
  </si>
  <si>
    <t>Apr 23, 2025</t>
  </si>
  <si>
    <t>367.56</t>
  </si>
  <si>
    <t>TXN-10690</t>
  </si>
  <si>
    <t>Lewis-NA</t>
  </si>
  <si>
    <t>TXN-11156</t>
  </si>
  <si>
    <t>2025.01.17</t>
  </si>
  <si>
    <t>TXN-10852</t>
  </si>
  <si>
    <t>Baxter</t>
  </si>
  <si>
    <t>TXN-10419</t>
  </si>
  <si>
    <t>Ramirez-AP</t>
  </si>
  <si>
    <t>TXN-10160</t>
  </si>
  <si>
    <t>Rosario-NA</t>
  </si>
  <si>
    <t>TXN-11069</t>
  </si>
  <si>
    <t>TXN-10258</t>
  </si>
  <si>
    <t>Watson</t>
  </si>
  <si>
    <t>TXN-11056</t>
  </si>
  <si>
    <t>TXN-10336</t>
  </si>
  <si>
    <t>C-1149</t>
  </si>
  <si>
    <t>TXN-11232</t>
  </si>
  <si>
    <t>10/02/2025</t>
  </si>
  <si>
    <t>TXN-10016</t>
  </si>
  <si>
    <t>TXN-10516</t>
  </si>
  <si>
    <t>01/22/2025</t>
  </si>
  <si>
    <t>Small-EM</t>
  </si>
  <si>
    <t>TXN-10325</t>
  </si>
  <si>
    <t>TXN-10769</t>
  </si>
  <si>
    <t>2025.03.22</t>
  </si>
  <si>
    <t>TXN-10608</t>
  </si>
  <si>
    <t>04/18/2025</t>
  </si>
  <si>
    <t>ROMERO-AP</t>
  </si>
  <si>
    <t>TXN-11154</t>
  </si>
  <si>
    <t>3,800.00</t>
  </si>
  <si>
    <t>Le</t>
  </si>
  <si>
    <t>TXN-10950</t>
  </si>
  <si>
    <t>29-06-2025</t>
  </si>
  <si>
    <t>TXN-10886</t>
  </si>
  <si>
    <t>Gonzales</t>
  </si>
  <si>
    <t>TXN-10223</t>
  </si>
  <si>
    <t>TXN-10180</t>
  </si>
  <si>
    <t>TXN-11117</t>
  </si>
  <si>
    <t>C-1069A</t>
  </si>
  <si>
    <t>Moore-NA</t>
  </si>
  <si>
    <t>TXN-10100</t>
  </si>
  <si>
    <t>02/19/2025</t>
  </si>
  <si>
    <t>TXN-10837</t>
  </si>
  <si>
    <t>2025.02.23</t>
  </si>
  <si>
    <t>808.34</t>
  </si>
  <si>
    <t>Andersen-EM</t>
  </si>
  <si>
    <t>TXN-10758</t>
  </si>
  <si>
    <t>$899.59</t>
  </si>
  <si>
    <t>Fowler</t>
  </si>
  <si>
    <t>TXN-10522</t>
  </si>
  <si>
    <t>TXN-10762</t>
  </si>
  <si>
    <t>Apr 30, 2025</t>
  </si>
  <si>
    <t>2,425.00</t>
  </si>
  <si>
    <t>Morales-NA</t>
  </si>
  <si>
    <t>TXN-10023</t>
  </si>
  <si>
    <t>Leonard-NA</t>
  </si>
  <si>
    <t>TXN-10357</t>
  </si>
  <si>
    <t>2,023.65</t>
  </si>
  <si>
    <t>TXN-10734</t>
  </si>
  <si>
    <t>TXN-11089</t>
  </si>
  <si>
    <t>NORRIS</t>
  </si>
  <si>
    <t>TXN-11214</t>
  </si>
  <si>
    <t>$37.68</t>
  </si>
  <si>
    <t>MILES-EM</t>
  </si>
  <si>
    <t>TXN-10612</t>
  </si>
  <si>
    <t>2025.05.18</t>
  </si>
  <si>
    <t>Wells</t>
  </si>
  <si>
    <t>TXN-11116</t>
  </si>
  <si>
    <t>Bowers-EM</t>
  </si>
  <si>
    <t>TXN-10341</t>
  </si>
  <si>
    <t>02-04-2025</t>
  </si>
  <si>
    <t>Cohen</t>
  </si>
  <si>
    <t>TXN-10432</t>
  </si>
  <si>
    <t>Apr 07, 2025</t>
  </si>
  <si>
    <t>Gonzalez-NA</t>
  </si>
  <si>
    <t>TXN-10941</t>
  </si>
  <si>
    <t>TXN-10218</t>
  </si>
  <si>
    <t>TXN-10204</t>
  </si>
  <si>
    <t>Gaines</t>
  </si>
  <si>
    <t>TXN-11074</t>
  </si>
  <si>
    <t>TXN-11068</t>
  </si>
  <si>
    <t>2025.04.27</t>
  </si>
  <si>
    <t>Cohen-EM</t>
  </si>
  <si>
    <t>TXN-10094</t>
  </si>
  <si>
    <t>22-05-2025</t>
  </si>
  <si>
    <t>TXN-11196</t>
  </si>
  <si>
    <t>Abbott-AP</t>
  </si>
  <si>
    <t>TXN-10069</t>
  </si>
  <si>
    <t>DOUGHERTY-AP</t>
  </si>
  <si>
    <t>TXN-11145</t>
  </si>
  <si>
    <t>Adams-EM</t>
  </si>
  <si>
    <t>TXN-10285</t>
  </si>
  <si>
    <t>Jan 13, 2025</t>
  </si>
  <si>
    <t>LOWERY-EM</t>
  </si>
  <si>
    <t>TXN-10697</t>
  </si>
  <si>
    <t>22,680.00</t>
  </si>
  <si>
    <t>$21,193.44</t>
  </si>
  <si>
    <t>Allen-NA</t>
  </si>
  <si>
    <t>TXN-10086</t>
  </si>
  <si>
    <t>TXN-10435</t>
  </si>
  <si>
    <t>$2,175.00</t>
  </si>
  <si>
    <t>TXN-11257</t>
  </si>
  <si>
    <t>Jun 22, 2025</t>
  </si>
  <si>
    <t>C-1031A</t>
  </si>
  <si>
    <t>572.71</t>
  </si>
  <si>
    <t>TXN-10154</t>
  </si>
  <si>
    <t>$5,670.00</t>
  </si>
  <si>
    <t>TXN-10076</t>
  </si>
  <si>
    <t>$1,120.00</t>
  </si>
  <si>
    <t>TXN-11140</t>
  </si>
  <si>
    <t>Haney-NA</t>
  </si>
  <si>
    <t>TXN-11291</t>
  </si>
  <si>
    <t>Carlson-NA</t>
  </si>
  <si>
    <t>TXN-10790</t>
  </si>
  <si>
    <t>TXN-10581</t>
  </si>
  <si>
    <t>PIERCE</t>
  </si>
  <si>
    <t>TXN-10447</t>
  </si>
  <si>
    <t>$958.42</t>
  </si>
  <si>
    <t>Mckinney-AP</t>
  </si>
  <si>
    <t>TXN-10704</t>
  </si>
  <si>
    <t>TXN-10189</t>
  </si>
  <si>
    <t>$197.25</t>
  </si>
  <si>
    <t>Alvarado-EM</t>
  </si>
  <si>
    <t>TXN-10272</t>
  </si>
  <si>
    <t>TXN-11103</t>
  </si>
  <si>
    <t>TXN-10885</t>
  </si>
  <si>
    <t>01/10/2025</t>
  </si>
  <si>
    <t>TXN-10237</t>
  </si>
  <si>
    <t>190.94</t>
  </si>
  <si>
    <t>Goodwin</t>
  </si>
  <si>
    <t>TXN-10488</t>
  </si>
  <si>
    <t>TXN-11265</t>
  </si>
  <si>
    <t>2025.05.05</t>
  </si>
  <si>
    <t>Black-AP</t>
  </si>
  <si>
    <t>TXN-10560</t>
  </si>
  <si>
    <t>02/16/2025</t>
  </si>
  <si>
    <t>TXN-10118</t>
  </si>
  <si>
    <t>Scott-NA</t>
  </si>
  <si>
    <t>TXN-10638</t>
  </si>
  <si>
    <t>Alexander</t>
  </si>
  <si>
    <t>TXN-11179</t>
  </si>
  <si>
    <t>2025.01.30</t>
  </si>
  <si>
    <t>3,235.10</t>
  </si>
  <si>
    <t>Casey</t>
  </si>
  <si>
    <t>TXN-10802</t>
  </si>
  <si>
    <t>C-1180</t>
  </si>
  <si>
    <t>Cobb</t>
  </si>
  <si>
    <t>TXN-10751</t>
  </si>
  <si>
    <t>TXN-10513</t>
  </si>
  <si>
    <t>TXN-10634</t>
  </si>
  <si>
    <t>TXN-10944</t>
  </si>
  <si>
    <t>Powers</t>
  </si>
  <si>
    <t>TXN-11113</t>
  </si>
  <si>
    <t>8,826.96</t>
  </si>
  <si>
    <t>Jones-EM</t>
  </si>
  <si>
    <t>TXN-10908</t>
  </si>
  <si>
    <t>C-1046</t>
  </si>
  <si>
    <t>Shelton-NA</t>
  </si>
  <si>
    <t>TXN-11187</t>
  </si>
  <si>
    <t>Feb 05, 2025</t>
  </si>
  <si>
    <t>TXN-10127</t>
  </si>
  <si>
    <t>Riley-NA</t>
  </si>
  <si>
    <t>TXN-10791</t>
  </si>
  <si>
    <t>Gibson-NA</t>
  </si>
  <si>
    <t>TXN-10830</t>
  </si>
  <si>
    <t>18-04-2025</t>
  </si>
  <si>
    <t>TXN-10117</t>
  </si>
  <si>
    <t>p-sa-004</t>
  </si>
  <si>
    <t>Garcia-NA</t>
  </si>
  <si>
    <t>TXN-10474</t>
  </si>
  <si>
    <t>TXN-10741</t>
  </si>
  <si>
    <t>Davidson</t>
  </si>
  <si>
    <t>TXN-11108</t>
  </si>
  <si>
    <t>06-02-2025</t>
  </si>
  <si>
    <t>22.28</t>
  </si>
  <si>
    <t>Willis-AP</t>
  </si>
  <si>
    <t>TXN-10058</t>
  </si>
  <si>
    <t>Hunt-EM</t>
  </si>
  <si>
    <t>TXN-10604</t>
  </si>
  <si>
    <t>$2,580.00</t>
  </si>
  <si>
    <t>Long</t>
  </si>
  <si>
    <t>TXN-10787</t>
  </si>
  <si>
    <t>Apr 13, 2025</t>
  </si>
  <si>
    <t>TXN-10831</t>
  </si>
  <si>
    <t>TXN-10120</t>
  </si>
  <si>
    <t>TXN-10657</t>
  </si>
  <si>
    <t>Lowe-EM</t>
  </si>
  <si>
    <t>TXN-11054</t>
  </si>
  <si>
    <t>TXN-10670</t>
  </si>
  <si>
    <t>Vaughn-NA</t>
  </si>
  <si>
    <t>TXN-10106</t>
  </si>
  <si>
    <t>TXN-10636</t>
  </si>
  <si>
    <t>06/25/2025</t>
  </si>
  <si>
    <t>Graves-NA</t>
  </si>
  <si>
    <t>TXN-10370</t>
  </si>
  <si>
    <t>2025.06.18</t>
  </si>
  <si>
    <t>TXN-10269</t>
  </si>
  <si>
    <t>Lozano-AP</t>
  </si>
  <si>
    <t>TXN-10656</t>
  </si>
  <si>
    <t>TXN-10820</t>
  </si>
  <si>
    <t>TXN-10936</t>
  </si>
  <si>
    <t>Calderon</t>
  </si>
  <si>
    <t>TXN-10823</t>
  </si>
  <si>
    <t>2025.06.11</t>
  </si>
  <si>
    <t>ELLIOTT-AP</t>
  </si>
  <si>
    <t>TXN-11211</t>
  </si>
  <si>
    <t>29-05-2025</t>
  </si>
  <si>
    <t>TXN-10047</t>
  </si>
  <si>
    <t>TXN-10350</t>
  </si>
  <si>
    <t>Moody-EM</t>
  </si>
  <si>
    <t>TXN-11132</t>
  </si>
  <si>
    <t>Carlson-AP</t>
  </si>
  <si>
    <t>TXN-10877</t>
  </si>
  <si>
    <t>$393.68</t>
  </si>
  <si>
    <t>SMALL-NA</t>
  </si>
  <si>
    <t>TXN-10774</t>
  </si>
  <si>
    <t>Green-NA</t>
  </si>
  <si>
    <t>TXN-10196</t>
  </si>
  <si>
    <t>TXN-10103</t>
  </si>
  <si>
    <t>TXN-10005</t>
  </si>
  <si>
    <t>874.60</t>
  </si>
  <si>
    <t>Moon-NA</t>
  </si>
  <si>
    <t>TXN-10620</t>
  </si>
  <si>
    <t>2025.05.15</t>
  </si>
  <si>
    <t>Soto</t>
  </si>
  <si>
    <t>TXN-10572</t>
  </si>
  <si>
    <t>TXN-10053</t>
  </si>
  <si>
    <t>Ramos-EM</t>
  </si>
  <si>
    <t>TXN-10264</t>
  </si>
  <si>
    <t>Martin-EM</t>
  </si>
  <si>
    <t>TXN-11195</t>
  </si>
  <si>
    <t>TXN-10444</t>
  </si>
  <si>
    <t>$668.07</t>
  </si>
  <si>
    <t>TXN-11093</t>
  </si>
  <si>
    <t>Davis-EM</t>
  </si>
  <si>
    <t>TXN-10783</t>
  </si>
  <si>
    <t>Carrillo</t>
  </si>
  <si>
    <t>TXN-10838</t>
  </si>
  <si>
    <t>Kennedy-AP</t>
  </si>
  <si>
    <t>TXN-11180</t>
  </si>
  <si>
    <t>184.56</t>
  </si>
  <si>
    <t>TXN-10692</t>
  </si>
  <si>
    <t>$2,400.00</t>
  </si>
  <si>
    <t>TXN-10305</t>
  </si>
  <si>
    <t>Copeland-AP</t>
  </si>
  <si>
    <t>TXN-10342</t>
  </si>
  <si>
    <t>1,718.46</t>
  </si>
  <si>
    <t>Pollard</t>
  </si>
  <si>
    <t>TXN-11033</t>
  </si>
  <si>
    <t>08-04-2025</t>
  </si>
  <si>
    <t>TXN-10314</t>
  </si>
  <si>
    <t>04/27/2025</t>
  </si>
  <si>
    <t>Duncan-AP</t>
  </si>
  <si>
    <t>TXN-10150</t>
  </si>
  <si>
    <t>CRUZ</t>
  </si>
  <si>
    <t>TXN-10125</t>
  </si>
  <si>
    <t>MARSHALL</t>
  </si>
  <si>
    <t>TXN-11164</t>
  </si>
  <si>
    <t>Alexander-NA</t>
  </si>
  <si>
    <t>TXN-10575</t>
  </si>
  <si>
    <t>TXN-10698</t>
  </si>
  <si>
    <t>$166.18</t>
  </si>
  <si>
    <t>TXN-10665</t>
  </si>
  <si>
    <t>10,399.50</t>
  </si>
  <si>
    <t>Evans-AP</t>
  </si>
  <si>
    <t>TXN-10051</t>
  </si>
  <si>
    <t>10-06-2025</t>
  </si>
  <si>
    <t>TXN-11030</t>
  </si>
  <si>
    <t>TXN-10959</t>
  </si>
  <si>
    <t>ALLEN-AP</t>
  </si>
  <si>
    <t>TXN-10727</t>
  </si>
  <si>
    <t>11-02-2025</t>
  </si>
  <si>
    <t>TXN-10800</t>
  </si>
  <si>
    <t>04/13/2025</t>
  </si>
  <si>
    <t>BECKER-EM</t>
  </si>
  <si>
    <t>TXN-10834</t>
  </si>
  <si>
    <t>Weaver-AP</t>
  </si>
  <si>
    <t>TXN-10354</t>
  </si>
  <si>
    <t>01-01-2025</t>
  </si>
  <si>
    <t>TXN-11258</t>
  </si>
  <si>
    <t>Page</t>
  </si>
  <si>
    <t>TXN-10143</t>
  </si>
  <si>
    <t>TXN-10471</t>
  </si>
  <si>
    <t>TXN-10883</t>
  </si>
  <si>
    <t>Brennan-AP</t>
  </si>
  <si>
    <t>TXN-10972</t>
  </si>
  <si>
    <t>2025.02.18</t>
  </si>
  <si>
    <t>Harris-AP</t>
  </si>
  <si>
    <t>TXN-10654</t>
  </si>
  <si>
    <t>Stevens-EM</t>
  </si>
  <si>
    <t>TXN-11255</t>
  </si>
  <si>
    <t>CHAVEZ-EM</t>
  </si>
  <si>
    <t>TXN-10321</t>
  </si>
  <si>
    <t>$6,986.10</t>
  </si>
  <si>
    <t>HARTMAN-EM</t>
  </si>
  <si>
    <t>TXN-10020</t>
  </si>
  <si>
    <t>TXN-10685</t>
  </si>
  <si>
    <t>Apr 12, 2025</t>
  </si>
  <si>
    <t>Moses</t>
  </si>
  <si>
    <t>TXN-10036</t>
  </si>
  <si>
    <t>TXN-10825</t>
  </si>
  <si>
    <t>Chambers-AP</t>
  </si>
  <si>
    <t>TXN-10903</t>
  </si>
  <si>
    <t>HILL-NA</t>
  </si>
  <si>
    <t>TXN-10506</t>
  </si>
  <si>
    <t>WILLIAMS</t>
  </si>
  <si>
    <t>TXN-10828</t>
  </si>
  <si>
    <t>Scott</t>
  </si>
  <si>
    <t>TXN-11173</t>
  </si>
  <si>
    <t>TXN-10408</t>
  </si>
  <si>
    <t>Cox-AP</t>
  </si>
  <si>
    <t>TXN-10921</t>
  </si>
  <si>
    <t>643.00</t>
  </si>
  <si>
    <t>Perez</t>
  </si>
  <si>
    <t>TXN-10818</t>
  </si>
  <si>
    <t>Jun 26, 2025</t>
  </si>
  <si>
    <t>Nolan-EM</t>
  </si>
  <si>
    <t>TXN-10867</t>
  </si>
  <si>
    <t>Hall-EM</t>
  </si>
  <si>
    <t>TXN-10538</t>
  </si>
  <si>
    <t>TXN-10759</t>
  </si>
  <si>
    <t>TXN-11170</t>
  </si>
  <si>
    <t>Feb 04, 2025</t>
  </si>
  <si>
    <t>TXN-11050</t>
  </si>
  <si>
    <t>06/17/2025</t>
  </si>
  <si>
    <t>Bennett-AP</t>
  </si>
  <si>
    <t>TXN-10039</t>
  </si>
  <si>
    <t>TXN-10176</t>
  </si>
  <si>
    <t>SHELTON</t>
  </si>
  <si>
    <t>TXN-10246</t>
  </si>
  <si>
    <t>HUDSON-EM</t>
  </si>
  <si>
    <t>TXN-10785</t>
  </si>
  <si>
    <t>2025.04.04</t>
  </si>
  <si>
    <t>Fowler-NA</t>
  </si>
  <si>
    <t>TXN-10490</t>
  </si>
  <si>
    <t>TXN-10155</t>
  </si>
  <si>
    <t>Stout-AP</t>
  </si>
  <si>
    <t>TXN-10962</t>
  </si>
  <si>
    <t>C-1169A</t>
  </si>
  <si>
    <t>TXN-10854</t>
  </si>
  <si>
    <t>Dalton-AP</t>
  </si>
  <si>
    <t>TXN-10626</t>
  </si>
  <si>
    <t>Jun 12, 2025</t>
  </si>
  <si>
    <t>Perez-NA</t>
  </si>
  <si>
    <t>TXN-10686</t>
  </si>
  <si>
    <t>MILLER</t>
  </si>
  <si>
    <t>TXN-10570</t>
  </si>
  <si>
    <t>TXN-11249</t>
  </si>
  <si>
    <t>Cooper-EM</t>
  </si>
  <si>
    <t>TXN-10018</t>
  </si>
  <si>
    <t>TXN-10128</t>
  </si>
  <si>
    <t>Maldonado-EM</t>
  </si>
  <si>
    <t>TXN-10928</t>
  </si>
  <si>
    <t>MORENO-AP</t>
  </si>
  <si>
    <t>TXN-10981</t>
  </si>
  <si>
    <t>TXN-10509</t>
  </si>
  <si>
    <t>FRY-AP</t>
  </si>
  <si>
    <t>TXN-10191</t>
  </si>
  <si>
    <t>14,297.04</t>
  </si>
  <si>
    <t>Collins-AP</t>
  </si>
  <si>
    <t>TXN-10993</t>
  </si>
  <si>
    <t>MURRAY-EM</t>
  </si>
  <si>
    <t>TXN-11280</t>
  </si>
  <si>
    <t>$1,878.05</t>
  </si>
  <si>
    <t>TXN-10607</t>
  </si>
  <si>
    <t>TXN-10181</t>
  </si>
  <si>
    <t>$3,200.00</t>
  </si>
  <si>
    <t>Grant-NA</t>
  </si>
  <si>
    <t>TXN-10302</t>
  </si>
  <si>
    <t>Fowler-EM</t>
  </si>
  <si>
    <t>TXN-10497</t>
  </si>
  <si>
    <t>TXN-11133</t>
  </si>
  <si>
    <t>TXN-11219</t>
  </si>
  <si>
    <t>Wright</t>
  </si>
  <si>
    <t>TXN-10518</t>
  </si>
  <si>
    <t>TXN-10477</t>
  </si>
  <si>
    <t>Matthews</t>
  </si>
  <si>
    <t>TXN-10158</t>
  </si>
  <si>
    <t>554.09</t>
  </si>
  <si>
    <t>Jacobs-NA</t>
  </si>
  <si>
    <t>TXN-10017</t>
  </si>
  <si>
    <t>Ramirez-NA</t>
  </si>
  <si>
    <t>TXN-10547</t>
  </si>
  <si>
    <t>Barrera</t>
  </si>
  <si>
    <t>TXN-10659</t>
  </si>
  <si>
    <t>Mar 17, 2025</t>
  </si>
  <si>
    <t>Becker</t>
  </si>
  <si>
    <t>TXN-11142</t>
  </si>
  <si>
    <t>Meyer-NA</t>
  </si>
  <si>
    <t>TXN-11020</t>
  </si>
  <si>
    <t>TXN-11101</t>
  </si>
  <si>
    <t>05/26/2025</t>
  </si>
  <si>
    <t>$262.11</t>
  </si>
  <si>
    <t>Walters</t>
  </si>
  <si>
    <t>TXN-10960</t>
  </si>
  <si>
    <t>TXN-11234</t>
  </si>
  <si>
    <t>Watts-NA</t>
  </si>
  <si>
    <t>TXN-10284</t>
  </si>
  <si>
    <t>$1,160.37</t>
  </si>
  <si>
    <t>8,639.63</t>
  </si>
  <si>
    <t>TXN-10798</t>
  </si>
  <si>
    <t>TXN-10226</t>
  </si>
  <si>
    <t>TXN-10027</t>
  </si>
  <si>
    <t>C-1159A</t>
  </si>
  <si>
    <t>Steele</t>
  </si>
  <si>
    <t>TXN-10438</t>
  </si>
  <si>
    <t>2025.02.10</t>
  </si>
  <si>
    <t>950.00</t>
  </si>
  <si>
    <t>Cochran-EM</t>
  </si>
  <si>
    <t>TXN-11274</t>
  </si>
  <si>
    <t>TXN-10230</t>
  </si>
  <si>
    <t>Orr-NA</t>
  </si>
  <si>
    <t>TXN-10038</t>
  </si>
  <si>
    <t>Bonilla</t>
  </si>
  <si>
    <t>TXN-10750</t>
  </si>
  <si>
    <t>231.27</t>
  </si>
  <si>
    <t>Wong-AP</t>
  </si>
  <si>
    <t>TXN-11046</t>
  </si>
  <si>
    <t>Frey</t>
  </si>
  <si>
    <t>TXN-10470</t>
  </si>
  <si>
    <t>C-1081A</t>
  </si>
  <si>
    <t>TXN-11122</t>
  </si>
  <si>
    <t>Wallace</t>
  </si>
  <si>
    <t>TXN-10688</t>
  </si>
  <si>
    <t>C-1147A</t>
  </si>
  <si>
    <t>DOUGLAS-AP</t>
  </si>
  <si>
    <t>TXN-11204</t>
  </si>
  <si>
    <t>06/23/2025</t>
  </si>
  <si>
    <t>240.59</t>
  </si>
  <si>
    <t>TXN-10640</t>
  </si>
  <si>
    <t>Gutierrez</t>
  </si>
  <si>
    <t>TXN-11136</t>
  </si>
  <si>
    <t>TXN-11097</t>
  </si>
  <si>
    <t>C-1035A</t>
  </si>
  <si>
    <t>Austin-AP</t>
  </si>
  <si>
    <t>TXN-11190</t>
  </si>
  <si>
    <t>TXN-10801</t>
  </si>
  <si>
    <t>TXN-10161</t>
  </si>
  <si>
    <t>Hayes</t>
  </si>
  <si>
    <t>TXN-10957</t>
  </si>
  <si>
    <t>04/25/2025</t>
  </si>
  <si>
    <t>PADILLA-NA</t>
  </si>
  <si>
    <t>TXN-10822</t>
  </si>
  <si>
    <t>2,240.00</t>
  </si>
  <si>
    <t>Perry-EM</t>
  </si>
  <si>
    <t>TXN-11115</t>
  </si>
  <si>
    <t>02/05/2025</t>
  </si>
  <si>
    <t>TXN-10878</t>
  </si>
  <si>
    <t>TXN-10914</t>
  </si>
  <si>
    <t>Warren-AP</t>
  </si>
  <si>
    <t>TXN-10153</t>
  </si>
  <si>
    <t>Stevenson</t>
  </si>
  <si>
    <t>TXN-11199</t>
  </si>
  <si>
    <t>$833.68</t>
  </si>
  <si>
    <t>TXN-10510</t>
  </si>
  <si>
    <t>Wise-NA</t>
  </si>
  <si>
    <t>TXN-11102</t>
  </si>
  <si>
    <t>Bowers-AP</t>
  </si>
  <si>
    <t>TXN-10104</t>
  </si>
  <si>
    <t>Harrell</t>
  </si>
  <si>
    <t>TXN-10587</t>
  </si>
  <si>
    <t>TXN-11162</t>
  </si>
  <si>
    <t>James-NA</t>
  </si>
  <si>
    <t>TXN-10054</t>
  </si>
  <si>
    <t>Coleman-EM</t>
  </si>
  <si>
    <t>TXN-10152</t>
  </si>
  <si>
    <t>$3,337.27</t>
  </si>
  <si>
    <t>Best</t>
  </si>
  <si>
    <t>TXN-10404</t>
  </si>
  <si>
    <t>23-05-2025</t>
  </si>
  <si>
    <t>Kim</t>
  </si>
  <si>
    <t>TXN-10208</t>
  </si>
  <si>
    <t>645.00</t>
  </si>
  <si>
    <t>118.68</t>
  </si>
  <si>
    <t>TXN-11240</t>
  </si>
  <si>
    <t>C-1093A</t>
  </si>
  <si>
    <t>TXN-10009</t>
  </si>
  <si>
    <t>TXN-11015</t>
  </si>
  <si>
    <t>Little</t>
  </si>
  <si>
    <t>TXN-11061</t>
  </si>
  <si>
    <t>01/20/2025</t>
  </si>
  <si>
    <t>Ellison-AP</t>
  </si>
  <si>
    <t>TXN-10453</t>
  </si>
  <si>
    <t>Conner</t>
  </si>
  <si>
    <t>TXN-10254</t>
  </si>
  <si>
    <t>TXN-10897</t>
  </si>
  <si>
    <t>$1,380.70</t>
  </si>
  <si>
    <t>Cardenas-NA</t>
  </si>
  <si>
    <t>TXN-11147</t>
  </si>
  <si>
    <t>TXN-10881</t>
  </si>
  <si>
    <t>TXN-11238</t>
  </si>
  <si>
    <t>TXN-10624</t>
  </si>
  <si>
    <t>Stanton-NA</t>
  </si>
  <si>
    <t>TXN-10346</t>
  </si>
  <si>
    <t>Baldwin</t>
  </si>
  <si>
    <t>TXN-11128</t>
  </si>
  <si>
    <t>TXN-10263</t>
  </si>
  <si>
    <t>01/21/2025</t>
  </si>
  <si>
    <t>TXN-10151</t>
  </si>
  <si>
    <t>Carpenter</t>
  </si>
  <si>
    <t>TXN-10473</t>
  </si>
  <si>
    <t>Holmes-NA</t>
  </si>
  <si>
    <t>TXN-10641</t>
  </si>
  <si>
    <t>TXN-11235</t>
  </si>
  <si>
    <t>1,297.84</t>
  </si>
  <si>
    <t>TXN-10551</t>
  </si>
  <si>
    <t>TXN-10929</t>
  </si>
  <si>
    <t>TXN-10489</t>
  </si>
  <si>
    <t>Stone</t>
  </si>
  <si>
    <t>TXN-11183</t>
  </si>
  <si>
    <t>Diaz</t>
  </si>
  <si>
    <t>TXN-10147</t>
  </si>
  <si>
    <t>$2,179.99</t>
  </si>
  <si>
    <t>Madden-AP</t>
  </si>
  <si>
    <t>TXN-10403</t>
  </si>
  <si>
    <t>$1,608.44</t>
  </si>
  <si>
    <t>TXN-10955</t>
  </si>
  <si>
    <t>06/15/2025</t>
  </si>
  <si>
    <t>Rocha-NA</t>
  </si>
  <si>
    <t>TXN-11230</t>
  </si>
  <si>
    <t>03/04/2025</t>
  </si>
  <si>
    <t>GARCIA-EM</t>
  </si>
  <si>
    <t>TXN-10660</t>
  </si>
  <si>
    <t>Lara-AP</t>
  </si>
  <si>
    <t>TXN-10464</t>
  </si>
  <si>
    <t>Love-AP</t>
  </si>
  <si>
    <t>TXN-10187</t>
  </si>
  <si>
    <t>TXN-10609</t>
  </si>
  <si>
    <t>09-06-2025</t>
  </si>
  <si>
    <t>314.13</t>
  </si>
  <si>
    <t>TXN-10144</t>
  </si>
  <si>
    <t>Wood-AP</t>
  </si>
  <si>
    <t>TXN-10752</t>
  </si>
  <si>
    <t>TXN-10982</t>
  </si>
  <si>
    <t>Gonzalez</t>
  </si>
  <si>
    <t>TXN-10198</t>
  </si>
  <si>
    <t>Schneider-AP</t>
  </si>
  <si>
    <t>TXN-10884</t>
  </si>
  <si>
    <t>TXN-10280</t>
  </si>
  <si>
    <t>27-05-2025</t>
  </si>
  <si>
    <t>TXN-10294</t>
  </si>
  <si>
    <t>Mar 21, 2025</t>
  </si>
  <si>
    <t>TXN-11191</t>
  </si>
  <si>
    <t>Hahn-NA</t>
  </si>
  <si>
    <t>TXN-10401</t>
  </si>
  <si>
    <t>TXN-10123</t>
  </si>
  <si>
    <t>May 28, 2025</t>
  </si>
  <si>
    <t>BEAN</t>
  </si>
  <si>
    <t>TXN-10203</t>
  </si>
  <si>
    <t>4,259.55</t>
  </si>
  <si>
    <t>TXN-10836</t>
  </si>
  <si>
    <t>1,971.36</t>
  </si>
  <si>
    <t>Shannon-EM</t>
  </si>
  <si>
    <t>TXN-10247</t>
  </si>
  <si>
    <t>Alexander-EM</t>
  </si>
  <si>
    <t>TXN-11245</t>
  </si>
  <si>
    <t>$9,450.00</t>
  </si>
  <si>
    <t>TXN-11233</t>
  </si>
  <si>
    <t>GRANT-NA</t>
  </si>
  <si>
    <t>TXN-10385</t>
  </si>
  <si>
    <t>Robbins-EM</t>
  </si>
  <si>
    <t>TXN-10855</t>
  </si>
  <si>
    <t>03/12/2025</t>
  </si>
  <si>
    <t>TXN-10220</t>
  </si>
  <si>
    <t>Rodgers-NA</t>
  </si>
  <si>
    <t>TXN-10642</t>
  </si>
  <si>
    <t>TXN-10002</t>
  </si>
  <si>
    <t>Russo</t>
  </si>
  <si>
    <t>TXN-10113</t>
  </si>
  <si>
    <t>Bell-AP</t>
  </si>
  <si>
    <t>TXN-10699</t>
  </si>
  <si>
    <t>$9,500.00</t>
  </si>
  <si>
    <t>Stein</t>
  </si>
  <si>
    <t>TXN-11252</t>
  </si>
  <si>
    <t>06-06-2025</t>
  </si>
  <si>
    <t>4,100.00</t>
  </si>
  <si>
    <t>Bailey-NA</t>
  </si>
  <si>
    <t>TXN-10952</t>
  </si>
  <si>
    <t>TXN-11271</t>
  </si>
  <si>
    <t>Soto-NA</t>
  </si>
  <si>
    <t>TXN-11225</t>
  </si>
  <si>
    <t>TXN-10442</t>
  </si>
  <si>
    <t>04/19/2025</t>
  </si>
  <si>
    <t>Mckinney-NA</t>
  </si>
  <si>
    <t>TXN-11137</t>
  </si>
  <si>
    <t>Maxwell-NA</t>
  </si>
  <si>
    <t>TXN-10664</t>
  </si>
  <si>
    <t>TXN-11198</t>
  </si>
  <si>
    <t>Chambers</t>
  </si>
  <si>
    <t>TXN-10318</t>
  </si>
  <si>
    <t>$2,309.69</t>
  </si>
  <si>
    <t>TXN-10649</t>
  </si>
  <si>
    <t>Hoffman</t>
  </si>
  <si>
    <t>TXN-10710</t>
  </si>
  <si>
    <t>Delgado-EM</t>
  </si>
  <si>
    <t>TXN-10973</t>
  </si>
  <si>
    <t>Edwards-AP</t>
  </si>
  <si>
    <t>TXN-10628</t>
  </si>
  <si>
    <t>TXN-10633</t>
  </si>
  <si>
    <t>Underwood</t>
  </si>
  <si>
    <t>TXN-11278</t>
  </si>
  <si>
    <t>TXN-11209</t>
  </si>
  <si>
    <t>TXN-10796</t>
  </si>
  <si>
    <t>$385.23</t>
  </si>
  <si>
    <t>Todd</t>
  </si>
  <si>
    <t>TXN-10646</t>
  </si>
  <si>
    <t>$643.29</t>
  </si>
  <si>
    <t>Luna</t>
  </si>
  <si>
    <t>TXN-11013</t>
  </si>
  <si>
    <t>C-1097</t>
  </si>
  <si>
    <t>TXN-10557</t>
  </si>
  <si>
    <t>TXN-10682</t>
  </si>
  <si>
    <t>Mejia</t>
  </si>
  <si>
    <t>TXN-10578</t>
  </si>
  <si>
    <t>ROBERTS-AP</t>
  </si>
  <si>
    <t>TXN-11110</t>
  </si>
  <si>
    <t>TXN-10525</t>
  </si>
  <si>
    <t>Jun 23, 2025</t>
  </si>
  <si>
    <t>TXN-11060</t>
  </si>
  <si>
    <t>Jacobson</t>
  </si>
  <si>
    <t>TXN-10541</t>
  </si>
  <si>
    <t>Dec 25, 2024</t>
  </si>
  <si>
    <t>TXN-10749</t>
  </si>
  <si>
    <t>Simon-NA</t>
  </si>
  <si>
    <t>TXN-11212</t>
  </si>
  <si>
    <t>TXN-10485</t>
  </si>
  <si>
    <t>C-1127A</t>
  </si>
  <si>
    <t>TXN-10096</t>
  </si>
  <si>
    <t>05/21/2025</t>
  </si>
  <si>
    <t>TXN-11021</t>
  </si>
  <si>
    <t>01/19/2025</t>
  </si>
  <si>
    <t>Jenkins</t>
  </si>
  <si>
    <t>TXN-10564</t>
  </si>
  <si>
    <t>$444.64</t>
  </si>
  <si>
    <t>Harper-AP</t>
  </si>
  <si>
    <t>TXN-10743</t>
  </si>
  <si>
    <t>12-01-2025</t>
  </si>
  <si>
    <t>Small-AP</t>
  </si>
  <si>
    <t>TXN-10864</t>
  </si>
  <si>
    <t>BALL-AP</t>
  </si>
  <si>
    <t>TXN-10892</t>
  </si>
  <si>
    <t>4,412.70</t>
  </si>
  <si>
    <t>TXN-11039</t>
  </si>
  <si>
    <t>01-05-2025</t>
  </si>
  <si>
    <t>$1,488.60</t>
  </si>
  <si>
    <t>Chung</t>
  </si>
  <si>
    <t>TXN-10207</t>
  </si>
  <si>
    <t>Romero-NA</t>
  </si>
  <si>
    <t>TXN-10393</t>
  </si>
  <si>
    <t>C-1175A</t>
  </si>
  <si>
    <t>TXN-10795</t>
  </si>
  <si>
    <t>Durham</t>
  </si>
  <si>
    <t>TXN-10871</t>
  </si>
  <si>
    <t>$7,420.53</t>
  </si>
  <si>
    <t>GOLDEN-EM</t>
  </si>
  <si>
    <t>TXN-10398</t>
  </si>
  <si>
    <t>Palmer</t>
  </si>
  <si>
    <t>TXN-10767</t>
  </si>
  <si>
    <t>Mar 05, 2025</t>
  </si>
  <si>
    <t>TXN-11202</t>
  </si>
  <si>
    <t>2025.06.06</t>
  </si>
  <si>
    <t>TXN-11029</t>
  </si>
  <si>
    <t>Case-AP</t>
  </si>
  <si>
    <t>TXN-10643</t>
  </si>
  <si>
    <t>578.36</t>
  </si>
  <si>
    <t>Carr-EM</t>
  </si>
  <si>
    <t>TXN-10613</t>
  </si>
  <si>
    <t>Smith-EM</t>
  </si>
  <si>
    <t>TXN-10961</t>
  </si>
  <si>
    <t>Campbell</t>
  </si>
  <si>
    <t>TXN-10726</t>
  </si>
  <si>
    <t>Monroe</t>
  </si>
  <si>
    <t>TXN-10684</t>
  </si>
  <si>
    <t>2025.05.27</t>
  </si>
  <si>
    <t>747.72</t>
  </si>
  <si>
    <t>TXN-10099</t>
  </si>
  <si>
    <t>TXN-10805</t>
  </si>
  <si>
    <t>TXN-10407</t>
  </si>
  <si>
    <t>Brewer-AP</t>
  </si>
  <si>
    <t>TXN-10503</t>
  </si>
  <si>
    <t>$920.17</t>
  </si>
  <si>
    <t>Winters-NA</t>
  </si>
  <si>
    <t>TXN-11072</t>
  </si>
  <si>
    <t>Jan 05, 2025</t>
  </si>
  <si>
    <t>TXN-10930</t>
  </si>
  <si>
    <t>Scott-EM</t>
  </si>
  <si>
    <t>TXN-10780</t>
  </si>
  <si>
    <t>$428.64</t>
  </si>
  <si>
    <t>TXN-10201</t>
  </si>
  <si>
    <t>05/22/2025</t>
  </si>
  <si>
    <t>TXN-10135</t>
  </si>
  <si>
    <t>06/10/2025</t>
  </si>
  <si>
    <t>TXN-11052</t>
  </si>
  <si>
    <t>$3,225.00</t>
  </si>
  <si>
    <t>Walsh-AP</t>
  </si>
  <si>
    <t>TXN-10041</t>
  </si>
  <si>
    <t>C-1015A</t>
  </si>
  <si>
    <t>TXN-11018</t>
  </si>
  <si>
    <t>7,275.00</t>
  </si>
  <si>
    <t>Hopkins-NA</t>
  </si>
  <si>
    <t>TXN-10231</t>
  </si>
  <si>
    <t>TXN-10379</t>
  </si>
  <si>
    <t>TXN-10289</t>
  </si>
  <si>
    <t>$385.47</t>
  </si>
  <si>
    <t>TXN-10392</t>
  </si>
  <si>
    <t>TXN-10593</t>
  </si>
  <si>
    <t>TXN-11163</t>
  </si>
  <si>
    <t>Atkins-EM</t>
  </si>
  <si>
    <t>TXN-11087</t>
  </si>
  <si>
    <t>Singh-NA</t>
  </si>
  <si>
    <t>TXN-10648</t>
  </si>
  <si>
    <t>$281.92</t>
  </si>
  <si>
    <t>TXN-11153</t>
  </si>
  <si>
    <t xml:space="preserve"> P-FS-004 </t>
  </si>
  <si>
    <t>Raymond</t>
  </si>
  <si>
    <t>TXN-10521</t>
  </si>
  <si>
    <t>Aguirre</t>
  </si>
  <si>
    <t>TXN-10065</t>
  </si>
  <si>
    <t>2025.02.15</t>
  </si>
  <si>
    <t>Walker-AP</t>
  </si>
  <si>
    <t>TXN-10015</t>
  </si>
  <si>
    <t>TXN-11181</t>
  </si>
  <si>
    <t>TXN-11065</t>
  </si>
  <si>
    <t>Knight-AP</t>
  </si>
  <si>
    <t>TXN-10493</t>
  </si>
  <si>
    <t>258.06</t>
  </si>
  <si>
    <t>Huber-AP</t>
  </si>
  <si>
    <t>TXN-10380</t>
  </si>
  <si>
    <t>Carter</t>
  </si>
  <si>
    <t>TXN-10188</t>
  </si>
  <si>
    <t>TXN-10764</t>
  </si>
  <si>
    <t>Holden</t>
  </si>
  <si>
    <t>TXN-10217</t>
  </si>
  <si>
    <t>French-EM</t>
  </si>
  <si>
    <t>TXN-10792</t>
  </si>
  <si>
    <t>$775.71</t>
  </si>
  <si>
    <t>Zhang</t>
  </si>
  <si>
    <t>TXN-11077</t>
  </si>
  <si>
    <t>Hoover</t>
  </si>
  <si>
    <t>TXN-10879</t>
  </si>
  <si>
    <t>TXN-10338</t>
  </si>
  <si>
    <t>TXN-10720</t>
  </si>
  <si>
    <t>TXN-10296</t>
  </si>
  <si>
    <t>Lynch-AP</t>
  </si>
  <si>
    <t>TXN-11017</t>
  </si>
  <si>
    <t>18-02-2025</t>
  </si>
  <si>
    <t>C-1107</t>
  </si>
  <si>
    <t>TXN-10456</t>
  </si>
  <si>
    <t>TXN-10816</t>
  </si>
  <si>
    <t>Love-EM</t>
  </si>
  <si>
    <t>TXN-10270</t>
  </si>
  <si>
    <t>Velasquez-NA</t>
  </si>
  <si>
    <t>TXN-10996</t>
  </si>
  <si>
    <t>Taylor-NA</t>
  </si>
  <si>
    <t>TXN-10202</t>
  </si>
  <si>
    <t>Valentine</t>
  </si>
  <si>
    <t>TXN-10162</t>
  </si>
  <si>
    <t>2025.06.03</t>
  </si>
  <si>
    <t>Shepherd</t>
  </si>
  <si>
    <t>TXN-10730</t>
  </si>
  <si>
    <t>Mar 06, 2025</t>
  </si>
  <si>
    <t>French</t>
  </si>
  <si>
    <t>TXN-10402</t>
  </si>
  <si>
    <t>Allison</t>
  </si>
  <si>
    <t>TXN-10703</t>
  </si>
  <si>
    <t>TXN-11130</t>
  </si>
  <si>
    <t>19-01-2025</t>
  </si>
  <si>
    <t>TXN-10566</t>
  </si>
  <si>
    <t>$2,766.67</t>
  </si>
  <si>
    <t>TXN-11022</t>
  </si>
  <si>
    <t>626.92</t>
  </si>
  <si>
    <t>TXN-11026</t>
  </si>
  <si>
    <t>Shaw</t>
  </si>
  <si>
    <t>TXN-11105</t>
  </si>
  <si>
    <t>Tran</t>
  </si>
  <si>
    <t>TXN-10206</t>
  </si>
  <si>
    <t>Santiago-EM</t>
  </si>
  <si>
    <t>TXN-10035</t>
  </si>
  <si>
    <t>01/08/2025</t>
  </si>
  <si>
    <t>TXN-10776</t>
  </si>
  <si>
    <t>Mar 03, 2025</t>
  </si>
  <si>
    <t>TXN-10092</t>
  </si>
  <si>
    <t>2025.06.19</t>
  </si>
  <si>
    <t>174.38</t>
  </si>
  <si>
    <t>TXN-10898</t>
  </si>
  <si>
    <t>TXN-10565</t>
  </si>
  <si>
    <t>Cameron-NA</t>
  </si>
  <si>
    <t>TXN-10777</t>
  </si>
  <si>
    <t>Contreras</t>
  </si>
  <si>
    <t>TXN-10242</t>
  </si>
  <si>
    <t>6,050.46</t>
  </si>
  <si>
    <t>MUELLER</t>
  </si>
  <si>
    <t>TXN-10014</t>
  </si>
  <si>
    <t>$999.89</t>
  </si>
  <si>
    <t>TXN-10316</t>
  </si>
  <si>
    <t>BARNETT-AP</t>
  </si>
  <si>
    <t>TXN-10601</t>
  </si>
  <si>
    <t>1,489.38</t>
  </si>
  <si>
    <t>TXN-10388</t>
  </si>
  <si>
    <t>TXN-10167</t>
  </si>
  <si>
    <t>TXN-10841</t>
  </si>
  <si>
    <t>TXN-10021</t>
  </si>
  <si>
    <t>2025.05.25</t>
  </si>
  <si>
    <t>Saunders-AP</t>
  </si>
  <si>
    <t>TXN-10647</t>
  </si>
  <si>
    <t>Thornton</t>
  </si>
  <si>
    <t>TXN-11155</t>
  </si>
  <si>
    <t>Simpson</t>
  </si>
  <si>
    <t>TXN-10832</t>
  </si>
  <si>
    <t>Henderson-NA</t>
  </si>
  <si>
    <t>TXN-11268</t>
  </si>
  <si>
    <t>Simmons</t>
  </si>
  <si>
    <t>TXN-10563</t>
  </si>
  <si>
    <t>TXN-11277</t>
  </si>
  <si>
    <t>TXN-10687</t>
  </si>
  <si>
    <t>BRADSHAW</t>
  </si>
  <si>
    <t>TXN-10958</t>
  </si>
  <si>
    <t>TXN-10190</t>
  </si>
  <si>
    <t>Rangel-EM</t>
  </si>
  <si>
    <t>TXN-10976</t>
  </si>
  <si>
    <t>TXN-10700</t>
  </si>
  <si>
    <t>TXN-10511</t>
  </si>
  <si>
    <t>TXN-11083</t>
  </si>
  <si>
    <t>Feb 19, 2025</t>
  </si>
  <si>
    <t>Atkinson-EM</t>
  </si>
  <si>
    <t>TXN-10475</t>
  </si>
  <si>
    <t>C-1162A</t>
  </si>
  <si>
    <t>3,565.05</t>
  </si>
  <si>
    <t>TXN-10857</t>
  </si>
  <si>
    <t>Long-EM</t>
  </si>
  <si>
    <t>TXN-10748</t>
  </si>
  <si>
    <t>3,056.81</t>
  </si>
  <si>
    <t>Rivera-AP</t>
  </si>
  <si>
    <t>TXN-10253</t>
  </si>
  <si>
    <t>TXN-10022</t>
  </si>
  <si>
    <t>01/07/2025</t>
  </si>
  <si>
    <t>HOWELL</t>
  </si>
  <si>
    <t>TXN-10460</t>
  </si>
  <si>
    <t>TXN-11185</t>
  </si>
  <si>
    <t>TXN-10277</t>
  </si>
  <si>
    <t>TXN-10956</t>
  </si>
  <si>
    <t>04/06/2025</t>
  </si>
  <si>
    <t>167.93</t>
  </si>
  <si>
    <t>$2,015.16</t>
  </si>
  <si>
    <t>Dominguez-NA</t>
  </si>
  <si>
    <t>TXN-11216</t>
  </si>
  <si>
    <t>Jan 07, 2025</t>
  </si>
  <si>
    <t>TXN-10386</t>
  </si>
  <si>
    <t>JACKSON-NA</t>
  </si>
  <si>
    <t>TXN-10806</t>
  </si>
  <si>
    <t>Stark</t>
  </si>
  <si>
    <t>TXN-10344</t>
  </si>
  <si>
    <t>1,118.40</t>
  </si>
  <si>
    <t>TXN-10770</t>
  </si>
  <si>
    <t>TXN-10131</t>
  </si>
  <si>
    <t>TXN-10872</t>
  </si>
  <si>
    <t>Cannon</t>
  </si>
  <si>
    <t>TXN-11124</t>
  </si>
  <si>
    <t>TXN-10088</t>
  </si>
  <si>
    <t>TXN-10331</t>
  </si>
  <si>
    <t>TXN-11239</t>
  </si>
  <si>
    <t>144.85</t>
  </si>
  <si>
    <t>Vaughn</t>
  </si>
  <si>
    <t>TXN-10467</t>
  </si>
  <si>
    <t>Ortiz</t>
  </si>
  <si>
    <t>TXN-10122</t>
  </si>
  <si>
    <t>TXN-11045</t>
  </si>
  <si>
    <t>May 30, 2025</t>
  </si>
  <si>
    <t>TXN-11096</t>
  </si>
  <si>
    <t>TXN-11131</t>
  </si>
  <si>
    <t>Spencer</t>
  </si>
  <si>
    <t>TXN-10861</t>
  </si>
  <si>
    <t>1,401.37</t>
  </si>
  <si>
    <t>Avila-AP</t>
  </si>
  <si>
    <t>TXN-11127</t>
  </si>
  <si>
    <t>CustomerName</t>
  </si>
  <si>
    <t>CustomerType</t>
  </si>
  <si>
    <t>Industry</t>
  </si>
  <si>
    <t>AccountStatus</t>
  </si>
  <si>
    <t>PrimaryContact</t>
  </si>
  <si>
    <t>CreditLimit</t>
  </si>
  <si>
    <t xml:space="preserve">  Rodriguez Figueroa and Sanchez </t>
  </si>
  <si>
    <t>ENERGY &amp; UTILITIES</t>
  </si>
  <si>
    <t>Standard</t>
  </si>
  <si>
    <t>Oil &amp; Gas</t>
  </si>
  <si>
    <t>Active</t>
  </si>
  <si>
    <t>Brian Yang</t>
  </si>
  <si>
    <t>C-1002</t>
  </si>
  <si>
    <t>Miller Henderson and Johnson</t>
  </si>
  <si>
    <t>Emerging</t>
  </si>
  <si>
    <t>Discrete Manufacturing</t>
  </si>
  <si>
    <t>Jonathan Johnson</t>
  </si>
  <si>
    <t>Baldwin Ltd Corp</t>
  </si>
  <si>
    <t>MANUFACTURING</t>
  </si>
  <si>
    <t>Automotive</t>
  </si>
  <si>
    <t>Connie Lawrence</t>
  </si>
  <si>
    <t>Blake and Sons Inc</t>
  </si>
  <si>
    <t>Gina Moore</t>
  </si>
  <si>
    <t>Garcia-James LLC</t>
  </si>
  <si>
    <t>PROCESS INDUSTRIES</t>
  </si>
  <si>
    <t>Key Account</t>
  </si>
  <si>
    <t>North america</t>
  </si>
  <si>
    <t>Chemicals</t>
  </si>
  <si>
    <t>Gregory Baker</t>
  </si>
  <si>
    <t>Blair PLC AG</t>
  </si>
  <si>
    <t>AEROSPACE &amp; DEFENSE</t>
  </si>
  <si>
    <t>Avionics</t>
  </si>
  <si>
    <t>Thomas Miller</t>
  </si>
  <si>
    <t>Calderon-Montgomery Co</t>
  </si>
  <si>
    <t>Strategic</t>
  </si>
  <si>
    <t>Food &amp; Beverage</t>
  </si>
  <si>
    <t>Laura Bush</t>
  </si>
  <si>
    <t>Stanley LLC</t>
  </si>
  <si>
    <t>Aerospace OEM</t>
  </si>
  <si>
    <t>Dr. Sharon James</t>
  </si>
  <si>
    <t>Reid-Diaz</t>
  </si>
  <si>
    <t>Daniel Adams</t>
  </si>
  <si>
    <t>$100,000</t>
  </si>
  <si>
    <t>wong lynch and jackson</t>
  </si>
  <si>
    <t>Carla Gray</t>
  </si>
  <si>
    <t>Watts Robinson and Nguyen LLC</t>
  </si>
  <si>
    <t>Private R&amp;D</t>
  </si>
  <si>
    <t>Amy Underwood</t>
  </si>
  <si>
    <t>Morales-Jones Pty Ltd</t>
  </si>
  <si>
    <t>University Lab</t>
  </si>
  <si>
    <t>Latoya Robbins</t>
  </si>
  <si>
    <t xml:space="preserve">  Rios Group SA </t>
  </si>
  <si>
    <t>Renewables</t>
  </si>
  <si>
    <t>Maria Thomas</t>
  </si>
  <si>
    <t>Wright PLC</t>
  </si>
  <si>
    <t>Pulp &amp; Paper</t>
  </si>
  <si>
    <t>Nicole Patterson</t>
  </si>
  <si>
    <t>Ross Robinson and Bright Pty Ltd</t>
  </si>
  <si>
    <t>Ann Williams</t>
  </si>
  <si>
    <t>hernandez and sons co</t>
  </si>
  <si>
    <t>MRO</t>
  </si>
  <si>
    <t>Jennifer Brown</t>
  </si>
  <si>
    <t>$50,000</t>
  </si>
  <si>
    <t>Carlson-Mcdonald Corporation</t>
  </si>
  <si>
    <t>Juan Dunlap</t>
  </si>
  <si>
    <t xml:space="preserve">  Le Maldonado and Herrera </t>
  </si>
  <si>
    <t>Martin Rodriguez</t>
  </si>
  <si>
    <t>Moore-Smith</t>
  </si>
  <si>
    <t>Michelle Stanton</t>
  </si>
  <si>
    <t xml:space="preserve">  Romero Inc </t>
  </si>
  <si>
    <t>Utilities</t>
  </si>
  <si>
    <t>Elizabeth Fowler</t>
  </si>
  <si>
    <t>Gonzalez Brooks and Martin SA</t>
  </si>
  <si>
    <t>Tammy Sellers</t>
  </si>
  <si>
    <t>Nguyen Smith and Hickman LLC</t>
  </si>
  <si>
    <t>Machinery</t>
  </si>
  <si>
    <t>Sandra Parker</t>
  </si>
  <si>
    <t>Allen PLC</t>
  </si>
  <si>
    <t>Angelica Tucker</t>
  </si>
  <si>
    <t>Spence PLC</t>
  </si>
  <si>
    <t>National Lab</t>
  </si>
  <si>
    <t>Betty Alvarez</t>
  </si>
  <si>
    <t xml:space="preserve">  Martin Rose and Obrien LLC </t>
  </si>
  <si>
    <t>Defense Contractor</t>
  </si>
  <si>
    <t>Tanya Campos</t>
  </si>
  <si>
    <t>Harris Collins and Carney GmbH</t>
  </si>
  <si>
    <t>Power Generation</t>
  </si>
  <si>
    <t>Jessica Holmes</t>
  </si>
  <si>
    <t>Wright Inc</t>
  </si>
  <si>
    <t>Kevin Hall</t>
  </si>
  <si>
    <t xml:space="preserve">  Smith Ltd Inc </t>
  </si>
  <si>
    <t>Crystal Whitehead</t>
  </si>
  <si>
    <t>Jones-Young Corp</t>
  </si>
  <si>
    <t>Cindy Anderson</t>
  </si>
  <si>
    <t>Johnston Sanchez and Kennedy</t>
  </si>
  <si>
    <t>Brandon Hopkins</t>
  </si>
  <si>
    <t>Henderson-Owens BV</t>
  </si>
  <si>
    <t>Testing Facility</t>
  </si>
  <si>
    <t>Megan Joyce</t>
  </si>
  <si>
    <t xml:space="preserve">  Brown Ltd </t>
  </si>
  <si>
    <t>Electronics</t>
  </si>
  <si>
    <t>Scott Wright</t>
  </si>
  <si>
    <t>Herrera and Sons Ltd</t>
  </si>
  <si>
    <t>Donald Wright</t>
  </si>
  <si>
    <t xml:space="preserve">  Ramos PLC </t>
  </si>
  <si>
    <t>Matthew Fernandez</t>
  </si>
  <si>
    <t>Novak and Sons</t>
  </si>
  <si>
    <t>John Lewis</t>
  </si>
  <si>
    <t xml:space="preserve">  Barrera-Martin </t>
  </si>
  <si>
    <t>James House</t>
  </si>
  <si>
    <t>Mitchell-Horton Ltd</t>
  </si>
  <si>
    <t>Rachel Stanley</t>
  </si>
  <si>
    <t xml:space="preserve">  Moore-Phillips Inc </t>
  </si>
  <si>
    <t>Lauren Daniels</t>
  </si>
  <si>
    <t>Edwards Williams and Woods Ltd</t>
  </si>
  <si>
    <t>Kim Brown</t>
  </si>
  <si>
    <t>C-1040</t>
  </si>
  <si>
    <t>Miller Lopez and Larson Pty Ltd</t>
  </si>
  <si>
    <t>Cynthia Wilson</t>
  </si>
  <si>
    <t>Sanchez Wheeler and Harvey BV</t>
  </si>
  <si>
    <t>Kevin Mills</t>
  </si>
  <si>
    <t xml:space="preserve">  Harris-Moran </t>
  </si>
  <si>
    <t>James Powers</t>
  </si>
  <si>
    <t>Bryant-Hickman</t>
  </si>
  <si>
    <t>Alexandra Howell</t>
  </si>
  <si>
    <t>Ferrell Jones and Lewis</t>
  </si>
  <si>
    <t>Timothy Ibarra</t>
  </si>
  <si>
    <t>Wood and Sons</t>
  </si>
  <si>
    <t>Joshua Turner</t>
  </si>
  <si>
    <t>Rice Contreras and Spe...</t>
  </si>
  <si>
    <t>Ashley Humphrey</t>
  </si>
  <si>
    <t>Wilson-Rodriguez GmbH</t>
  </si>
  <si>
    <t>Denise Jacobs</t>
  </si>
  <si>
    <t>Cooper Watts and Farrell Corp</t>
  </si>
  <si>
    <t>Danielle Odonnell</t>
  </si>
  <si>
    <t>Davis Group</t>
  </si>
  <si>
    <t>RESEARCH &amp; LABS</t>
  </si>
  <si>
    <t>LatAm</t>
  </si>
  <si>
    <t>Amanda Cook</t>
  </si>
  <si>
    <t>Walsh LLC Ltd</t>
  </si>
  <si>
    <t>On Hold</t>
  </si>
  <si>
    <t>Jeremy Thornton</t>
  </si>
  <si>
    <t>Smith Jones and Ware BV</t>
  </si>
  <si>
    <t>Kimberly Davenport</t>
  </si>
  <si>
    <t>Tran Jordan and Williams SA</t>
  </si>
  <si>
    <t>Timothy Stanton</t>
  </si>
  <si>
    <t>Nolan and Sons LLC</t>
  </si>
  <si>
    <t>Mary Gomez</t>
  </si>
  <si>
    <t>Henson Russell and Oliver BV</t>
  </si>
  <si>
    <t>Timothy Hancock</t>
  </si>
  <si>
    <t>Keith Inc</t>
  </si>
  <si>
    <t>Tim Patton</t>
  </si>
  <si>
    <t>Pham-Shields BV</t>
  </si>
  <si>
    <t>Debra Cobb</t>
  </si>
  <si>
    <t>Reyes Inc. Co</t>
  </si>
  <si>
    <t>Courtney Velasquez</t>
  </si>
  <si>
    <t>Bailey-Hoover</t>
  </si>
  <si>
    <t>Courtney Keller</t>
  </si>
  <si>
    <t>Murphy-Lin</t>
  </si>
  <si>
    <t>Diana May</t>
  </si>
  <si>
    <t xml:space="preserve">  Frazier-Anthony </t>
  </si>
  <si>
    <t>Alexander Wiley</t>
  </si>
  <si>
    <t>white-estes ag</t>
  </si>
  <si>
    <t>Brian Hamilton</t>
  </si>
  <si>
    <t>Hartman Graham and Joyce LLC</t>
  </si>
  <si>
    <t>Steven Lee</t>
  </si>
  <si>
    <t xml:space="preserve">  Fletcher Inc Co </t>
  </si>
  <si>
    <t>Renee Mcdaniel</t>
  </si>
  <si>
    <t>Mclaughlin Gonzalez and Reynolds Inc</t>
  </si>
  <si>
    <t>Tammie Hanson</t>
  </si>
  <si>
    <t>Charles Cortez and Evans</t>
  </si>
  <si>
    <t>Jason Powell</t>
  </si>
  <si>
    <t>Spencer-Lee</t>
  </si>
  <si>
    <t>Jamie Adkins</t>
  </si>
  <si>
    <t>Gilbert LLC LLC</t>
  </si>
  <si>
    <t>Roy Torres</t>
  </si>
  <si>
    <t>jordan plc</t>
  </si>
  <si>
    <t>Erica Ramos</t>
  </si>
  <si>
    <t xml:space="preserve">  Lewis Kennedy and Santana Co </t>
  </si>
  <si>
    <t>Carolyn Miller</t>
  </si>
  <si>
    <t xml:space="preserve">  Beck Harvey and Davis BV </t>
  </si>
  <si>
    <t>Cynthia Collins</t>
  </si>
  <si>
    <t>Hernandez Inc Corp</t>
  </si>
  <si>
    <t>John Atkinson</t>
  </si>
  <si>
    <t>Gibson Ltd Pty Ltd</t>
  </si>
  <si>
    <t>Michelle Cruz</t>
  </si>
  <si>
    <t>Sanchez-Douglas</t>
  </si>
  <si>
    <t>Paul Carrillo</t>
  </si>
  <si>
    <t>Osborne and Sons</t>
  </si>
  <si>
    <t>Tyler Holmes</t>
  </si>
  <si>
    <t>Grant Inc SA</t>
  </si>
  <si>
    <t>Robert Contreras</t>
  </si>
  <si>
    <t>Larson Dodson and Vance LLC</t>
  </si>
  <si>
    <t>Michelle Wagner</t>
  </si>
  <si>
    <t>Griffin Moore and Hensley Ltd</t>
  </si>
  <si>
    <t>Paul Larsen</t>
  </si>
  <si>
    <t>Cannon-Boyd Corp</t>
  </si>
  <si>
    <t>Denise Jones</t>
  </si>
  <si>
    <t>Young-Rogers</t>
  </si>
  <si>
    <t>Angela Hernandez</t>
  </si>
  <si>
    <t>Benson-Mccarthy AG</t>
  </si>
  <si>
    <t>Jason Daniels</t>
  </si>
  <si>
    <t>Brown-Wall</t>
  </si>
  <si>
    <t>Randy Shah</t>
  </si>
  <si>
    <t xml:space="preserve">  Gates PLC BV </t>
  </si>
  <si>
    <t>Aaron Bell</t>
  </si>
  <si>
    <t>Castaneda-Ashley Pty Limited</t>
  </si>
  <si>
    <t>Paul Payne</t>
  </si>
  <si>
    <t>$250,000</t>
  </si>
  <si>
    <t>Hurst Freeman and Nelson Inc</t>
  </si>
  <si>
    <t>Mr. Michael Yates</t>
  </si>
  <si>
    <t>Martin Mcdonald and Anderson BV</t>
  </si>
  <si>
    <t>Alyssa Long</t>
  </si>
  <si>
    <t>Alvarado Miller and Patterson AG</t>
  </si>
  <si>
    <t>Catherine Green</t>
  </si>
  <si>
    <t>Lewis-Murphy GmbH</t>
  </si>
  <si>
    <t>Jamie Walton</t>
  </si>
  <si>
    <t>King-Miller</t>
  </si>
  <si>
    <t>Joshua Cooke</t>
  </si>
  <si>
    <t>Walker-Jones</t>
  </si>
  <si>
    <t>Amanda Johnson</t>
  </si>
  <si>
    <t>Gonzalez Inc BV</t>
  </si>
  <si>
    <t>Cynthia Wells</t>
  </si>
  <si>
    <t xml:space="preserve">  Elliott and Sons AG </t>
  </si>
  <si>
    <t>David Wood</t>
  </si>
  <si>
    <t>Lawson Adkins and Wilson</t>
  </si>
  <si>
    <t>Traci Rodriguez</t>
  </si>
  <si>
    <t>Hickman PLC LLC</t>
  </si>
  <si>
    <t>Tina Sanders</t>
  </si>
  <si>
    <t>Gonzalez Vargas and Rivas Co</t>
  </si>
  <si>
    <t>Michael Turner</t>
  </si>
  <si>
    <t>Burke Martinez and Riggs Inc</t>
  </si>
  <si>
    <t>Hannah Patterson</t>
  </si>
  <si>
    <t>Jones-Holland Co</t>
  </si>
  <si>
    <t>Jason Henry</t>
  </si>
  <si>
    <t>Yu-Reid</t>
  </si>
  <si>
    <t>Pharmaceuticals</t>
  </si>
  <si>
    <t>Michelle Graham</t>
  </si>
  <si>
    <t>Boyd Santos and Gilbert</t>
  </si>
  <si>
    <t>Patricia Marshall</t>
  </si>
  <si>
    <t>vargas morris and sanchez pty ltd</t>
  </si>
  <si>
    <t>Diana Hayes</t>
  </si>
  <si>
    <t>Hudson-Barnett</t>
  </si>
  <si>
    <t>Johnny Nguyen</t>
  </si>
  <si>
    <t>Lewis-Salinas Corp</t>
  </si>
  <si>
    <t>Spencer Haynes</t>
  </si>
  <si>
    <t>Peters-Black Co</t>
  </si>
  <si>
    <t>David Russell</t>
  </si>
  <si>
    <t>Chang Vaughn and Brewer LLC</t>
  </si>
  <si>
    <t>Ricky Davis II</t>
  </si>
  <si>
    <t>Sanchez Beck and Wood SA</t>
  </si>
  <si>
    <t>Inactive</t>
  </si>
  <si>
    <t>Hailey Barajas</t>
  </si>
  <si>
    <t>Rivera Warner and Nelson</t>
  </si>
  <si>
    <t>Bryan Lee</t>
  </si>
  <si>
    <t>Newton Ltd BV</t>
  </si>
  <si>
    <t>Daniel Washington</t>
  </si>
  <si>
    <t>Lawrence Wolf and Carlson</t>
  </si>
  <si>
    <t>Dr. Elizabeth Ward</t>
  </si>
  <si>
    <t xml:space="preserve">  Smith-Ferguson </t>
  </si>
  <si>
    <t>William Tran</t>
  </si>
  <si>
    <t>Raymond Little and Mullins</t>
  </si>
  <si>
    <t>Adam Mitchell</t>
  </si>
  <si>
    <t>Alexander-Lopez</t>
  </si>
  <si>
    <t>Todd Woods</t>
  </si>
  <si>
    <t>Morales Inc Corp</t>
  </si>
  <si>
    <t>Melissa Hernandez</t>
  </si>
  <si>
    <t>Avery Miller and Wright Co</t>
  </si>
  <si>
    <t>Jennifer Carlson</t>
  </si>
  <si>
    <t>Perez Mills and Hayes</t>
  </si>
  <si>
    <t>Scott Branch</t>
  </si>
  <si>
    <t>carroll-brown</t>
  </si>
  <si>
    <t>Annette Farmer</t>
  </si>
  <si>
    <t>C-1115</t>
  </si>
  <si>
    <t>Clark Guerrero and Moore GmbH</t>
  </si>
  <si>
    <t>Benjamin Smith</t>
  </si>
  <si>
    <t xml:space="preserve">  Norris-Harrison Pty Ltd </t>
  </si>
  <si>
    <t>Dwayne Campbell</t>
  </si>
  <si>
    <t xml:space="preserve">  Jones-Hall SA </t>
  </si>
  <si>
    <t>Rick Lawrence</t>
  </si>
  <si>
    <t>coleman plc</t>
  </si>
  <si>
    <t>Chase Baker</t>
  </si>
  <si>
    <t>Jones and Sons BV</t>
  </si>
  <si>
    <t>Linda Holloway</t>
  </si>
  <si>
    <t>Gonzales-Harrison Corp</t>
  </si>
  <si>
    <t>James Nelson</t>
  </si>
  <si>
    <t>Snyder Miller and Williams</t>
  </si>
  <si>
    <t>Frank Wright</t>
  </si>
  <si>
    <t>Perez Ltd SA</t>
  </si>
  <si>
    <t>Laura Sampson</t>
  </si>
  <si>
    <t>C-1123</t>
  </si>
  <si>
    <t>Underwood Johnston and Hines Inc</t>
  </si>
  <si>
    <t>Joseph Ramos</t>
  </si>
  <si>
    <t>$500,000</t>
  </si>
  <si>
    <t>White-Richards Inc</t>
  </si>
  <si>
    <t>Katherine Davis</t>
  </si>
  <si>
    <t xml:space="preserve">  Ortiz-Morris LLC </t>
  </si>
  <si>
    <t>Christopher Jenkins</t>
  </si>
  <si>
    <t>Roberts-Landry AG</t>
  </si>
  <si>
    <t>Krista Gibson</t>
  </si>
  <si>
    <t xml:space="preserve">  king-wilson </t>
  </si>
  <si>
    <t>Sharon Bryan</t>
  </si>
  <si>
    <t xml:space="preserve">  Sandoval PLC </t>
  </si>
  <si>
    <t>Anthony Stone</t>
  </si>
  <si>
    <t>Avila Garrett and Wolf</t>
  </si>
  <si>
    <t>Joshua Pennington</t>
  </si>
  <si>
    <t>Gilmore-Washington</t>
  </si>
  <si>
    <t>Mark Lloyd</t>
  </si>
  <si>
    <t>Moore Pierce and Tran SA</t>
  </si>
  <si>
    <t>Willie Durham</t>
  </si>
  <si>
    <t>Valentine-Holland</t>
  </si>
  <si>
    <t>Timothy Carter</t>
  </si>
  <si>
    <t>Hill Davenport and Baird Corp</t>
  </si>
  <si>
    <t>Juan Reyes</t>
  </si>
  <si>
    <t>Romero Suarez and Shields</t>
  </si>
  <si>
    <t>Richard Perry</t>
  </si>
  <si>
    <t>Adams Smith and Barber BV</t>
  </si>
  <si>
    <t>Lauren Keller</t>
  </si>
  <si>
    <t>Griffin Group LLC</t>
  </si>
  <si>
    <t>Juan Daniels</t>
  </si>
  <si>
    <t>cantu-kane llc</t>
  </si>
  <si>
    <t>Mrs. Janet Chase</t>
  </si>
  <si>
    <t xml:space="preserve">  Williams-Garner Corp </t>
  </si>
  <si>
    <t>Roberta Hughes</t>
  </si>
  <si>
    <t>Sparks Pearson and Hernandez AG</t>
  </si>
  <si>
    <t>Beth Sanford</t>
  </si>
  <si>
    <t>Kane-Sawyer</t>
  </si>
  <si>
    <t>Joseph Bryant</t>
  </si>
  <si>
    <t>Thomas Pitts and Booker</t>
  </si>
  <si>
    <t>Richard Baker</t>
  </si>
  <si>
    <t>Schwartz Santos and Christian</t>
  </si>
  <si>
    <t>Shannon James</t>
  </si>
  <si>
    <t>Sims-Clay GmbH</t>
  </si>
  <si>
    <t>Joshua Williamson II</t>
  </si>
  <si>
    <t>Mccall Bright and Francis Pty Ltd</t>
  </si>
  <si>
    <t>Brett Schultz</t>
  </si>
  <si>
    <t xml:space="preserve">  Wallace Ltd </t>
  </si>
  <si>
    <t>Allen Nguyen</t>
  </si>
  <si>
    <t>Carter LLC AG</t>
  </si>
  <si>
    <t>David Jenkins</t>
  </si>
  <si>
    <t>Sparks Jackson and Miller Co</t>
  </si>
  <si>
    <t>Lisa Allen</t>
  </si>
  <si>
    <t>Thomas Murray and King...</t>
  </si>
  <si>
    <t>Adam Ballard</t>
  </si>
  <si>
    <t>Byrd-Moore AG</t>
  </si>
  <si>
    <t>Gregory Matthews</t>
  </si>
  <si>
    <t>Hayden Vaughn and Bryant Corp</t>
  </si>
  <si>
    <t>Zachary Castaneda</t>
  </si>
  <si>
    <t>Young PLC</t>
  </si>
  <si>
    <t>Edward Lyons</t>
  </si>
  <si>
    <t xml:space="preserve">  Spence Ltd </t>
  </si>
  <si>
    <t>Adam Grimes</t>
  </si>
  <si>
    <t xml:space="preserve">  Beltran Lozano and Mcgee Pty Ltd </t>
  </si>
  <si>
    <t>Stephanie Parsons</t>
  </si>
  <si>
    <t>Lawson LLC GmbH</t>
  </si>
  <si>
    <t>Connor King</t>
  </si>
  <si>
    <t>Saunders Becker and Taylor Pty Ltd</t>
  </si>
  <si>
    <t>Mark Williams</t>
  </si>
  <si>
    <t>Johnson-Diaz</t>
  </si>
  <si>
    <t>Theodore Murphy</t>
  </si>
  <si>
    <t xml:space="preserve">  Thompson-Anderson Inc </t>
  </si>
  <si>
    <t>Valerie Schmidt</t>
  </si>
  <si>
    <t>Rivas-Scott Pty Ltd</t>
  </si>
  <si>
    <t>Karen Drake</t>
  </si>
  <si>
    <t>Harrell Brock and Mcdonald BV</t>
  </si>
  <si>
    <t>Paul Perez</t>
  </si>
  <si>
    <t>Ramsey Whitney and Coffey Ltd</t>
  </si>
  <si>
    <t>Holly Gibbs</t>
  </si>
  <si>
    <t>Baker Inc Co</t>
  </si>
  <si>
    <t>Michael Chambers</t>
  </si>
  <si>
    <t>James Little and Watson LLC</t>
  </si>
  <si>
    <t>Kaitlyn Harvey</t>
  </si>
  <si>
    <t>Murphy Bishop and Holland LLC</t>
  </si>
  <si>
    <t>Julie Haynes</t>
  </si>
  <si>
    <t>ortiz taylor and shah llc</t>
  </si>
  <si>
    <t>Johnathan Davis</t>
  </si>
  <si>
    <t>Taylor Chavez and Santiago</t>
  </si>
  <si>
    <t>Theresa Barnes</t>
  </si>
  <si>
    <t xml:space="preserve">  Barber Mcclure and Pena Co </t>
  </si>
  <si>
    <t>Lisa Crosby</t>
  </si>
  <si>
    <t xml:space="preserve">  Johnson-Wood </t>
  </si>
  <si>
    <t>Trevor Foley</t>
  </si>
  <si>
    <t>Pollard LLC LLC</t>
  </si>
  <si>
    <t>Vanessa Howard</t>
  </si>
  <si>
    <t>Hill-Donaldson</t>
  </si>
  <si>
    <t>Samantha Davis</t>
  </si>
  <si>
    <t>May PLC</t>
  </si>
  <si>
    <t>Amber Cook</t>
  </si>
  <si>
    <t>Buchanan and Sons</t>
  </si>
  <si>
    <t>Phillip Clark</t>
  </si>
  <si>
    <t>Li and Sons AG</t>
  </si>
  <si>
    <t>Charles Lester</t>
  </si>
  <si>
    <t>Ramirez and Sons LLC</t>
  </si>
  <si>
    <t>Ms. Rebecca Rodriguez</t>
  </si>
  <si>
    <t>Anderson LLC BV</t>
  </si>
  <si>
    <t>Cynthia Morris</t>
  </si>
  <si>
    <t>Baker and Sons</t>
  </si>
  <si>
    <t>Kelly Reese</t>
  </si>
  <si>
    <t>West-Cox</t>
  </si>
  <si>
    <t>Jodi Walker</t>
  </si>
  <si>
    <t xml:space="preserve">  williams logan and camacho </t>
  </si>
  <si>
    <t>Judith Maynard</t>
  </si>
  <si>
    <t>Lutz Group</t>
  </si>
  <si>
    <t>Brian Joseph</t>
  </si>
  <si>
    <t>Jones-Miller LLC</t>
  </si>
  <si>
    <t>Ana Hill</t>
  </si>
  <si>
    <t xml:space="preserve">  Richards Joseph and James </t>
  </si>
  <si>
    <t>Elizabeth Wagner</t>
  </si>
  <si>
    <t>Garcia-Miles</t>
  </si>
  <si>
    <t>Marilyn Mack</t>
  </si>
  <si>
    <t>Glenn Jordan and Beasley GmbH</t>
  </si>
  <si>
    <t>Ronald Ross</t>
  </si>
  <si>
    <t>Davis Simmons and Ortega SA</t>
  </si>
  <si>
    <t>Christian Leblanc</t>
  </si>
  <si>
    <t>Davis Inc LLC</t>
  </si>
  <si>
    <t>Brent Rodgers</t>
  </si>
  <si>
    <t>C-1185</t>
  </si>
  <si>
    <t>Hawkins PLC</t>
  </si>
  <si>
    <t>Kristina Santiago</t>
  </si>
  <si>
    <t>ProductName</t>
  </si>
  <si>
    <t>Category</t>
  </si>
  <si>
    <t>Family</t>
  </si>
  <si>
    <t>BU</t>
  </si>
  <si>
    <t>StdVarCost</t>
  </si>
  <si>
    <t>StdFixedAlloc</t>
  </si>
  <si>
    <t>AetherProbe XT-200 Temp. Sensor</t>
  </si>
  <si>
    <t>SENSORS</t>
  </si>
  <si>
    <t>Temperature</t>
  </si>
  <si>
    <t>AetherProbe XT450 Pressure Trans.</t>
  </si>
  <si>
    <t>Sensors</t>
  </si>
  <si>
    <t>Pressure</t>
  </si>
  <si>
    <t>VibraSense Pro Vibration Analyzer</t>
  </si>
  <si>
    <t>Instruments</t>
  </si>
  <si>
    <t>Vibration</t>
  </si>
  <si>
    <t>FlowMaster Ultrasonic Flow Meter</t>
  </si>
  <si>
    <t>Flow</t>
  </si>
  <si>
    <t xml:space="preserve"> ThermoGuard Multi-Point RTD Array  </t>
  </si>
  <si>
    <t>AetherProbe XT100 Entry Temp Sensor</t>
  </si>
  <si>
    <t>PressureGuard Industrial DP Transmitter</t>
  </si>
  <si>
    <t>pressure</t>
  </si>
  <si>
    <t>VibraSense Lite Portable Analyzer</t>
  </si>
  <si>
    <t xml:space="preserve"> AetherView Analytics Plat. - Std  </t>
  </si>
  <si>
    <t>Software</t>
  </si>
  <si>
    <t>Analytics Platform</t>
  </si>
  <si>
    <t>AetherView Analytics Platform Enterprise</t>
  </si>
  <si>
    <t>ConditionIQ Predictive Module</t>
  </si>
  <si>
    <t>Predictive Modules</t>
  </si>
  <si>
    <t>AssetHealth Dashboard License</t>
  </si>
  <si>
    <t>Dashboards</t>
  </si>
  <si>
    <t>AetherConnect API Integration Pack</t>
  </si>
  <si>
    <t>Software / Integration</t>
  </si>
  <si>
    <t>Integration</t>
  </si>
  <si>
    <t xml:space="preserve"> On-Site Commissioning &amp; Calibration  </t>
  </si>
  <si>
    <t>Services</t>
  </si>
  <si>
    <t>Commissioning</t>
  </si>
  <si>
    <t>Annual Maint. Contract - Standard</t>
  </si>
  <si>
    <t>Maintenance</t>
  </si>
  <si>
    <t xml:space="preserve"> Annual Maintenance Contract - Premium  </t>
  </si>
  <si>
    <t>Emergency Response Call-Out</t>
  </si>
  <si>
    <t>SERVICES</t>
  </si>
  <si>
    <t>Emergency</t>
  </si>
  <si>
    <t>Training Workshop - Operator Level</t>
  </si>
  <si>
    <t>Training</t>
  </si>
  <si>
    <t>Remote Diagnostics Support (Annual)</t>
  </si>
  <si>
    <t>Support</t>
  </si>
  <si>
    <t>CostID</t>
  </si>
  <si>
    <t>Period</t>
  </si>
  <si>
    <t>CostCategory</t>
  </si>
  <si>
    <t>CostType</t>
  </si>
  <si>
    <t>StandardCost</t>
  </si>
  <si>
    <t>ActualCost</t>
  </si>
  <si>
    <t>CostCenter</t>
  </si>
  <si>
    <t>Notes</t>
  </si>
  <si>
    <t>COST-5001</t>
  </si>
  <si>
    <t>2025-01</t>
  </si>
  <si>
    <t>variable cogs</t>
  </si>
  <si>
    <t>Variable</t>
  </si>
  <si>
    <t>SI</t>
  </si>
  <si>
    <t>COST-5002</t>
  </si>
  <si>
    <t>Fixed Allocation</t>
  </si>
  <si>
    <t>Fixed</t>
  </si>
  <si>
    <t>COST-5003</t>
  </si>
  <si>
    <t>Variable COGS</t>
  </si>
  <si>
    <t>COST-5004</t>
  </si>
  <si>
    <t>COST-5005</t>
  </si>
  <si>
    <t>COST-5006</t>
  </si>
  <si>
    <t>COST-5007</t>
  </si>
  <si>
    <t>COST-5008</t>
  </si>
  <si>
    <t>fixed allocation</t>
  </si>
  <si>
    <t>COST-5009</t>
  </si>
  <si>
    <t>COST-5010</t>
  </si>
  <si>
    <t>COST-5011</t>
  </si>
  <si>
    <t>COST-5012</t>
  </si>
  <si>
    <t>COST-5013</t>
  </si>
  <si>
    <t>COST-5014</t>
  </si>
  <si>
    <t>COST-5015</t>
  </si>
  <si>
    <t>COST-5016</t>
  </si>
  <si>
    <t>70.77</t>
  </si>
  <si>
    <t>COST-5017</t>
  </si>
  <si>
    <t>SA</t>
  </si>
  <si>
    <t>COST-5018</t>
  </si>
  <si>
    <t>COST-5019</t>
  </si>
  <si>
    <t>COST-5020</t>
  </si>
  <si>
    <t>COST-5021</t>
  </si>
  <si>
    <t>COST-5022</t>
  </si>
  <si>
    <t>COST-5023</t>
  </si>
  <si>
    <t>COST-5024</t>
  </si>
  <si>
    <t>COST-5025</t>
  </si>
  <si>
    <t>COST-5026</t>
  </si>
  <si>
    <t>COST-5027</t>
  </si>
  <si>
    <t>FS</t>
  </si>
  <si>
    <t>COST-5028</t>
  </si>
  <si>
    <t>COST-5029</t>
  </si>
  <si>
    <t>COST-5030</t>
  </si>
  <si>
    <t>COST-5031</t>
  </si>
  <si>
    <t>COST-5032</t>
  </si>
  <si>
    <t>COST-5033</t>
  </si>
  <si>
    <t>COST-5034</t>
  </si>
  <si>
    <t>COST-5035</t>
  </si>
  <si>
    <t>COST-5036</t>
  </si>
  <si>
    <t>COST-5037</t>
  </si>
  <si>
    <t>COST-5038</t>
  </si>
  <si>
    <t>COST-5039</t>
  </si>
  <si>
    <t>2025-02</t>
  </si>
  <si>
    <t>COST-5040</t>
  </si>
  <si>
    <t>COST-5041</t>
  </si>
  <si>
    <t>COST-5042</t>
  </si>
  <si>
    <t>COST-5043</t>
  </si>
  <si>
    <t>COST-5044</t>
  </si>
  <si>
    <t>COST-5045</t>
  </si>
  <si>
    <t>COST-5046</t>
  </si>
  <si>
    <t>COST-5047</t>
  </si>
  <si>
    <t>COST-5048</t>
  </si>
  <si>
    <t>COST-5049</t>
  </si>
  <si>
    <t>COST-5050</t>
  </si>
  <si>
    <t>COST-5051</t>
  </si>
  <si>
    <t>COST-5052</t>
  </si>
  <si>
    <t>COST-5053</t>
  </si>
  <si>
    <t>COST-5054</t>
  </si>
  <si>
    <t>COST-5055</t>
  </si>
  <si>
    <t>COST-5056</t>
  </si>
  <si>
    <t>COST-5057</t>
  </si>
  <si>
    <t>COST-5058</t>
  </si>
  <si>
    <t>COST-5059</t>
  </si>
  <si>
    <t>COST-5060</t>
  </si>
  <si>
    <t>COST-5061</t>
  </si>
  <si>
    <t>COST-5062</t>
  </si>
  <si>
    <t>COST-5063</t>
  </si>
  <si>
    <t>COST-5064</t>
  </si>
  <si>
    <t>COST-5065</t>
  </si>
  <si>
    <t>COST-5066</t>
  </si>
  <si>
    <t>COST-5067</t>
  </si>
  <si>
    <t>COST-5068</t>
  </si>
  <si>
    <t>COST-5069</t>
  </si>
  <si>
    <t>COST-5070</t>
  </si>
  <si>
    <t>2025/02</t>
  </si>
  <si>
    <t>COST-5071</t>
  </si>
  <si>
    <t>COST-5072</t>
  </si>
  <si>
    <t>COST-5073</t>
  </si>
  <si>
    <t>COST-5074</t>
  </si>
  <si>
    <t>COST-5075</t>
  </si>
  <si>
    <t>COST-5076</t>
  </si>
  <si>
    <t>COST-5077</t>
  </si>
  <si>
    <t>2025-03</t>
  </si>
  <si>
    <t>195.26</t>
  </si>
  <si>
    <t>COST-5078</t>
  </si>
  <si>
    <t>COST-5079</t>
  </si>
  <si>
    <t>COST-5080</t>
  </si>
  <si>
    <t>COST-5081</t>
  </si>
  <si>
    <t>COST-5082</t>
  </si>
  <si>
    <t>COST-5083</t>
  </si>
  <si>
    <t>COST-5084</t>
  </si>
  <si>
    <t>COST-5085</t>
  </si>
  <si>
    <t>COST-5086</t>
  </si>
  <si>
    <t>COST-5087</t>
  </si>
  <si>
    <t>COST-5088</t>
  </si>
  <si>
    <t>COST-5089</t>
  </si>
  <si>
    <t>COST-5090</t>
  </si>
  <si>
    <t>COST-5091</t>
  </si>
  <si>
    <t>COST-5092</t>
  </si>
  <si>
    <t>COST-5093</t>
  </si>
  <si>
    <t>COST-5094</t>
  </si>
  <si>
    <t>COST-5095</t>
  </si>
  <si>
    <t>COST-5096</t>
  </si>
  <si>
    <t>COST-5097</t>
  </si>
  <si>
    <t>COST-5098</t>
  </si>
  <si>
    <t>COST-5099</t>
  </si>
  <si>
    <t>COST-5100</t>
  </si>
  <si>
    <t>COST-5101</t>
  </si>
  <si>
    <t>COST-5102</t>
  </si>
  <si>
    <t>COST-5103</t>
  </si>
  <si>
    <t>COST-5104</t>
  </si>
  <si>
    <t>COST-5105</t>
  </si>
  <si>
    <t>COST-5106</t>
  </si>
  <si>
    <t>COST-5107</t>
  </si>
  <si>
    <t>COST-5108</t>
  </si>
  <si>
    <t>COST-5109</t>
  </si>
  <si>
    <t>COST-5110</t>
  </si>
  <si>
    <t>COST-5111</t>
  </si>
  <si>
    <t>COST-5112</t>
  </si>
  <si>
    <t>COST-5113</t>
  </si>
  <si>
    <t>COST-5114</t>
  </si>
  <si>
    <t>COST-5115</t>
  </si>
  <si>
    <t>2025-04</t>
  </si>
  <si>
    <t>185.52</t>
  </si>
  <si>
    <t>COST-5116</t>
  </si>
  <si>
    <t>COST-5117</t>
  </si>
  <si>
    <t>COST-5118</t>
  </si>
  <si>
    <t>COST-5119</t>
  </si>
  <si>
    <t>COST-5120</t>
  </si>
  <si>
    <t>COST-5121</t>
  </si>
  <si>
    <t>COST-5122</t>
  </si>
  <si>
    <t>COST-5123</t>
  </si>
  <si>
    <t>COST-5124</t>
  </si>
  <si>
    <t>COST-5125</t>
  </si>
  <si>
    <t>COST-5126</t>
  </si>
  <si>
    <t>COST-5127</t>
  </si>
  <si>
    <t>COST-5128</t>
  </si>
  <si>
    <t>COST-5129</t>
  </si>
  <si>
    <t>COST-5130</t>
  </si>
  <si>
    <t>COST-5131</t>
  </si>
  <si>
    <t>COST-5132</t>
  </si>
  <si>
    <t>COST-5133</t>
  </si>
  <si>
    <t>COST-5134</t>
  </si>
  <si>
    <t>COST-5135</t>
  </si>
  <si>
    <t>COST-5136</t>
  </si>
  <si>
    <t>COST-5137</t>
  </si>
  <si>
    <t>COST-5138</t>
  </si>
  <si>
    <t>COST-5139</t>
  </si>
  <si>
    <t>COST-5140</t>
  </si>
  <si>
    <t>257.27</t>
  </si>
  <si>
    <t>COST-5141</t>
  </si>
  <si>
    <t>COST-5142</t>
  </si>
  <si>
    <t>COST-5143</t>
  </si>
  <si>
    <t>2025/04</t>
  </si>
  <si>
    <t>COST-5144</t>
  </si>
  <si>
    <t>COST-5145</t>
  </si>
  <si>
    <t>COST-5146</t>
  </si>
  <si>
    <t>COST-5147</t>
  </si>
  <si>
    <t>COST-5148</t>
  </si>
  <si>
    <t>350.82</t>
  </si>
  <si>
    <t>COST-5149</t>
  </si>
  <si>
    <t>COST-5150</t>
  </si>
  <si>
    <t>COST-5151</t>
  </si>
  <si>
    <t>COST-5152</t>
  </si>
  <si>
    <t>COST-5153</t>
  </si>
  <si>
    <t>2025-05</t>
  </si>
  <si>
    <t>188.04</t>
  </si>
  <si>
    <t>COST-5154</t>
  </si>
  <si>
    <t>COST-5155</t>
  </si>
  <si>
    <t>COST-5156</t>
  </si>
  <si>
    <t>COST-5157</t>
  </si>
  <si>
    <t>COST-5158</t>
  </si>
  <si>
    <t>COST-5159</t>
  </si>
  <si>
    <t>COST-5160</t>
  </si>
  <si>
    <t>COST-5161</t>
  </si>
  <si>
    <t>COST-5162</t>
  </si>
  <si>
    <t>COST-5163</t>
  </si>
  <si>
    <t>99.61</t>
  </si>
  <si>
    <t>COST-5164</t>
  </si>
  <si>
    <t>COST-5165</t>
  </si>
  <si>
    <t>COST-5166</t>
  </si>
  <si>
    <t>COST-5167</t>
  </si>
  <si>
    <t>COST-5168</t>
  </si>
  <si>
    <t>COST-5169</t>
  </si>
  <si>
    <t>COST-5170</t>
  </si>
  <si>
    <t>COST-5171</t>
  </si>
  <si>
    <t>COST-5172</t>
  </si>
  <si>
    <t>2025/05</t>
  </si>
  <si>
    <t>COST-5173</t>
  </si>
  <si>
    <t>COST-5174</t>
  </si>
  <si>
    <t>COST-5175</t>
  </si>
  <si>
    <t>COST-5176</t>
  </si>
  <si>
    <t>COST-5177</t>
  </si>
  <si>
    <t>COST-5178</t>
  </si>
  <si>
    <t>COST-5179</t>
  </si>
  <si>
    <t>1,153.56</t>
  </si>
  <si>
    <t>COST-5180</t>
  </si>
  <si>
    <t>COST-5181</t>
  </si>
  <si>
    <t>COST-5182</t>
  </si>
  <si>
    <t>COST-5183</t>
  </si>
  <si>
    <t>COST-5184</t>
  </si>
  <si>
    <t>COST-5185</t>
  </si>
  <si>
    <t>COST-5186</t>
  </si>
  <si>
    <t>COST-5187</t>
  </si>
  <si>
    <t>COST-5188</t>
  </si>
  <si>
    <t>COST-5189</t>
  </si>
  <si>
    <t>COST-5190</t>
  </si>
  <si>
    <t>COST-5191</t>
  </si>
  <si>
    <t>2025/06</t>
  </si>
  <si>
    <t>COST-5192</t>
  </si>
  <si>
    <t>2025-06</t>
  </si>
  <si>
    <t>COST-5193</t>
  </si>
  <si>
    <t>COST-5194</t>
  </si>
  <si>
    <t>COST-5195</t>
  </si>
  <si>
    <t>COST-5196</t>
  </si>
  <si>
    <t>COST-5197</t>
  </si>
  <si>
    <t>COST-5198</t>
  </si>
  <si>
    <t>COST-5199</t>
  </si>
  <si>
    <t>COST-5200</t>
  </si>
  <si>
    <t>COST-5201</t>
  </si>
  <si>
    <t>COST-5202</t>
  </si>
  <si>
    <t>COST-5203</t>
  </si>
  <si>
    <t>COST-5204</t>
  </si>
  <si>
    <t>COST-5205</t>
  </si>
  <si>
    <t>408.48</t>
  </si>
  <si>
    <t>COST-5206</t>
  </si>
  <si>
    <t>COST-5207</t>
  </si>
  <si>
    <t>COST-5208</t>
  </si>
  <si>
    <t>COST-5209</t>
  </si>
  <si>
    <t>COST-5210</t>
  </si>
  <si>
    <t>731.37</t>
  </si>
  <si>
    <t>COST-5211</t>
  </si>
  <si>
    <t>COST-5212</t>
  </si>
  <si>
    <t>COST-5213</t>
  </si>
  <si>
    <t>COST-5214</t>
  </si>
  <si>
    <t>COST-5215</t>
  </si>
  <si>
    <t>COST-5216</t>
  </si>
  <si>
    <t>COST-5217</t>
  </si>
  <si>
    <t>COST-5218</t>
  </si>
  <si>
    <t>COST-5219</t>
  </si>
  <si>
    <t>COST-5220</t>
  </si>
  <si>
    <t>COST-5221</t>
  </si>
  <si>
    <t>COST-5222</t>
  </si>
  <si>
    <t>COST-5223</t>
  </si>
  <si>
    <t>COST-5224</t>
  </si>
  <si>
    <t>COST-5225</t>
  </si>
  <si>
    <t>COST-5226</t>
  </si>
  <si>
    <t>COST-5227</t>
  </si>
  <si>
    <t>COST-5228</t>
  </si>
  <si>
    <t>COST-5229</t>
  </si>
  <si>
    <t>Regional Sales Overhead</t>
  </si>
  <si>
    <t>North America overhead</t>
  </si>
  <si>
    <t>COST-5230</t>
  </si>
  <si>
    <t>Shared R&amp;D Allocation</t>
  </si>
  <si>
    <t>COST-5231</t>
  </si>
  <si>
    <t>Logistics &amp; Distribution</t>
  </si>
  <si>
    <t>COST-5232</t>
  </si>
  <si>
    <t>Quality Assurance</t>
  </si>
  <si>
    <t>COST-5233</t>
  </si>
  <si>
    <t>EM</t>
  </si>
  <si>
    <t>EMEA overhead</t>
  </si>
  <si>
    <t>COST-5234</t>
  </si>
  <si>
    <t>COST-5235</t>
  </si>
  <si>
    <t>COST-5236</t>
  </si>
  <si>
    <t>COST-5237</t>
  </si>
  <si>
    <t>AP</t>
  </si>
  <si>
    <t>APAC overhead</t>
  </si>
  <si>
    <t>COST-5238</t>
  </si>
  <si>
    <t>COST-5239</t>
  </si>
  <si>
    <t>COST-5240</t>
  </si>
  <si>
    <t>2025/01</t>
  </si>
  <si>
    <t>12,051.66</t>
  </si>
  <si>
    <t>COST-5241</t>
  </si>
  <si>
    <t>LA</t>
  </si>
  <si>
    <t>Latin America overhead</t>
  </si>
  <si>
    <t>COST-5242</t>
  </si>
  <si>
    <t>COST-5243</t>
  </si>
  <si>
    <t>COST-5244</t>
  </si>
  <si>
    <t>COST-5245</t>
  </si>
  <si>
    <t>COST-5246</t>
  </si>
  <si>
    <t>COST-5247</t>
  </si>
  <si>
    <t>COST-5248</t>
  </si>
  <si>
    <t>COST-5249</t>
  </si>
  <si>
    <t>COST-5250</t>
  </si>
  <si>
    <t>COST-5251</t>
  </si>
  <si>
    <t>COST-5252</t>
  </si>
  <si>
    <t>10,713.98</t>
  </si>
  <si>
    <t>COST-5253</t>
  </si>
  <si>
    <t>COST-5254</t>
  </si>
  <si>
    <t>COST-5255</t>
  </si>
  <si>
    <t>COST-5256</t>
  </si>
  <si>
    <t>COST-5257</t>
  </si>
  <si>
    <t>regional sales overhead</t>
  </si>
  <si>
    <t>COST-5258</t>
  </si>
  <si>
    <t>COST-5259</t>
  </si>
  <si>
    <t>COST-5260</t>
  </si>
  <si>
    <t>COST-5261</t>
  </si>
  <si>
    <t>COST-5262</t>
  </si>
  <si>
    <t>COST-5263</t>
  </si>
  <si>
    <t>logistics &amp; distribution</t>
  </si>
  <si>
    <t>COST-5264</t>
  </si>
  <si>
    <t>COST-5265</t>
  </si>
  <si>
    <t>COST-5266</t>
  </si>
  <si>
    <t>COST-5267</t>
  </si>
  <si>
    <t>COST-5268</t>
  </si>
  <si>
    <t>COST-5269</t>
  </si>
  <si>
    <t>COST-5270</t>
  </si>
  <si>
    <t>COST-5271</t>
  </si>
  <si>
    <t>COST-5272</t>
  </si>
  <si>
    <t>COST-5273</t>
  </si>
  <si>
    <t>COST-5274</t>
  </si>
  <si>
    <t>COST-5275</t>
  </si>
  <si>
    <t>COST-5276</t>
  </si>
  <si>
    <t>COST-5277</t>
  </si>
  <si>
    <t>COST-5278</t>
  </si>
  <si>
    <t>shared r&amp;d allocation</t>
  </si>
  <si>
    <t>COST-5279</t>
  </si>
  <si>
    <t>COST-5280</t>
  </si>
  <si>
    <t>COST-5281</t>
  </si>
  <si>
    <t>COST-5282</t>
  </si>
  <si>
    <t>COST-5283</t>
  </si>
  <si>
    <t>COST-5284</t>
  </si>
  <si>
    <t>COST-5285</t>
  </si>
  <si>
    <t>COST-5286</t>
  </si>
  <si>
    <t>COST-5287</t>
  </si>
  <si>
    <t>COST-5288</t>
  </si>
  <si>
    <t>quality assurance</t>
  </si>
  <si>
    <t>COST-5289</t>
  </si>
  <si>
    <t>COST-5290</t>
  </si>
  <si>
    <t>COST-5291</t>
  </si>
  <si>
    <t>COST-5292</t>
  </si>
  <si>
    <t>COST-5293</t>
  </si>
  <si>
    <t>COST-5294</t>
  </si>
  <si>
    <t>COST-5295</t>
  </si>
  <si>
    <t>COST-5296</t>
  </si>
  <si>
    <t>COST-5297</t>
  </si>
  <si>
    <t>COST-5298</t>
  </si>
  <si>
    <t>COST-5299</t>
  </si>
  <si>
    <t>COST-5300</t>
  </si>
  <si>
    <t>COST-5301</t>
  </si>
  <si>
    <t>COST-5302</t>
  </si>
  <si>
    <t>COST-5303</t>
  </si>
  <si>
    <t>16,003.62</t>
  </si>
  <si>
    <t>COST-5304</t>
  </si>
  <si>
    <t>COST-5305</t>
  </si>
  <si>
    <t>COST-5306</t>
  </si>
  <si>
    <t>COST-5307</t>
  </si>
  <si>
    <t>11,696.44</t>
  </si>
  <si>
    <t>COST-5308</t>
  </si>
  <si>
    <t>8,406.70</t>
  </si>
  <si>
    <t>COST-5309</t>
  </si>
  <si>
    <t>COST-5310</t>
  </si>
  <si>
    <t>COST-5311</t>
  </si>
  <si>
    <t>COST-5312</t>
  </si>
  <si>
    <t>COST-5313</t>
  </si>
  <si>
    <t>COST-5314</t>
  </si>
  <si>
    <t>COST-5315</t>
  </si>
  <si>
    <t>COST-5316</t>
  </si>
  <si>
    <t>COST-5317</t>
  </si>
  <si>
    <t>COST-5318</t>
  </si>
  <si>
    <t>COST-5319</t>
  </si>
  <si>
    <t>10,411.15</t>
  </si>
  <si>
    <t>COST-5320</t>
  </si>
  <si>
    <t>COST-5321</t>
  </si>
  <si>
    <t>COST-5322</t>
  </si>
  <si>
    <t>COST-5323</t>
  </si>
  <si>
    <t>COST-5324</t>
  </si>
  <si>
    <t>BudgetID</t>
  </si>
  <si>
    <t>RevenueBudget</t>
  </si>
  <si>
    <t>VariableCostBudget</t>
  </si>
  <si>
    <t>FixedCostBudget</t>
  </si>
  <si>
    <t>ContributionProfitTarget</t>
  </si>
  <si>
    <t>OperatingProfitTarget</t>
  </si>
  <si>
    <t>Version</t>
  </si>
  <si>
    <t>BUD-2025-01-SI-NA</t>
  </si>
  <si>
    <t>Board Approved H1 2025</t>
  </si>
  <si>
    <t>BUD-2025-01-SI-EM</t>
  </si>
  <si>
    <t>BUD-2025-01-SI-AP</t>
  </si>
  <si>
    <t>BUD-2025-01-SI-LA</t>
  </si>
  <si>
    <t>BUD-2025-01-SA-NA</t>
  </si>
  <si>
    <t>BUD-2025-01-SA-EM</t>
  </si>
  <si>
    <t>BUD-2025-01-SA-AP</t>
  </si>
  <si>
    <t>BUD-2025-01-SA-LA</t>
  </si>
  <si>
    <t>BUD-2025-01-FS-NA</t>
  </si>
  <si>
    <t>BUD-2025-01-FS-EM</t>
  </si>
  <si>
    <t>BUD-2025-01-FS-AP</t>
  </si>
  <si>
    <t>BUD-2025-01-FS-LA</t>
  </si>
  <si>
    <t>BUD-2025-02-SI-NA</t>
  </si>
  <si>
    <t>BUD-2025-02-SI-EM</t>
  </si>
  <si>
    <t>BUD-2025-02-SI-AP</t>
  </si>
  <si>
    <t>BUD-2025-02-SI-LA</t>
  </si>
  <si>
    <t>BUD-2025-02-SA-NA</t>
  </si>
  <si>
    <t>BUD-2025-02-SA-EM</t>
  </si>
  <si>
    <t>BUD-2025-02-SA-AP</t>
  </si>
  <si>
    <t>BUD-2025-02-SA-LA</t>
  </si>
  <si>
    <t>BUD-2025-02-FS-NA</t>
  </si>
  <si>
    <t>BUD-2025-02-FS-EM</t>
  </si>
  <si>
    <t>BUD-2025-02-FS-AP</t>
  </si>
  <si>
    <t>BUD-2025-02-FS-LA</t>
  </si>
  <si>
    <t>BUD-2025-03-SI-NA</t>
  </si>
  <si>
    <t>BUD-2025-03-SI-EM</t>
  </si>
  <si>
    <t>BUD-2025-03-SI-AP</t>
  </si>
  <si>
    <t>BUD-2025-03-SI-LA</t>
  </si>
  <si>
    <t>BUD-2025-03-SA-NA</t>
  </si>
  <si>
    <t>BUD-2025-03-SA-EM</t>
  </si>
  <si>
    <t>BUD-2025-03-SA-AP</t>
  </si>
  <si>
    <t>BUD-2025-03-SA-LA</t>
  </si>
  <si>
    <t>BUD-2025-03-FS-NA</t>
  </si>
  <si>
    <t>BUD-2025-03-FS-EM</t>
  </si>
  <si>
    <t>BUD-2025-03-FS-AP</t>
  </si>
  <si>
    <t>BUD-2025-03-FS-LA</t>
  </si>
  <si>
    <t>BUD-2025-04-SI-NA</t>
  </si>
  <si>
    <t>Sensors and Instruments</t>
  </si>
  <si>
    <t>BUD-2025-04-SI-EM</t>
  </si>
  <si>
    <t>BUD-2025-04-SI-AP</t>
  </si>
  <si>
    <t>BUD-2025-04-SI-LA</t>
  </si>
  <si>
    <t>BUD-2025-04-SA-NA</t>
  </si>
  <si>
    <t>BUD-2025-04-SA-EM</t>
  </si>
  <si>
    <t>BUD-2025-04-SA-AP</t>
  </si>
  <si>
    <t>BUD-2025-04-SA-LA</t>
  </si>
  <si>
    <t>BUD-2025-04-FS-NA</t>
  </si>
  <si>
    <t>BUD-2025-04-FS-EM</t>
  </si>
  <si>
    <t>BUD-2025-04-FS-AP</t>
  </si>
  <si>
    <t>BUD-2025-04-FS-LA</t>
  </si>
  <si>
    <t>BUD-2025-05-SI-NA</t>
  </si>
  <si>
    <t>BUD-2025-05-SI-EM</t>
  </si>
  <si>
    <t>BUD-2025-05-SI-AP</t>
  </si>
  <si>
    <t>BUD-2025-05-SI-LA</t>
  </si>
  <si>
    <t>BUD-2025-05-SA-NA</t>
  </si>
  <si>
    <t>BUD-2025-05-SA-EM</t>
  </si>
  <si>
    <t>BUD-2025-05-SA-AP</t>
  </si>
  <si>
    <t>BUD-2025-05-SA-LA</t>
  </si>
  <si>
    <t>BUD-2025-05-FS-NA</t>
  </si>
  <si>
    <t>NORTH AMERICA</t>
  </si>
  <si>
    <t>BUD-2025-05-FS-EM</t>
  </si>
  <si>
    <t>BUD-2025-05-FS-AP</t>
  </si>
  <si>
    <t>BUD-2025-05-FS-LA</t>
  </si>
  <si>
    <t>BUD-2025-06-SI-NA</t>
  </si>
  <si>
    <t>BUD-2025-06-SI-EM</t>
  </si>
  <si>
    <t>BUD-2025-06-SI-AP</t>
  </si>
  <si>
    <t>BUD-2025-06-SI-LA</t>
  </si>
  <si>
    <t>BUD-2025-06-SA-NA</t>
  </si>
  <si>
    <t>BUD-2025-06-SA-EM</t>
  </si>
  <si>
    <t>BUD-2025-06-SA-AP</t>
  </si>
  <si>
    <t>BUD-2025-06-SA-LA</t>
  </si>
  <si>
    <t>BUD-2025-06-FS-NA</t>
  </si>
  <si>
    <t>BUD-2025-06-FS-EM</t>
  </si>
  <si>
    <t>BUD-2025-06-FS-AP</t>
  </si>
  <si>
    <t>BUD-2025-06-FS-LA</t>
  </si>
  <si>
    <t>LATIN AMERICA</t>
  </si>
  <si>
    <t>RegionCode</t>
  </si>
  <si>
    <t>PrimaryManager</t>
  </si>
  <si>
    <t>FinancePartner</t>
  </si>
  <si>
    <t>CostCenterPrefix</t>
  </si>
  <si>
    <t>Michael Flynn</t>
  </si>
  <si>
    <t>Rebecca Herrera</t>
  </si>
  <si>
    <t>SI-NA</t>
  </si>
  <si>
    <t>Craig Wilson</t>
  </si>
  <si>
    <t>Katherine Church</t>
  </si>
  <si>
    <t>SI-EM</t>
  </si>
  <si>
    <t>James Long</t>
  </si>
  <si>
    <t>Harold Ellis</t>
  </si>
  <si>
    <t>SI-AP</t>
  </si>
  <si>
    <t>Michael Mcbride</t>
  </si>
  <si>
    <t>Leslie Powers</t>
  </si>
  <si>
    <t>SI-LA</t>
  </si>
  <si>
    <t>David Wilson</t>
  </si>
  <si>
    <t>Charles Price</t>
  </si>
  <si>
    <t>SA-NA</t>
  </si>
  <si>
    <t>Laura Henderson</t>
  </si>
  <si>
    <t>Mr. Thomas Arias</t>
  </si>
  <si>
    <t>SA-EM</t>
  </si>
  <si>
    <t>Christopher Roberts</t>
  </si>
  <si>
    <t>Ryan Harvey</t>
  </si>
  <si>
    <t>SA-AP</t>
  </si>
  <si>
    <t>Tiffany Washington</t>
  </si>
  <si>
    <t>James Hoffman</t>
  </si>
  <si>
    <t>SA-LA</t>
  </si>
  <si>
    <t>Jennifer Vasquez</t>
  </si>
  <si>
    <t>Jill Jackson</t>
  </si>
  <si>
    <t>FS-NA</t>
  </si>
  <si>
    <t>Rebecca Walker</t>
  </si>
  <si>
    <t>Danny Roberts</t>
  </si>
  <si>
    <t>FS-EM</t>
  </si>
  <si>
    <t>Krystal Barton</t>
  </si>
  <si>
    <t>Jorge Armstrong III</t>
  </si>
  <si>
    <t>FS-AP</t>
  </si>
  <si>
    <t>Wendy Weaver</t>
  </si>
  <si>
    <t>Olivia Alexander</t>
  </si>
  <si>
    <t>FS-LA</t>
  </si>
  <si>
    <t>RateToUSD</t>
  </si>
  <si>
    <t>TransactionDateM</t>
  </si>
  <si>
    <t>TransactionDateD</t>
  </si>
  <si>
    <t>TransactionDateY</t>
  </si>
  <si>
    <t>TransactionDate_Clean</t>
  </si>
  <si>
    <t>Region_Clean</t>
  </si>
  <si>
    <t>BusinessUnit_Clean</t>
  </si>
  <si>
    <t>SalesChannelClean</t>
  </si>
  <si>
    <t>Quantiy_check</t>
  </si>
  <si>
    <t>UnitPrice_Clean</t>
  </si>
  <si>
    <t>GrossRevenue_Clean</t>
  </si>
  <si>
    <t>GrossRevenue_Check</t>
  </si>
  <si>
    <t>DiscountAmount_Clean</t>
  </si>
  <si>
    <t>NetRevenue_Clean</t>
  </si>
  <si>
    <t>NetRevenue_Check</t>
  </si>
  <si>
    <t>Saleperson_Clean</t>
  </si>
  <si>
    <t>ContractType_Clean</t>
  </si>
  <si>
    <t>cunt</t>
  </si>
  <si>
    <t>CustomerName_Clean</t>
  </si>
  <si>
    <t>AccountStatus_Clean</t>
  </si>
  <si>
    <t>CreditLimit_Clean</t>
  </si>
  <si>
    <t>ProductName_Clean</t>
  </si>
  <si>
    <t>Category_Clean</t>
  </si>
  <si>
    <t>StdVarCost_Clean</t>
  </si>
  <si>
    <t>Family_Clean</t>
  </si>
  <si>
    <t>CustomerID_Check</t>
  </si>
  <si>
    <t>ProductID_Clean</t>
  </si>
  <si>
    <t>Period_Clean</t>
  </si>
  <si>
    <t>ActualCost_Clean</t>
  </si>
  <si>
    <t>CustomerSegment_Clean</t>
  </si>
  <si>
    <t>CostCenter_Clean</t>
  </si>
  <si>
    <t>RegionCode2</t>
  </si>
  <si>
    <t>RegionCode_Clean</t>
  </si>
  <si>
    <t>Total</t>
  </si>
  <si>
    <t>GrossRevenue_Analytical</t>
  </si>
  <si>
    <t>NetRevenue_Analytical</t>
  </si>
  <si>
    <t>DiscountAmount_Check2</t>
  </si>
  <si>
    <t>DiscountAmount_Analytical</t>
  </si>
  <si>
    <t>ProductID_Clean_Check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</si>
</sst>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2"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DE72A-2E19-48D6-BC18-66D692E26807}" name="Transaction" displayName="Transaction" ref="A1:AN1294" totalsRowCount="1">
  <autoFilter ref="A1:AN1293" xr:uid="{A3CDE72A-2E19-48D6-BC18-66D692E26807}"/>
  <tableColumns count="40">
    <tableColumn id="1" xr3:uid="{21ECEF82-B56D-4769-BD8B-DFCEF026194D}" name="TransactionID" totalsRowLabel="Total"/>
    <tableColumn id="2" xr3:uid="{E840E5DE-F150-4415-9426-F5FA8ED3C5C1}" name="TransactionDate" dataDxfId="41"/>
    <tableColumn id="20" xr3:uid="{2FA106BB-F509-4188-A937-C1B9DF185762}" name="TransactionDateM" dataDxfId="40">
      <calculatedColumnFormula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calculatedColumnFormula>
    </tableColumn>
    <tableColumn id="21" xr3:uid="{BC172631-323C-4CE7-96F7-BA95E6FEF9D7}" name="TransactionDateD" dataDxfId="39">
      <calculatedColumnFormula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calculatedColumnFormula>
    </tableColumn>
    <tableColumn id="22" xr3:uid="{818C566D-708E-4984-A995-2B5114BA6C38}" name="TransactionDateY" dataDxfId="38">
      <calculatedColumnFormula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calculatedColumnFormula>
    </tableColumn>
    <tableColumn id="23" xr3:uid="{628BD4B6-E07E-47F3-A4BB-D56996A48C42}" name="TransactionDate_Clean" dataDxfId="37">
      <calculatedColumnFormula>IFERROR(DATE(Transaction[[#This Row],[TransactionDateY]],Transaction[[#This Row],[TransactionDateM]],Transaction[[#This Row],[TransactionDateD]]),"Missing Value")</calculatedColumnFormula>
    </tableColumn>
    <tableColumn id="3" xr3:uid="{F62C6652-F12D-4560-8C31-68FC3F3EF949}" name="CustomerID"/>
    <tableColumn id="36" xr3:uid="{3813A65B-752A-499A-BAFA-6CB7E914E6B1}" name="CustomerID_Check" dataDxfId="36">
      <calculatedColumnFormula>IFERROR(VLOOKUP(Transaction[[#This Row],[CustomerID]],Custumer[],1,0),IF(LEN(Transaction[[#This Row],[CustomerID]])=7,LEFT(Transaction[[#This Row],[CustomerID]],6),"Invalid ID"))</calculatedColumnFormula>
    </tableColumn>
    <tableColumn id="4" xr3:uid="{A24E99AC-9F79-4812-919A-BF053D56FA9B}" name="ProductID"/>
    <tableColumn id="39" xr3:uid="{BC522D50-31ED-476B-A873-0277AEEAA31A}" name="ProductID_Clean" dataDxfId="35">
      <calculatedColumnFormula>TRIM(UPPER(Transaction[[#This Row],[ProductID]]))</calculatedColumnFormula>
    </tableColumn>
    <tableColumn id="40" xr3:uid="{16C4F243-2A12-476E-9788-DDEE3ADB1236}" name="ProductID_Clean_Check" dataDxfId="34">
      <calculatedColumnFormula>IFERROR(VLOOKUP(Transaction[[#This Row],[ProductID_Clean]],Product[],1,FALSE),"Invalid ID")</calculatedColumnFormula>
    </tableColumn>
    <tableColumn id="24" xr3:uid="{63D2A26C-2EC2-4866-B1DC-A0589147DF57}" name="Region_Clean" dataDxfId="0">
      <calculatedColumnFormula>TRIM(SUBSTITUTE(SUBSTITUTE(SUBSTITUTE(SUBSTITUTE(UPPER(Transaction[[#This Row],[Region]]),"EMEA REGION","EMEA"),"APAC REGION","APAC"),"NORTH AMERICA","N. AMERICA"),"N .AMERICA","N.AMERICA"))</calculatedColumnFormula>
    </tableColumn>
    <tableColumn id="5" xr3:uid="{F28BA337-D1AD-43C1-A140-ABA920E66517}" name="Region"/>
    <tableColumn id="6" xr3:uid="{2E5A7785-721D-447E-95EA-90B55FC8A0ED}" name="BusinessUnit"/>
    <tableColumn id="25" xr3:uid="{6ABD48B0-C593-4598-9B8C-91035345D0EB}" name="BusinessUnit_Clean" dataDxfId="33">
      <calculatedColumnFormula>TRIM(PROPER(SUBSTITUTE(SUBSTITUTE(SUBSTITUTE(Transaction[[#This Row],[BusinessUnit]],"Field Svcs","Field services"),"S&amp;I","Sensors &amp; Instruments"),"Software and Analytics","Software &amp; Analytics")))</calculatedColumnFormula>
    </tableColumn>
    <tableColumn id="7" xr3:uid="{012549BD-AF70-420A-A2E4-9A21A33423F1}" name="SalesChannel"/>
    <tableColumn id="26" xr3:uid="{5072D4B0-7C7C-46D2-AD7B-D07EA5BE98E1}" name="SalesChannelClean" dataDxfId="32">
      <calculatedColumnFormula>IF(TRIM(Transaction[[#This Row],[SalesChannel]])="","Missing Value",TRIM(Transaction[[#This Row],[SalesChannel]]))</calculatedColumnFormula>
    </tableColumn>
    <tableColumn id="8" xr3:uid="{AE43E55D-E8DD-4033-A488-BEB94714F55C}" name="Quantity" totalsRowFunction="sum" dataDxfId="31" totalsRowDxfId="30"/>
    <tableColumn id="27" xr3:uid="{0F330DC2-4961-4835-8012-2C2741D31FAF}" name="Quantiy_check" dataDxfId="29">
      <calculatedColumnFormula>IF(Transaction[[#This Row],[Quantity]]&lt;0,"Negative-review","Valid")</calculatedColumnFormula>
    </tableColumn>
    <tableColumn id="9" xr3:uid="{4EA90605-E5AA-494E-89A4-BB582A1DDD7D}" name="UnitPrice"/>
    <tableColumn id="28" xr3:uid="{CBCF9929-D663-41E9-933F-93A8039E889F}" name="UnitPrice_Clean" dataDxfId="28">
      <calculatedColumnFormula>VALUE(IF(ISNUMBER(Transaction[[#This Row],[UnitPrice]]),Transaction[[#This Row],[UnitPrice]],IFERROR(IF(FIND("$",Transaction[[#This Row],[UnitPrice]])&gt;0,MID(Transaction[[#This Row],[UnitPrice]],2,10)),Transaction[[#This Row],[UnitPrice]])))</calculatedColumnFormula>
    </tableColumn>
    <tableColumn id="10" xr3:uid="{C01D6FA6-4A10-4AD0-AA06-E716E2493C5B}" name="ListPrice"/>
    <tableColumn id="11" xr3:uid="{D23889CA-07A5-4F34-BC1C-E758ACBA5BF1}" name="GrossRevenue"/>
    <tableColumn id="29" xr3:uid="{5999DE2D-CE24-4676-8A3A-6F49232E9806}" name="GrossRevenue_Clean" totalsRowFunction="sum" dataDxfId="27">
      <calculatedColumnFormula>VALUE(IF(ISNUMBER(Transaction[[#This Row],[GrossRevenue]]),Transaction[[#This Row],[GrossRevenue]],IFERROR(IF(FIND("$",Transaction[[#This Row],[GrossRevenue]])&gt;0,MID(Transaction[[#This Row],[GrossRevenue]],2,10)),Transaction[[#This Row],[GrossRevenue]])))</calculatedColumnFormula>
    </tableColumn>
    <tableColumn id="19" xr3:uid="{6B1897E7-D03F-44AF-B6B4-2E2A851904D0}" name="GrossRevenue_Analytical" dataDxfId="26">
      <calculatedColumnFormula>IF(Transaction[[#This Row],[GrossRevenue_Check]]="Invalid",Transaction[[#This Row],[ListPrice]]*Transaction[[#This Row],[Quantity]],Transaction[[#This Row],[GrossRevenue_Clean]])</calculatedColumnFormula>
    </tableColumn>
    <tableColumn id="31" xr3:uid="{A4A5AC51-6BB7-4FEF-9009-B14868A41924}" name="GrossRevenue_Check" dataDxfId="25">
      <calculatedColumnFormula>IF(Transaction[[#This Row],[GrossRevenue_Clean]]=Transaction[[#This Row],[ListPrice]]*Transaction[[#This Row],[Quantity]],"Valid","Invalid")</calculatedColumnFormula>
    </tableColumn>
    <tableColumn id="12" xr3:uid="{5235616D-1667-4870-8220-0E32758B7CEC}" name="DiscountAmount"/>
    <tableColumn id="32" xr3:uid="{F82911A8-563B-4AF3-B256-26478B24B176}" name="DiscountAmount_Clean" totalsRowFunction="sum" dataDxfId="24">
      <calculatedColumnFormula>VALUE(IF(ISNUMBER(Transaction[[#This Row],[DiscountAmount]]),Transaction[[#This Row],[DiscountAmount]],IFERROR(IF(FIND("$",Transaction[[#This Row],[DiscountAmount]])&gt;0,MID(Transaction[[#This Row],[DiscountAmount]],2,10)),Transaction[[#This Row],[DiscountAmount]])))</calculatedColumnFormula>
    </tableColumn>
    <tableColumn id="42" xr3:uid="{D0CBD246-57B6-4FB1-B189-88F5236C121F}" name="DiscountAmount_Analytical" dataDxfId="23">
      <calculatedColumnFormula>IF(Transaction[[#This Row],[DiscountAmount_Check2]]="Invalid",Transaction[[#This Row],[GrossRevenue_Analytical]]-Transaction[[#This Row],[NetRevenue_Analytical]],Transaction[[#This Row],[DiscountAmount_Clean]])</calculatedColumnFormula>
    </tableColumn>
    <tableColumn id="13" xr3:uid="{CB3CBF39-0C9A-4353-9631-A466A7ADC921}" name="NetRevenue"/>
    <tableColumn id="41" xr3:uid="{972C3E4F-492A-48AC-ADB7-3DAFF60A4371}" name="DiscountAmount_Check2" dataDxfId="22">
      <calculatedColumnFormula>IF(ROUND(Transaction[[#This Row],[GrossRevenue_Analytical]]-Transaction[[#This Row],[NetRevenue_Analytical]],2)=ROUND(Transaction[[#This Row],[DiscountAmount_Clean]],2),"Valid","Invalid")</calculatedColumnFormula>
    </tableColumn>
    <tableColumn id="33" xr3:uid="{0C498188-1217-45F9-B522-F08FC393A94B}" name="NetRevenue_Clean" totalsRowFunction="sum" dataDxfId="21">
      <calculatedColumnFormula>VALUE(IF(ISNUMBER(Transaction[[#This Row],[NetRevenue]]),Transaction[[#This Row],[NetRevenue]],IFERROR(IF(FIND("$",Transaction[[#This Row],[NetRevenue]])&gt;0,MID(Transaction[[#This Row],[NetRevenue]],2,10)),Transaction[[#This Row],[NetRevenue]])))</calculatedColumnFormula>
    </tableColumn>
    <tableColumn id="38" xr3:uid="{15EC9F00-4C51-4D39-9232-3E9D4A95432F}" name="NetRevenue_Analytical" dataDxfId="20">
      <calculatedColumnFormula>IF(Transaction[[#This Row],[NetRevenue_Check]]="Invalid",(Transaction[[#This Row],[Quantity]]*Transaction[[#This Row],[UnitPrice_Clean]]),Transaction[[#This Row],[NetRevenue_Clean]])</calculatedColumnFormula>
    </tableColumn>
    <tableColumn id="35" xr3:uid="{6972AF7A-A835-476F-9AD3-0D56AA3BEFDA}" name="NetRevenue_Check" dataDxfId="19">
      <calculatedColumnFormula>IF(Transaction[[#This Row],[Quantity]]*Transaction[[#This Row],[UnitPrice_Clean]]=Transaction[[#This Row],[NetRevenue_Clean]],"Valid","Invalid")</calculatedColumnFormula>
    </tableColumn>
    <tableColumn id="14" xr3:uid="{E3A8B6EE-60B1-45D2-94F4-1538024E50CE}" name="Currency"/>
    <tableColumn id="15" xr3:uid="{AF3E9EA9-9247-4429-B369-D023DDC5C8E5}" name="Salesperson"/>
    <tableColumn id="30" xr3:uid="{842EF5B8-7384-44DB-A06B-306DC74C73D3}" name="Saleperson_Clean" dataDxfId="18">
      <calculatedColumnFormula>IF(Transaction[[#This Row],[Salesperson]]="","Missing Value",TRIM(PROPER(Transaction[[#This Row],[Salesperson]])))</calculatedColumnFormula>
    </tableColumn>
    <tableColumn id="16" xr3:uid="{8B0E6E05-6835-46CE-AE43-01C481E7B005}" name="ContractType"/>
    <tableColumn id="34" xr3:uid="{CE42231D-C688-425A-A46A-87F8F63BEEEE}" name="ContractType_Clean" dataDxfId="17">
      <calculatedColumnFormula>IF(Transaction[[#This Row],[ContractType]]="","Missing Value",Transaction[[#This Row],[ContractType]])</calculatedColumnFormula>
    </tableColumn>
    <tableColumn id="17" xr3:uid="{FFEB0B1A-15E1-409C-8EB3-037B108CC208}" name="CustomerSegment" totalsRowFunction="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B53750-9162-414A-8ABF-C14B2F34D39F}" name="Custumer" displayName="Custumer" ref="A1:N186" totalsRowShown="0">
  <autoFilter ref="A1:N186" xr:uid="{76B53750-9162-414A-8ABF-C14B2F34D39F}"/>
  <tableColumns count="14">
    <tableColumn id="1" xr3:uid="{1AC29CCC-3E46-471A-BBAE-2EE6E6319DE5}" name="CustomerID"/>
    <tableColumn id="2" xr3:uid="{4E657D06-6784-4DF0-8547-6223F50793CA}" name="CustomerName"/>
    <tableColumn id="10" xr3:uid="{BBFF1E17-F08D-438E-B796-5FCE44F971D8}" name="CustomerName_Clean" dataDxfId="16">
      <calculatedColumnFormula>PROPER(TRIM(Custumer[[#This Row],[CustomerName]]))</calculatedColumnFormula>
    </tableColumn>
    <tableColumn id="3" xr3:uid="{155528F9-E1A1-4B6E-8E3D-52F7BA2F6269}" name="CustomerSegment"/>
    <tableColumn id="11" xr3:uid="{72080912-2A6A-4D82-BFD8-ECE808894ED7}" name="CustomerSegment_Clean" dataDxfId="15">
      <calculatedColumnFormula>TRIM(PROPER(Custumer[[#This Row],[CustomerSegment]]))</calculatedColumnFormula>
    </tableColumn>
    <tableColumn id="4" xr3:uid="{7CD2D758-FBC6-4C42-A6F1-5AB4685CE724}" name="CustomerType"/>
    <tableColumn id="5" xr3:uid="{DAC51B64-E511-487E-8D58-0838DAAB57F2}" name="Region"/>
    <tableColumn id="12" xr3:uid="{D9F53E71-071D-482D-8F70-8625FA5F31DC}" name="Region_Clean" dataDxfId="14">
      <calculatedColumnFormula>SUBSTITUTE(SUBSTITUTE(UPPER(Custumer[[#This Row],[Region]]),"NORTH AMERICA","N. AMERICA"),"LATAM","LATIN AMERICA")</calculatedColumnFormula>
    </tableColumn>
    <tableColumn id="6" xr3:uid="{101F810A-AE6F-47A8-9AD2-CE0963AD4832}" name="Industry"/>
    <tableColumn id="7" xr3:uid="{71C03FD8-8B89-4923-B3D1-2EE01D86594D}" name="AccountStatus"/>
    <tableColumn id="13" xr3:uid="{6E0A278D-D69F-435C-ACEE-117DF8DFC0DC}" name="AccountStatus_Clean" dataDxfId="13">
      <calculatedColumnFormula>IF(Custumer[[#This Row],[AccountStatus]]="","Missing Value",Custumer[[#This Row],[AccountStatus]])</calculatedColumnFormula>
    </tableColumn>
    <tableColumn id="8" xr3:uid="{2FB8A961-432E-4FC2-89C5-E60EFC9E166E}" name="PrimaryContact"/>
    <tableColumn id="9" xr3:uid="{A9405BAC-ECEB-4DE6-8FB7-2F5CBF253D7B}" name="CreditLimit"/>
    <tableColumn id="14" xr3:uid="{2231CD5D-E9CB-46B7-A0E0-652F5574AC7F}" name="CreditLimit_Clean" dataDxfId="12">
      <calculatedColumnFormula>VALUE(IF(ISNUMBER(Custumer[[#This Row],[CreditLimit]]),Custumer[[#This Row],[CreditLimit]],MID(Custumer[[#This Row],[CreditLimit]],2,10)))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81BFC7-DFF6-4611-B070-AA98E9FBE461}" name="Product" displayName="Product" ref="A1:L20" totalsRowShown="0">
  <autoFilter ref="A1:L20" xr:uid="{1381BFC7-DFF6-4611-B070-AA98E9FBE461}"/>
  <sortState xmlns:xlrd2="http://schemas.microsoft.com/office/spreadsheetml/2017/richdata2" ref="A2:L20">
    <sortCondition ref="A1:A20"/>
  </sortState>
  <tableColumns count="12">
    <tableColumn id="1" xr3:uid="{7BCE9AD3-6C59-41E4-AE92-C7CD19844C58}" name="ProductID"/>
    <tableColumn id="2" xr3:uid="{0C19C72F-DA9A-4AAF-9201-0F535F08FCB4}" name="ProductName"/>
    <tableColumn id="9" xr3:uid="{5C50DEC2-2D4F-43B4-995F-915DD9A3D2CF}" name="ProductName_Clean" dataDxfId="11">
      <calculatedColumnFormula>PROPER(TRIM(Product[[#This Row],[ProductName]]))</calculatedColumnFormula>
    </tableColumn>
    <tableColumn id="3" xr3:uid="{7FAB1B91-5ED3-40B3-832D-E31E8791D075}" name="Category"/>
    <tableColumn id="10" xr3:uid="{0C8DD2B3-2D73-4631-936E-1454934CFE2C}" name="Category_Clean" dataDxfId="10">
      <calculatedColumnFormula>PROPER(TRIM(Product[[#This Row],[Category]]))</calculatedColumnFormula>
    </tableColumn>
    <tableColumn id="4" xr3:uid="{21E86B85-B842-4AA5-95F7-16F1EB2FB5C7}" name="Family"/>
    <tableColumn id="13" xr3:uid="{728253DE-5EB4-4D5F-AD1F-5345C94DC0A6}" name="Family_Clean" dataDxfId="9">
      <calculatedColumnFormula>PROPER(Product[[#This Row],[Family]])</calculatedColumnFormula>
    </tableColumn>
    <tableColumn id="5" xr3:uid="{1140609B-D1E8-46E4-9C5F-6ED0C4FD9627}" name="BU"/>
    <tableColumn id="6" xr3:uid="{87E10253-80C3-42AE-A81D-614F40875052}" name="ListPrice"/>
    <tableColumn id="7" xr3:uid="{081D8FAD-8DA2-473D-A562-FAD0E56E0E1A}" name="StdVarCost"/>
    <tableColumn id="11" xr3:uid="{BC323EFE-F213-4C46-898E-D5C8135A1584}" name="StdVarCost_Clean" dataDxfId="8">
      <calculatedColumnFormula>IF(ISNUMBER(Product[[#This Row],[StdVarCost]]),Product[[#This Row],[StdVarCost]],IF(Product[[#This Row],[StdVarCost]]="",NA(),VALUE(MID(Product[[#This Row],[StdVarCost]],2,10))))</calculatedColumnFormula>
    </tableColumn>
    <tableColumn id="8" xr3:uid="{F80863C3-4450-47FA-B2BA-FD92BD43FF25}" name="StdFixedAlloc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EFB200-39B3-4C6F-B509-01509DDD6141}" name="Cost" displayName="Cost" ref="A1:M325" totalsRowShown="0">
  <autoFilter ref="A1:M325" xr:uid="{55EFB200-39B3-4C6F-B509-01509DDD6141}">
    <filterColumn colId="4">
      <filters>
        <filter val="P-SI-008"/>
      </filters>
    </filterColumn>
  </autoFilter>
  <sortState xmlns:xlrd2="http://schemas.microsoft.com/office/spreadsheetml/2017/richdata2" ref="A2:M325">
    <sortCondition ref="E1:E325"/>
  </sortState>
  <tableColumns count="13">
    <tableColumn id="1" xr3:uid="{B20061CC-203E-4EB4-AE07-F67660022CC9}" name="CostID"/>
    <tableColumn id="2" xr3:uid="{0969785F-2CCE-4C5B-B259-D414E972BE13}" name="Period"/>
    <tableColumn id="10" xr3:uid="{A6252D95-3671-42BB-9110-1604E328A529}" name="Period_Clean" dataDxfId="7">
      <calculatedColumnFormula>SUBSTITUTE(Cost[[#This Row],[Period]],"/","-")</calculatedColumnFormula>
    </tableColumn>
    <tableColumn id="3" xr3:uid="{5C5390D9-494C-4BA1-BBD7-F6D7ED45CCA5}" name="ProductID"/>
    <tableColumn id="11" xr3:uid="{A42680F0-559E-4AB7-8F72-B0ED1CE07FAE}" name="ProductID_Clean" dataDxfId="6">
      <calculatedColumnFormula>IF(UPPER(Cost[[#This Row],[ProductID]])&lt;&gt;"",Cost[[#This Row],[ProductID]],"Missing Value")</calculatedColumnFormula>
    </tableColumn>
    <tableColumn id="4" xr3:uid="{3C8CE4E5-43AF-450B-ADA1-1EBA4D284C0A}" name="CostCategory"/>
    <tableColumn id="5" xr3:uid="{BB527C13-3804-41A8-B07C-0B84048D2DC8}" name="CostType"/>
    <tableColumn id="6" xr3:uid="{DD5E9EBA-5459-4981-A88D-1B6CA2FEDFFB}" name="StandardCost"/>
    <tableColumn id="7" xr3:uid="{E97373E0-831B-4036-8CD7-2E1AA6FCAA52}" name="ActualCost"/>
    <tableColumn id="12" xr3:uid="{D209406D-D71E-4780-B464-D04F7724F886}" name="ActualCost_Clean" dataDxfId="5">
      <calculatedColumnFormula>VALUE(Cost[[#This Row],[ActualCost]])</calculatedColumnFormula>
    </tableColumn>
    <tableColumn id="8" xr3:uid="{9A01F09E-65CD-4F41-8301-92C379142577}" name="CostCenter"/>
    <tableColumn id="13" xr3:uid="{6182156B-3088-46B4-AD81-55BCF9A00574}" name="CostCenter_Clean" dataDxfId="4">
      <calculatedColumnFormula>IF(UPPER(Cost[[#This Row],[CostCenter]])="","Missing Value",UPPER(Cost[[#This Row],[CostCenter]]))</calculatedColumnFormula>
    </tableColumn>
    <tableColumn id="9" xr3:uid="{2E639344-949A-40E4-8F14-545AF72A6895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884951-47AE-4B2E-8B07-360758207AA5}" name="Table5" displayName="Table5" ref="A1:K73" totalsRowShown="0">
  <autoFilter ref="A1:K73" xr:uid="{87884951-47AE-4B2E-8B07-360758207AA5}"/>
  <tableColumns count="11">
    <tableColumn id="1" xr3:uid="{9A36D018-9BE7-4AD7-8C71-1025B7EAD632}" name="BudgetID"/>
    <tableColumn id="2" xr3:uid="{78409D05-3703-4D95-BDC1-DE74BC465B8D}" name="Period"/>
    <tableColumn id="3" xr3:uid="{78B133B1-CF46-4815-A17F-BF20150401C9}" name="BusinessUnit"/>
    <tableColumn id="4" xr3:uid="{CBA513E3-9649-4BFA-85B1-B7E553E0908A}" name="Region"/>
    <tableColumn id="11" xr3:uid="{DF5DE9DC-1803-4288-8101-C85864997F5B}" name="Region_Clean" dataDxfId="3">
      <calculatedColumnFormula>SUBSTITUTE(UPPER(Table5[[#This Row],[Region]]),"NORTH AMERICA","N. AMERICA")</calculatedColumnFormula>
    </tableColumn>
    <tableColumn id="5" xr3:uid="{FD590C95-E602-43D1-81F7-B6EFD6B65843}" name="RevenueBudget"/>
    <tableColumn id="6" xr3:uid="{4B0613D2-DD09-4FCA-ADD8-1828E1C62E03}" name="VariableCostBudget"/>
    <tableColumn id="7" xr3:uid="{67D88610-0BCB-4391-8C8E-9774FE74379F}" name="FixedCostBudget"/>
    <tableColumn id="8" xr3:uid="{C79833AB-0031-467D-90A5-F3DFA17601F0}" name="ContributionProfitTarget"/>
    <tableColumn id="9" xr3:uid="{0F8B9382-BC50-4185-BE8C-E7A546B6ED8B}" name="OperatingProfitTarget"/>
    <tableColumn id="10" xr3:uid="{4193E4FB-3AB2-411F-BE90-19234D8AD78E}" name="Vers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DA2B83-EDB1-4854-A033-2E52FCF6FE59}" name="Table7" displayName="Table7" ref="A1:H13" totalsRowShown="0">
  <autoFilter ref="A1:H13" xr:uid="{F3DA2B83-EDB1-4854-A033-2E52FCF6FE59}"/>
  <tableColumns count="8">
    <tableColumn id="1" xr3:uid="{5DBFDD6D-6EDC-4633-8CF7-852357D711A2}" name="BusinessUnit"/>
    <tableColumn id="2" xr3:uid="{BE79D1C0-5C42-4FBF-A9BE-72F14190C084}" name="Region"/>
    <tableColumn id="3" xr3:uid="{74228897-78AC-4471-B1A8-2C5D2CEFA1B4}" name="RegionCode"/>
    <tableColumn id="8" xr3:uid="{8DD4E209-4D31-4BEB-9416-DAFF2D3B1E8D}" name="RegionCode_Clean" dataDxfId="2">
      <calculatedColumnFormula>SUBSTITUTE(Table7[[#This Row],[RegionCode]],"North America","N. AMERICA")</calculatedColumnFormula>
    </tableColumn>
    <tableColumn id="4" xr3:uid="{029F8DEC-A278-4AA2-B87B-18035EE09F11}" name="RegionCode2"/>
    <tableColumn id="5" xr3:uid="{E89BB533-8A38-4D7B-A039-731851AB44D9}" name="PrimaryManager"/>
    <tableColumn id="6" xr3:uid="{BAC752C9-81EF-438E-B9C4-91D0C460A104}" name="FinancePartner"/>
    <tableColumn id="7" xr3:uid="{003366D0-875F-4671-8F9D-E5BC30961EDF}" name="CostCenterPrefix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5A4148-346E-4AE9-9203-3DE83DA5AF4B}" name="Table6" displayName="Table6" ref="A1:C19" totalsRowShown="0">
  <autoFilter ref="A1:C19" xr:uid="{005A4148-346E-4AE9-9203-3DE83DA5AF4B}"/>
  <tableColumns count="3">
    <tableColumn id="1" xr3:uid="{D6104AB2-5506-430E-8118-19B02D0B5813}" name="Period"/>
    <tableColumn id="2" xr3:uid="{3BA5E99D-154C-40E0-98F3-252FBED8A1A0}" name="Currency"/>
    <tableColumn id="3" xr3:uid="{56968F04-0234-4394-B444-E8FA36145098}" name="RateToUS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327"/>
  <sheetViews>
    <sheetView tabSelected="1" topLeftCell="AB19" zoomScale="115" zoomScaleNormal="115" workbookViewId="0">
      <selection activeCell="AL1" sqref="AL1:AL1048576"/>
    </sheetView>
  </sheetViews>
  <sheetFormatPr defaultRowHeight="15" x14ac:dyDescent="0.25"/>
  <cols>
    <col min="1" max="1" width="15.140625" customWidth="1"/>
    <col min="2" max="2" width="20" hidden="1" customWidth="1"/>
    <col min="3" max="5" width="20" style="2" hidden="1" customWidth="1"/>
    <col min="6" max="6" width="24" customWidth="1"/>
    <col min="7" max="7" width="15.28515625" customWidth="1"/>
    <col min="8" max="8" width="20.28515625" customWidth="1"/>
    <col min="9" max="9" width="12" hidden="1" customWidth="1"/>
    <col min="10" max="10" width="22.5703125" customWidth="1"/>
    <col min="11" max="11" width="25.140625" customWidth="1"/>
    <col min="12" max="12" width="22.5703125" customWidth="1"/>
    <col min="13" max="14" width="22.5703125" hidden="1" customWidth="1"/>
    <col min="15" max="15" width="21.140625" customWidth="1"/>
    <col min="16" max="16" width="15.140625" hidden="1" customWidth="1"/>
    <col min="17" max="17" width="20.42578125" customWidth="1"/>
    <col min="18" max="18" width="13.42578125" customWidth="1"/>
    <col min="19" max="19" width="16.42578125" customWidth="1"/>
    <col min="20" max="20" width="11.5703125" hidden="1" customWidth="1"/>
    <col min="21" max="21" width="17.7109375" style="3" customWidth="1"/>
    <col min="22" max="22" width="18" customWidth="1"/>
    <col min="23" max="23" width="16.28515625" hidden="1" customWidth="1"/>
    <col min="24" max="24" width="22.42578125" customWidth="1"/>
    <col min="25" max="25" width="26.28515625" bestFit="1" customWidth="1"/>
    <col min="26" max="26" width="23.140625" customWidth="1"/>
    <col min="27" max="27" width="18.28515625" hidden="1" customWidth="1"/>
    <col min="28" max="28" width="24.5703125" customWidth="1"/>
    <col min="29" max="29" width="28.42578125" bestFit="1" customWidth="1"/>
    <col min="30" max="30" width="14.42578125" hidden="1" customWidth="1"/>
    <col min="31" max="31" width="25.85546875" hidden="1" customWidth="1"/>
    <col min="32" max="32" width="21.28515625" bestFit="1" customWidth="1"/>
    <col min="33" max="33" width="24.5703125" bestFit="1" customWidth="1"/>
    <col min="34" max="34" width="21.28515625" customWidth="1"/>
    <col min="35" max="35" width="17.28515625" bestFit="1" customWidth="1"/>
    <col min="36" max="36" width="20.28515625" hidden="1" customWidth="1"/>
    <col min="37" max="37" width="20.28515625" customWidth="1"/>
    <col min="38" max="38" width="17.28515625" hidden="1" customWidth="1"/>
    <col min="39" max="39" width="21.28515625" bestFit="1" customWidth="1"/>
    <col min="40" max="40" width="20.28515625" bestFit="1" customWidth="1"/>
  </cols>
  <sheetData>
    <row r="1" spans="1:40" x14ac:dyDescent="0.25">
      <c r="A1" t="s">
        <v>0</v>
      </c>
      <c r="B1" t="s">
        <v>1</v>
      </c>
      <c r="C1" s="2" t="s">
        <v>4064</v>
      </c>
      <c r="D1" s="2" t="s">
        <v>4065</v>
      </c>
      <c r="E1" s="2" t="s">
        <v>4066</v>
      </c>
      <c r="F1" s="2" t="s">
        <v>4067</v>
      </c>
      <c r="G1" t="s">
        <v>2</v>
      </c>
      <c r="H1" t="s">
        <v>4088</v>
      </c>
      <c r="I1" t="s">
        <v>3</v>
      </c>
      <c r="J1" t="s">
        <v>4089</v>
      </c>
      <c r="K1" t="s">
        <v>4101</v>
      </c>
      <c r="L1" t="s">
        <v>4068</v>
      </c>
      <c r="M1" t="s">
        <v>4</v>
      </c>
      <c r="N1" t="s">
        <v>5</v>
      </c>
      <c r="O1" t="s">
        <v>4069</v>
      </c>
      <c r="P1" t="s">
        <v>6</v>
      </c>
      <c r="Q1" t="s">
        <v>4070</v>
      </c>
      <c r="R1" t="s">
        <v>7</v>
      </c>
      <c r="S1" t="s">
        <v>4071</v>
      </c>
      <c r="T1" t="s">
        <v>8</v>
      </c>
      <c r="U1" s="3" t="s">
        <v>4072</v>
      </c>
      <c r="V1" t="s">
        <v>9</v>
      </c>
      <c r="W1" t="s">
        <v>10</v>
      </c>
      <c r="X1" t="s">
        <v>4073</v>
      </c>
      <c r="Y1" t="s">
        <v>4097</v>
      </c>
      <c r="Z1" t="s">
        <v>4074</v>
      </c>
      <c r="AA1" t="s">
        <v>11</v>
      </c>
      <c r="AB1" t="s">
        <v>4075</v>
      </c>
      <c r="AC1" t="s">
        <v>4100</v>
      </c>
      <c r="AD1" t="s">
        <v>12</v>
      </c>
      <c r="AE1" t="s">
        <v>4099</v>
      </c>
      <c r="AF1" t="s">
        <v>4076</v>
      </c>
      <c r="AG1" t="s">
        <v>4098</v>
      </c>
      <c r="AH1" t="s">
        <v>4077</v>
      </c>
      <c r="AI1" t="s">
        <v>13</v>
      </c>
      <c r="AJ1" t="s">
        <v>14</v>
      </c>
      <c r="AK1" t="s">
        <v>4078</v>
      </c>
      <c r="AL1" t="s">
        <v>15</v>
      </c>
      <c r="AM1" t="s">
        <v>4079</v>
      </c>
      <c r="AN1" t="s">
        <v>16</v>
      </c>
    </row>
    <row r="2" spans="1:40" x14ac:dyDescent="0.25">
      <c r="A2" t="s">
        <v>1877</v>
      </c>
      <c r="B2" s="1">
        <v>45674</v>
      </c>
      <c r="C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" s="2">
        <f>IFERROR(DATE(Transaction[[#This Row],[TransactionDateY]],Transaction[[#This Row],[TransactionDateM]],Transaction[[#This Row],[TransactionDateD]]),"Missing Value")</f>
        <v>45674</v>
      </c>
      <c r="G2" t="s">
        <v>51</v>
      </c>
      <c r="H2" t="str">
        <f>IFERROR(VLOOKUP(Transaction[[#This Row],[CustomerID]],Custumer[],1,0),IF(LEN(Transaction[[#This Row],[CustomerID]])=7,LEFT(Transaction[[#This Row],[CustomerID]],6),"Invalid ID"))</f>
        <v>C-1006</v>
      </c>
      <c r="I2" t="s">
        <v>62</v>
      </c>
      <c r="J2" t="str">
        <f>TRIM(UPPER(Transaction[[#This Row],[ProductID]]))</f>
        <v>P-SI-004</v>
      </c>
      <c r="K2" t="str">
        <f>IFERROR(VLOOKUP(Transaction[[#This Row],[ProductID_Clean]],Product[],1,FALSE),"Invalid ID")</f>
        <v>P-SI-004</v>
      </c>
      <c r="L2" t="str">
        <f>TRIM(SUBSTITUTE(SUBSTITUTE(SUBSTITUTE(SUBSTITUTE(UPPER(Transaction[[#This Row],[Region]]),"EMEA REGION","EMEA"),"APAC REGION","APAC"),"NORTH AMERICA","N. AMERICA"),"N .AMERICA","N.AMERICA"))</f>
        <v>N. AMERICA</v>
      </c>
      <c r="M2" t="s">
        <v>204</v>
      </c>
      <c r="N2" t="s">
        <v>98</v>
      </c>
      <c r="O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" t="s">
        <v>22</v>
      </c>
      <c r="Q2" t="str">
        <f>IF(TRIM(Transaction[[#This Row],[SalesChannel]])="","Missing Value",TRIM(Transaction[[#This Row],[SalesChannel]]))</f>
        <v>Direct</v>
      </c>
      <c r="R2" s="4">
        <v>3</v>
      </c>
      <c r="S2" s="4" t="str">
        <f>IF(Transaction[[#This Row],[Quantity]]&lt;0,"Negative-review","Valid")</f>
        <v>Valid</v>
      </c>
      <c r="T2">
        <v>2165.11</v>
      </c>
      <c r="U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2165.11</v>
      </c>
      <c r="V2">
        <v>2450</v>
      </c>
      <c r="W2">
        <v>7350</v>
      </c>
      <c r="X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7350</v>
      </c>
      <c r="Y2">
        <f>IF(Transaction[[#This Row],[GrossRevenue_Check]]="Invalid",Transaction[[#This Row],[ListPrice]]*Transaction[[#This Row],[Quantity]],Transaction[[#This Row],[GrossRevenue_Clean]])</f>
        <v>7350</v>
      </c>
      <c r="Z2" t="str">
        <f>IF(Transaction[[#This Row],[GrossRevenue_Clean]]=Transaction[[#This Row],[ListPrice]]*Transaction[[#This Row],[Quantity]],"Valid","Invalid")</f>
        <v>Valid</v>
      </c>
      <c r="AA2">
        <v>854.67</v>
      </c>
      <c r="AB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854.67</v>
      </c>
      <c r="AC2">
        <f>IF(Transaction[[#This Row],[DiscountAmount_Check2]]="Invalid",Transaction[[#This Row],[GrossRevenue_Analytical]]-Transaction[[#This Row],[NetRevenue_Analytical]],Transaction[[#This Row],[DiscountAmount_Clean]])</f>
        <v>854.67</v>
      </c>
      <c r="AD2">
        <v>6495.33</v>
      </c>
      <c r="AE2" t="str">
        <f>IF(ROUND(Transaction[[#This Row],[GrossRevenue_Analytical]]-Transaction[[#This Row],[NetRevenue_Analytical]],2)=ROUND(Transaction[[#This Row],[DiscountAmount_Clean]],2),"Valid","Invalid")</f>
        <v>Valid</v>
      </c>
      <c r="AF2">
        <f>VALUE(IF(ISNUMBER(Transaction[[#This Row],[NetRevenue]]),Transaction[[#This Row],[NetRevenue]],IFERROR(IF(FIND("$",Transaction[[#This Row],[NetRevenue]])&gt;0,MID(Transaction[[#This Row],[NetRevenue]],2,10)),Transaction[[#This Row],[NetRevenue]])))</f>
        <v>6495.33</v>
      </c>
      <c r="AG2">
        <f>IF(Transaction[[#This Row],[NetRevenue_Check]]="Invalid",(Transaction[[#This Row],[Quantity]]*Transaction[[#This Row],[UnitPrice_Clean]]),Transaction[[#This Row],[NetRevenue_Clean]])</f>
        <v>6495.33</v>
      </c>
      <c r="AH2" t="str">
        <f>IF(Transaction[[#This Row],[Quantity]]*Transaction[[#This Row],[UnitPrice_Clean]]=Transaction[[#This Row],[NetRevenue_Clean]],"Valid","Invalid")</f>
        <v>Valid</v>
      </c>
      <c r="AI2" t="s">
        <v>23</v>
      </c>
      <c r="AJ2" t="s">
        <v>1509</v>
      </c>
      <c r="AK2" t="str">
        <f>IF(Transaction[[#This Row],[Salesperson]]="","Missing Value",TRIM(PROPER(Transaction[[#This Row],[Salesperson]])))</f>
        <v>Jenkins-Na</v>
      </c>
      <c r="AL2" t="s">
        <v>25</v>
      </c>
      <c r="AM2" t="str">
        <f>IF(Transaction[[#This Row],[ContractType]]="","Missing Value",Transaction[[#This Row],[ContractType]])</f>
        <v>Frame Agreement</v>
      </c>
      <c r="AN2" t="s">
        <v>26</v>
      </c>
    </row>
    <row r="3" spans="1:40" x14ac:dyDescent="0.25">
      <c r="A3" t="s">
        <v>2783</v>
      </c>
      <c r="B3" s="1">
        <v>45762</v>
      </c>
      <c r="C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" s="2">
        <f>IFERROR(DATE(Transaction[[#This Row],[TransactionDateY]],Transaction[[#This Row],[TransactionDateM]],Transaction[[#This Row],[TransactionDateD]]),"Missing Value")</f>
        <v>45762</v>
      </c>
      <c r="G3" t="s">
        <v>146</v>
      </c>
      <c r="H3" t="str">
        <f>IFERROR(VLOOKUP(Transaction[[#This Row],[CustomerID]],Custumer[],1,0),IF(LEN(Transaction[[#This Row],[CustomerID]])=7,LEFT(Transaction[[#This Row],[CustomerID]],6),"Invalid ID"))</f>
        <v>C-1095</v>
      </c>
      <c r="I3" t="s">
        <v>52</v>
      </c>
      <c r="J3" t="str">
        <f>TRIM(UPPER(Transaction[[#This Row],[ProductID]]))</f>
        <v>P-SI-002</v>
      </c>
      <c r="K3" t="str">
        <f>IFERROR(VLOOKUP(Transaction[[#This Row],[ProductID_Clean]],Product[],1,FALSE),"Invalid ID")</f>
        <v>P-SI-002</v>
      </c>
      <c r="L3" t="str">
        <f>TRIM(SUBSTITUTE(SUBSTITUTE(SUBSTITUTE(SUBSTITUTE(UPPER(Transaction[[#This Row],[Region]]),"EMEA REGION","EMEA"),"APAC REGION","APAC"),"NORTH AMERICA","N. AMERICA"),"N .AMERICA","N.AMERICA"))</f>
        <v>LATIN AMERICA</v>
      </c>
      <c r="M3" t="s">
        <v>82</v>
      </c>
      <c r="N3" t="s">
        <v>53</v>
      </c>
      <c r="O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" t="s">
        <v>181</v>
      </c>
      <c r="Q3" t="str">
        <f>IF(TRIM(Transaction[[#This Row],[SalesChannel]])="","Missing Value",TRIM(Transaction[[#This Row],[SalesChannel]]))</f>
        <v>Partner Portal</v>
      </c>
      <c r="R3" s="4">
        <v>2</v>
      </c>
      <c r="S3" s="4" t="str">
        <f>IF(Transaction[[#This Row],[Quantity]]&lt;0,"Negative-review","Valid")</f>
        <v>Valid</v>
      </c>
      <c r="T3">
        <v>601.29999999999995</v>
      </c>
      <c r="U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601.29999999999995</v>
      </c>
      <c r="V3">
        <v>725</v>
      </c>
      <c r="W3">
        <v>1450</v>
      </c>
      <c r="X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3">
        <f>IF(Transaction[[#This Row],[GrossRevenue_Check]]="Invalid",Transaction[[#This Row],[ListPrice]]*Transaction[[#This Row],[Quantity]],Transaction[[#This Row],[GrossRevenue_Clean]])</f>
        <v>1450</v>
      </c>
      <c r="Z3" t="str">
        <f>IF(Transaction[[#This Row],[GrossRevenue_Clean]]=Transaction[[#This Row],[ListPrice]]*Transaction[[#This Row],[Quantity]],"Valid","Invalid")</f>
        <v>Valid</v>
      </c>
      <c r="AA3">
        <v>247.4</v>
      </c>
      <c r="AB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247.4</v>
      </c>
      <c r="AC3">
        <f>IF(Transaction[[#This Row],[DiscountAmount_Check2]]="Invalid",Transaction[[#This Row],[GrossRevenue_Analytical]]-Transaction[[#This Row],[NetRevenue_Analytical]],Transaction[[#This Row],[DiscountAmount_Clean]])</f>
        <v>247.4</v>
      </c>
      <c r="AD3">
        <v>1202.5999999999999</v>
      </c>
      <c r="AE3" t="str">
        <f>IF(ROUND(Transaction[[#This Row],[GrossRevenue_Analytical]]-Transaction[[#This Row],[NetRevenue_Analytical]],2)=ROUND(Transaction[[#This Row],[DiscountAmount_Clean]],2),"Valid","Invalid")</f>
        <v>Valid</v>
      </c>
      <c r="AF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1202.5999999999999</v>
      </c>
      <c r="AG3">
        <f>IF(Transaction[[#This Row],[NetRevenue_Check]]="Invalid",(Transaction[[#This Row],[Quantity]]*Transaction[[#This Row],[UnitPrice_Clean]]),Transaction[[#This Row],[NetRevenue_Clean]])</f>
        <v>1202.5999999999999</v>
      </c>
      <c r="AH3" t="str">
        <f>IF(Transaction[[#This Row],[Quantity]]*Transaction[[#This Row],[UnitPrice_Clean]]=Transaction[[#This Row],[NetRevenue_Clean]],"Valid","Invalid")</f>
        <v>Valid</v>
      </c>
      <c r="AI3" t="s">
        <v>23</v>
      </c>
      <c r="AJ3" t="s">
        <v>2784</v>
      </c>
      <c r="AK3" t="str">
        <f>IF(Transaction[[#This Row],[Salesperson]]="","Missing Value",TRIM(PROPER(Transaction[[#This Row],[Salesperson]])))</f>
        <v>Russo</v>
      </c>
      <c r="AL3" t="s">
        <v>42</v>
      </c>
      <c r="AM3" t="str">
        <f>IF(Transaction[[#This Row],[ContractType]]="","Missing Value",Transaction[[#This Row],[ContractType]])</f>
        <v>Standard PO</v>
      </c>
      <c r="AN3" t="s">
        <v>49</v>
      </c>
    </row>
    <row r="4" spans="1:40" x14ac:dyDescent="0.25">
      <c r="A4" t="s">
        <v>1398</v>
      </c>
      <c r="B4" t="s">
        <v>1399</v>
      </c>
      <c r="C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" s="2">
        <f>IFERROR(DATE(Transaction[[#This Row],[TransactionDateY]],Transaction[[#This Row],[TransactionDateM]],Transaction[[#This Row],[TransactionDateD]]),"Missing Value")</f>
        <v>45796</v>
      </c>
      <c r="G4" t="s">
        <v>470</v>
      </c>
      <c r="H4" t="str">
        <f>IFERROR(VLOOKUP(Transaction[[#This Row],[CustomerID]],Custumer[],1,0),IF(LEN(Transaction[[#This Row],[CustomerID]])=7,LEFT(Transaction[[#This Row],[CustomerID]],6),"Invalid ID"))</f>
        <v>C-1151</v>
      </c>
      <c r="I4" t="s">
        <v>71</v>
      </c>
      <c r="J4" t="str">
        <f>TRIM(UPPER(Transaction[[#This Row],[ProductID]]))</f>
        <v>P-SI-003</v>
      </c>
      <c r="K4" t="str">
        <f>IFERROR(VLOOKUP(Transaction[[#This Row],[ProductID_Clean]],Product[],1,FALSE),"Invalid ID")</f>
        <v>P-SI-003</v>
      </c>
      <c r="L4" t="str">
        <f>TRIM(SUBSTITUTE(SUBSTITUTE(SUBSTITUTE(SUBSTITUTE(UPPER(Transaction[[#This Row],[Region]]),"EMEA REGION","EMEA"),"APAC REGION","APAC"),"NORTH AMERICA","N. AMERICA"),"N .AMERICA","N.AMERICA"))</f>
        <v>LATIN AMERICA</v>
      </c>
      <c r="M4" t="s">
        <v>82</v>
      </c>
      <c r="N4" t="s">
        <v>53</v>
      </c>
      <c r="O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Q4" t="str">
        <f>IF(TRIM(Transaction[[#This Row],[SalesChannel]])="","Missing Value",TRIM(Transaction[[#This Row],[SalesChannel]]))</f>
        <v>Missing Value</v>
      </c>
      <c r="R4" s="4">
        <v>1</v>
      </c>
      <c r="S4" s="4" t="str">
        <f>IF(Transaction[[#This Row],[Quantity]]&lt;0,"Negative-review","Valid")</f>
        <v>Valid</v>
      </c>
      <c r="T4">
        <v>1649.98</v>
      </c>
      <c r="U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1649.98</v>
      </c>
      <c r="V4">
        <v>1890</v>
      </c>
      <c r="W4">
        <v>1890</v>
      </c>
      <c r="X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4">
        <f>IF(Transaction[[#This Row],[GrossRevenue_Check]]="Invalid",Transaction[[#This Row],[ListPrice]]*Transaction[[#This Row],[Quantity]],Transaction[[#This Row],[GrossRevenue_Clean]])</f>
        <v>1890</v>
      </c>
      <c r="Z4" t="str">
        <f>IF(Transaction[[#This Row],[GrossRevenue_Clean]]=Transaction[[#This Row],[ListPrice]]*Transaction[[#This Row],[Quantity]],"Valid","Invalid")</f>
        <v>Valid</v>
      </c>
      <c r="AA4">
        <v>240.02</v>
      </c>
      <c r="AB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240.02</v>
      </c>
      <c r="AC4">
        <f>IF(Transaction[[#This Row],[DiscountAmount_Check2]]="Invalid",Transaction[[#This Row],[GrossRevenue_Analytical]]-Transaction[[#This Row],[NetRevenue_Analytical]],Transaction[[#This Row],[DiscountAmount_Clean]])</f>
        <v>240.02</v>
      </c>
      <c r="AD4">
        <v>1649.98</v>
      </c>
      <c r="AE4" t="str">
        <f>IF(ROUND(Transaction[[#This Row],[GrossRevenue_Analytical]]-Transaction[[#This Row],[NetRevenue_Analytical]],2)=ROUND(Transaction[[#This Row],[DiscountAmount_Clean]],2),"Valid","Invalid")</f>
        <v>Valid</v>
      </c>
      <c r="AF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1649.98</v>
      </c>
      <c r="AG4">
        <f>IF(Transaction[[#This Row],[NetRevenue_Check]]="Invalid",(Transaction[[#This Row],[Quantity]]*Transaction[[#This Row],[UnitPrice_Clean]]),Transaction[[#This Row],[NetRevenue_Clean]])</f>
        <v>1649.98</v>
      </c>
      <c r="AH4" t="str">
        <f>IF(Transaction[[#This Row],[Quantity]]*Transaction[[#This Row],[UnitPrice_Clean]]=Transaction[[#This Row],[NetRevenue_Clean]],"Valid","Invalid")</f>
        <v>Valid</v>
      </c>
      <c r="AI4" t="s">
        <v>23</v>
      </c>
      <c r="AJ4" t="s">
        <v>1400</v>
      </c>
      <c r="AK4" t="str">
        <f>IF(Transaction[[#This Row],[Salesperson]]="","Missing Value",TRIM(PROPER(Transaction[[#This Row],[Salesperson]])))</f>
        <v>Pugh-Na</v>
      </c>
      <c r="AL4" t="s">
        <v>25</v>
      </c>
      <c r="AM4" t="str">
        <f>IF(Transaction[[#This Row],[ContractType]]="","Missing Value",Transaction[[#This Row],[ContractType]])</f>
        <v>Frame Agreement</v>
      </c>
      <c r="AN4" t="s">
        <v>49</v>
      </c>
    </row>
    <row r="5" spans="1:40" x14ac:dyDescent="0.25">
      <c r="A5" t="s">
        <v>1249</v>
      </c>
      <c r="B5" s="1">
        <v>45764</v>
      </c>
      <c r="C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" s="2">
        <f>IFERROR(DATE(Transaction[[#This Row],[TransactionDateY]],Transaction[[#This Row],[TransactionDateM]],Transaction[[#This Row],[TransactionDateD]]),"Missing Value")</f>
        <v>45764</v>
      </c>
      <c r="G5" t="s">
        <v>1250</v>
      </c>
      <c r="H5" t="str">
        <f>IFERROR(VLOOKUP(Transaction[[#This Row],[CustomerID]],Custumer[],1,0),IF(LEN(Transaction[[#This Row],[CustomerID]])=7,LEFT(Transaction[[#This Row],[CustomerID]],6),"Invalid ID"))</f>
        <v>C-1168</v>
      </c>
      <c r="I5" t="s">
        <v>46</v>
      </c>
      <c r="J5" t="str">
        <f>TRIM(UPPER(Transaction[[#This Row],[ProductID]]))</f>
        <v>P-SI-006</v>
      </c>
      <c r="K5" t="str">
        <f>IFERROR(VLOOKUP(Transaction[[#This Row],[ProductID_Clean]],Product[],1,FALSE),"Invalid ID")</f>
        <v>P-SI-006</v>
      </c>
      <c r="L5" t="str">
        <f>TRIM(SUBSTITUTE(SUBSTITUTE(SUBSTITUTE(SUBSTITUTE(UPPER(Transaction[[#This Row],[Region]]),"EMEA REGION","EMEA"),"APAC REGION","APAC"),"NORTH AMERICA","N. AMERICA"),"N .AMERICA","N.AMERICA"))</f>
        <v>LATIN AMERICA</v>
      </c>
      <c r="M5" t="s">
        <v>82</v>
      </c>
      <c r="N5" t="s">
        <v>53</v>
      </c>
      <c r="O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" t="s">
        <v>22</v>
      </c>
      <c r="Q5" t="str">
        <f>IF(TRIM(Transaction[[#This Row],[SalesChannel]])="","Missing Value",TRIM(Transaction[[#This Row],[SalesChannel]]))</f>
        <v>Direct</v>
      </c>
      <c r="R5" s="4">
        <v>2</v>
      </c>
      <c r="S5" s="4" t="str">
        <f>IF(Transaction[[#This Row],[Quantity]]&lt;0,"Negative-review","Valid")</f>
        <v>Valid</v>
      </c>
      <c r="T5">
        <v>168.38</v>
      </c>
      <c r="U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168.38</v>
      </c>
      <c r="V5">
        <v>215</v>
      </c>
      <c r="W5">
        <v>430</v>
      </c>
      <c r="X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5">
        <f>IF(Transaction[[#This Row],[GrossRevenue_Check]]="Invalid",Transaction[[#This Row],[ListPrice]]*Transaction[[#This Row],[Quantity]],Transaction[[#This Row],[GrossRevenue_Clean]])</f>
        <v>430</v>
      </c>
      <c r="Z5" t="str">
        <f>IF(Transaction[[#This Row],[GrossRevenue_Clean]]=Transaction[[#This Row],[ListPrice]]*Transaction[[#This Row],[Quantity]],"Valid","Invalid")</f>
        <v>Valid</v>
      </c>
      <c r="AA5">
        <v>93.24</v>
      </c>
      <c r="AB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93.24</v>
      </c>
      <c r="AC5">
        <f>IF(Transaction[[#This Row],[DiscountAmount_Check2]]="Invalid",Transaction[[#This Row],[GrossRevenue_Analytical]]-Transaction[[#This Row],[NetRevenue_Analytical]],Transaction[[#This Row],[DiscountAmount_Clean]])</f>
        <v>93.24</v>
      </c>
      <c r="AD5">
        <v>336.76</v>
      </c>
      <c r="AE5" t="str">
        <f>IF(ROUND(Transaction[[#This Row],[GrossRevenue_Analytical]]-Transaction[[#This Row],[NetRevenue_Analytical]],2)=ROUND(Transaction[[#This Row],[DiscountAmount_Clean]],2),"Valid","Invalid")</f>
        <v>Valid</v>
      </c>
      <c r="AF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336.76</v>
      </c>
      <c r="AG5">
        <f>IF(Transaction[[#This Row],[NetRevenue_Check]]="Invalid",(Transaction[[#This Row],[Quantity]]*Transaction[[#This Row],[UnitPrice_Clean]]),Transaction[[#This Row],[NetRevenue_Clean]])</f>
        <v>336.76</v>
      </c>
      <c r="AH5" t="str">
        <f>IF(Transaction[[#This Row],[Quantity]]*Transaction[[#This Row],[UnitPrice_Clean]]=Transaction[[#This Row],[NetRevenue_Clean]],"Valid","Invalid")</f>
        <v>Valid</v>
      </c>
      <c r="AI5" t="s">
        <v>23</v>
      </c>
      <c r="AJ5" t="s">
        <v>917</v>
      </c>
      <c r="AK5" t="str">
        <f>IF(Transaction[[#This Row],[Salesperson]]="","Missing Value",TRIM(PROPER(Transaction[[#This Row],[Salesperson]])))</f>
        <v>Henderson</v>
      </c>
      <c r="AL5" t="s">
        <v>25</v>
      </c>
      <c r="AM5" t="str">
        <f>IF(Transaction[[#This Row],[ContractType]]="","Missing Value",Transaction[[#This Row],[ContractType]])</f>
        <v>Frame Agreement</v>
      </c>
      <c r="AN5" t="s">
        <v>43</v>
      </c>
    </row>
    <row r="6" spans="1:40" x14ac:dyDescent="0.25">
      <c r="A6" t="s">
        <v>2436</v>
      </c>
      <c r="B6" s="1">
        <v>45710</v>
      </c>
      <c r="C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" s="2">
        <f>IFERROR(DATE(Transaction[[#This Row],[TransactionDateY]],Transaction[[#This Row],[TransactionDateM]],Transaction[[#This Row],[TransactionDateD]]),"Missing Value")</f>
        <v>45710</v>
      </c>
      <c r="G6" t="s">
        <v>200</v>
      </c>
      <c r="H6" t="str">
        <f>IFERROR(VLOOKUP(Transaction[[#This Row],[CustomerID]],Custumer[],1,0),IF(LEN(Transaction[[#This Row],[CustomerID]])=7,LEFT(Transaction[[#This Row],[CustomerID]],6),"Invalid ID"))</f>
        <v>C-1070</v>
      </c>
      <c r="I6" t="s">
        <v>62</v>
      </c>
      <c r="J6" t="str">
        <f>TRIM(UPPER(Transaction[[#This Row],[ProductID]]))</f>
        <v>P-SI-004</v>
      </c>
      <c r="K6" t="str">
        <f>IFERROR(VLOOKUP(Transaction[[#This Row],[ProductID_Clean]],Product[],1,FALSE),"Invalid ID")</f>
        <v>P-SI-004</v>
      </c>
      <c r="L6" t="str">
        <f>TRIM(SUBSTITUTE(SUBSTITUTE(SUBSTITUTE(SUBSTITUTE(UPPER(Transaction[[#This Row],[Region]]),"EMEA REGION","EMEA"),"APAC REGION","APAC"),"NORTH AMERICA","N. AMERICA"),"N .AMERICA","N.AMERICA"))</f>
        <v>EMEA</v>
      </c>
      <c r="M6" t="s">
        <v>76</v>
      </c>
      <c r="N6" t="s">
        <v>47</v>
      </c>
      <c r="O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" t="s">
        <v>22</v>
      </c>
      <c r="Q6" t="str">
        <f>IF(TRIM(Transaction[[#This Row],[SalesChannel]])="","Missing Value",TRIM(Transaction[[#This Row],[SalesChannel]]))</f>
        <v>Direct</v>
      </c>
      <c r="R6" s="4">
        <v>2</v>
      </c>
      <c r="S6" s="4" t="str">
        <f>IF(Transaction[[#This Row],[Quantity]]&lt;0,"Negative-review","Valid")</f>
        <v>Valid</v>
      </c>
      <c r="T6">
        <v>2012.7</v>
      </c>
      <c r="U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2012.7</v>
      </c>
      <c r="V6">
        <v>2450</v>
      </c>
      <c r="W6">
        <v>4900</v>
      </c>
      <c r="X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</v>
      </c>
      <c r="Y6">
        <f>IF(Transaction[[#This Row],[GrossRevenue_Check]]="Invalid",Transaction[[#This Row],[ListPrice]]*Transaction[[#This Row],[Quantity]],Transaction[[#This Row],[GrossRevenue_Clean]])</f>
        <v>4900</v>
      </c>
      <c r="Z6" t="str">
        <f>IF(Transaction[[#This Row],[GrossRevenue_Clean]]=Transaction[[#This Row],[ListPrice]]*Transaction[[#This Row],[Quantity]],"Valid","Invalid")</f>
        <v>Valid</v>
      </c>
      <c r="AA6" t="s">
        <v>2437</v>
      </c>
      <c r="AB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874.6</v>
      </c>
      <c r="AC6">
        <f>IF(Transaction[[#This Row],[DiscountAmount_Check2]]="Invalid",Transaction[[#This Row],[GrossRevenue_Analytical]]-Transaction[[#This Row],[NetRevenue_Analytical]],Transaction[[#This Row],[DiscountAmount_Clean]])</f>
        <v>874.6</v>
      </c>
      <c r="AD6">
        <v>4025.4</v>
      </c>
      <c r="AE6" t="str">
        <f>IF(ROUND(Transaction[[#This Row],[GrossRevenue_Analytical]]-Transaction[[#This Row],[NetRevenue_Analytical]],2)=ROUND(Transaction[[#This Row],[DiscountAmount_Clean]],2),"Valid","Invalid")</f>
        <v>Valid</v>
      </c>
      <c r="AF6">
        <f>VALUE(IF(ISNUMBER(Transaction[[#This Row],[NetRevenue]]),Transaction[[#This Row],[NetRevenue]],IFERROR(IF(FIND("$",Transaction[[#This Row],[NetRevenue]])&gt;0,MID(Transaction[[#This Row],[NetRevenue]],2,10)),Transaction[[#This Row],[NetRevenue]])))</f>
        <v>4025.4</v>
      </c>
      <c r="AG6">
        <f>IF(Transaction[[#This Row],[NetRevenue_Check]]="Invalid",(Transaction[[#This Row],[Quantity]]*Transaction[[#This Row],[UnitPrice_Clean]]),Transaction[[#This Row],[NetRevenue_Clean]])</f>
        <v>4025.4</v>
      </c>
      <c r="AH6" t="str">
        <f>IF(Transaction[[#This Row],[Quantity]]*Transaction[[#This Row],[UnitPrice_Clean]]=Transaction[[#This Row],[NetRevenue_Clean]],"Valid","Invalid")</f>
        <v>Valid</v>
      </c>
      <c r="AI6" t="s">
        <v>23</v>
      </c>
      <c r="AJ6" t="s">
        <v>2438</v>
      </c>
      <c r="AK6" t="str">
        <f>IF(Transaction[[#This Row],[Salesperson]]="","Missing Value",TRIM(PROPER(Transaction[[#This Row],[Salesperson]])))</f>
        <v>Moon-Na</v>
      </c>
      <c r="AL6" t="s">
        <v>42</v>
      </c>
      <c r="AM6" t="str">
        <f>IF(Transaction[[#This Row],[ContractType]]="","Missing Value",Transaction[[#This Row],[ContractType]])</f>
        <v>Standard PO</v>
      </c>
      <c r="AN6" t="s">
        <v>35</v>
      </c>
    </row>
    <row r="7" spans="1:40" x14ac:dyDescent="0.25">
      <c r="A7" t="s">
        <v>1284</v>
      </c>
      <c r="B7" s="1">
        <v>45757</v>
      </c>
      <c r="C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" s="2">
        <f>IFERROR(DATE(Transaction[[#This Row],[TransactionDateY]],Transaction[[#This Row],[TransactionDateM]],Transaction[[#This Row],[TransactionDateD]]),"Missing Value")</f>
        <v>45757</v>
      </c>
      <c r="G7" t="s">
        <v>1285</v>
      </c>
      <c r="H7" t="str">
        <f>IFERROR(VLOOKUP(Transaction[[#This Row],[CustomerID]],Custumer[],1,0),IF(LEN(Transaction[[#This Row],[CustomerID]])=7,LEFT(Transaction[[#This Row],[CustomerID]],6),"Invalid ID"))</f>
        <v>C-1172</v>
      </c>
      <c r="I7" t="s">
        <v>258</v>
      </c>
      <c r="J7" t="str">
        <f>TRIM(UPPER(Transaction[[#This Row],[ProductID]]))</f>
        <v>P-SA-003</v>
      </c>
      <c r="K7" t="str">
        <f>IFERROR(VLOOKUP(Transaction[[#This Row],[ProductID_Clean]],Product[],1,FALSE),"Invalid ID")</f>
        <v>P-SA-003</v>
      </c>
      <c r="L7" t="str">
        <f>TRIM(SUBSTITUTE(SUBSTITUTE(SUBSTITUTE(SUBSTITUTE(UPPER(Transaction[[#This Row],[Region]]),"EMEA REGION","EMEA"),"APAC REGION","APAC"),"NORTH AMERICA","N. AMERICA"),"N .AMERICA","N.AMERICA"))</f>
        <v>N. AMERICA</v>
      </c>
      <c r="M7" t="s">
        <v>495</v>
      </c>
      <c r="N7" t="s">
        <v>31</v>
      </c>
      <c r="O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7" t="s">
        <v>32</v>
      </c>
      <c r="Q7" t="str">
        <f>IF(TRIM(Transaction[[#This Row],[SalesChannel]])="","Missing Value",TRIM(Transaction[[#This Row],[SalesChannel]]))</f>
        <v>Direct</v>
      </c>
      <c r="R7" s="4">
        <v>1</v>
      </c>
      <c r="S7" s="4" t="str">
        <f>IF(Transaction[[#This Row],[Quantity]]&lt;0,"Negative-review","Valid")</f>
        <v>Valid</v>
      </c>
      <c r="T7">
        <v>2753.57</v>
      </c>
      <c r="U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2753.57</v>
      </c>
      <c r="V7">
        <v>2750</v>
      </c>
      <c r="W7">
        <v>2750</v>
      </c>
      <c r="X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7">
        <f>IF(Transaction[[#This Row],[GrossRevenue_Check]]="Invalid",Transaction[[#This Row],[ListPrice]]*Transaction[[#This Row],[Quantity]],Transaction[[#This Row],[GrossRevenue_Clean]])</f>
        <v>2750</v>
      </c>
      <c r="Z7" t="str">
        <f>IF(Transaction[[#This Row],[GrossRevenue_Clean]]=Transaction[[#This Row],[ListPrice]]*Transaction[[#This Row],[Quantity]],"Valid","Invalid")</f>
        <v>Valid</v>
      </c>
      <c r="AA7">
        <v>-3.57</v>
      </c>
      <c r="AB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-3.57</v>
      </c>
      <c r="AC7">
        <f>IF(Transaction[[#This Row],[DiscountAmount_Check2]]="Invalid",Transaction[[#This Row],[GrossRevenue_Analytical]]-Transaction[[#This Row],[NetRevenue_Analytical]],Transaction[[#This Row],[DiscountAmount_Clean]])</f>
        <v>-3.57</v>
      </c>
      <c r="AD7">
        <v>2753.57</v>
      </c>
      <c r="AE7" t="str">
        <f>IF(ROUND(Transaction[[#This Row],[GrossRevenue_Analytical]]-Transaction[[#This Row],[NetRevenue_Analytical]],2)=ROUND(Transaction[[#This Row],[DiscountAmount_Clean]],2),"Valid","Invalid")</f>
        <v>Valid</v>
      </c>
      <c r="AF7">
        <f>VALUE(IF(ISNUMBER(Transaction[[#This Row],[NetRevenue]]),Transaction[[#This Row],[NetRevenue]],IFERROR(IF(FIND("$",Transaction[[#This Row],[NetRevenue]])&gt;0,MID(Transaction[[#This Row],[NetRevenue]],2,10)),Transaction[[#This Row],[NetRevenue]])))</f>
        <v>2753.57</v>
      </c>
      <c r="AG7">
        <f>IF(Transaction[[#This Row],[NetRevenue_Check]]="Invalid",(Transaction[[#This Row],[Quantity]]*Transaction[[#This Row],[UnitPrice_Clean]]),Transaction[[#This Row],[NetRevenue_Clean]])</f>
        <v>2753.57</v>
      </c>
      <c r="AH7" t="str">
        <f>IF(Transaction[[#This Row],[Quantity]]*Transaction[[#This Row],[UnitPrice_Clean]]=Transaction[[#This Row],[NetRevenue_Clean]],"Valid","Invalid")</f>
        <v>Valid</v>
      </c>
      <c r="AI7" t="s">
        <v>23</v>
      </c>
      <c r="AJ7" t="s">
        <v>94</v>
      </c>
      <c r="AK7" t="str">
        <f>IF(Transaction[[#This Row],[Salesperson]]="","Missing Value",TRIM(PROPER(Transaction[[#This Row],[Salesperson]])))</f>
        <v>Williams-Em</v>
      </c>
      <c r="AL7" t="s">
        <v>34</v>
      </c>
      <c r="AM7" t="str">
        <f>IF(Transaction[[#This Row],[ContractType]]="","Missing Value",Transaction[[#This Row],[ContractType]])</f>
        <v>Annual License</v>
      </c>
      <c r="AN7" t="s">
        <v>49</v>
      </c>
    </row>
    <row r="8" spans="1:40" x14ac:dyDescent="0.25">
      <c r="A8" t="s">
        <v>1401</v>
      </c>
      <c r="B8" t="s">
        <v>189</v>
      </c>
      <c r="C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" s="2">
        <f>IFERROR(DATE(Transaction[[#This Row],[TransactionDateY]],Transaction[[#This Row],[TransactionDateM]],Transaction[[#This Row],[TransactionDateD]]),"Missing Value")</f>
        <v>45836</v>
      </c>
      <c r="G8" t="s">
        <v>61</v>
      </c>
      <c r="H8" t="str">
        <f>IFERROR(VLOOKUP(Transaction[[#This Row],[CustomerID]],Custumer[],1,0),IF(LEN(Transaction[[#This Row],[CustomerID]])=7,LEFT(Transaction[[#This Row],[CustomerID]],6),"Invalid ID"))</f>
        <v>C-1108</v>
      </c>
      <c r="I8" t="s">
        <v>58</v>
      </c>
      <c r="J8" t="str">
        <f>TRIM(UPPER(Transaction[[#This Row],[ProductID]]))</f>
        <v>P-SI-005</v>
      </c>
      <c r="K8" t="str">
        <f>IFERROR(VLOOKUP(Transaction[[#This Row],[ProductID_Clean]],Product[],1,FALSE),"Invalid ID")</f>
        <v>P-SI-005</v>
      </c>
      <c r="L8" t="str">
        <f>TRIM(SUBSTITUTE(SUBSTITUTE(SUBSTITUTE(SUBSTITUTE(UPPER(Transaction[[#This Row],[Region]]),"EMEA REGION","EMEA"),"APAC REGION","APAC"),"NORTH AMERICA","N. AMERICA"),"N .AMERICA","N.AMERICA"))</f>
        <v>APAC</v>
      </c>
      <c r="M8" t="s">
        <v>30</v>
      </c>
      <c r="N8" t="s">
        <v>53</v>
      </c>
      <c r="O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" t="s">
        <v>22</v>
      </c>
      <c r="Q8" t="str">
        <f>IF(TRIM(Transaction[[#This Row],[SalesChannel]])="","Missing Value",TRIM(Transaction[[#This Row],[SalesChannel]]))</f>
        <v>Direct</v>
      </c>
      <c r="R8" s="4">
        <v>5</v>
      </c>
      <c r="S8" s="4" t="str">
        <f>IF(Transaction[[#This Row],[Quantity]]&lt;0,"Negative-review","Valid")</f>
        <v>Valid</v>
      </c>
      <c r="T8" t="s">
        <v>1402</v>
      </c>
      <c r="U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980.55</v>
      </c>
      <c r="V8">
        <v>1120</v>
      </c>
      <c r="W8">
        <v>5600</v>
      </c>
      <c r="X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5600</v>
      </c>
      <c r="Y8">
        <f>IF(Transaction[[#This Row],[GrossRevenue_Check]]="Invalid",Transaction[[#This Row],[ListPrice]]*Transaction[[#This Row],[Quantity]],Transaction[[#This Row],[GrossRevenue_Clean]])</f>
        <v>5600</v>
      </c>
      <c r="Z8" t="str">
        <f>IF(Transaction[[#This Row],[GrossRevenue_Clean]]=Transaction[[#This Row],[ListPrice]]*Transaction[[#This Row],[Quantity]],"Valid","Invalid")</f>
        <v>Valid</v>
      </c>
      <c r="AA8" t="s">
        <v>1403</v>
      </c>
      <c r="AB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697.25</v>
      </c>
      <c r="AC8">
        <f>IF(Transaction[[#This Row],[DiscountAmount_Check2]]="Invalid",Transaction[[#This Row],[GrossRevenue_Analytical]]-Transaction[[#This Row],[NetRevenue_Analytical]],Transaction[[#This Row],[DiscountAmount_Clean]])</f>
        <v>697.25</v>
      </c>
      <c r="AD8">
        <v>4902.75</v>
      </c>
      <c r="AE8" t="str">
        <f>IF(ROUND(Transaction[[#This Row],[GrossRevenue_Analytical]]-Transaction[[#This Row],[NetRevenue_Analytical]],2)=ROUND(Transaction[[#This Row],[DiscountAmount_Clean]],2),"Valid","Invalid")</f>
        <v>Valid</v>
      </c>
      <c r="AF8">
        <f>VALUE(IF(ISNUMBER(Transaction[[#This Row],[NetRevenue]]),Transaction[[#This Row],[NetRevenue]],IFERROR(IF(FIND("$",Transaction[[#This Row],[NetRevenue]])&gt;0,MID(Transaction[[#This Row],[NetRevenue]],2,10)),Transaction[[#This Row],[NetRevenue]])))</f>
        <v>4902.75</v>
      </c>
      <c r="AG8">
        <f>IF(Transaction[[#This Row],[NetRevenue_Check]]="Invalid",(Transaction[[#This Row],[Quantity]]*Transaction[[#This Row],[UnitPrice_Clean]]),Transaction[[#This Row],[NetRevenue_Clean]])</f>
        <v>4902.75</v>
      </c>
      <c r="AH8" t="str">
        <f>IF(Transaction[[#This Row],[Quantity]]*Transaction[[#This Row],[UnitPrice_Clean]]=Transaction[[#This Row],[NetRevenue_Clean]],"Valid","Invalid")</f>
        <v>Valid</v>
      </c>
      <c r="AI8" t="s">
        <v>23</v>
      </c>
      <c r="AJ8" t="s">
        <v>1404</v>
      </c>
      <c r="AK8" t="str">
        <f>IF(Transaction[[#This Row],[Salesperson]]="","Missing Value",TRIM(PROPER(Transaction[[#This Row],[Salesperson]])))</f>
        <v>Roberts-Em</v>
      </c>
      <c r="AL8" t="s">
        <v>25</v>
      </c>
      <c r="AM8" t="str">
        <f>IF(Transaction[[#This Row],[ContractType]]="","Missing Value",Transaction[[#This Row],[ContractType]])</f>
        <v>Frame Agreement</v>
      </c>
      <c r="AN8" t="s">
        <v>65</v>
      </c>
    </row>
    <row r="9" spans="1:40" x14ac:dyDescent="0.25">
      <c r="A9" t="s">
        <v>1784</v>
      </c>
      <c r="B9" s="1">
        <v>45755</v>
      </c>
      <c r="C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" s="2">
        <f>IFERROR(DATE(Transaction[[#This Row],[TransactionDateY]],Transaction[[#This Row],[TransactionDateM]],Transaction[[#This Row],[TransactionDateD]]),"Missing Value")</f>
        <v>45755</v>
      </c>
      <c r="G9" t="s">
        <v>247</v>
      </c>
      <c r="H9" t="str">
        <f>IFERROR(VLOOKUP(Transaction[[#This Row],[CustomerID]],Custumer[],1,0),IF(LEN(Transaction[[#This Row],[CustomerID]])=7,LEFT(Transaction[[#This Row],[CustomerID]],6),"Invalid ID"))</f>
        <v>C-1045</v>
      </c>
      <c r="I9" t="s">
        <v>75</v>
      </c>
      <c r="J9" t="str">
        <f>TRIM(UPPER(Transaction[[#This Row],[ProductID]]))</f>
        <v>P-SA-005</v>
      </c>
      <c r="K9" t="str">
        <f>IFERROR(VLOOKUP(Transaction[[#This Row],[ProductID_Clean]],Product[],1,FALSE),"Invalid ID")</f>
        <v>P-SA-005</v>
      </c>
      <c r="L9" t="str">
        <f>TRIM(SUBSTITUTE(SUBSTITUTE(SUBSTITUTE(SUBSTITUTE(UPPER(Transaction[[#This Row],[Region]]),"EMEA REGION","EMEA"),"APAC REGION","APAC"),"NORTH AMERICA","N. AMERICA"),"N .AMERICA","N.AMERICA"))</f>
        <v>EMEA</v>
      </c>
      <c r="M9" t="s">
        <v>76</v>
      </c>
      <c r="N9" t="s">
        <v>31</v>
      </c>
      <c r="O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9" t="s">
        <v>32</v>
      </c>
      <c r="Q9" t="str">
        <f>IF(TRIM(Transaction[[#This Row],[SalesChannel]])="","Missing Value",TRIM(Transaction[[#This Row],[SalesChannel]]))</f>
        <v>Direct</v>
      </c>
      <c r="R9" s="4">
        <v>1</v>
      </c>
      <c r="S9" s="4" t="str">
        <f>IF(Transaction[[#This Row],[Quantity]]&lt;0,"Negative-review","Valid")</f>
        <v>Valid</v>
      </c>
      <c r="T9">
        <v>2642.28</v>
      </c>
      <c r="U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2642.28</v>
      </c>
      <c r="V9">
        <v>3200</v>
      </c>
      <c r="W9">
        <v>3200</v>
      </c>
      <c r="X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9">
        <f>IF(Transaction[[#This Row],[GrossRevenue_Check]]="Invalid",Transaction[[#This Row],[ListPrice]]*Transaction[[#This Row],[Quantity]],Transaction[[#This Row],[GrossRevenue_Clean]])</f>
        <v>3200</v>
      </c>
      <c r="Z9" t="str">
        <f>IF(Transaction[[#This Row],[GrossRevenue_Clean]]=Transaction[[#This Row],[ListPrice]]*Transaction[[#This Row],[Quantity]],"Valid","Invalid")</f>
        <v>Valid</v>
      </c>
      <c r="AA9">
        <v>557.72</v>
      </c>
      <c r="AB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557.72</v>
      </c>
      <c r="AC9">
        <f>IF(Transaction[[#This Row],[DiscountAmount_Check2]]="Invalid",Transaction[[#This Row],[GrossRevenue_Analytical]]-Transaction[[#This Row],[NetRevenue_Analytical]],Transaction[[#This Row],[DiscountAmount_Clean]])</f>
        <v>557.72</v>
      </c>
      <c r="AD9">
        <v>2642.28</v>
      </c>
      <c r="AE9" t="str">
        <f>IF(ROUND(Transaction[[#This Row],[GrossRevenue_Analytical]]-Transaction[[#This Row],[NetRevenue_Analytical]],2)=ROUND(Transaction[[#This Row],[DiscountAmount_Clean]],2),"Valid","Invalid")</f>
        <v>Valid</v>
      </c>
      <c r="AF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2642.28</v>
      </c>
      <c r="AG9">
        <f>IF(Transaction[[#This Row],[NetRevenue_Check]]="Invalid",(Transaction[[#This Row],[Quantity]]*Transaction[[#This Row],[UnitPrice_Clean]]),Transaction[[#This Row],[NetRevenue_Clean]])</f>
        <v>2642.28</v>
      </c>
      <c r="AH9" t="str">
        <f>IF(Transaction[[#This Row],[Quantity]]*Transaction[[#This Row],[UnitPrice_Clean]]=Transaction[[#This Row],[NetRevenue_Clean]],"Valid","Invalid")</f>
        <v>Valid</v>
      </c>
      <c r="AI9" t="s">
        <v>23</v>
      </c>
      <c r="AJ9" t="s">
        <v>508</v>
      </c>
      <c r="AK9" t="str">
        <f>IF(Transaction[[#This Row],[Salesperson]]="","Missing Value",TRIM(PROPER(Transaction[[#This Row],[Salesperson]])))</f>
        <v>Edwards-Na</v>
      </c>
      <c r="AL9" t="s">
        <v>34</v>
      </c>
      <c r="AM9" t="str">
        <f>IF(Transaction[[#This Row],[ContractType]]="","Missing Value",Transaction[[#This Row],[ContractType]])</f>
        <v>Annual License</v>
      </c>
      <c r="AN9" t="s">
        <v>35</v>
      </c>
    </row>
    <row r="10" spans="1:40" x14ac:dyDescent="0.25">
      <c r="A10" t="s">
        <v>2693</v>
      </c>
      <c r="B10" s="1">
        <v>45659</v>
      </c>
      <c r="C1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1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" s="2">
        <f>IFERROR(DATE(Transaction[[#This Row],[TransactionDateY]],Transaction[[#This Row],[TransactionDateM]],Transaction[[#This Row],[TransactionDateD]]),"Missing Value")</f>
        <v>45659</v>
      </c>
      <c r="G10" t="s">
        <v>214</v>
      </c>
      <c r="H10" t="str">
        <f>IFERROR(VLOOKUP(Transaction[[#This Row],[CustomerID]],Custumer[],1,0),IF(LEN(Transaction[[#This Row],[CustomerID]])=7,LEFT(Transaction[[#This Row],[CustomerID]],6),"Invalid ID"))</f>
        <v>C-1169</v>
      </c>
      <c r="I10" t="s">
        <v>52</v>
      </c>
      <c r="J10" t="str">
        <f>TRIM(UPPER(Transaction[[#This Row],[ProductID]]))</f>
        <v>P-SI-002</v>
      </c>
      <c r="K10" t="str">
        <f>IFERROR(VLOOKUP(Transaction[[#This Row],[ProductID_Clean]],Product[],1,FALSE),"Invalid ID")</f>
        <v>P-SI-002</v>
      </c>
      <c r="L10" t="str">
        <f>TRIM(SUBSTITUTE(SUBSTITUTE(SUBSTITUTE(SUBSTITUTE(UPPER(Transaction[[#This Row],[Region]]),"EMEA REGION","EMEA"),"APAC REGION","APAC"),"NORTH AMERICA","N. AMERICA"),"N .AMERICA","N.AMERICA"))</f>
        <v>EMEA</v>
      </c>
      <c r="M10" t="s">
        <v>76</v>
      </c>
      <c r="N10" t="s">
        <v>47</v>
      </c>
      <c r="O1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" t="s">
        <v>22</v>
      </c>
      <c r="Q10" t="str">
        <f>IF(TRIM(Transaction[[#This Row],[SalesChannel]])="","Missing Value",TRIM(Transaction[[#This Row],[SalesChannel]]))</f>
        <v>Direct</v>
      </c>
      <c r="R10" s="4">
        <v>12</v>
      </c>
      <c r="S10" s="4" t="str">
        <f>IF(Transaction[[#This Row],[Quantity]]&lt;0,"Negative-review","Valid")</f>
        <v>Valid</v>
      </c>
      <c r="T10">
        <v>657.51</v>
      </c>
      <c r="U1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657.51</v>
      </c>
      <c r="V10">
        <v>725</v>
      </c>
      <c r="W10">
        <v>8700</v>
      </c>
      <c r="X1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8700</v>
      </c>
      <c r="Y10">
        <f>IF(Transaction[[#This Row],[GrossRevenue_Check]]="Invalid",Transaction[[#This Row],[ListPrice]]*Transaction[[#This Row],[Quantity]],Transaction[[#This Row],[GrossRevenue_Clean]])</f>
        <v>8700</v>
      </c>
      <c r="Z10" t="str">
        <f>IF(Transaction[[#This Row],[GrossRevenue_Clean]]=Transaction[[#This Row],[ListPrice]]*Transaction[[#This Row],[Quantity]],"Valid","Invalid")</f>
        <v>Valid</v>
      </c>
      <c r="AA10">
        <v>809.88</v>
      </c>
      <c r="AB1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809.88</v>
      </c>
      <c r="AC10">
        <f>IF(Transaction[[#This Row],[DiscountAmount_Check2]]="Invalid",Transaction[[#This Row],[GrossRevenue_Analytical]]-Transaction[[#This Row],[NetRevenue_Analytical]],Transaction[[#This Row],[DiscountAmount_Clean]])</f>
        <v>809.88</v>
      </c>
      <c r="AD10">
        <v>7890.12</v>
      </c>
      <c r="AE10" t="str">
        <f>IF(ROUND(Transaction[[#This Row],[GrossRevenue_Analytical]]-Transaction[[#This Row],[NetRevenue_Analytical]],2)=ROUND(Transaction[[#This Row],[DiscountAmount_Clean]],2),"Valid","Invalid")</f>
        <v>Valid</v>
      </c>
      <c r="AF10">
        <f>VALUE(IF(ISNUMBER(Transaction[[#This Row],[NetRevenue]]),Transaction[[#This Row],[NetRevenue]],IFERROR(IF(FIND("$",Transaction[[#This Row],[NetRevenue]])&gt;0,MID(Transaction[[#This Row],[NetRevenue]],2,10)),Transaction[[#This Row],[NetRevenue]])))</f>
        <v>7890.12</v>
      </c>
      <c r="AG10">
        <f>IF(Transaction[[#This Row],[NetRevenue_Check]]="Invalid",(Transaction[[#This Row],[Quantity]]*Transaction[[#This Row],[UnitPrice_Clean]]),Transaction[[#This Row],[NetRevenue_Clean]])</f>
        <v>7890.12</v>
      </c>
      <c r="AH10" t="str">
        <f>IF(Transaction[[#This Row],[Quantity]]*Transaction[[#This Row],[UnitPrice_Clean]]=Transaction[[#This Row],[NetRevenue_Clean]],"Valid","Invalid")</f>
        <v>Valid</v>
      </c>
      <c r="AI10" t="s">
        <v>23</v>
      </c>
      <c r="AJ10" t="s">
        <v>643</v>
      </c>
      <c r="AK10" t="str">
        <f>IF(Transaction[[#This Row],[Salesperson]]="","Missing Value",TRIM(PROPER(Transaction[[#This Row],[Salesperson]])))</f>
        <v>Garcia</v>
      </c>
      <c r="AL10" t="s">
        <v>55</v>
      </c>
      <c r="AM10" t="str">
        <f>IF(Transaction[[#This Row],[ContractType]]="","Missing Value",Transaction[[#This Row],[ContractType]])</f>
        <v>Spot</v>
      </c>
      <c r="AN10" t="s">
        <v>49</v>
      </c>
    </row>
    <row r="11" spans="1:40" x14ac:dyDescent="0.25">
      <c r="A11" t="s">
        <v>1737</v>
      </c>
      <c r="B11" t="s">
        <v>436</v>
      </c>
      <c r="C1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1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1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" s="2">
        <f>IFERROR(DATE(Transaction[[#This Row],[TransactionDateY]],Transaction[[#This Row],[TransactionDateM]],Transaction[[#This Row],[TransactionDateD]]),"Missing Value")</f>
        <v>45734</v>
      </c>
      <c r="G11" t="s">
        <v>329</v>
      </c>
      <c r="H11" t="str">
        <f>IFERROR(VLOOKUP(Transaction[[#This Row],[CustomerID]],Custumer[],1,0),IF(LEN(Transaction[[#This Row],[CustomerID]])=7,LEFT(Transaction[[#This Row],[CustomerID]],6),"Invalid ID"))</f>
        <v>C-1145</v>
      </c>
      <c r="I11" t="s">
        <v>29</v>
      </c>
      <c r="J11" t="str">
        <f>TRIM(UPPER(Transaction[[#This Row],[ProductID]]))</f>
        <v>P-SA-001</v>
      </c>
      <c r="K11" t="str">
        <f>IFERROR(VLOOKUP(Transaction[[#This Row],[ProductID_Clean]],Product[],1,FALSE),"Invalid ID")</f>
        <v>P-SA-001</v>
      </c>
      <c r="L11" t="str">
        <f>TRIM(SUBSTITUTE(SUBSTITUTE(SUBSTITUTE(SUBSTITUTE(UPPER(Transaction[[#This Row],[Region]]),"EMEA REGION","EMEA"),"APAC REGION","APAC"),"NORTH AMERICA","N. AMERICA"),"N .AMERICA","N.AMERICA"))</f>
        <v>N. AMERICA</v>
      </c>
      <c r="M11" t="s">
        <v>20</v>
      </c>
      <c r="N11" t="s">
        <v>31</v>
      </c>
      <c r="O1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" t="s">
        <v>22</v>
      </c>
      <c r="Q11" t="str">
        <f>IF(TRIM(Transaction[[#This Row],[SalesChannel]])="","Missing Value",TRIM(Transaction[[#This Row],[SalesChannel]]))</f>
        <v>Direct</v>
      </c>
      <c r="R11" s="4">
        <v>1</v>
      </c>
      <c r="S11" s="4" t="str">
        <f>IF(Transaction[[#This Row],[Quantity]]&lt;0,"Negative-review","Valid")</f>
        <v>Valid</v>
      </c>
      <c r="T11">
        <v>3363.25</v>
      </c>
      <c r="U1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3363.25</v>
      </c>
      <c r="V11">
        <v>4200</v>
      </c>
      <c r="W11" t="s">
        <v>1579</v>
      </c>
      <c r="X1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11">
        <f>IF(Transaction[[#This Row],[GrossRevenue_Check]]="Invalid",Transaction[[#This Row],[ListPrice]]*Transaction[[#This Row],[Quantity]],Transaction[[#This Row],[GrossRevenue_Clean]])</f>
        <v>4200</v>
      </c>
      <c r="Z11" t="str">
        <f>IF(Transaction[[#This Row],[GrossRevenue_Clean]]=Transaction[[#This Row],[ListPrice]]*Transaction[[#This Row],[Quantity]],"Valid","Invalid")</f>
        <v>Valid</v>
      </c>
      <c r="AA11" t="s">
        <v>1738</v>
      </c>
      <c r="AB1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836.75</v>
      </c>
      <c r="AC11">
        <f>IF(Transaction[[#This Row],[DiscountAmount_Check2]]="Invalid",Transaction[[#This Row],[GrossRevenue_Analytical]]-Transaction[[#This Row],[NetRevenue_Analytical]],Transaction[[#This Row],[DiscountAmount_Clean]])</f>
        <v>836.75</v>
      </c>
      <c r="AD11">
        <v>3363.25</v>
      </c>
      <c r="AE11" t="str">
        <f>IF(ROUND(Transaction[[#This Row],[GrossRevenue_Analytical]]-Transaction[[#This Row],[NetRevenue_Analytical]],2)=ROUND(Transaction[[#This Row],[DiscountAmount_Clean]],2),"Valid","Invalid")</f>
        <v>Valid</v>
      </c>
      <c r="AF11">
        <f>VALUE(IF(ISNUMBER(Transaction[[#This Row],[NetRevenue]]),Transaction[[#This Row],[NetRevenue]],IFERROR(IF(FIND("$",Transaction[[#This Row],[NetRevenue]])&gt;0,MID(Transaction[[#This Row],[NetRevenue]],2,10)),Transaction[[#This Row],[NetRevenue]])))</f>
        <v>3363.25</v>
      </c>
      <c r="AG11">
        <f>IF(Transaction[[#This Row],[NetRevenue_Check]]="Invalid",(Transaction[[#This Row],[Quantity]]*Transaction[[#This Row],[UnitPrice_Clean]]),Transaction[[#This Row],[NetRevenue_Clean]])</f>
        <v>3363.25</v>
      </c>
      <c r="AH11" t="str">
        <f>IF(Transaction[[#This Row],[Quantity]]*Transaction[[#This Row],[UnitPrice_Clean]]=Transaction[[#This Row],[NetRevenue_Clean]],"Valid","Invalid")</f>
        <v>Valid</v>
      </c>
      <c r="AI11" t="s">
        <v>23</v>
      </c>
      <c r="AJ11" t="s">
        <v>1739</v>
      </c>
      <c r="AK11" t="str">
        <f>IF(Transaction[[#This Row],[Salesperson]]="","Missing Value",TRIM(PROPER(Transaction[[#This Row],[Salesperson]])))</f>
        <v>Romero-Na</v>
      </c>
      <c r="AL11" t="s">
        <v>34</v>
      </c>
      <c r="AM11" t="str">
        <f>IF(Transaction[[#This Row],[ContractType]]="","Missing Value",Transaction[[#This Row],[ContractType]])</f>
        <v>Annual License</v>
      </c>
      <c r="AN11" t="s">
        <v>65</v>
      </c>
    </row>
    <row r="12" spans="1:40" x14ac:dyDescent="0.25">
      <c r="A12" t="s">
        <v>859</v>
      </c>
      <c r="B12" s="1">
        <v>45765</v>
      </c>
      <c r="C1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1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" s="2">
        <f>IFERROR(DATE(Transaction[[#This Row],[TransactionDateY]],Transaction[[#This Row],[TransactionDateM]],Transaction[[#This Row],[TransactionDateD]]),"Missing Value")</f>
        <v>45765</v>
      </c>
      <c r="G12" t="s">
        <v>476</v>
      </c>
      <c r="H12" t="str">
        <f>IFERROR(VLOOKUP(Transaction[[#This Row],[CustomerID]],Custumer[],1,0),IF(LEN(Transaction[[#This Row],[CustomerID]])=7,LEFT(Transaction[[#This Row],[CustomerID]],6),"Invalid ID"))</f>
        <v>C-1174</v>
      </c>
      <c r="I12" t="s">
        <v>97</v>
      </c>
      <c r="J12" t="str">
        <f>TRIM(UPPER(Transaction[[#This Row],[ProductID]]))</f>
        <v>P-SI-001</v>
      </c>
      <c r="K12" t="str">
        <f>IFERROR(VLOOKUP(Transaction[[#This Row],[ProductID_Clean]],Product[],1,FALSE),"Invalid ID")</f>
        <v>P-SI-001</v>
      </c>
      <c r="L12" t="str">
        <f>TRIM(SUBSTITUTE(SUBSTITUTE(SUBSTITUTE(SUBSTITUTE(UPPER(Transaction[[#This Row],[Region]]),"EMEA REGION","EMEA"),"APAC REGION","APAC"),"NORTH AMERICA","N. AMERICA"),"N .AMERICA","N.AMERICA"))</f>
        <v>N. AMERICA</v>
      </c>
      <c r="M12" t="s">
        <v>20</v>
      </c>
      <c r="N12" t="s">
        <v>47</v>
      </c>
      <c r="O1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" t="s">
        <v>22</v>
      </c>
      <c r="Q12" t="str">
        <f>IF(TRIM(Transaction[[#This Row],[SalesChannel]])="","Missing Value",TRIM(Transaction[[#This Row],[SalesChannel]]))</f>
        <v>Direct</v>
      </c>
      <c r="R12" s="4">
        <v>4</v>
      </c>
      <c r="S12" s="4" t="str">
        <f>IF(Transaction[[#This Row],[Quantity]]&lt;0,"Negative-review","Valid")</f>
        <v>Valid</v>
      </c>
      <c r="T12">
        <v>417.01</v>
      </c>
      <c r="U1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417.01</v>
      </c>
      <c r="V12">
        <v>485</v>
      </c>
      <c r="W12">
        <v>1940</v>
      </c>
      <c r="X1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1940</v>
      </c>
      <c r="Y12">
        <f>IF(Transaction[[#This Row],[GrossRevenue_Check]]="Invalid",Transaction[[#This Row],[ListPrice]]*Transaction[[#This Row],[Quantity]],Transaction[[#This Row],[GrossRevenue_Clean]])</f>
        <v>1940</v>
      </c>
      <c r="Z12" t="str">
        <f>IF(Transaction[[#This Row],[GrossRevenue_Clean]]=Transaction[[#This Row],[ListPrice]]*Transaction[[#This Row],[Quantity]],"Valid","Invalid")</f>
        <v>Valid</v>
      </c>
      <c r="AA12">
        <v>271.95999999999998</v>
      </c>
      <c r="AB1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271.95999999999998</v>
      </c>
      <c r="AC12">
        <f>IF(Transaction[[#This Row],[DiscountAmount_Check2]]="Invalid",Transaction[[#This Row],[GrossRevenue_Analytical]]-Transaction[[#This Row],[NetRevenue_Analytical]],Transaction[[#This Row],[DiscountAmount_Clean]])</f>
        <v>271.95999999999998</v>
      </c>
      <c r="AD12">
        <v>1668.04</v>
      </c>
      <c r="AE12" t="str">
        <f>IF(ROUND(Transaction[[#This Row],[GrossRevenue_Analytical]]-Transaction[[#This Row],[NetRevenue_Analytical]],2)=ROUND(Transaction[[#This Row],[DiscountAmount_Clean]],2),"Valid","Invalid")</f>
        <v>Valid</v>
      </c>
      <c r="AF1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1668.04</v>
      </c>
      <c r="AG12">
        <f>IF(Transaction[[#This Row],[NetRevenue_Check]]="Invalid",(Transaction[[#This Row],[Quantity]]*Transaction[[#This Row],[UnitPrice_Clean]]),Transaction[[#This Row],[NetRevenue_Clean]])</f>
        <v>1668.04</v>
      </c>
      <c r="AH12" t="str">
        <f>IF(Transaction[[#This Row],[Quantity]]*Transaction[[#This Row],[UnitPrice_Clean]]=Transaction[[#This Row],[NetRevenue_Clean]],"Valid","Invalid")</f>
        <v>Valid</v>
      </c>
      <c r="AI12" t="s">
        <v>23</v>
      </c>
      <c r="AJ12" t="s">
        <v>860</v>
      </c>
      <c r="AK12" t="str">
        <f>IF(Transaction[[#This Row],[Salesperson]]="","Missing Value",TRIM(PROPER(Transaction[[#This Row],[Salesperson]])))</f>
        <v>Moore-Em</v>
      </c>
      <c r="AL12" t="s">
        <v>55</v>
      </c>
      <c r="AM12" t="str">
        <f>IF(Transaction[[#This Row],[ContractType]]="","Missing Value",Transaction[[#This Row],[ContractType]])</f>
        <v>Spot</v>
      </c>
      <c r="AN12" t="s">
        <v>35</v>
      </c>
    </row>
    <row r="13" spans="1:40" x14ac:dyDescent="0.25">
      <c r="A13" t="s">
        <v>2180</v>
      </c>
      <c r="B13" s="1">
        <v>45797</v>
      </c>
      <c r="C1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1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3" s="2">
        <f>IFERROR(DATE(Transaction[[#This Row],[TransactionDateY]],Transaction[[#This Row],[TransactionDateM]],Transaction[[#This Row],[TransactionDateD]]),"Missing Value")</f>
        <v>45797</v>
      </c>
      <c r="G13" t="s">
        <v>412</v>
      </c>
      <c r="H13" t="str">
        <f>IFERROR(VLOOKUP(Transaction[[#This Row],[CustomerID]],Custumer[],1,0),IF(LEN(Transaction[[#This Row],[CustomerID]])=7,LEFT(Transaction[[#This Row],[CustomerID]],6),"Invalid ID"))</f>
        <v>C-1126</v>
      </c>
      <c r="I13" t="s">
        <v>62</v>
      </c>
      <c r="J13" t="str">
        <f>TRIM(UPPER(Transaction[[#This Row],[ProductID]]))</f>
        <v>P-SI-004</v>
      </c>
      <c r="K13" t="str">
        <f>IFERROR(VLOOKUP(Transaction[[#This Row],[ProductID_Clean]],Product[],1,FALSE),"Invalid ID")</f>
        <v>P-SI-004</v>
      </c>
      <c r="L13" t="str">
        <f>TRIM(SUBSTITUTE(SUBSTITUTE(SUBSTITUTE(SUBSTITUTE(UPPER(Transaction[[#This Row],[Region]]),"EMEA REGION","EMEA"),"APAC REGION","APAC"),"NORTH AMERICA","N. AMERICA"),"N .AMERICA","N.AMERICA"))</f>
        <v>EMEA</v>
      </c>
      <c r="M13" t="s">
        <v>76</v>
      </c>
      <c r="N13" t="s">
        <v>53</v>
      </c>
      <c r="O1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3" t="s">
        <v>181</v>
      </c>
      <c r="Q13" t="str">
        <f>IF(TRIM(Transaction[[#This Row],[SalesChannel]])="","Missing Value",TRIM(Transaction[[#This Row],[SalesChannel]]))</f>
        <v>Partner Portal</v>
      </c>
      <c r="R13" s="4">
        <v>10</v>
      </c>
      <c r="S13" s="4" t="str">
        <f>IF(Transaction[[#This Row],[Quantity]]&lt;0,"Negative-review","Valid")</f>
        <v>Valid</v>
      </c>
      <c r="T13">
        <v>2036.06</v>
      </c>
      <c r="U1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2036.06</v>
      </c>
      <c r="V13">
        <v>2450</v>
      </c>
      <c r="W13">
        <v>24500</v>
      </c>
      <c r="X1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24500</v>
      </c>
      <c r="Y13">
        <f>IF(Transaction[[#This Row],[GrossRevenue_Check]]="Invalid",Transaction[[#This Row],[ListPrice]]*Transaction[[#This Row],[Quantity]],Transaction[[#This Row],[GrossRevenue_Clean]])</f>
        <v>24500</v>
      </c>
      <c r="Z13" t="str">
        <f>IF(Transaction[[#This Row],[GrossRevenue_Clean]]=Transaction[[#This Row],[ListPrice]]*Transaction[[#This Row],[Quantity]],"Valid","Invalid")</f>
        <v>Valid</v>
      </c>
      <c r="AA13">
        <v>4139.3999999999996</v>
      </c>
      <c r="AB1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4139.3999999999996</v>
      </c>
      <c r="AC13">
        <f>IF(Transaction[[#This Row],[DiscountAmount_Check2]]="Invalid",Transaction[[#This Row],[GrossRevenue_Analytical]]-Transaction[[#This Row],[NetRevenue_Analytical]],Transaction[[#This Row],[DiscountAmount_Clean]])</f>
        <v>4139.3999999999996</v>
      </c>
      <c r="AD13">
        <v>20360.599999999999</v>
      </c>
      <c r="AE13" t="str">
        <f>IF(ROUND(Transaction[[#This Row],[GrossRevenue_Analytical]]-Transaction[[#This Row],[NetRevenue_Analytical]],2)=ROUND(Transaction[[#This Row],[DiscountAmount_Clean]],2),"Valid","Invalid")</f>
        <v>Valid</v>
      </c>
      <c r="AF13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20360.599999999999</v>
      </c>
      <c r="AG13">
        <f>IF(Transaction[[#This Row],[NetRevenue_Check]]="Invalid",(Transaction[[#This Row],[Quantity]]*Transaction[[#This Row],[UnitPrice_Clean]]),Transaction[[#This Row],[NetRevenue_Clean]])</f>
        <v>20360.599999999999</v>
      </c>
      <c r="AH13" t="str">
        <f>IF(Transaction[[#This Row],[Quantity]]*Transaction[[#This Row],[UnitPrice_Clean]]=Transaction[[#This Row],[NetRevenue_Clean]],"Valid","Invalid")</f>
        <v>Valid</v>
      </c>
      <c r="AI13" t="s">
        <v>23</v>
      </c>
      <c r="AJ13" t="s">
        <v>2181</v>
      </c>
      <c r="AK13" t="str">
        <f>IF(Transaction[[#This Row],[Salesperson]]="","Missing Value",TRIM(PROPER(Transaction[[#This Row],[Salesperson]])))</f>
        <v>Olson-Em</v>
      </c>
      <c r="AL13" t="s">
        <v>25</v>
      </c>
      <c r="AM13" t="str">
        <f>IF(Transaction[[#This Row],[ContractType]]="","Missing Value",Transaction[[#This Row],[ContractType]])</f>
        <v>Frame Agreement</v>
      </c>
      <c r="AN13" t="s">
        <v>43</v>
      </c>
    </row>
    <row r="14" spans="1:40" x14ac:dyDescent="0.25">
      <c r="A14" t="s">
        <v>1334</v>
      </c>
      <c r="B14" t="s">
        <v>1335</v>
      </c>
      <c r="C1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1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4" s="2">
        <f>IFERROR(DATE(Transaction[[#This Row],[TransactionDateY]],Transaction[[#This Row],[TransactionDateM]],Transaction[[#This Row],[TransactionDateD]]),"Missing Value")</f>
        <v>45714</v>
      </c>
      <c r="G14" t="s">
        <v>1336</v>
      </c>
      <c r="H14" t="str">
        <f>IFERROR(VLOOKUP(Transaction[[#This Row],[CustomerID]],Custumer[],1,0),IF(LEN(Transaction[[#This Row],[CustomerID]])=7,LEFT(Transaction[[#This Row],[CustomerID]],6),"Invalid ID"))</f>
        <v>Invalid ID</v>
      </c>
      <c r="I14" t="s">
        <v>97</v>
      </c>
      <c r="J14" t="str">
        <f>TRIM(UPPER(Transaction[[#This Row],[ProductID]]))</f>
        <v>P-SI-001</v>
      </c>
      <c r="K14" t="str">
        <f>IFERROR(VLOOKUP(Transaction[[#This Row],[ProductID_Clean]],Product[],1,FALSE),"Invalid ID")</f>
        <v>P-SI-001</v>
      </c>
      <c r="L14" t="str">
        <f>TRIM(SUBSTITUTE(SUBSTITUTE(SUBSTITUTE(SUBSTITUTE(UPPER(Transaction[[#This Row],[Region]]),"EMEA REGION","EMEA"),"APAC REGION","APAC"),"NORTH AMERICA","N. AMERICA"),"N .AMERICA","N.AMERICA"))</f>
        <v>LATIN AMERICA</v>
      </c>
      <c r="M14" t="s">
        <v>82</v>
      </c>
      <c r="N14" t="s">
        <v>53</v>
      </c>
      <c r="O1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4" t="s">
        <v>22</v>
      </c>
      <c r="Q14" t="str">
        <f>IF(TRIM(Transaction[[#This Row],[SalesChannel]])="","Missing Value",TRIM(Transaction[[#This Row],[SalesChannel]]))</f>
        <v>Direct</v>
      </c>
      <c r="R14" s="4">
        <v>3</v>
      </c>
      <c r="S14" s="4" t="str">
        <f>IF(Transaction[[#This Row],[Quantity]]&lt;0,"Negative-review","Valid")</f>
        <v>Valid</v>
      </c>
      <c r="T14">
        <v>467.78</v>
      </c>
      <c r="U1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467.78</v>
      </c>
      <c r="V14">
        <v>485</v>
      </c>
      <c r="W14">
        <v>1455</v>
      </c>
      <c r="X1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14">
        <f>IF(Transaction[[#This Row],[GrossRevenue_Check]]="Invalid",Transaction[[#This Row],[ListPrice]]*Transaction[[#This Row],[Quantity]],Transaction[[#This Row],[GrossRevenue_Clean]])</f>
        <v>1455</v>
      </c>
      <c r="Z14" t="str">
        <f>IF(Transaction[[#This Row],[GrossRevenue_Clean]]=Transaction[[#This Row],[ListPrice]]*Transaction[[#This Row],[Quantity]],"Valid","Invalid")</f>
        <v>Valid</v>
      </c>
      <c r="AA14">
        <v>51.66</v>
      </c>
      <c r="AB1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51.66</v>
      </c>
      <c r="AC14">
        <f>IF(Transaction[[#This Row],[DiscountAmount_Check2]]="Invalid",Transaction[[#This Row],[GrossRevenue_Analytical]]-Transaction[[#This Row],[NetRevenue_Analytical]],Transaction[[#This Row],[DiscountAmount_Clean]])</f>
        <v>51.66</v>
      </c>
      <c r="AD14">
        <v>1403.34</v>
      </c>
      <c r="AE14" t="str">
        <f>IF(ROUND(Transaction[[#This Row],[GrossRevenue_Analytical]]-Transaction[[#This Row],[NetRevenue_Analytical]],2)=ROUND(Transaction[[#This Row],[DiscountAmount_Clean]],2),"Valid","Invalid")</f>
        <v>Valid</v>
      </c>
      <c r="AF1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1403.34</v>
      </c>
      <c r="AG14">
        <f>IF(Transaction[[#This Row],[NetRevenue_Check]]="Invalid",(Transaction[[#This Row],[Quantity]]*Transaction[[#This Row],[UnitPrice_Clean]]),Transaction[[#This Row],[NetRevenue_Clean]])</f>
        <v>1403.34</v>
      </c>
      <c r="AH14" t="str">
        <f>IF(Transaction[[#This Row],[Quantity]]*Transaction[[#This Row],[UnitPrice_Clean]]=Transaction[[#This Row],[NetRevenue_Clean]],"Valid","Invalid")</f>
        <v>Valid</v>
      </c>
      <c r="AI14" t="s">
        <v>23</v>
      </c>
      <c r="AJ14" t="s">
        <v>1337</v>
      </c>
      <c r="AK14" t="str">
        <f>IF(Transaction[[#This Row],[Salesperson]]="","Missing Value",TRIM(PROPER(Transaction[[#This Row],[Salesperson]])))</f>
        <v>Boone</v>
      </c>
      <c r="AL14" t="s">
        <v>42</v>
      </c>
      <c r="AM14" t="str">
        <f>IF(Transaction[[#This Row],[ContractType]]="","Missing Value",Transaction[[#This Row],[ContractType]])</f>
        <v>Standard PO</v>
      </c>
      <c r="AN14" t="s">
        <v>49</v>
      </c>
    </row>
    <row r="15" spans="1:40" x14ac:dyDescent="0.25">
      <c r="A15" t="s">
        <v>3009</v>
      </c>
      <c r="B15" s="1">
        <v>45769</v>
      </c>
      <c r="C1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1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5" s="2">
        <f>IFERROR(DATE(Transaction[[#This Row],[TransactionDateY]],Transaction[[#This Row],[TransactionDateM]],Transaction[[#This Row],[TransactionDateD]]),"Missing Value")</f>
        <v>45769</v>
      </c>
      <c r="G15" t="s">
        <v>617</v>
      </c>
      <c r="H15" t="str">
        <f>IFERROR(VLOOKUP(Transaction[[#This Row],[CustomerID]],Custumer[],1,0),IF(LEN(Transaction[[#This Row],[CustomerID]])=7,LEFT(Transaction[[#This Row],[CustomerID]],6),"Invalid ID"))</f>
        <v>C-1011</v>
      </c>
      <c r="I15" t="s">
        <v>58</v>
      </c>
      <c r="J15" t="str">
        <f>TRIM(UPPER(Transaction[[#This Row],[ProductID]]))</f>
        <v>P-SI-005</v>
      </c>
      <c r="K15" t="str">
        <f>IFERROR(VLOOKUP(Transaction[[#This Row],[ProductID_Clean]],Product[],1,FALSE),"Invalid ID")</f>
        <v>P-SI-005</v>
      </c>
      <c r="L15" t="str">
        <f>TRIM(SUBSTITUTE(SUBSTITUTE(SUBSTITUTE(SUBSTITUTE(UPPER(Transaction[[#This Row],[Region]]),"EMEA REGION","EMEA"),"APAC REGION","APAC"),"NORTH AMERICA","N. AMERICA"),"N .AMERICA","N.AMERICA"))</f>
        <v>APAC</v>
      </c>
      <c r="M15" t="s">
        <v>30</v>
      </c>
      <c r="N15" t="s">
        <v>53</v>
      </c>
      <c r="O1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5" t="s">
        <v>22</v>
      </c>
      <c r="Q15" t="str">
        <f>IF(TRIM(Transaction[[#This Row],[SalesChannel]])="","Missing Value",TRIM(Transaction[[#This Row],[SalesChannel]]))</f>
        <v>Direct</v>
      </c>
      <c r="R15" s="4">
        <v>3</v>
      </c>
      <c r="S15" s="4" t="str">
        <f>IF(Transaction[[#This Row],[Quantity]]&lt;0,"Negative-review","Valid")</f>
        <v>Valid</v>
      </c>
      <c r="T15" t="s">
        <v>3010</v>
      </c>
      <c r="U1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999.89</v>
      </c>
      <c r="V15">
        <v>1120</v>
      </c>
      <c r="W15">
        <v>3360</v>
      </c>
      <c r="X1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3360</v>
      </c>
      <c r="Y15">
        <f>IF(Transaction[[#This Row],[GrossRevenue_Check]]="Invalid",Transaction[[#This Row],[ListPrice]]*Transaction[[#This Row],[Quantity]],Transaction[[#This Row],[GrossRevenue_Clean]])</f>
        <v>3360</v>
      </c>
      <c r="Z15" t="str">
        <f>IF(Transaction[[#This Row],[GrossRevenue_Clean]]=Transaction[[#This Row],[ListPrice]]*Transaction[[#This Row],[Quantity]],"Valid","Invalid")</f>
        <v>Valid</v>
      </c>
      <c r="AA15">
        <v>360.33</v>
      </c>
      <c r="AB1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360.33</v>
      </c>
      <c r="AC15">
        <f>IF(Transaction[[#This Row],[DiscountAmount_Check2]]="Invalid",Transaction[[#This Row],[GrossRevenue_Analytical]]-Transaction[[#This Row],[NetRevenue_Analytical]],Transaction[[#This Row],[DiscountAmount_Clean]])</f>
        <v>360.33</v>
      </c>
      <c r="AD15">
        <v>2999.67</v>
      </c>
      <c r="AE15" t="str">
        <f>IF(ROUND(Transaction[[#This Row],[GrossRevenue_Analytical]]-Transaction[[#This Row],[NetRevenue_Analytical]],2)=ROUND(Transaction[[#This Row],[DiscountAmount_Clean]],2),"Valid","Invalid")</f>
        <v>Valid</v>
      </c>
      <c r="AF15">
        <f>VALUE(IF(ISNUMBER(Transaction[[#This Row],[NetRevenue]]),Transaction[[#This Row],[NetRevenue]],IFERROR(IF(FIND("$",Transaction[[#This Row],[NetRevenue]])&gt;0,MID(Transaction[[#This Row],[NetRevenue]],2,10)),Transaction[[#This Row],[NetRevenue]])))</f>
        <v>2999.67</v>
      </c>
      <c r="AG15">
        <f>IF(Transaction[[#This Row],[NetRevenue_Check]]="Invalid",(Transaction[[#This Row],[Quantity]]*Transaction[[#This Row],[UnitPrice_Clean]]),Transaction[[#This Row],[NetRevenue_Clean]])</f>
        <v>2999.67</v>
      </c>
      <c r="AH15" t="str">
        <f>IF(Transaction[[#This Row],[Quantity]]*Transaction[[#This Row],[UnitPrice_Clean]]=Transaction[[#This Row],[NetRevenue_Clean]],"Valid","Invalid")</f>
        <v>Valid</v>
      </c>
      <c r="AI15" t="s">
        <v>23</v>
      </c>
      <c r="AJ15" t="s">
        <v>33</v>
      </c>
      <c r="AK15" t="str">
        <f>IF(Transaction[[#This Row],[Salesperson]]="","Missing Value",TRIM(PROPER(Transaction[[#This Row],[Salesperson]])))</f>
        <v>Bell-Na</v>
      </c>
      <c r="AL15" t="s">
        <v>25</v>
      </c>
      <c r="AM15" t="str">
        <f>IF(Transaction[[#This Row],[ContractType]]="","Missing Value",Transaction[[#This Row],[ContractType]])</f>
        <v>Frame Agreement</v>
      </c>
      <c r="AN15" t="s">
        <v>65</v>
      </c>
    </row>
    <row r="16" spans="1:40" x14ac:dyDescent="0.25">
      <c r="A16" t="s">
        <v>2937</v>
      </c>
      <c r="B16" s="1">
        <v>45665</v>
      </c>
      <c r="C1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1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6" s="2">
        <f>IFERROR(DATE(Transaction[[#This Row],[TransactionDateY]],Transaction[[#This Row],[TransactionDateM]],Transaction[[#This Row],[TransactionDateD]]),"Missing Value")</f>
        <v>45665</v>
      </c>
      <c r="G16" t="s">
        <v>565</v>
      </c>
      <c r="H16" t="str">
        <f>IFERROR(VLOOKUP(Transaction[[#This Row],[CustomerID]],Custumer[],1,0),IF(LEN(Transaction[[#This Row],[CustomerID]])=7,LEFT(Transaction[[#This Row],[CustomerID]],6),"Invalid ID"))</f>
        <v>C-1007</v>
      </c>
      <c r="I16" t="s">
        <v>268</v>
      </c>
      <c r="J16" t="str">
        <f>TRIM(UPPER(Transaction[[#This Row],[ProductID]]))</f>
        <v>P-FS-002</v>
      </c>
      <c r="K16" t="str">
        <f>IFERROR(VLOOKUP(Transaction[[#This Row],[ProductID_Clean]],Product[],1,FALSE),"Invalid ID")</f>
        <v>P-FS-002</v>
      </c>
      <c r="L16" t="str">
        <f>TRIM(SUBSTITUTE(SUBSTITUTE(SUBSTITUTE(SUBSTITUTE(UPPER(Transaction[[#This Row],[Region]]),"EMEA REGION","EMEA"),"APAC REGION","APAC"),"NORTH AMERICA","N. AMERICA"),"N .AMERICA","N.AMERICA"))</f>
        <v>N. AMERICA</v>
      </c>
      <c r="M16" t="s">
        <v>20</v>
      </c>
      <c r="N16" t="s">
        <v>21</v>
      </c>
      <c r="O1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6" t="s">
        <v>22</v>
      </c>
      <c r="Q16" t="str">
        <f>IF(TRIM(Transaction[[#This Row],[SalesChannel]])="","Missing Value",TRIM(Transaction[[#This Row],[SalesChannel]]))</f>
        <v>Direct</v>
      </c>
      <c r="R16" s="4">
        <v>1</v>
      </c>
      <c r="S16" s="4" t="str">
        <f>IF(Transaction[[#This Row],[Quantity]]&lt;0,"Negative-review","Valid")</f>
        <v>Valid</v>
      </c>
      <c r="T16">
        <v>1947.72</v>
      </c>
      <c r="U1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1947.72</v>
      </c>
      <c r="V16">
        <v>2400</v>
      </c>
      <c r="W16">
        <v>2400</v>
      </c>
      <c r="X1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16">
        <f>IF(Transaction[[#This Row],[GrossRevenue_Check]]="Invalid",Transaction[[#This Row],[ListPrice]]*Transaction[[#This Row],[Quantity]],Transaction[[#This Row],[GrossRevenue_Clean]])</f>
        <v>2400</v>
      </c>
      <c r="Z16" t="str">
        <f>IF(Transaction[[#This Row],[GrossRevenue_Clean]]=Transaction[[#This Row],[ListPrice]]*Transaction[[#This Row],[Quantity]],"Valid","Invalid")</f>
        <v>Valid</v>
      </c>
      <c r="AA16">
        <v>452.28</v>
      </c>
      <c r="AB1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452.28</v>
      </c>
      <c r="AC16">
        <f>IF(Transaction[[#This Row],[DiscountAmount_Check2]]="Invalid",Transaction[[#This Row],[GrossRevenue_Analytical]]-Transaction[[#This Row],[NetRevenue_Analytical]],Transaction[[#This Row],[DiscountAmount_Clean]])</f>
        <v>452.28</v>
      </c>
      <c r="AD16">
        <v>1947.72</v>
      </c>
      <c r="AE16" t="str">
        <f>IF(ROUND(Transaction[[#This Row],[GrossRevenue_Analytical]]-Transaction[[#This Row],[NetRevenue_Analytical]],2)=ROUND(Transaction[[#This Row],[DiscountAmount_Clean]],2),"Valid","Invalid")</f>
        <v>Valid</v>
      </c>
      <c r="AF1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1947.72</v>
      </c>
      <c r="AG16">
        <f>IF(Transaction[[#This Row],[NetRevenue_Check]]="Invalid",(Transaction[[#This Row],[Quantity]]*Transaction[[#This Row],[UnitPrice_Clean]]),Transaction[[#This Row],[NetRevenue_Clean]])</f>
        <v>1947.72</v>
      </c>
      <c r="AH16" t="str">
        <f>IF(Transaction[[#This Row],[Quantity]]*Transaction[[#This Row],[UnitPrice_Clean]]=Transaction[[#This Row],[NetRevenue_Clean]],"Valid","Invalid")</f>
        <v>Valid</v>
      </c>
      <c r="AI16" t="s">
        <v>23</v>
      </c>
      <c r="AJ16" t="s">
        <v>301</v>
      </c>
      <c r="AK16" t="str">
        <f>IF(Transaction[[#This Row],[Salesperson]]="","Missing Value",TRIM(PROPER(Transaction[[#This Row],[Salesperson]])))</f>
        <v>Hawkins-Na</v>
      </c>
      <c r="AL16" t="s">
        <v>295</v>
      </c>
      <c r="AM16" t="str">
        <f>IF(Transaction[[#This Row],[ContractType]]="","Missing Value",Transaction[[#This Row],[ContractType]])</f>
        <v>Multi-Year</v>
      </c>
      <c r="AN16" t="s">
        <v>35</v>
      </c>
    </row>
    <row r="17" spans="1:40" x14ac:dyDescent="0.25">
      <c r="A17" t="s">
        <v>2235</v>
      </c>
      <c r="B17" t="s">
        <v>1630</v>
      </c>
      <c r="C1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1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1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7" s="2">
        <f>IFERROR(DATE(Transaction[[#This Row],[TransactionDateY]],Transaction[[#This Row],[TransactionDateM]],Transaction[[#This Row],[TransactionDateD]]),"Missing Value")</f>
        <v>45744</v>
      </c>
      <c r="G17" t="s">
        <v>1321</v>
      </c>
      <c r="H17" t="str">
        <f>IFERROR(VLOOKUP(Transaction[[#This Row],[CustomerID]],Custumer[],1,0),IF(LEN(Transaction[[#This Row],[CustomerID]])=7,LEFT(Transaction[[#This Row],[CustomerID]],6),"Invalid ID"))</f>
        <v>C-1066</v>
      </c>
      <c r="I17" t="s">
        <v>1637</v>
      </c>
      <c r="J17" t="str">
        <f>TRIM(UPPER(Transaction[[#This Row],[ProductID]]))</f>
        <v>P-SA-004</v>
      </c>
      <c r="K17" t="str">
        <f>IFERROR(VLOOKUP(Transaction[[#This Row],[ProductID_Clean]],Product[],1,FALSE),"Invalid ID")</f>
        <v>P-SA-004</v>
      </c>
      <c r="L17" t="str">
        <f>TRIM(SUBSTITUTE(SUBSTITUTE(SUBSTITUTE(SUBSTITUTE(UPPER(Transaction[[#This Row],[Region]]),"EMEA REGION","EMEA"),"APAC REGION","APAC"),"NORTH AMERICA","N. AMERICA"),"N .AMERICA","N.AMERICA"))</f>
        <v>EMEA</v>
      </c>
      <c r="M17" t="s">
        <v>76</v>
      </c>
      <c r="N17" t="s">
        <v>572</v>
      </c>
      <c r="O1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7" t="s">
        <v>40</v>
      </c>
      <c r="Q17" t="str">
        <f>IF(TRIM(Transaction[[#This Row],[SalesChannel]])="","Missing Value",TRIM(Transaction[[#This Row],[SalesChannel]]))</f>
        <v>Distributor</v>
      </c>
      <c r="R17" s="4">
        <v>1</v>
      </c>
      <c r="S17" s="4" t="str">
        <f>IF(Transaction[[#This Row],[Quantity]]&lt;0,"Negative-review","Valid")</f>
        <v>Valid</v>
      </c>
      <c r="T17">
        <v>1347</v>
      </c>
      <c r="U1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1347</v>
      </c>
      <c r="V17">
        <v>1650</v>
      </c>
      <c r="W17">
        <v>1650</v>
      </c>
      <c r="X1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7">
        <f>IF(Transaction[[#This Row],[GrossRevenue_Check]]="Invalid",Transaction[[#This Row],[ListPrice]]*Transaction[[#This Row],[Quantity]],Transaction[[#This Row],[GrossRevenue_Clean]])</f>
        <v>1650</v>
      </c>
      <c r="Z17" t="str">
        <f>IF(Transaction[[#This Row],[GrossRevenue_Clean]]=Transaction[[#This Row],[ListPrice]]*Transaction[[#This Row],[Quantity]],"Valid","Invalid")</f>
        <v>Valid</v>
      </c>
      <c r="AA17">
        <v>303</v>
      </c>
      <c r="AB1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303</v>
      </c>
      <c r="AC17">
        <f>IF(Transaction[[#This Row],[DiscountAmount_Check2]]="Invalid",Transaction[[#This Row],[GrossRevenue_Analytical]]-Transaction[[#This Row],[NetRevenue_Analytical]],Transaction[[#This Row],[DiscountAmount_Clean]])</f>
        <v>303</v>
      </c>
      <c r="AD17">
        <v>1347</v>
      </c>
      <c r="AE17" t="str">
        <f>IF(ROUND(Transaction[[#This Row],[GrossRevenue_Analytical]]-Transaction[[#This Row],[NetRevenue_Analytical]],2)=ROUND(Transaction[[#This Row],[DiscountAmount_Clean]],2),"Valid","Invalid")</f>
        <v>Valid</v>
      </c>
      <c r="AF1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1347</v>
      </c>
      <c r="AG17">
        <f>IF(Transaction[[#This Row],[NetRevenue_Check]]="Invalid",(Transaction[[#This Row],[Quantity]]*Transaction[[#This Row],[UnitPrice_Clean]]),Transaction[[#This Row],[NetRevenue_Clean]])</f>
        <v>1347</v>
      </c>
      <c r="AH17" t="str">
        <f>IF(Transaction[[#This Row],[Quantity]]*Transaction[[#This Row],[UnitPrice_Clean]]=Transaction[[#This Row],[NetRevenue_Clean]],"Valid","Invalid")</f>
        <v>Valid</v>
      </c>
      <c r="AI17" t="s">
        <v>23</v>
      </c>
      <c r="AJ17" t="s">
        <v>1488</v>
      </c>
      <c r="AK17" t="str">
        <f>IF(Transaction[[#This Row],[Salesperson]]="","Missing Value",TRIM(PROPER(Transaction[[#This Row],[Salesperson]])))</f>
        <v>Wilson-Na</v>
      </c>
      <c r="AL17" t="s">
        <v>113</v>
      </c>
      <c r="AM17" t="str">
        <f>IF(Transaction[[#This Row],[ContractType]]="","Missing Value",Transaction[[#This Row],[ContractType]])</f>
        <v>Subscription</v>
      </c>
      <c r="AN17" t="s">
        <v>26</v>
      </c>
    </row>
    <row r="18" spans="1:40" x14ac:dyDescent="0.25">
      <c r="A18" t="s">
        <v>2494</v>
      </c>
      <c r="B18" t="s">
        <v>2495</v>
      </c>
      <c r="C1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1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01</v>
      </c>
      <c r="E1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8" s="2">
        <f>IFERROR(DATE(Transaction[[#This Row],[TransactionDateY]],Transaction[[#This Row],[TransactionDateM]],Transaction[[#This Row],[TransactionDateD]]),"Missing Value")</f>
        <v>45658</v>
      </c>
      <c r="G18" t="s">
        <v>354</v>
      </c>
      <c r="H18" t="str">
        <f>IFERROR(VLOOKUP(Transaction[[#This Row],[CustomerID]],Custumer[],1,0),IF(LEN(Transaction[[#This Row],[CustomerID]])=7,LEFT(Transaction[[#This Row],[CustomerID]],6),"Invalid ID"))</f>
        <v>C-1037</v>
      </c>
      <c r="I18" t="s">
        <v>111</v>
      </c>
      <c r="J18" t="str">
        <f>TRIM(UPPER(Transaction[[#This Row],[ProductID]]))</f>
        <v>P-SA-004</v>
      </c>
      <c r="K18" t="str">
        <f>IFERROR(VLOOKUP(Transaction[[#This Row],[ProductID_Clean]],Product[],1,FALSE),"Invalid ID")</f>
        <v>P-SA-004</v>
      </c>
      <c r="L18" t="str">
        <f>TRIM(SUBSTITUTE(SUBSTITUTE(SUBSTITUTE(SUBSTITUTE(UPPER(Transaction[[#This Row],[Region]]),"EMEA REGION","EMEA"),"APAC REGION","APAC"),"NORTH AMERICA","N. AMERICA"),"N .AMERICA","N.AMERICA"))</f>
        <v>N. AMERICA</v>
      </c>
      <c r="M18" t="s">
        <v>20</v>
      </c>
      <c r="N18" t="s">
        <v>31</v>
      </c>
      <c r="O1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8" t="s">
        <v>22</v>
      </c>
      <c r="Q18" t="str">
        <f>IF(TRIM(Transaction[[#This Row],[SalesChannel]])="","Missing Value",TRIM(Transaction[[#This Row],[SalesChannel]]))</f>
        <v>Direct</v>
      </c>
      <c r="R18" s="4">
        <v>1</v>
      </c>
      <c r="S18" s="4" t="str">
        <f>IF(Transaction[[#This Row],[Quantity]]&lt;0,"Negative-review","Valid")</f>
        <v>Valid</v>
      </c>
      <c r="T18">
        <v>1419.62</v>
      </c>
      <c r="U1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1419.62</v>
      </c>
      <c r="V18">
        <v>1650</v>
      </c>
      <c r="W18">
        <v>1650</v>
      </c>
      <c r="X1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8">
        <f>IF(Transaction[[#This Row],[GrossRevenue_Check]]="Invalid",Transaction[[#This Row],[ListPrice]]*Transaction[[#This Row],[Quantity]],Transaction[[#This Row],[GrossRevenue_Clean]])</f>
        <v>1650</v>
      </c>
      <c r="Z18" t="str">
        <f>IF(Transaction[[#This Row],[GrossRevenue_Clean]]=Transaction[[#This Row],[ListPrice]]*Transaction[[#This Row],[Quantity]],"Valid","Invalid")</f>
        <v>Valid</v>
      </c>
      <c r="AB1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18">
        <f>IF(Transaction[[#This Row],[DiscountAmount_Check2]]="Invalid",Transaction[[#This Row],[GrossRevenue_Analytical]]-Transaction[[#This Row],[NetRevenue_Analytical]],Transaction[[#This Row],[DiscountAmount_Clean]])</f>
        <v>230.38000000000011</v>
      </c>
      <c r="AD18">
        <v>1419.62</v>
      </c>
      <c r="AE18" t="str">
        <f>IF(ROUND(Transaction[[#This Row],[GrossRevenue_Analytical]]-Transaction[[#This Row],[NetRevenue_Analytical]],2)=ROUND(Transaction[[#This Row],[DiscountAmount_Clean]],2),"Valid","Invalid")</f>
        <v>Invalid</v>
      </c>
      <c r="AF1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1419.62</v>
      </c>
      <c r="AG18">
        <f>IF(Transaction[[#This Row],[NetRevenue_Check]]="Invalid",(Transaction[[#This Row],[Quantity]]*Transaction[[#This Row],[UnitPrice_Clean]]),Transaction[[#This Row],[NetRevenue_Clean]])</f>
        <v>1419.62</v>
      </c>
      <c r="AH18" t="str">
        <f>IF(Transaction[[#This Row],[Quantity]]*Transaction[[#This Row],[UnitPrice_Clean]]=Transaction[[#This Row],[NetRevenue_Clean]],"Valid","Invalid")</f>
        <v>Valid</v>
      </c>
      <c r="AI18" t="s">
        <v>23</v>
      </c>
      <c r="AJ18" t="s">
        <v>294</v>
      </c>
      <c r="AK18" t="str">
        <f>IF(Transaction[[#This Row],[Salesperson]]="","Missing Value",TRIM(PROPER(Transaction[[#This Row],[Salesperson]])))</f>
        <v>Sanders</v>
      </c>
      <c r="AL18" t="s">
        <v>113</v>
      </c>
      <c r="AM18" t="str">
        <f>IF(Transaction[[#This Row],[ContractType]]="","Missing Value",Transaction[[#This Row],[ContractType]])</f>
        <v>Subscription</v>
      </c>
      <c r="AN18" t="s">
        <v>43</v>
      </c>
    </row>
    <row r="19" spans="1:40" x14ac:dyDescent="0.25">
      <c r="A19" t="s">
        <v>2566</v>
      </c>
      <c r="B19" s="1">
        <v>45690</v>
      </c>
      <c r="C1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1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9" s="2">
        <f>IFERROR(DATE(Transaction[[#This Row],[TransactionDateY]],Transaction[[#This Row],[TransactionDateM]],Transaction[[#This Row],[TransactionDateD]]),"Missing Value")</f>
        <v>45690</v>
      </c>
      <c r="G19" t="s">
        <v>203</v>
      </c>
      <c r="H19" t="str">
        <f>IFERROR(VLOOKUP(Transaction[[#This Row],[CustomerID]],Custumer[],1,0),IF(LEN(Transaction[[#This Row],[CustomerID]])=7,LEFT(Transaction[[#This Row],[CustomerID]],6),"Invalid ID"))</f>
        <v>C-1005</v>
      </c>
      <c r="I19" t="s">
        <v>1255</v>
      </c>
      <c r="J19" t="str">
        <f>TRIM(UPPER(Transaction[[#This Row],[ProductID]]))</f>
        <v>P-FS-006</v>
      </c>
      <c r="K19" t="str">
        <f>IFERROR(VLOOKUP(Transaction[[#This Row],[ProductID_Clean]],Product[],1,FALSE),"Invalid ID")</f>
        <v>P-FS-006</v>
      </c>
      <c r="L19" t="str">
        <f>TRIM(SUBSTITUTE(SUBSTITUTE(SUBSTITUTE(SUBSTITUTE(UPPER(Transaction[[#This Row],[Region]]),"EMEA REGION","EMEA"),"APAC REGION","APAC"),"NORTH AMERICA","N. AMERICA"),"N .AMERICA","N.AMERICA"))</f>
        <v>N. AMERICA</v>
      </c>
      <c r="M19" t="s">
        <v>20</v>
      </c>
      <c r="N19" t="s">
        <v>21</v>
      </c>
      <c r="O19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9" t="s">
        <v>40</v>
      </c>
      <c r="Q19" t="str">
        <f>IF(TRIM(Transaction[[#This Row],[SalesChannel]])="","Missing Value",TRIM(Transaction[[#This Row],[SalesChannel]]))</f>
        <v>Distributor</v>
      </c>
      <c r="R19" s="4">
        <v>1</v>
      </c>
      <c r="S19" s="4" t="str">
        <f>IF(Transaction[[#This Row],[Quantity]]&lt;0,"Negative-review","Valid")</f>
        <v>Valid</v>
      </c>
      <c r="T19">
        <v>1249.21</v>
      </c>
      <c r="U1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1249.21</v>
      </c>
      <c r="V19">
        <v>1450</v>
      </c>
      <c r="W19">
        <v>1450</v>
      </c>
      <c r="X1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19">
        <f>IF(Transaction[[#This Row],[GrossRevenue_Check]]="Invalid",Transaction[[#This Row],[ListPrice]]*Transaction[[#This Row],[Quantity]],Transaction[[#This Row],[GrossRevenue_Clean]])</f>
        <v>1450</v>
      </c>
      <c r="Z19" t="str">
        <f>IF(Transaction[[#This Row],[GrossRevenue_Clean]]=Transaction[[#This Row],[ListPrice]]*Transaction[[#This Row],[Quantity]],"Valid","Invalid")</f>
        <v>Valid</v>
      </c>
      <c r="AA19">
        <v>200.79</v>
      </c>
      <c r="AB1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200.79</v>
      </c>
      <c r="AC19">
        <f>IF(Transaction[[#This Row],[DiscountAmount_Check2]]="Invalid",Transaction[[#This Row],[GrossRevenue_Analytical]]-Transaction[[#This Row],[NetRevenue_Analytical]],Transaction[[#This Row],[DiscountAmount_Clean]])</f>
        <v>200.79</v>
      </c>
      <c r="AD19">
        <v>1249.21</v>
      </c>
      <c r="AE19" t="str">
        <f>IF(ROUND(Transaction[[#This Row],[GrossRevenue_Analytical]]-Transaction[[#This Row],[NetRevenue_Analytical]],2)=ROUND(Transaction[[#This Row],[DiscountAmount_Clean]],2),"Valid","Invalid")</f>
        <v>Valid</v>
      </c>
      <c r="AF1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1249.21</v>
      </c>
      <c r="AG19">
        <f>IF(Transaction[[#This Row],[NetRevenue_Check]]="Invalid",(Transaction[[#This Row],[Quantity]]*Transaction[[#This Row],[UnitPrice_Clean]]),Transaction[[#This Row],[NetRevenue_Clean]])</f>
        <v>1249.21</v>
      </c>
      <c r="AH19" t="str">
        <f>IF(Transaction[[#This Row],[Quantity]]*Transaction[[#This Row],[UnitPrice_Clean]]=Transaction[[#This Row],[NetRevenue_Clean]],"Valid","Invalid")</f>
        <v>Valid</v>
      </c>
      <c r="AI19" t="s">
        <v>23</v>
      </c>
      <c r="AJ19" t="s">
        <v>704</v>
      </c>
      <c r="AK19" t="str">
        <f>IF(Transaction[[#This Row],[Salesperson]]="","Missing Value",TRIM(PROPER(Transaction[[#This Row],[Salesperson]])))</f>
        <v>Perez-Em</v>
      </c>
      <c r="AL19" t="s">
        <v>25</v>
      </c>
      <c r="AM19" t="str">
        <f>IF(Transaction[[#This Row],[ContractType]]="","Missing Value",Transaction[[#This Row],[ContractType]])</f>
        <v>Frame Agreement</v>
      </c>
      <c r="AN19" t="s">
        <v>35</v>
      </c>
    </row>
    <row r="20" spans="1:40" x14ac:dyDescent="0.25">
      <c r="A20" t="s">
        <v>2072</v>
      </c>
      <c r="B20" s="1">
        <v>45794</v>
      </c>
      <c r="C2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2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2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0" s="2">
        <f>IFERROR(DATE(Transaction[[#This Row],[TransactionDateY]],Transaction[[#This Row],[TransactionDateM]],Transaction[[#This Row],[TransactionDateD]]),"Missing Value")</f>
        <v>45794</v>
      </c>
      <c r="G20" t="s">
        <v>501</v>
      </c>
      <c r="H20" t="str">
        <f>IFERROR(VLOOKUP(Transaction[[#This Row],[CustomerID]],Custumer[],1,0),IF(LEN(Transaction[[#This Row],[CustomerID]])=7,LEFT(Transaction[[#This Row],[CustomerID]],6),"Invalid ID"))</f>
        <v>Invalid ID</v>
      </c>
      <c r="I20" t="s">
        <v>268</v>
      </c>
      <c r="J20" t="str">
        <f>TRIM(UPPER(Transaction[[#This Row],[ProductID]]))</f>
        <v>P-FS-002</v>
      </c>
      <c r="K20" t="str">
        <f>IFERROR(VLOOKUP(Transaction[[#This Row],[ProductID_Clean]],Product[],1,FALSE),"Invalid ID")</f>
        <v>P-FS-002</v>
      </c>
      <c r="L20" t="str">
        <f>TRIM(SUBSTITUTE(SUBSTITUTE(SUBSTITUTE(SUBSTITUTE(UPPER(Transaction[[#This Row],[Region]]),"EMEA REGION","EMEA"),"APAC REGION","APAC"),"NORTH AMERICA","N. AMERICA"),"N .AMERICA","N.AMERICA"))</f>
        <v>APAC</v>
      </c>
      <c r="M20" t="s">
        <v>30</v>
      </c>
      <c r="N20" t="s">
        <v>244</v>
      </c>
      <c r="O20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20" t="s">
        <v>40</v>
      </c>
      <c r="Q20" t="str">
        <f>IF(TRIM(Transaction[[#This Row],[SalesChannel]])="","Missing Value",TRIM(Transaction[[#This Row],[SalesChannel]]))</f>
        <v>Distributor</v>
      </c>
      <c r="R20" s="4">
        <v>1</v>
      </c>
      <c r="S20" s="4" t="str">
        <f>IF(Transaction[[#This Row],[Quantity]]&lt;0,"Negative-review","Valid")</f>
        <v>Valid</v>
      </c>
      <c r="T20">
        <v>1693.79</v>
      </c>
      <c r="U2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1693.79</v>
      </c>
      <c r="V20">
        <v>2400</v>
      </c>
      <c r="W20">
        <v>2400</v>
      </c>
      <c r="X2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20">
        <f>IF(Transaction[[#This Row],[GrossRevenue_Check]]="Invalid",Transaction[[#This Row],[ListPrice]]*Transaction[[#This Row],[Quantity]],Transaction[[#This Row],[GrossRevenue_Clean]])</f>
        <v>2400</v>
      </c>
      <c r="Z20" t="str">
        <f>IF(Transaction[[#This Row],[GrossRevenue_Clean]]=Transaction[[#This Row],[ListPrice]]*Transaction[[#This Row],[Quantity]],"Valid","Invalid")</f>
        <v>Valid</v>
      </c>
      <c r="AA20">
        <v>706.21</v>
      </c>
      <c r="AB2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706.21</v>
      </c>
      <c r="AC20">
        <f>IF(Transaction[[#This Row],[DiscountAmount_Check2]]="Invalid",Transaction[[#This Row],[GrossRevenue_Analytical]]-Transaction[[#This Row],[NetRevenue_Analytical]],Transaction[[#This Row],[DiscountAmount_Clean]])</f>
        <v>706.21</v>
      </c>
      <c r="AD20">
        <v>1693.79</v>
      </c>
      <c r="AE20" t="str">
        <f>IF(ROUND(Transaction[[#This Row],[GrossRevenue_Analytical]]-Transaction[[#This Row],[NetRevenue_Analytical]],2)=ROUND(Transaction[[#This Row],[DiscountAmount_Clean]],2),"Valid","Invalid")</f>
        <v>Valid</v>
      </c>
      <c r="AF2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1693.79</v>
      </c>
      <c r="AG20">
        <f>IF(Transaction[[#This Row],[NetRevenue_Check]]="Invalid",(Transaction[[#This Row],[Quantity]]*Transaction[[#This Row],[UnitPrice_Clean]]),Transaction[[#This Row],[NetRevenue_Clean]])</f>
        <v>1693.79</v>
      </c>
      <c r="AH20" t="str">
        <f>IF(Transaction[[#This Row],[Quantity]]*Transaction[[#This Row],[UnitPrice_Clean]]=Transaction[[#This Row],[NetRevenue_Clean]],"Valid","Invalid")</f>
        <v>Valid</v>
      </c>
      <c r="AI20" t="s">
        <v>23</v>
      </c>
      <c r="AJ20" t="s">
        <v>592</v>
      </c>
      <c r="AK20" t="str">
        <f>IF(Transaction[[#This Row],[Salesperson]]="","Missing Value",TRIM(PROPER(Transaction[[#This Row],[Salesperson]])))</f>
        <v>Patterson</v>
      </c>
      <c r="AL20" t="s">
        <v>224</v>
      </c>
      <c r="AM20" t="str">
        <f>IF(Transaction[[#This Row],[ContractType]]="","Missing Value",Transaction[[#This Row],[ContractType]])</f>
        <v>Annual</v>
      </c>
      <c r="AN20" t="s">
        <v>49</v>
      </c>
    </row>
    <row r="21" spans="1:40" x14ac:dyDescent="0.25">
      <c r="A21" t="s">
        <v>2512</v>
      </c>
      <c r="B21" s="1">
        <v>45758</v>
      </c>
      <c r="C2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2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2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1" s="2">
        <f>IFERROR(DATE(Transaction[[#This Row],[TransactionDateY]],Transaction[[#This Row],[TransactionDateM]],Transaction[[#This Row],[TransactionDateD]]),"Missing Value")</f>
        <v>45758</v>
      </c>
      <c r="G21" t="s">
        <v>399</v>
      </c>
      <c r="H21" t="str">
        <f>IFERROR(VLOOKUP(Transaction[[#This Row],[CustomerID]],Custumer[],1,0),IF(LEN(Transaction[[#This Row],[CustomerID]])=7,LEFT(Transaction[[#This Row],[CustomerID]],6),"Invalid ID"))</f>
        <v>C-1110</v>
      </c>
      <c r="I21" t="s">
        <v>117</v>
      </c>
      <c r="J21" t="str">
        <f>TRIM(UPPER(Transaction[[#This Row],[ProductID]]))</f>
        <v>P-SI-007</v>
      </c>
      <c r="K21" t="str">
        <f>IFERROR(VLOOKUP(Transaction[[#This Row],[ProductID_Clean]],Product[],1,FALSE),"Invalid ID")</f>
        <v>P-SI-007</v>
      </c>
      <c r="L21" t="str">
        <f>TRIM(SUBSTITUTE(SUBSTITUTE(SUBSTITUTE(SUBSTITUTE(UPPER(Transaction[[#This Row],[Region]]),"EMEA REGION","EMEA"),"APAC REGION","APAC"),"NORTH AMERICA","N. AMERICA"),"N .AMERICA","N.AMERICA"))</f>
        <v>N. AMERICA</v>
      </c>
      <c r="M21" t="s">
        <v>495</v>
      </c>
      <c r="N21" t="s">
        <v>98</v>
      </c>
      <c r="O2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1" t="s">
        <v>93</v>
      </c>
      <c r="Q21" t="str">
        <f>IF(TRIM(Transaction[[#This Row],[SalesChannel]])="","Missing Value",TRIM(Transaction[[#This Row],[SalesChannel]]))</f>
        <v>direct</v>
      </c>
      <c r="R21" s="4">
        <v>1</v>
      </c>
      <c r="S21" s="4" t="str">
        <f>IF(Transaction[[#This Row],[Quantity]]&lt;0,"Negative-review","Valid")</f>
        <v>Valid</v>
      </c>
      <c r="T21">
        <v>911.92</v>
      </c>
      <c r="U2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911.92</v>
      </c>
      <c r="V21">
        <v>980</v>
      </c>
      <c r="W21">
        <v>980</v>
      </c>
      <c r="X2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21">
        <f>IF(Transaction[[#This Row],[GrossRevenue_Check]]="Invalid",Transaction[[#This Row],[ListPrice]]*Transaction[[#This Row],[Quantity]],Transaction[[#This Row],[GrossRevenue_Clean]])</f>
        <v>980</v>
      </c>
      <c r="Z21" t="str">
        <f>IF(Transaction[[#This Row],[GrossRevenue_Clean]]=Transaction[[#This Row],[ListPrice]]*Transaction[[#This Row],[Quantity]],"Valid","Invalid")</f>
        <v>Valid</v>
      </c>
      <c r="AA21">
        <v>68.08</v>
      </c>
      <c r="AB2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68.08</v>
      </c>
      <c r="AC21">
        <f>IF(Transaction[[#This Row],[DiscountAmount_Check2]]="Invalid",Transaction[[#This Row],[GrossRevenue_Analytical]]-Transaction[[#This Row],[NetRevenue_Analytical]],Transaction[[#This Row],[DiscountAmount_Clean]])</f>
        <v>68.08</v>
      </c>
      <c r="AD21">
        <v>911.92</v>
      </c>
      <c r="AE21" t="str">
        <f>IF(ROUND(Transaction[[#This Row],[GrossRevenue_Analytical]]-Transaction[[#This Row],[NetRevenue_Analytical]],2)=ROUND(Transaction[[#This Row],[DiscountAmount_Clean]],2),"Valid","Invalid")</f>
        <v>Valid</v>
      </c>
      <c r="AF21">
        <f>VALUE(IF(ISNUMBER(Transaction[[#This Row],[NetRevenue]]),Transaction[[#This Row],[NetRevenue]],IFERROR(IF(FIND("$",Transaction[[#This Row],[NetRevenue]])&gt;0,MID(Transaction[[#This Row],[NetRevenue]],2,10)),Transaction[[#This Row],[NetRevenue]])))</f>
        <v>911.92</v>
      </c>
      <c r="AG21">
        <f>IF(Transaction[[#This Row],[NetRevenue_Check]]="Invalid",(Transaction[[#This Row],[Quantity]]*Transaction[[#This Row],[UnitPrice_Clean]]),Transaction[[#This Row],[NetRevenue_Clean]])</f>
        <v>911.92</v>
      </c>
      <c r="AH21" t="str">
        <f>IF(Transaction[[#This Row],[Quantity]]*Transaction[[#This Row],[UnitPrice_Clean]]=Transaction[[#This Row],[NetRevenue_Clean]],"Valid","Invalid")</f>
        <v>Valid</v>
      </c>
      <c r="AI21" t="s">
        <v>23</v>
      </c>
      <c r="AJ21" t="s">
        <v>241</v>
      </c>
      <c r="AK21" t="str">
        <f>IF(Transaction[[#This Row],[Salesperson]]="","Missing Value",TRIM(PROPER(Transaction[[#This Row],[Salesperson]])))</f>
        <v>Hoffman-Em</v>
      </c>
      <c r="AL21" t="s">
        <v>25</v>
      </c>
      <c r="AM21" t="str">
        <f>IF(Transaction[[#This Row],[ContractType]]="","Missing Value",Transaction[[#This Row],[ContractType]])</f>
        <v>Frame Agreement</v>
      </c>
      <c r="AN21" t="s">
        <v>43</v>
      </c>
    </row>
    <row r="22" spans="1:40" x14ac:dyDescent="0.25">
      <c r="A22" t="s">
        <v>3018</v>
      </c>
      <c r="B22" t="s">
        <v>3019</v>
      </c>
      <c r="C2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2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2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2" s="2">
        <f>IFERROR(DATE(Transaction[[#This Row],[TransactionDateY]],Transaction[[#This Row],[TransactionDateM]],Transaction[[#This Row],[TransactionDateD]]),"Missing Value")</f>
        <v>45802</v>
      </c>
      <c r="G22" t="s">
        <v>429</v>
      </c>
      <c r="H22" t="str">
        <f>IFERROR(VLOOKUP(Transaction[[#This Row],[CustomerID]],Custumer[],1,0),IF(LEN(Transaction[[#This Row],[CustomerID]])=7,LEFT(Transaction[[#This Row],[CustomerID]],6),"Invalid ID"))</f>
        <v>C-1009</v>
      </c>
      <c r="I22" t="s">
        <v>103</v>
      </c>
      <c r="J22" t="str">
        <f>TRIM(UPPER(Transaction[[#This Row],[ProductID]]))</f>
        <v>P-FS-005</v>
      </c>
      <c r="K22" t="str">
        <f>IFERROR(VLOOKUP(Transaction[[#This Row],[ProductID_Clean]],Product[],1,FALSE),"Invalid ID")</f>
        <v>P-FS-005</v>
      </c>
      <c r="L22" t="str">
        <f>TRIM(SUBSTITUTE(SUBSTITUTE(SUBSTITUTE(SUBSTITUTE(UPPER(Transaction[[#This Row],[Region]]),"EMEA REGION","EMEA"),"APAC REGION","APAC"),"NORTH AMERICA","N. AMERICA"),"N .AMERICA","N.AMERICA"))</f>
        <v>EMEA</v>
      </c>
      <c r="M22" t="s">
        <v>683</v>
      </c>
      <c r="N22" t="s">
        <v>21</v>
      </c>
      <c r="O22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22" t="s">
        <v>181</v>
      </c>
      <c r="Q22" t="str">
        <f>IF(TRIM(Transaction[[#This Row],[SalesChannel]])="","Missing Value",TRIM(Transaction[[#This Row],[SalesChannel]]))</f>
        <v>Partner Portal</v>
      </c>
      <c r="R22" s="4">
        <v>1</v>
      </c>
      <c r="S22" s="4" t="str">
        <f>IF(Transaction[[#This Row],[Quantity]]&lt;0,"Negative-review","Valid")</f>
        <v>Valid</v>
      </c>
      <c r="T22">
        <v>675.4</v>
      </c>
      <c r="U2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675.4</v>
      </c>
      <c r="V22">
        <v>950</v>
      </c>
      <c r="W22">
        <v>950</v>
      </c>
      <c r="X2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22">
        <f>IF(Transaction[[#This Row],[GrossRevenue_Check]]="Invalid",Transaction[[#This Row],[ListPrice]]*Transaction[[#This Row],[Quantity]],Transaction[[#This Row],[GrossRevenue_Clean]])</f>
        <v>950</v>
      </c>
      <c r="Z22" t="str">
        <f>IF(Transaction[[#This Row],[GrossRevenue_Clean]]=Transaction[[#This Row],[ListPrice]]*Transaction[[#This Row],[Quantity]],"Valid","Invalid")</f>
        <v>Valid</v>
      </c>
      <c r="AA22">
        <v>274.60000000000002</v>
      </c>
      <c r="AB2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274.60000000000002</v>
      </c>
      <c r="AC22">
        <f>IF(Transaction[[#This Row],[DiscountAmount_Check2]]="Invalid",Transaction[[#This Row],[GrossRevenue_Analytical]]-Transaction[[#This Row],[NetRevenue_Analytical]],Transaction[[#This Row],[DiscountAmount_Clean]])</f>
        <v>274.60000000000002</v>
      </c>
      <c r="AD22">
        <v>675.4</v>
      </c>
      <c r="AE22" t="str">
        <f>IF(ROUND(Transaction[[#This Row],[GrossRevenue_Analytical]]-Transaction[[#This Row],[NetRevenue_Analytical]],2)=ROUND(Transaction[[#This Row],[DiscountAmount_Clean]],2),"Valid","Invalid")</f>
        <v>Valid</v>
      </c>
      <c r="AF22">
        <f>VALUE(IF(ISNUMBER(Transaction[[#This Row],[NetRevenue]]),Transaction[[#This Row],[NetRevenue]],IFERROR(IF(FIND("$",Transaction[[#This Row],[NetRevenue]])&gt;0,MID(Transaction[[#This Row],[NetRevenue]],2,10)),Transaction[[#This Row],[NetRevenue]])))</f>
        <v>675.4</v>
      </c>
      <c r="AG22">
        <f>IF(Transaction[[#This Row],[NetRevenue_Check]]="Invalid",(Transaction[[#This Row],[Quantity]]*Transaction[[#This Row],[UnitPrice_Clean]]),Transaction[[#This Row],[NetRevenue_Clean]])</f>
        <v>675.4</v>
      </c>
      <c r="AH22" t="str">
        <f>IF(Transaction[[#This Row],[Quantity]]*Transaction[[#This Row],[UnitPrice_Clean]]=Transaction[[#This Row],[NetRevenue_Clean]],"Valid","Invalid")</f>
        <v>Valid</v>
      </c>
      <c r="AI22" t="s">
        <v>23</v>
      </c>
      <c r="AJ22" t="s">
        <v>3020</v>
      </c>
      <c r="AK22" t="str">
        <f>IF(Transaction[[#This Row],[Salesperson]]="","Missing Value",TRIM(PROPER(Transaction[[#This Row],[Salesperson]])))</f>
        <v>Saunders-Ap</v>
      </c>
      <c r="AL22" t="s">
        <v>25</v>
      </c>
      <c r="AM22" t="str">
        <f>IF(Transaction[[#This Row],[ContractType]]="","Missing Value",Transaction[[#This Row],[ContractType]])</f>
        <v>Frame Agreement</v>
      </c>
      <c r="AN22" t="s">
        <v>49</v>
      </c>
    </row>
    <row r="23" spans="1:40" x14ac:dyDescent="0.25">
      <c r="A23" t="s">
        <v>3051</v>
      </c>
      <c r="B23" t="s">
        <v>3052</v>
      </c>
      <c r="C2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2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07</v>
      </c>
      <c r="E2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3" s="2">
        <f>IFERROR(DATE(Transaction[[#This Row],[TransactionDateY]],Transaction[[#This Row],[TransactionDateM]],Transaction[[#This Row],[TransactionDateD]]),"Missing Value")</f>
        <v>45664</v>
      </c>
      <c r="G23" t="s">
        <v>91</v>
      </c>
      <c r="H23" t="str">
        <f>IFERROR(VLOOKUP(Transaction[[#This Row],[CustomerID]],Custumer[],1,0),IF(LEN(Transaction[[#This Row],[CustomerID]])=7,LEFT(Transaction[[#This Row],[CustomerID]],6),"Invalid ID"))</f>
        <v>C-1147</v>
      </c>
      <c r="I23" t="s">
        <v>71</v>
      </c>
      <c r="J23" t="str">
        <f>TRIM(UPPER(Transaction[[#This Row],[ProductID]]))</f>
        <v>P-SI-003</v>
      </c>
      <c r="K23" t="str">
        <f>IFERROR(VLOOKUP(Transaction[[#This Row],[ProductID_Clean]],Product[],1,FALSE),"Invalid ID")</f>
        <v>P-SI-003</v>
      </c>
      <c r="L23" t="str">
        <f>TRIM(SUBSTITUTE(SUBSTITUTE(SUBSTITUTE(SUBSTITUTE(UPPER(Transaction[[#This Row],[Region]]),"EMEA REGION","EMEA"),"APAC REGION","APAC"),"NORTH AMERICA","N. AMERICA"),"N .AMERICA","N.AMERICA"))</f>
        <v>APAC</v>
      </c>
      <c r="M23" t="s">
        <v>30</v>
      </c>
      <c r="N23" t="s">
        <v>53</v>
      </c>
      <c r="O2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3" t="s">
        <v>40</v>
      </c>
      <c r="Q23" t="str">
        <f>IF(TRIM(Transaction[[#This Row],[SalesChannel]])="","Missing Value",TRIM(Transaction[[#This Row],[SalesChannel]]))</f>
        <v>Distributor</v>
      </c>
      <c r="R23" s="4">
        <v>1</v>
      </c>
      <c r="S23" s="4" t="str">
        <f>IF(Transaction[[#This Row],[Quantity]]&lt;0,"Negative-review","Valid")</f>
        <v>Valid</v>
      </c>
      <c r="T23">
        <v>1613.39</v>
      </c>
      <c r="U2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1613.39</v>
      </c>
      <c r="V23">
        <v>1890</v>
      </c>
      <c r="W23">
        <v>1890</v>
      </c>
      <c r="X2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23">
        <f>IF(Transaction[[#This Row],[GrossRevenue_Check]]="Invalid",Transaction[[#This Row],[ListPrice]]*Transaction[[#This Row],[Quantity]],Transaction[[#This Row],[GrossRevenue_Clean]])</f>
        <v>1890</v>
      </c>
      <c r="Z23" t="str">
        <f>IF(Transaction[[#This Row],[GrossRevenue_Clean]]=Transaction[[#This Row],[ListPrice]]*Transaction[[#This Row],[Quantity]],"Valid","Invalid")</f>
        <v>Valid</v>
      </c>
      <c r="AA23">
        <v>276.61</v>
      </c>
      <c r="AB2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276.61</v>
      </c>
      <c r="AC23">
        <f>IF(Transaction[[#This Row],[DiscountAmount_Check2]]="Invalid",Transaction[[#This Row],[GrossRevenue_Analytical]]-Transaction[[#This Row],[NetRevenue_Analytical]],Transaction[[#This Row],[DiscountAmount_Clean]])</f>
        <v>276.61</v>
      </c>
      <c r="AD23">
        <v>1613.39</v>
      </c>
      <c r="AE23" t="str">
        <f>IF(ROUND(Transaction[[#This Row],[GrossRevenue_Analytical]]-Transaction[[#This Row],[NetRevenue_Analytical]],2)=ROUND(Transaction[[#This Row],[DiscountAmount_Clean]],2),"Valid","Invalid")</f>
        <v>Valid</v>
      </c>
      <c r="AF2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1613.39</v>
      </c>
      <c r="AG23">
        <f>IF(Transaction[[#This Row],[NetRevenue_Check]]="Invalid",(Transaction[[#This Row],[Quantity]]*Transaction[[#This Row],[UnitPrice_Clean]]),Transaction[[#This Row],[NetRevenue_Clean]])</f>
        <v>1613.39</v>
      </c>
      <c r="AH23" t="str">
        <f>IF(Transaction[[#This Row],[Quantity]]*Transaction[[#This Row],[UnitPrice_Clean]]=Transaction[[#This Row],[NetRevenue_Clean]],"Valid","Invalid")</f>
        <v>Valid</v>
      </c>
      <c r="AI23" t="s">
        <v>23</v>
      </c>
      <c r="AJ23" t="s">
        <v>3053</v>
      </c>
      <c r="AK23" t="str">
        <f>IF(Transaction[[#This Row],[Salesperson]]="","Missing Value",TRIM(PROPER(Transaction[[#This Row],[Salesperson]])))</f>
        <v>Howell</v>
      </c>
      <c r="AL23" t="s">
        <v>42</v>
      </c>
      <c r="AM23" t="str">
        <f>IF(Transaction[[#This Row],[ContractType]]="","Missing Value",Transaction[[#This Row],[ContractType]])</f>
        <v>Standard PO</v>
      </c>
      <c r="AN23" t="s">
        <v>49</v>
      </c>
    </row>
    <row r="24" spans="1:40" x14ac:dyDescent="0.25">
      <c r="A24" t="s">
        <v>2271</v>
      </c>
      <c r="B24" s="1">
        <v>45822</v>
      </c>
      <c r="C2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2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2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4" s="2">
        <f>IFERROR(DATE(Transaction[[#This Row],[TransactionDateY]],Transaction[[#This Row],[TransactionDateM]],Transaction[[#This Row],[TransactionDateD]]),"Missing Value")</f>
        <v>45822</v>
      </c>
      <c r="G24" t="s">
        <v>405</v>
      </c>
      <c r="H24" t="str">
        <f>IFERROR(VLOOKUP(Transaction[[#This Row],[CustomerID]],Custumer[],1,0),IF(LEN(Transaction[[#This Row],[CustomerID]])=7,LEFT(Transaction[[#This Row],[CustomerID]],6),"Invalid ID"))</f>
        <v>C-1163</v>
      </c>
      <c r="I24" t="s">
        <v>103</v>
      </c>
      <c r="J24" t="str">
        <f>TRIM(UPPER(Transaction[[#This Row],[ProductID]]))</f>
        <v>P-FS-005</v>
      </c>
      <c r="K24" t="str">
        <f>IFERROR(VLOOKUP(Transaction[[#This Row],[ProductID_Clean]],Product[],1,FALSE),"Invalid ID")</f>
        <v>P-FS-005</v>
      </c>
      <c r="L24" t="str">
        <f>TRIM(SUBSTITUTE(SUBSTITUTE(SUBSTITUTE(SUBSTITUTE(UPPER(Transaction[[#This Row],[Region]]),"EMEA REGION","EMEA"),"APAC REGION","APAC"),"NORTH AMERICA","N. AMERICA"),"N .AMERICA","N.AMERICA"))</f>
        <v>APAC</v>
      </c>
      <c r="M24" t="s">
        <v>30</v>
      </c>
      <c r="N24" t="s">
        <v>21</v>
      </c>
      <c r="O2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24" t="s">
        <v>40</v>
      </c>
      <c r="Q24" t="str">
        <f>IF(TRIM(Transaction[[#This Row],[SalesChannel]])="","Missing Value",TRIM(Transaction[[#This Row],[SalesChannel]]))</f>
        <v>Distributor</v>
      </c>
      <c r="R24" s="4">
        <v>1</v>
      </c>
      <c r="S24" s="4" t="str">
        <f>IF(Transaction[[#This Row],[Quantity]]&lt;0,"Negative-review","Valid")</f>
        <v>Valid</v>
      </c>
      <c r="T24">
        <v>658.47</v>
      </c>
      <c r="U2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658.47</v>
      </c>
      <c r="V24">
        <v>950</v>
      </c>
      <c r="W24">
        <v>950</v>
      </c>
      <c r="X2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24">
        <f>IF(Transaction[[#This Row],[GrossRevenue_Check]]="Invalid",Transaction[[#This Row],[ListPrice]]*Transaction[[#This Row],[Quantity]],Transaction[[#This Row],[GrossRevenue_Clean]])</f>
        <v>950</v>
      </c>
      <c r="Z24" t="str">
        <f>IF(Transaction[[#This Row],[GrossRevenue_Clean]]=Transaction[[#This Row],[ListPrice]]*Transaction[[#This Row],[Quantity]],"Valid","Invalid")</f>
        <v>Valid</v>
      </c>
      <c r="AA24">
        <v>291.52999999999997</v>
      </c>
      <c r="AB2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291.52999999999997</v>
      </c>
      <c r="AC24">
        <f>IF(Transaction[[#This Row],[DiscountAmount_Check2]]="Invalid",Transaction[[#This Row],[GrossRevenue_Analytical]]-Transaction[[#This Row],[NetRevenue_Analytical]],Transaction[[#This Row],[DiscountAmount_Clean]])</f>
        <v>291.52999999999997</v>
      </c>
      <c r="AD24">
        <v>658.47</v>
      </c>
      <c r="AE24" t="str">
        <f>IF(ROUND(Transaction[[#This Row],[GrossRevenue_Analytical]]-Transaction[[#This Row],[NetRevenue_Analytical]],2)=ROUND(Transaction[[#This Row],[DiscountAmount_Clean]],2),"Valid","Invalid")</f>
        <v>Valid</v>
      </c>
      <c r="AF24">
        <f>VALUE(IF(ISNUMBER(Transaction[[#This Row],[NetRevenue]]),Transaction[[#This Row],[NetRevenue]],IFERROR(IF(FIND("$",Transaction[[#This Row],[NetRevenue]])&gt;0,MID(Transaction[[#This Row],[NetRevenue]],2,10)),Transaction[[#This Row],[NetRevenue]])))</f>
        <v>658.47</v>
      </c>
      <c r="AG24">
        <f>IF(Transaction[[#This Row],[NetRevenue_Check]]="Invalid",(Transaction[[#This Row],[Quantity]]*Transaction[[#This Row],[UnitPrice_Clean]]),Transaction[[#This Row],[NetRevenue_Clean]])</f>
        <v>658.47</v>
      </c>
      <c r="AH24" t="str">
        <f>IF(Transaction[[#This Row],[Quantity]]*Transaction[[#This Row],[UnitPrice_Clean]]=Transaction[[#This Row],[NetRevenue_Clean]],"Valid","Invalid")</f>
        <v>Valid</v>
      </c>
      <c r="AI24" t="s">
        <v>23</v>
      </c>
      <c r="AJ24" t="s">
        <v>2272</v>
      </c>
      <c r="AK24" t="str">
        <f>IF(Transaction[[#This Row],[Salesperson]]="","Missing Value",TRIM(PROPER(Transaction[[#This Row],[Salesperson]])))</f>
        <v>Leonard-Na</v>
      </c>
      <c r="AL24" t="s">
        <v>42</v>
      </c>
      <c r="AM24" t="str">
        <f>IF(Transaction[[#This Row],[ContractType]]="","Missing Value",Transaction[[#This Row],[ContractType]])</f>
        <v>Standard PO</v>
      </c>
      <c r="AN24" t="s">
        <v>65</v>
      </c>
    </row>
    <row r="25" spans="1:40" x14ac:dyDescent="0.25">
      <c r="A25" t="s">
        <v>299</v>
      </c>
      <c r="B25" s="1">
        <v>45692</v>
      </c>
      <c r="C2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2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2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5" s="2">
        <f>IFERROR(DATE(Transaction[[#This Row],[TransactionDateY]],Transaction[[#This Row],[TransactionDateM]],Transaction[[#This Row],[TransactionDateD]]),"Missing Value")</f>
        <v>45692</v>
      </c>
      <c r="G25" t="s">
        <v>300</v>
      </c>
      <c r="H25" t="str">
        <f>IFERROR(VLOOKUP(Transaction[[#This Row],[CustomerID]],Custumer[],1,0),IF(LEN(Transaction[[#This Row],[CustomerID]])=7,LEFT(Transaction[[#This Row],[CustomerID]],6),"Invalid ID"))</f>
        <v>C-1089</v>
      </c>
      <c r="I25" t="s">
        <v>97</v>
      </c>
      <c r="J25" t="str">
        <f>TRIM(UPPER(Transaction[[#This Row],[ProductID]]))</f>
        <v>P-SI-001</v>
      </c>
      <c r="K25" t="str">
        <f>IFERROR(VLOOKUP(Transaction[[#This Row],[ProductID_Clean]],Product[],1,FALSE),"Invalid ID")</f>
        <v>P-SI-001</v>
      </c>
      <c r="L25" t="str">
        <f>TRIM(SUBSTITUTE(SUBSTITUTE(SUBSTITUTE(SUBSTITUTE(UPPER(Transaction[[#This Row],[Region]]),"EMEA REGION","EMEA"),"APAC REGION","APAC"),"NORTH AMERICA","N. AMERICA"),"N .AMERICA","N.AMERICA"))</f>
        <v>LATIN AMERICA</v>
      </c>
      <c r="M25" t="s">
        <v>82</v>
      </c>
      <c r="N25" t="s">
        <v>98</v>
      </c>
      <c r="O2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5" t="s">
        <v>22</v>
      </c>
      <c r="Q25" t="str">
        <f>IF(TRIM(Transaction[[#This Row],[SalesChannel]])="","Missing Value",TRIM(Transaction[[#This Row],[SalesChannel]]))</f>
        <v>Direct</v>
      </c>
      <c r="R25" s="4">
        <v>1</v>
      </c>
      <c r="S25" s="4" t="str">
        <f>IF(Transaction[[#This Row],[Quantity]]&lt;0,"Negative-review","Valid")</f>
        <v>Valid</v>
      </c>
      <c r="T25">
        <v>423.94</v>
      </c>
      <c r="U2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423.94</v>
      </c>
      <c r="V25">
        <v>485</v>
      </c>
      <c r="W25">
        <v>485</v>
      </c>
      <c r="X2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25">
        <f>IF(Transaction[[#This Row],[GrossRevenue_Check]]="Invalid",Transaction[[#This Row],[ListPrice]]*Transaction[[#This Row],[Quantity]],Transaction[[#This Row],[GrossRevenue_Clean]])</f>
        <v>485</v>
      </c>
      <c r="Z25" t="str">
        <f>IF(Transaction[[#This Row],[GrossRevenue_Clean]]=Transaction[[#This Row],[ListPrice]]*Transaction[[#This Row],[Quantity]],"Valid","Invalid")</f>
        <v>Valid</v>
      </c>
      <c r="AA25">
        <v>61.06</v>
      </c>
      <c r="AB2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61.06</v>
      </c>
      <c r="AC25">
        <f>IF(Transaction[[#This Row],[DiscountAmount_Check2]]="Invalid",Transaction[[#This Row],[GrossRevenue_Analytical]]-Transaction[[#This Row],[NetRevenue_Analytical]],Transaction[[#This Row],[DiscountAmount_Clean]])</f>
        <v>61.06</v>
      </c>
      <c r="AD25">
        <v>423.94</v>
      </c>
      <c r="AE25" t="str">
        <f>IF(ROUND(Transaction[[#This Row],[GrossRevenue_Analytical]]-Transaction[[#This Row],[NetRevenue_Analytical]],2)=ROUND(Transaction[[#This Row],[DiscountAmount_Clean]],2),"Valid","Invalid")</f>
        <v>Valid</v>
      </c>
      <c r="AF25">
        <f>VALUE(IF(ISNUMBER(Transaction[[#This Row],[NetRevenue]]),Transaction[[#This Row],[NetRevenue]],IFERROR(IF(FIND("$",Transaction[[#This Row],[NetRevenue]])&gt;0,MID(Transaction[[#This Row],[NetRevenue]],2,10)),Transaction[[#This Row],[NetRevenue]])))</f>
        <v>423.94</v>
      </c>
      <c r="AG25">
        <f>IF(Transaction[[#This Row],[NetRevenue_Check]]="Invalid",(Transaction[[#This Row],[Quantity]]*Transaction[[#This Row],[UnitPrice_Clean]]),Transaction[[#This Row],[NetRevenue_Clean]])</f>
        <v>423.94</v>
      </c>
      <c r="AH25" t="str">
        <f>IF(Transaction[[#This Row],[Quantity]]*Transaction[[#This Row],[UnitPrice_Clean]]=Transaction[[#This Row],[NetRevenue_Clean]],"Valid","Invalid")</f>
        <v>Valid</v>
      </c>
      <c r="AI25" t="s">
        <v>23</v>
      </c>
      <c r="AJ25" t="s">
        <v>301</v>
      </c>
      <c r="AK25" t="str">
        <f>IF(Transaction[[#This Row],[Salesperson]]="","Missing Value",TRIM(PROPER(Transaction[[#This Row],[Salesperson]])))</f>
        <v>Hawkins-Na</v>
      </c>
      <c r="AL25" t="s">
        <v>42</v>
      </c>
      <c r="AM25" t="str">
        <f>IF(Transaction[[#This Row],[ContractType]]="","Missing Value",Transaction[[#This Row],[ContractType]])</f>
        <v>Standard PO</v>
      </c>
      <c r="AN25" t="s">
        <v>49</v>
      </c>
    </row>
    <row r="26" spans="1:40" x14ac:dyDescent="0.25">
      <c r="A26" t="s">
        <v>2028</v>
      </c>
      <c r="B26" t="s">
        <v>2029</v>
      </c>
      <c r="C2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2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2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6" s="2">
        <f>IFERROR(DATE(Transaction[[#This Row],[TransactionDateY]],Transaction[[#This Row],[TransactionDateM]],Transaction[[#This Row],[TransactionDateD]]),"Missing Value")</f>
        <v>45704</v>
      </c>
      <c r="G26" t="s">
        <v>1553</v>
      </c>
      <c r="H26" t="str">
        <f>IFERROR(VLOOKUP(Transaction[[#This Row],[CustomerID]],Custumer[],1,0),IF(LEN(Transaction[[#This Row],[CustomerID]])=7,LEFT(Transaction[[#This Row],[CustomerID]],6),"Invalid ID"))</f>
        <v>C-1150</v>
      </c>
      <c r="I26" t="s">
        <v>58</v>
      </c>
      <c r="J26" t="str">
        <f>TRIM(UPPER(Transaction[[#This Row],[ProductID]]))</f>
        <v>P-SI-005</v>
      </c>
      <c r="K26" t="str">
        <f>IFERROR(VLOOKUP(Transaction[[#This Row],[ProductID_Clean]],Product[],1,FALSE),"Invalid ID")</f>
        <v>P-SI-005</v>
      </c>
      <c r="L26" t="str">
        <f>TRIM(SUBSTITUTE(SUBSTITUTE(SUBSTITUTE(SUBSTITUTE(UPPER(Transaction[[#This Row],[Region]]),"EMEA REGION","EMEA"),"APAC REGION","APAC"),"NORTH AMERICA","N. AMERICA"),"N .AMERICA","N.AMERICA"))</f>
        <v>N. AMERICA</v>
      </c>
      <c r="M26" t="s">
        <v>20</v>
      </c>
      <c r="N26" t="s">
        <v>53</v>
      </c>
      <c r="O2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6" t="s">
        <v>93</v>
      </c>
      <c r="Q26" t="str">
        <f>IF(TRIM(Transaction[[#This Row],[SalesChannel]])="","Missing Value",TRIM(Transaction[[#This Row],[SalesChannel]]))</f>
        <v>direct</v>
      </c>
      <c r="R26" s="4">
        <v>4</v>
      </c>
      <c r="S26" s="4" t="str">
        <f>IF(Transaction[[#This Row],[Quantity]]&lt;0,"Negative-review","Valid")</f>
        <v>Valid</v>
      </c>
      <c r="T26">
        <v>1085.51</v>
      </c>
      <c r="U2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1085.51</v>
      </c>
      <c r="V26">
        <v>1120</v>
      </c>
      <c r="W26">
        <v>4480</v>
      </c>
      <c r="X2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4480</v>
      </c>
      <c r="Y26">
        <f>IF(Transaction[[#This Row],[GrossRevenue_Check]]="Invalid",Transaction[[#This Row],[ListPrice]]*Transaction[[#This Row],[Quantity]],Transaction[[#This Row],[GrossRevenue_Clean]])</f>
        <v>4480</v>
      </c>
      <c r="Z26" t="str">
        <f>IF(Transaction[[#This Row],[GrossRevenue_Clean]]=Transaction[[#This Row],[ListPrice]]*Transaction[[#This Row],[Quantity]],"Valid","Invalid")</f>
        <v>Valid</v>
      </c>
      <c r="AA26">
        <v>137.96</v>
      </c>
      <c r="AB2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137.96</v>
      </c>
      <c r="AC26">
        <f>IF(Transaction[[#This Row],[DiscountAmount_Check2]]="Invalid",Transaction[[#This Row],[GrossRevenue_Analytical]]-Transaction[[#This Row],[NetRevenue_Analytical]],Transaction[[#This Row],[DiscountAmount_Clean]])</f>
        <v>137.96</v>
      </c>
      <c r="AD26">
        <v>4342.04</v>
      </c>
      <c r="AE26" t="str">
        <f>IF(ROUND(Transaction[[#This Row],[GrossRevenue_Analytical]]-Transaction[[#This Row],[NetRevenue_Analytical]],2)=ROUND(Transaction[[#This Row],[DiscountAmount_Clean]],2),"Valid","Invalid")</f>
        <v>Valid</v>
      </c>
      <c r="AF26">
        <f>VALUE(IF(ISNUMBER(Transaction[[#This Row],[NetRevenue]]),Transaction[[#This Row],[NetRevenue]],IFERROR(IF(FIND("$",Transaction[[#This Row],[NetRevenue]])&gt;0,MID(Transaction[[#This Row],[NetRevenue]],2,10)),Transaction[[#This Row],[NetRevenue]])))</f>
        <v>4342.04</v>
      </c>
      <c r="AG26">
        <f>IF(Transaction[[#This Row],[NetRevenue_Check]]="Invalid",(Transaction[[#This Row],[Quantity]]*Transaction[[#This Row],[UnitPrice_Clean]]),Transaction[[#This Row],[NetRevenue_Clean]])</f>
        <v>4342.04</v>
      </c>
      <c r="AH26" t="str">
        <f>IF(Transaction[[#This Row],[Quantity]]*Transaction[[#This Row],[UnitPrice_Clean]]=Transaction[[#This Row],[NetRevenue_Clean]],"Valid","Invalid")</f>
        <v>Valid</v>
      </c>
      <c r="AI26" t="s">
        <v>23</v>
      </c>
      <c r="AJ26" t="s">
        <v>2030</v>
      </c>
      <c r="AK26" t="str">
        <f>IF(Transaction[[#This Row],[Salesperson]]="","Missing Value",TRIM(PROPER(Transaction[[#This Row],[Salesperson]])))</f>
        <v>Lynch</v>
      </c>
      <c r="AL26" t="s">
        <v>25</v>
      </c>
      <c r="AM26" t="str">
        <f>IF(Transaction[[#This Row],[ContractType]]="","Missing Value",Transaction[[#This Row],[ContractType]])</f>
        <v>Frame Agreement</v>
      </c>
      <c r="AN26" t="s">
        <v>65</v>
      </c>
    </row>
    <row r="27" spans="1:40" x14ac:dyDescent="0.25">
      <c r="A27" t="s">
        <v>1463</v>
      </c>
      <c r="B27" s="1">
        <v>45724</v>
      </c>
      <c r="C2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2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2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7" s="2">
        <f>IFERROR(DATE(Transaction[[#This Row],[TransactionDateY]],Transaction[[#This Row],[TransactionDateM]],Transaction[[#This Row],[TransactionDateD]]),"Missing Value")</f>
        <v>45724</v>
      </c>
      <c r="G27" t="s">
        <v>45</v>
      </c>
      <c r="H27" t="str">
        <f>IFERROR(VLOOKUP(Transaction[[#This Row],[CustomerID]],Custumer[],1,0),IF(LEN(Transaction[[#This Row],[CustomerID]])=7,LEFT(Transaction[[#This Row],[CustomerID]],6),"Invalid ID"))</f>
        <v>C-1155</v>
      </c>
      <c r="I27" t="s">
        <v>268</v>
      </c>
      <c r="J27" t="str">
        <f>TRIM(UPPER(Transaction[[#This Row],[ProductID]]))</f>
        <v>P-FS-002</v>
      </c>
      <c r="K27" t="str">
        <f>IFERROR(VLOOKUP(Transaction[[#This Row],[ProductID_Clean]],Product[],1,FALSE),"Invalid ID")</f>
        <v>P-FS-002</v>
      </c>
      <c r="L27" t="str">
        <f>TRIM(SUBSTITUTE(SUBSTITUTE(SUBSTITUTE(SUBSTITUTE(UPPER(Transaction[[#This Row],[Region]]),"EMEA REGION","EMEA"),"APAC REGION","APAC"),"NORTH AMERICA","N. AMERICA"),"N .AMERICA","N.AMERICA"))</f>
        <v>APAC</v>
      </c>
      <c r="M27" t="s">
        <v>30</v>
      </c>
      <c r="N27" t="s">
        <v>244</v>
      </c>
      <c r="O27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27" t="s">
        <v>173</v>
      </c>
      <c r="Q27" t="str">
        <f>IF(TRIM(Transaction[[#This Row],[SalesChannel]])="","Missing Value",TRIM(Transaction[[#This Row],[SalesChannel]]))</f>
        <v>Distributor</v>
      </c>
      <c r="R27" s="4">
        <v>1</v>
      </c>
      <c r="S27" s="4" t="str">
        <f>IF(Transaction[[#This Row],[Quantity]]&lt;0,"Negative-review","Valid")</f>
        <v>Valid</v>
      </c>
      <c r="T27">
        <v>1725.04</v>
      </c>
      <c r="U2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1725.04</v>
      </c>
      <c r="V27">
        <v>2400</v>
      </c>
      <c r="W27">
        <v>2400</v>
      </c>
      <c r="X2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27">
        <f>IF(Transaction[[#This Row],[GrossRevenue_Check]]="Invalid",Transaction[[#This Row],[ListPrice]]*Transaction[[#This Row],[Quantity]],Transaction[[#This Row],[GrossRevenue_Clean]])</f>
        <v>2400</v>
      </c>
      <c r="Z27" t="str">
        <f>IF(Transaction[[#This Row],[GrossRevenue_Clean]]=Transaction[[#This Row],[ListPrice]]*Transaction[[#This Row],[Quantity]],"Valid","Invalid")</f>
        <v>Valid</v>
      </c>
      <c r="AA27">
        <v>674.96</v>
      </c>
      <c r="AB2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674.96</v>
      </c>
      <c r="AC27">
        <f>IF(Transaction[[#This Row],[DiscountAmount_Check2]]="Invalid",Transaction[[#This Row],[GrossRevenue_Analytical]]-Transaction[[#This Row],[NetRevenue_Analytical]],Transaction[[#This Row],[DiscountAmount_Clean]])</f>
        <v>674.96</v>
      </c>
      <c r="AD27">
        <v>1725.04</v>
      </c>
      <c r="AE27" t="str">
        <f>IF(ROUND(Transaction[[#This Row],[GrossRevenue_Analytical]]-Transaction[[#This Row],[NetRevenue_Analytical]],2)=ROUND(Transaction[[#This Row],[DiscountAmount_Clean]],2),"Valid","Invalid")</f>
        <v>Valid</v>
      </c>
      <c r="AF2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1725.04</v>
      </c>
      <c r="AG27">
        <f>IF(Transaction[[#This Row],[NetRevenue_Check]]="Invalid",(Transaction[[#This Row],[Quantity]]*Transaction[[#This Row],[UnitPrice_Clean]]),Transaction[[#This Row],[NetRevenue_Clean]])</f>
        <v>1725.04</v>
      </c>
      <c r="AH27" t="str">
        <f>IF(Transaction[[#This Row],[Quantity]]*Transaction[[#This Row],[UnitPrice_Clean]]=Transaction[[#This Row],[NetRevenue_Clean]],"Valid","Invalid")</f>
        <v>Valid</v>
      </c>
      <c r="AI27" t="s">
        <v>99</v>
      </c>
      <c r="AJ27" t="s">
        <v>346</v>
      </c>
      <c r="AK27" t="str">
        <f>IF(Transaction[[#This Row],[Salesperson]]="","Missing Value",TRIM(PROPER(Transaction[[#This Row],[Salesperson]])))</f>
        <v>Barrett-Na</v>
      </c>
      <c r="AL27" t="s">
        <v>224</v>
      </c>
      <c r="AM27" t="str">
        <f>IF(Transaction[[#This Row],[ContractType]]="","Missing Value",Transaction[[#This Row],[ContractType]])</f>
        <v>Annual</v>
      </c>
      <c r="AN27" t="s">
        <v>49</v>
      </c>
    </row>
    <row r="28" spans="1:40" x14ac:dyDescent="0.25">
      <c r="A28" t="s">
        <v>2619</v>
      </c>
      <c r="C2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2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2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28" s="2" t="str">
        <f>IFERROR(DATE(Transaction[[#This Row],[TransactionDateY]],Transaction[[#This Row],[TransactionDateM]],Transaction[[#This Row],[TransactionDateD]]),"Missing Value")</f>
        <v>Missing Value</v>
      </c>
      <c r="G28" t="s">
        <v>2620</v>
      </c>
      <c r="H28" t="str">
        <f>IFERROR(VLOOKUP(Transaction[[#This Row],[CustomerID]],Custumer[],1,0),IF(LEN(Transaction[[#This Row],[CustomerID]])=7,LEFT(Transaction[[#This Row],[CustomerID]],6),"Invalid ID"))</f>
        <v>C-1159</v>
      </c>
      <c r="I28" t="s">
        <v>97</v>
      </c>
      <c r="J28" t="str">
        <f>TRIM(UPPER(Transaction[[#This Row],[ProductID]]))</f>
        <v>P-SI-001</v>
      </c>
      <c r="K28" t="str">
        <f>IFERROR(VLOOKUP(Transaction[[#This Row],[ProductID_Clean]],Product[],1,FALSE),"Invalid ID")</f>
        <v>P-SI-001</v>
      </c>
      <c r="L28" t="str">
        <f>TRIM(SUBSTITUTE(SUBSTITUTE(SUBSTITUTE(SUBSTITUTE(UPPER(Transaction[[#This Row],[Region]]),"EMEA REGION","EMEA"),"APAC REGION","APAC"),"NORTH AMERICA","N. AMERICA"),"N .AMERICA","N.AMERICA"))</f>
        <v>EMEA</v>
      </c>
      <c r="M28" t="s">
        <v>87</v>
      </c>
      <c r="N28" t="s">
        <v>53</v>
      </c>
      <c r="O2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8" t="s">
        <v>22</v>
      </c>
      <c r="Q28" t="str">
        <f>IF(TRIM(Transaction[[#This Row],[SalesChannel]])="","Missing Value",TRIM(Transaction[[#This Row],[SalesChannel]]))</f>
        <v>Direct</v>
      </c>
      <c r="R28" s="4">
        <v>8</v>
      </c>
      <c r="S28" s="4" t="str">
        <f>IF(Transaction[[#This Row],[Quantity]]&lt;0,"Negative-review","Valid")</f>
        <v>Valid</v>
      </c>
      <c r="T28">
        <v>484.68</v>
      </c>
      <c r="U2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484.68</v>
      </c>
      <c r="V28">
        <v>485</v>
      </c>
      <c r="W28">
        <v>3880</v>
      </c>
      <c r="X2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3880</v>
      </c>
      <c r="Y28">
        <f>IF(Transaction[[#This Row],[GrossRevenue_Check]]="Invalid",Transaction[[#This Row],[ListPrice]]*Transaction[[#This Row],[Quantity]],Transaction[[#This Row],[GrossRevenue_Clean]])</f>
        <v>3880</v>
      </c>
      <c r="Z28" t="str">
        <f>IF(Transaction[[#This Row],[GrossRevenue_Clean]]=Transaction[[#This Row],[ListPrice]]*Transaction[[#This Row],[Quantity]],"Valid","Invalid")</f>
        <v>Valid</v>
      </c>
      <c r="AA28">
        <v>2.56</v>
      </c>
      <c r="AB2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2.56</v>
      </c>
      <c r="AC28">
        <f>IF(Transaction[[#This Row],[DiscountAmount_Check2]]="Invalid",Transaction[[#This Row],[GrossRevenue_Analytical]]-Transaction[[#This Row],[NetRevenue_Analytical]],Transaction[[#This Row],[DiscountAmount_Clean]])</f>
        <v>2.56</v>
      </c>
      <c r="AD28">
        <v>3877.44</v>
      </c>
      <c r="AE28" t="str">
        <f>IF(ROUND(Transaction[[#This Row],[GrossRevenue_Analytical]]-Transaction[[#This Row],[NetRevenue_Analytical]],2)=ROUND(Transaction[[#This Row],[DiscountAmount_Clean]],2),"Valid","Invalid")</f>
        <v>Valid</v>
      </c>
      <c r="AF28">
        <f>VALUE(IF(ISNUMBER(Transaction[[#This Row],[NetRevenue]]),Transaction[[#This Row],[NetRevenue]],IFERROR(IF(FIND("$",Transaction[[#This Row],[NetRevenue]])&gt;0,MID(Transaction[[#This Row],[NetRevenue]],2,10)),Transaction[[#This Row],[NetRevenue]])))</f>
        <v>3877.44</v>
      </c>
      <c r="AG28">
        <f>IF(Transaction[[#This Row],[NetRevenue_Check]]="Invalid",(Transaction[[#This Row],[Quantity]]*Transaction[[#This Row],[UnitPrice_Clean]]),Transaction[[#This Row],[NetRevenue_Clean]])</f>
        <v>3877.44</v>
      </c>
      <c r="AH28" t="str">
        <f>IF(Transaction[[#This Row],[Quantity]]*Transaction[[#This Row],[UnitPrice_Clean]]=Transaction[[#This Row],[NetRevenue_Clean]],"Valid","Invalid")</f>
        <v>Valid</v>
      </c>
      <c r="AI28" t="s">
        <v>23</v>
      </c>
      <c r="AJ28" t="s">
        <v>2621</v>
      </c>
      <c r="AK28" t="str">
        <f>IF(Transaction[[#This Row],[Salesperson]]="","Missing Value",TRIM(PROPER(Transaction[[#This Row],[Salesperson]])))</f>
        <v>Steele</v>
      </c>
      <c r="AL28" t="s">
        <v>42</v>
      </c>
      <c r="AM28" t="str">
        <f>IF(Transaction[[#This Row],[ContractType]]="","Missing Value",Transaction[[#This Row],[ContractType]])</f>
        <v>Standard PO</v>
      </c>
      <c r="AN28" t="s">
        <v>49</v>
      </c>
    </row>
    <row r="29" spans="1:40" x14ac:dyDescent="0.25">
      <c r="A29" t="s">
        <v>1429</v>
      </c>
      <c r="B29" t="s">
        <v>307</v>
      </c>
      <c r="C2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2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2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9" s="2">
        <f>IFERROR(DATE(Transaction[[#This Row],[TransactionDateY]],Transaction[[#This Row],[TransactionDateM]],Transaction[[#This Row],[TransactionDateD]]),"Missing Value")</f>
        <v>45774</v>
      </c>
      <c r="G29" t="s">
        <v>74</v>
      </c>
      <c r="H29" t="str">
        <f>IFERROR(VLOOKUP(Transaction[[#This Row],[CustomerID]],Custumer[],1,0),IF(LEN(Transaction[[#This Row],[CustomerID]])=7,LEFT(Transaction[[#This Row],[CustomerID]],6),"Invalid ID"))</f>
        <v>C-1152</v>
      </c>
      <c r="I29" t="s">
        <v>117</v>
      </c>
      <c r="J29" t="str">
        <f>TRIM(UPPER(Transaction[[#This Row],[ProductID]]))</f>
        <v>P-SI-007</v>
      </c>
      <c r="K29" t="str">
        <f>IFERROR(VLOOKUP(Transaction[[#This Row],[ProductID_Clean]],Product[],1,FALSE),"Invalid ID")</f>
        <v>P-SI-007</v>
      </c>
      <c r="L29" t="str">
        <f>TRIM(SUBSTITUTE(SUBSTITUTE(SUBSTITUTE(SUBSTITUTE(UPPER(Transaction[[#This Row],[Region]]),"EMEA REGION","EMEA"),"APAC REGION","APAC"),"NORTH AMERICA","N. AMERICA"),"N .AMERICA","N.AMERICA"))</f>
        <v>EMEA</v>
      </c>
      <c r="M29" t="s">
        <v>76</v>
      </c>
      <c r="N29" t="s">
        <v>53</v>
      </c>
      <c r="O2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9" t="s">
        <v>173</v>
      </c>
      <c r="Q29" t="str">
        <f>IF(TRIM(Transaction[[#This Row],[SalesChannel]])="","Missing Value",TRIM(Transaction[[#This Row],[SalesChannel]]))</f>
        <v>Distributor</v>
      </c>
      <c r="R29" s="4">
        <v>1</v>
      </c>
      <c r="S29" s="4" t="str">
        <f>IF(Transaction[[#This Row],[Quantity]]&lt;0,"Negative-review","Valid")</f>
        <v>Valid</v>
      </c>
      <c r="T29">
        <v>800.56</v>
      </c>
      <c r="U2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800.56</v>
      </c>
      <c r="V29">
        <v>980</v>
      </c>
      <c r="W29">
        <v>980</v>
      </c>
      <c r="X2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29">
        <f>IF(Transaction[[#This Row],[GrossRevenue_Check]]="Invalid",Transaction[[#This Row],[ListPrice]]*Transaction[[#This Row],[Quantity]],Transaction[[#This Row],[GrossRevenue_Clean]])</f>
        <v>980</v>
      </c>
      <c r="Z29" t="str">
        <f>IF(Transaction[[#This Row],[GrossRevenue_Clean]]=Transaction[[#This Row],[ListPrice]]*Transaction[[#This Row],[Quantity]],"Valid","Invalid")</f>
        <v>Valid</v>
      </c>
      <c r="AA29">
        <v>179.44</v>
      </c>
      <c r="AB2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179.44</v>
      </c>
      <c r="AC29">
        <f>IF(Transaction[[#This Row],[DiscountAmount_Check2]]="Invalid",Transaction[[#This Row],[GrossRevenue_Analytical]]-Transaction[[#This Row],[NetRevenue_Analytical]],Transaction[[#This Row],[DiscountAmount_Clean]])</f>
        <v>179.44</v>
      </c>
      <c r="AD29">
        <v>800.56</v>
      </c>
      <c r="AE29" t="str">
        <f>IF(ROUND(Transaction[[#This Row],[GrossRevenue_Analytical]]-Transaction[[#This Row],[NetRevenue_Analytical]],2)=ROUND(Transaction[[#This Row],[DiscountAmount_Clean]],2),"Valid","Invalid")</f>
        <v>Valid</v>
      </c>
      <c r="AF29">
        <f>VALUE(IF(ISNUMBER(Transaction[[#This Row],[NetRevenue]]),Transaction[[#This Row],[NetRevenue]],IFERROR(IF(FIND("$",Transaction[[#This Row],[NetRevenue]])&gt;0,MID(Transaction[[#This Row],[NetRevenue]],2,10)),Transaction[[#This Row],[NetRevenue]])))</f>
        <v>800.56</v>
      </c>
      <c r="AG29">
        <f>IF(Transaction[[#This Row],[NetRevenue_Check]]="Invalid",(Transaction[[#This Row],[Quantity]]*Transaction[[#This Row],[UnitPrice_Clean]]),Transaction[[#This Row],[NetRevenue_Clean]])</f>
        <v>800.56</v>
      </c>
      <c r="AH29" t="str">
        <f>IF(Transaction[[#This Row],[Quantity]]*Transaction[[#This Row],[UnitPrice_Clean]]=Transaction[[#This Row],[NetRevenue_Clean]],"Valid","Invalid")</f>
        <v>Valid</v>
      </c>
      <c r="AI29" t="s">
        <v>23</v>
      </c>
      <c r="AJ29" t="s">
        <v>1430</v>
      </c>
      <c r="AK29" t="str">
        <f>IF(Transaction[[#This Row],[Salesperson]]="","Missing Value",TRIM(PROPER(Transaction[[#This Row],[Salesperson]])))</f>
        <v>Johnson-Na</v>
      </c>
      <c r="AL29" t="s">
        <v>42</v>
      </c>
      <c r="AM29" t="str">
        <f>IF(Transaction[[#This Row],[ContractType]]="","Missing Value",Transaction[[#This Row],[ContractType]])</f>
        <v>Standard PO</v>
      </c>
      <c r="AN29" t="s">
        <v>26</v>
      </c>
    </row>
    <row r="30" spans="1:40" x14ac:dyDescent="0.25">
      <c r="A30" t="s">
        <v>1946</v>
      </c>
      <c r="B30" s="1">
        <v>45729</v>
      </c>
      <c r="C3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3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3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0" s="2">
        <f>IFERROR(DATE(Transaction[[#This Row],[TransactionDateY]],Transaction[[#This Row],[TransactionDateM]],Transaction[[#This Row],[TransactionDateD]]),"Missing Value")</f>
        <v>45729</v>
      </c>
      <c r="G30" t="s">
        <v>218</v>
      </c>
      <c r="H30" t="str">
        <f>IFERROR(VLOOKUP(Transaction[[#This Row],[CustomerID]],Custumer[],1,0),IF(LEN(Transaction[[#This Row],[CustomerID]])=7,LEFT(Transaction[[#This Row],[CustomerID]],6),"Invalid ID"))</f>
        <v>C-1098</v>
      </c>
      <c r="I30" t="s">
        <v>111</v>
      </c>
      <c r="J30" t="str">
        <f>TRIM(UPPER(Transaction[[#This Row],[ProductID]]))</f>
        <v>P-SA-004</v>
      </c>
      <c r="K30" t="str">
        <f>IFERROR(VLOOKUP(Transaction[[#This Row],[ProductID_Clean]],Product[],1,FALSE),"Invalid ID")</f>
        <v>P-SA-004</v>
      </c>
      <c r="L30" t="str">
        <f>TRIM(SUBSTITUTE(SUBSTITUTE(SUBSTITUTE(SUBSTITUTE(UPPER(Transaction[[#This Row],[Region]]),"EMEA REGION","EMEA"),"APAC REGION","APAC"),"NORTH AMERICA","N. AMERICA"),"N .AMERICA","N.AMERICA"))</f>
        <v>N. AMERICA</v>
      </c>
      <c r="M30" t="s">
        <v>204</v>
      </c>
      <c r="N30" t="s">
        <v>205</v>
      </c>
      <c r="O30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30" t="s">
        <v>93</v>
      </c>
      <c r="Q30" t="str">
        <f>IF(TRIM(Transaction[[#This Row],[SalesChannel]])="","Missing Value",TRIM(Transaction[[#This Row],[SalesChannel]]))</f>
        <v>direct</v>
      </c>
      <c r="R30" s="4">
        <v>1</v>
      </c>
      <c r="S30" s="4" t="str">
        <f>IF(Transaction[[#This Row],[Quantity]]&lt;0,"Negative-review","Valid")</f>
        <v>Valid</v>
      </c>
      <c r="T30">
        <v>1468.63</v>
      </c>
      <c r="U3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1468.63</v>
      </c>
      <c r="V30">
        <v>1650</v>
      </c>
      <c r="W30">
        <v>1650</v>
      </c>
      <c r="X3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30">
        <f>IF(Transaction[[#This Row],[GrossRevenue_Check]]="Invalid",Transaction[[#This Row],[ListPrice]]*Transaction[[#This Row],[Quantity]],Transaction[[#This Row],[GrossRevenue_Clean]])</f>
        <v>1650</v>
      </c>
      <c r="Z30" t="str">
        <f>IF(Transaction[[#This Row],[GrossRevenue_Clean]]=Transaction[[#This Row],[ListPrice]]*Transaction[[#This Row],[Quantity]],"Valid","Invalid")</f>
        <v>Valid</v>
      </c>
      <c r="AA30">
        <v>181.37</v>
      </c>
      <c r="AB3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181.37</v>
      </c>
      <c r="AC30">
        <f>IF(Transaction[[#This Row],[DiscountAmount_Check2]]="Invalid",Transaction[[#This Row],[GrossRevenue_Analytical]]-Transaction[[#This Row],[NetRevenue_Analytical]],Transaction[[#This Row],[DiscountAmount_Clean]])</f>
        <v>181.37</v>
      </c>
      <c r="AD30" t="s">
        <v>1947</v>
      </c>
      <c r="AE30" t="str">
        <f>IF(ROUND(Transaction[[#This Row],[GrossRevenue_Analytical]]-Transaction[[#This Row],[NetRevenue_Analytical]],2)=ROUND(Transaction[[#This Row],[DiscountAmount_Clean]],2),"Valid","Invalid")</f>
        <v>Valid</v>
      </c>
      <c r="AF3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1468.63</v>
      </c>
      <c r="AG30">
        <f>IF(Transaction[[#This Row],[NetRevenue_Check]]="Invalid",(Transaction[[#This Row],[Quantity]]*Transaction[[#This Row],[UnitPrice_Clean]]),Transaction[[#This Row],[NetRevenue_Clean]])</f>
        <v>1468.63</v>
      </c>
      <c r="AH30" t="str">
        <f>IF(Transaction[[#This Row],[Quantity]]*Transaction[[#This Row],[UnitPrice_Clean]]=Transaction[[#This Row],[NetRevenue_Clean]],"Valid","Invalid")</f>
        <v>Valid</v>
      </c>
      <c r="AI30" t="s">
        <v>23</v>
      </c>
      <c r="AJ30" t="s">
        <v>1748</v>
      </c>
      <c r="AK30" t="str">
        <f>IF(Transaction[[#This Row],[Salesperson]]="","Missing Value",TRIM(PROPER(Transaction[[#This Row],[Salesperson]])))</f>
        <v>Nelson-Na</v>
      </c>
      <c r="AL30" t="s">
        <v>34</v>
      </c>
      <c r="AM30" t="str">
        <f>IF(Transaction[[#This Row],[ContractType]]="","Missing Value",Transaction[[#This Row],[ContractType]])</f>
        <v>Annual License</v>
      </c>
      <c r="AN30" t="s">
        <v>65</v>
      </c>
    </row>
    <row r="31" spans="1:40" x14ac:dyDescent="0.25">
      <c r="A31" t="s">
        <v>556</v>
      </c>
      <c r="B31" s="1">
        <v>45722</v>
      </c>
      <c r="C3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3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3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1" s="2">
        <f>IFERROR(DATE(Transaction[[#This Row],[TransactionDateY]],Transaction[[#This Row],[TransactionDateM]],Transaction[[#This Row],[TransactionDateD]]),"Missing Value")</f>
        <v>45722</v>
      </c>
      <c r="G31" t="s">
        <v>139</v>
      </c>
      <c r="H31" t="str">
        <f>IFERROR(VLOOKUP(Transaction[[#This Row],[CustomerID]],Custumer[],1,0),IF(LEN(Transaction[[#This Row],[CustomerID]])=7,LEFT(Transaction[[#This Row],[CustomerID]],6),"Invalid ID"))</f>
        <v>C-1171</v>
      </c>
      <c r="I31" t="s">
        <v>285</v>
      </c>
      <c r="J31" t="str">
        <f>TRIM(UPPER(Transaction[[#This Row],[ProductID]]))</f>
        <v>P-SI-001</v>
      </c>
      <c r="K31" t="str">
        <f>IFERROR(VLOOKUP(Transaction[[#This Row],[ProductID_Clean]],Product[],1,FALSE),"Invalid ID")</f>
        <v>P-SI-001</v>
      </c>
      <c r="L31" t="str">
        <f>TRIM(SUBSTITUTE(SUBSTITUTE(SUBSTITUTE(SUBSTITUTE(UPPER(Transaction[[#This Row],[Region]]),"EMEA REGION","EMEA"),"APAC REGION","APAC"),"NORTH AMERICA","N. AMERICA"),"N .AMERICA","N.AMERICA"))</f>
        <v>APAC</v>
      </c>
      <c r="M31" t="s">
        <v>122</v>
      </c>
      <c r="N31" t="s">
        <v>98</v>
      </c>
      <c r="O3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1" t="s">
        <v>22</v>
      </c>
      <c r="Q31" t="str">
        <f>IF(TRIM(Transaction[[#This Row],[SalesChannel]])="","Missing Value",TRIM(Transaction[[#This Row],[SalesChannel]]))</f>
        <v>Direct</v>
      </c>
      <c r="R31" s="4">
        <v>10</v>
      </c>
      <c r="S31" s="4" t="str">
        <f>IF(Transaction[[#This Row],[Quantity]]&lt;0,"Negative-review","Valid")</f>
        <v>Valid</v>
      </c>
      <c r="T31">
        <v>412.33</v>
      </c>
      <c r="U3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412.33</v>
      </c>
      <c r="V31">
        <v>485</v>
      </c>
      <c r="W31" t="s">
        <v>557</v>
      </c>
      <c r="X3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4850</v>
      </c>
      <c r="Y31">
        <f>IF(Transaction[[#This Row],[GrossRevenue_Check]]="Invalid",Transaction[[#This Row],[ListPrice]]*Transaction[[#This Row],[Quantity]],Transaction[[#This Row],[GrossRevenue_Clean]])</f>
        <v>4850</v>
      </c>
      <c r="Z31" t="str">
        <f>IF(Transaction[[#This Row],[GrossRevenue_Clean]]=Transaction[[#This Row],[ListPrice]]*Transaction[[#This Row],[Quantity]],"Valid","Invalid")</f>
        <v>Valid</v>
      </c>
      <c r="AA31">
        <v>726.7</v>
      </c>
      <c r="AB3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726.7</v>
      </c>
      <c r="AC31">
        <f>IF(Transaction[[#This Row],[DiscountAmount_Check2]]="Invalid",Transaction[[#This Row],[GrossRevenue_Analytical]]-Transaction[[#This Row],[NetRevenue_Analytical]],Transaction[[#This Row],[DiscountAmount_Clean]])</f>
        <v>726.7</v>
      </c>
      <c r="AD31">
        <v>4123.3</v>
      </c>
      <c r="AE31" t="str">
        <f>IF(ROUND(Transaction[[#This Row],[GrossRevenue_Analytical]]-Transaction[[#This Row],[NetRevenue_Analytical]],2)=ROUND(Transaction[[#This Row],[DiscountAmount_Clean]],2),"Valid","Invalid")</f>
        <v>Valid</v>
      </c>
      <c r="AF31">
        <f>VALUE(IF(ISNUMBER(Transaction[[#This Row],[NetRevenue]]),Transaction[[#This Row],[NetRevenue]],IFERROR(IF(FIND("$",Transaction[[#This Row],[NetRevenue]])&gt;0,MID(Transaction[[#This Row],[NetRevenue]],2,10)),Transaction[[#This Row],[NetRevenue]])))</f>
        <v>4123.3</v>
      </c>
      <c r="AG31">
        <f>IF(Transaction[[#This Row],[NetRevenue_Check]]="Invalid",(Transaction[[#This Row],[Quantity]]*Transaction[[#This Row],[UnitPrice_Clean]]),Transaction[[#This Row],[NetRevenue_Clean]])</f>
        <v>4123.3</v>
      </c>
      <c r="AH31" t="str">
        <f>IF(Transaction[[#This Row],[Quantity]]*Transaction[[#This Row],[UnitPrice_Clean]]=Transaction[[#This Row],[NetRevenue_Clean]],"Valid","Invalid")</f>
        <v>Valid</v>
      </c>
      <c r="AI31" t="s">
        <v>23</v>
      </c>
      <c r="AK31" t="str">
        <f>IF(Transaction[[#This Row],[Salesperson]]="","Missing Value",TRIM(PROPER(Transaction[[#This Row],[Salesperson]])))</f>
        <v>Missing Value</v>
      </c>
      <c r="AL31" t="s">
        <v>42</v>
      </c>
      <c r="AM31" t="str">
        <f>IF(Transaction[[#This Row],[ContractType]]="","Missing Value",Transaction[[#This Row],[ContractType]])</f>
        <v>Standard PO</v>
      </c>
      <c r="AN31" t="s">
        <v>49</v>
      </c>
    </row>
    <row r="32" spans="1:40" x14ac:dyDescent="0.25">
      <c r="A32" t="s">
        <v>152</v>
      </c>
      <c r="B32" s="1">
        <v>45659</v>
      </c>
      <c r="C3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3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3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2" s="2">
        <f>IFERROR(DATE(Transaction[[#This Row],[TransactionDateY]],Transaction[[#This Row],[TransactionDateM]],Transaction[[#This Row],[TransactionDateD]]),"Missing Value")</f>
        <v>45659</v>
      </c>
      <c r="G32" t="s">
        <v>153</v>
      </c>
      <c r="H32" t="str">
        <f>IFERROR(VLOOKUP(Transaction[[#This Row],[CustomerID]],Custumer[],1,0),IF(LEN(Transaction[[#This Row],[CustomerID]])=7,LEFT(Transaction[[#This Row],[CustomerID]],6),"Invalid ID"))</f>
        <v>C-1161</v>
      </c>
      <c r="I32" t="s">
        <v>97</v>
      </c>
      <c r="J32" t="str">
        <f>TRIM(UPPER(Transaction[[#This Row],[ProductID]]))</f>
        <v>P-SI-001</v>
      </c>
      <c r="K32" t="str">
        <f>IFERROR(VLOOKUP(Transaction[[#This Row],[ProductID_Clean]],Product[],1,FALSE),"Invalid ID")</f>
        <v>P-SI-001</v>
      </c>
      <c r="L32" t="str">
        <f>TRIM(SUBSTITUTE(SUBSTITUTE(SUBSTITUTE(SUBSTITUTE(UPPER(Transaction[[#This Row],[Region]]),"EMEA REGION","EMEA"),"APAC REGION","APAC"),"NORTH AMERICA","N. AMERICA"),"N .AMERICA","N.AMERICA"))</f>
        <v>N. AMERICA</v>
      </c>
      <c r="M32" t="s">
        <v>20</v>
      </c>
      <c r="N32" t="s">
        <v>53</v>
      </c>
      <c r="O3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2" t="s">
        <v>22</v>
      </c>
      <c r="Q32" t="str">
        <f>IF(TRIM(Transaction[[#This Row],[SalesChannel]])="","Missing Value",TRIM(Transaction[[#This Row],[SalesChannel]]))</f>
        <v>Direct</v>
      </c>
      <c r="R32" s="4">
        <v>1</v>
      </c>
      <c r="S32" s="4" t="str">
        <f>IF(Transaction[[#This Row],[Quantity]]&lt;0,"Negative-review","Valid")</f>
        <v>Valid</v>
      </c>
      <c r="T32">
        <v>452.56</v>
      </c>
      <c r="U3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452.56</v>
      </c>
      <c r="V32">
        <v>485</v>
      </c>
      <c r="W32" t="s">
        <v>154</v>
      </c>
      <c r="X3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32">
        <f>IF(Transaction[[#This Row],[GrossRevenue_Check]]="Invalid",Transaction[[#This Row],[ListPrice]]*Transaction[[#This Row],[Quantity]],Transaction[[#This Row],[GrossRevenue_Clean]])</f>
        <v>485</v>
      </c>
      <c r="Z32" t="str">
        <f>IF(Transaction[[#This Row],[GrossRevenue_Clean]]=Transaction[[#This Row],[ListPrice]]*Transaction[[#This Row],[Quantity]],"Valid","Invalid")</f>
        <v>Invalid</v>
      </c>
      <c r="AA32">
        <v>64.88</v>
      </c>
      <c r="AB3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64.88</v>
      </c>
      <c r="AC32">
        <f>IF(Transaction[[#This Row],[DiscountAmount_Check2]]="Invalid",Transaction[[#This Row],[GrossRevenue_Analytical]]-Transaction[[#This Row],[NetRevenue_Analytical]],Transaction[[#This Row],[DiscountAmount_Clean]])</f>
        <v>32.44</v>
      </c>
      <c r="AD32">
        <v>905.12</v>
      </c>
      <c r="AE32" t="str">
        <f>IF(ROUND(Transaction[[#This Row],[GrossRevenue_Analytical]]-Transaction[[#This Row],[NetRevenue_Analytical]],2)=ROUND(Transaction[[#This Row],[DiscountAmount_Clean]],2),"Valid","Invalid")</f>
        <v>Invalid</v>
      </c>
      <c r="AF32">
        <f>VALUE(IF(ISNUMBER(Transaction[[#This Row],[NetRevenue]]),Transaction[[#This Row],[NetRevenue]],IFERROR(IF(FIND("$",Transaction[[#This Row],[NetRevenue]])&gt;0,MID(Transaction[[#This Row],[NetRevenue]],2,10)),Transaction[[#This Row],[NetRevenue]])))</f>
        <v>905.12</v>
      </c>
      <c r="AG32">
        <f>IF(Transaction[[#This Row],[NetRevenue_Check]]="Invalid",(Transaction[[#This Row],[Quantity]]*Transaction[[#This Row],[UnitPrice_Clean]]),Transaction[[#This Row],[NetRevenue_Clean]])</f>
        <v>452.56</v>
      </c>
      <c r="AH32" t="str">
        <f>IF(Transaction[[#This Row],[Quantity]]*Transaction[[#This Row],[UnitPrice_Clean]]=Transaction[[#This Row],[NetRevenue_Clean]],"Valid","Invalid")</f>
        <v>Invalid</v>
      </c>
      <c r="AI32" t="s">
        <v>23</v>
      </c>
      <c r="AJ32" t="s">
        <v>155</v>
      </c>
      <c r="AK32" t="str">
        <f>IF(Transaction[[#This Row],[Salesperson]]="","Missing Value",TRIM(PROPER(Transaction[[#This Row],[Salesperson]])))</f>
        <v>Cuevas-Ap</v>
      </c>
      <c r="AL32" t="s">
        <v>42</v>
      </c>
      <c r="AM32" t="str">
        <f>IF(Transaction[[#This Row],[ContractType]]="","Missing Value",Transaction[[#This Row],[ContractType]])</f>
        <v>Standard PO</v>
      </c>
      <c r="AN32" t="s">
        <v>35</v>
      </c>
    </row>
    <row r="33" spans="1:40" x14ac:dyDescent="0.25">
      <c r="A33" t="s">
        <v>564</v>
      </c>
      <c r="B33" s="1">
        <v>45796</v>
      </c>
      <c r="C3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3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3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3" s="2">
        <f>IFERROR(DATE(Transaction[[#This Row],[TransactionDateY]],Transaction[[#This Row],[TransactionDateM]],Transaction[[#This Row],[TransactionDateD]]),"Missing Value")</f>
        <v>45796</v>
      </c>
      <c r="G33" t="s">
        <v>565</v>
      </c>
      <c r="H33" t="str">
        <f>IFERROR(VLOOKUP(Transaction[[#This Row],[CustomerID]],Custumer[],1,0),IF(LEN(Transaction[[#This Row],[CustomerID]])=7,LEFT(Transaction[[#This Row],[CustomerID]],6),"Invalid ID"))</f>
        <v>C-1007</v>
      </c>
      <c r="I33" t="s">
        <v>285</v>
      </c>
      <c r="J33" t="str">
        <f>TRIM(UPPER(Transaction[[#This Row],[ProductID]]))</f>
        <v>P-SI-001</v>
      </c>
      <c r="K33" t="str">
        <f>IFERROR(VLOOKUP(Transaction[[#This Row],[ProductID_Clean]],Product[],1,FALSE),"Invalid ID")</f>
        <v>P-SI-001</v>
      </c>
      <c r="L33" t="str">
        <f>TRIM(SUBSTITUTE(SUBSTITUTE(SUBSTITUTE(SUBSTITUTE(UPPER(Transaction[[#This Row],[Region]]),"EMEA REGION","EMEA"),"APAC REGION","APAC"),"NORTH AMERICA","N. AMERICA"),"N .AMERICA","N.AMERICA"))</f>
        <v>N. AMERICA</v>
      </c>
      <c r="M33" t="s">
        <v>20</v>
      </c>
      <c r="N33" t="s">
        <v>53</v>
      </c>
      <c r="O3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3" t="s">
        <v>40</v>
      </c>
      <c r="Q33" t="str">
        <f>IF(TRIM(Transaction[[#This Row],[SalesChannel]])="","Missing Value",TRIM(Transaction[[#This Row],[SalesChannel]]))</f>
        <v>Distributor</v>
      </c>
      <c r="R33" s="4">
        <v>2</v>
      </c>
      <c r="S33" s="4" t="str">
        <f>IF(Transaction[[#This Row],[Quantity]]&lt;0,"Negative-review","Valid")</f>
        <v>Valid</v>
      </c>
      <c r="T33">
        <v>364.78</v>
      </c>
      <c r="U3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364.78</v>
      </c>
      <c r="V33">
        <v>485</v>
      </c>
      <c r="W33">
        <v>970</v>
      </c>
      <c r="X3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33">
        <f>IF(Transaction[[#This Row],[GrossRevenue_Check]]="Invalid",Transaction[[#This Row],[ListPrice]]*Transaction[[#This Row],[Quantity]],Transaction[[#This Row],[GrossRevenue_Clean]])</f>
        <v>970</v>
      </c>
      <c r="Z33" t="str">
        <f>IF(Transaction[[#This Row],[GrossRevenue_Clean]]=Transaction[[#This Row],[ListPrice]]*Transaction[[#This Row],[Quantity]],"Valid","Invalid")</f>
        <v>Valid</v>
      </c>
      <c r="AA33">
        <v>240.44</v>
      </c>
      <c r="AB3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240.44</v>
      </c>
      <c r="AC33">
        <f>IF(Transaction[[#This Row],[DiscountAmount_Check2]]="Invalid",Transaction[[#This Row],[GrossRevenue_Analytical]]-Transaction[[#This Row],[NetRevenue_Analytical]],Transaction[[#This Row],[DiscountAmount_Clean]])</f>
        <v>240.44</v>
      </c>
      <c r="AD33">
        <v>729.56</v>
      </c>
      <c r="AE33" t="str">
        <f>IF(ROUND(Transaction[[#This Row],[GrossRevenue_Analytical]]-Transaction[[#This Row],[NetRevenue_Analytical]],2)=ROUND(Transaction[[#This Row],[DiscountAmount_Clean]],2),"Valid","Invalid")</f>
        <v>Valid</v>
      </c>
      <c r="AF33">
        <f>VALUE(IF(ISNUMBER(Transaction[[#This Row],[NetRevenue]]),Transaction[[#This Row],[NetRevenue]],IFERROR(IF(FIND("$",Transaction[[#This Row],[NetRevenue]])&gt;0,MID(Transaction[[#This Row],[NetRevenue]],2,10)),Transaction[[#This Row],[NetRevenue]])))</f>
        <v>729.56</v>
      </c>
      <c r="AG33">
        <f>IF(Transaction[[#This Row],[NetRevenue_Check]]="Invalid",(Transaction[[#This Row],[Quantity]]*Transaction[[#This Row],[UnitPrice_Clean]]),Transaction[[#This Row],[NetRevenue_Clean]])</f>
        <v>729.56</v>
      </c>
      <c r="AH33" t="str">
        <f>IF(Transaction[[#This Row],[Quantity]]*Transaction[[#This Row],[UnitPrice_Clean]]=Transaction[[#This Row],[NetRevenue_Clean]],"Valid","Invalid")</f>
        <v>Valid</v>
      </c>
      <c r="AI33" t="s">
        <v>23</v>
      </c>
      <c r="AJ33" t="s">
        <v>566</v>
      </c>
      <c r="AK33" t="str">
        <f>IF(Transaction[[#This Row],[Salesperson]]="","Missing Value",TRIM(PROPER(Transaction[[#This Row],[Salesperson]])))</f>
        <v>Bell</v>
      </c>
      <c r="AL33" t="s">
        <v>42</v>
      </c>
      <c r="AM33" t="str">
        <f>IF(Transaction[[#This Row],[ContractType]]="","Missing Value",Transaction[[#This Row],[ContractType]])</f>
        <v>Standard PO</v>
      </c>
      <c r="AN33" t="s">
        <v>35</v>
      </c>
    </row>
    <row r="34" spans="1:40" x14ac:dyDescent="0.25">
      <c r="A34" t="s">
        <v>381</v>
      </c>
      <c r="B34" t="s">
        <v>382</v>
      </c>
      <c r="C3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3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31</v>
      </c>
      <c r="E3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4" s="2">
        <f>IFERROR(DATE(Transaction[[#This Row],[TransactionDateY]],Transaction[[#This Row],[TransactionDateM]],Transaction[[#This Row],[TransactionDateD]]),"Missing Value")</f>
        <v>45747</v>
      </c>
      <c r="G34" t="s">
        <v>208</v>
      </c>
      <c r="H34" t="str">
        <f>IFERROR(VLOOKUP(Transaction[[#This Row],[CustomerID]],Custumer[],1,0),IF(LEN(Transaction[[#This Row],[CustomerID]])=7,LEFT(Transaction[[#This Row],[CustomerID]],6),"Invalid ID"))</f>
        <v>C-1076</v>
      </c>
      <c r="I34" t="s">
        <v>46</v>
      </c>
      <c r="J34" t="str">
        <f>TRIM(UPPER(Transaction[[#This Row],[ProductID]]))</f>
        <v>P-SI-006</v>
      </c>
      <c r="K34" t="str">
        <f>IFERROR(VLOOKUP(Transaction[[#This Row],[ProductID_Clean]],Product[],1,FALSE),"Invalid ID")</f>
        <v>P-SI-006</v>
      </c>
      <c r="L34" t="str">
        <f>TRIM(SUBSTITUTE(SUBSTITUTE(SUBSTITUTE(SUBSTITUTE(UPPER(Transaction[[#This Row],[Region]]),"EMEA REGION","EMEA"),"APAC REGION","APAC"),"NORTH AMERICA","N. AMERICA"),"N .AMERICA","N.AMERICA"))</f>
        <v>APAC</v>
      </c>
      <c r="M34" t="s">
        <v>30</v>
      </c>
      <c r="N34" t="s">
        <v>272</v>
      </c>
      <c r="O3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4" t="s">
        <v>40</v>
      </c>
      <c r="Q34" t="str">
        <f>IF(TRIM(Transaction[[#This Row],[SalesChannel]])="","Missing Value",TRIM(Transaction[[#This Row],[SalesChannel]]))</f>
        <v>Distributor</v>
      </c>
      <c r="R34" s="4">
        <v>1</v>
      </c>
      <c r="S34" s="4" t="str">
        <f>IF(Transaction[[#This Row],[Quantity]]&lt;0,"Negative-review","Valid")</f>
        <v>Valid</v>
      </c>
      <c r="T34">
        <v>140.61000000000001</v>
      </c>
      <c r="U3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140.61000000000001</v>
      </c>
      <c r="V34">
        <v>215</v>
      </c>
      <c r="W34">
        <v>215</v>
      </c>
      <c r="X3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34">
        <f>IF(Transaction[[#This Row],[GrossRevenue_Check]]="Invalid",Transaction[[#This Row],[ListPrice]]*Transaction[[#This Row],[Quantity]],Transaction[[#This Row],[GrossRevenue_Clean]])</f>
        <v>215</v>
      </c>
      <c r="Z34" t="str">
        <f>IF(Transaction[[#This Row],[GrossRevenue_Clean]]=Transaction[[#This Row],[ListPrice]]*Transaction[[#This Row],[Quantity]],"Valid","Invalid")</f>
        <v>Valid</v>
      </c>
      <c r="AA34">
        <v>74.39</v>
      </c>
      <c r="AB3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74.39</v>
      </c>
      <c r="AC34">
        <f>IF(Transaction[[#This Row],[DiscountAmount_Check2]]="Invalid",Transaction[[#This Row],[GrossRevenue_Analytical]]-Transaction[[#This Row],[NetRevenue_Analytical]],Transaction[[#This Row],[DiscountAmount_Clean]])</f>
        <v>74.39</v>
      </c>
      <c r="AD34">
        <v>140.61000000000001</v>
      </c>
      <c r="AE34" t="str">
        <f>IF(ROUND(Transaction[[#This Row],[GrossRevenue_Analytical]]-Transaction[[#This Row],[NetRevenue_Analytical]],2)=ROUND(Transaction[[#This Row],[DiscountAmount_Clean]],2),"Valid","Invalid")</f>
        <v>Valid</v>
      </c>
      <c r="AF3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140.61000000000001</v>
      </c>
      <c r="AG34">
        <f>IF(Transaction[[#This Row],[NetRevenue_Check]]="Invalid",(Transaction[[#This Row],[Quantity]]*Transaction[[#This Row],[UnitPrice_Clean]]),Transaction[[#This Row],[NetRevenue_Clean]])</f>
        <v>140.61000000000001</v>
      </c>
      <c r="AH34" t="str">
        <f>IF(Transaction[[#This Row],[Quantity]]*Transaction[[#This Row],[UnitPrice_Clean]]=Transaction[[#This Row],[NetRevenue_Clean]],"Valid","Invalid")</f>
        <v>Valid</v>
      </c>
      <c r="AI34" t="s">
        <v>128</v>
      </c>
      <c r="AJ34" t="s">
        <v>383</v>
      </c>
      <c r="AK34" t="str">
        <f>IF(Transaction[[#This Row],[Salesperson]]="","Missing Value",TRIM(PROPER(Transaction[[#This Row],[Salesperson]])))</f>
        <v>White</v>
      </c>
      <c r="AL34" t="s">
        <v>42</v>
      </c>
      <c r="AM34" t="str">
        <f>IF(Transaction[[#This Row],[ContractType]]="","Missing Value",Transaction[[#This Row],[ContractType]])</f>
        <v>Standard PO</v>
      </c>
      <c r="AN34" t="s">
        <v>49</v>
      </c>
    </row>
    <row r="35" spans="1:40" x14ac:dyDescent="0.25">
      <c r="A35" t="s">
        <v>1653</v>
      </c>
      <c r="B35" t="s">
        <v>1654</v>
      </c>
      <c r="C3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3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3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5" s="2">
        <f>IFERROR(DATE(Transaction[[#This Row],[TransactionDateY]],Transaction[[#This Row],[TransactionDateM]],Transaction[[#This Row],[TransactionDateD]]),"Missing Value")</f>
        <v>45824</v>
      </c>
      <c r="G35" t="s">
        <v>779</v>
      </c>
      <c r="H35" t="str">
        <f>IFERROR(VLOOKUP(Transaction[[#This Row],[CustomerID]],Custumer[],1,0),IF(LEN(Transaction[[#This Row],[CustomerID]])=7,LEFT(Transaction[[#This Row],[CustomerID]],6),"Invalid ID"))</f>
        <v>C-1025</v>
      </c>
      <c r="I35" t="s">
        <v>444</v>
      </c>
      <c r="J35" t="str">
        <f>TRIM(UPPER(Transaction[[#This Row],[ProductID]]))</f>
        <v>P-SI-006</v>
      </c>
      <c r="K35" t="str">
        <f>IFERROR(VLOOKUP(Transaction[[#This Row],[ProductID_Clean]],Product[],1,FALSE),"Invalid ID")</f>
        <v>P-SI-006</v>
      </c>
      <c r="L35" t="str">
        <f>TRIM(SUBSTITUTE(SUBSTITUTE(SUBSTITUTE(SUBSTITUTE(UPPER(Transaction[[#This Row],[Region]]),"EMEA REGION","EMEA"),"APAC REGION","APAC"),"NORTH AMERICA","N. AMERICA"),"N .AMERICA","N.AMERICA"))</f>
        <v>LATIN AMERICA</v>
      </c>
      <c r="M35" t="s">
        <v>82</v>
      </c>
      <c r="N35" t="s">
        <v>53</v>
      </c>
      <c r="O3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5" t="s">
        <v>40</v>
      </c>
      <c r="Q35" t="str">
        <f>IF(TRIM(Transaction[[#This Row],[SalesChannel]])="","Missing Value",TRIM(Transaction[[#This Row],[SalesChannel]]))</f>
        <v>Distributor</v>
      </c>
      <c r="R35" s="4">
        <v>12</v>
      </c>
      <c r="S35" s="4" t="str">
        <f>IF(Transaction[[#This Row],[Quantity]]&lt;0,"Negative-review","Valid")</f>
        <v>Valid</v>
      </c>
      <c r="T35">
        <v>148.85</v>
      </c>
      <c r="U3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148.85</v>
      </c>
      <c r="V35">
        <v>215</v>
      </c>
      <c r="W35">
        <v>2580</v>
      </c>
      <c r="X3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2580</v>
      </c>
      <c r="Y35">
        <f>IF(Transaction[[#This Row],[GrossRevenue_Check]]="Invalid",Transaction[[#This Row],[ListPrice]]*Transaction[[#This Row],[Quantity]],Transaction[[#This Row],[GrossRevenue_Clean]])</f>
        <v>2580</v>
      </c>
      <c r="Z35" t="str">
        <f>IF(Transaction[[#This Row],[GrossRevenue_Clean]]=Transaction[[#This Row],[ListPrice]]*Transaction[[#This Row],[Quantity]],"Valid","Invalid")</f>
        <v>Valid</v>
      </c>
      <c r="AA35">
        <v>793.8</v>
      </c>
      <c r="AB3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793.8</v>
      </c>
      <c r="AC35">
        <f>IF(Transaction[[#This Row],[DiscountAmount_Check2]]="Invalid",Transaction[[#This Row],[GrossRevenue_Analytical]]-Transaction[[#This Row],[NetRevenue_Analytical]],Transaction[[#This Row],[DiscountAmount_Clean]])</f>
        <v>793.8</v>
      </c>
      <c r="AD35">
        <v>1786.2</v>
      </c>
      <c r="AE35" t="str">
        <f>IF(ROUND(Transaction[[#This Row],[GrossRevenue_Analytical]]-Transaction[[#This Row],[NetRevenue_Analytical]],2)=ROUND(Transaction[[#This Row],[DiscountAmount_Clean]],2),"Valid","Invalid")</f>
        <v>Valid</v>
      </c>
      <c r="AF3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1786.2</v>
      </c>
      <c r="AG35">
        <f>IF(Transaction[[#This Row],[NetRevenue_Check]]="Invalid",(Transaction[[#This Row],[Quantity]]*Transaction[[#This Row],[UnitPrice_Clean]]),Transaction[[#This Row],[NetRevenue_Clean]])</f>
        <v>1786.2</v>
      </c>
      <c r="AH35" t="str">
        <f>IF(Transaction[[#This Row],[Quantity]]*Transaction[[#This Row],[UnitPrice_Clean]]=Transaction[[#This Row],[NetRevenue_Clean]],"Valid","Invalid")</f>
        <v>Valid</v>
      </c>
      <c r="AI35" t="s">
        <v>23</v>
      </c>
      <c r="AJ35" t="s">
        <v>1194</v>
      </c>
      <c r="AK35" t="str">
        <f>IF(Transaction[[#This Row],[Salesperson]]="","Missing Value",TRIM(PROPER(Transaction[[#This Row],[Salesperson]])))</f>
        <v>Thomas</v>
      </c>
      <c r="AL35" t="s">
        <v>55</v>
      </c>
      <c r="AM35" t="str">
        <f>IF(Transaction[[#This Row],[ContractType]]="","Missing Value",Transaction[[#This Row],[ContractType]])</f>
        <v>Spot</v>
      </c>
      <c r="AN35" t="s">
        <v>26</v>
      </c>
    </row>
    <row r="36" spans="1:40" x14ac:dyDescent="0.25">
      <c r="A36" t="s">
        <v>2994</v>
      </c>
      <c r="B36" t="s">
        <v>2995</v>
      </c>
      <c r="C3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3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08</v>
      </c>
      <c r="E3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6" s="2">
        <f>IFERROR(DATE(Transaction[[#This Row],[TransactionDateY]],Transaction[[#This Row],[TransactionDateM]],Transaction[[#This Row],[TransactionDateD]]),"Missing Value")</f>
        <v>45665</v>
      </c>
      <c r="G36" t="s">
        <v>28</v>
      </c>
      <c r="H36" t="str">
        <f>IFERROR(VLOOKUP(Transaction[[#This Row],[CustomerID]],Custumer[],1,0),IF(LEN(Transaction[[#This Row],[CustomerID]])=7,LEFT(Transaction[[#This Row],[CustomerID]],6),"Invalid ID"))</f>
        <v>C-1038</v>
      </c>
      <c r="I36" t="s">
        <v>97</v>
      </c>
      <c r="J36" t="str">
        <f>TRIM(UPPER(Transaction[[#This Row],[ProductID]]))</f>
        <v>P-SI-001</v>
      </c>
      <c r="K36" t="str">
        <f>IFERROR(VLOOKUP(Transaction[[#This Row],[ProductID_Clean]],Product[],1,FALSE),"Invalid ID")</f>
        <v>P-SI-001</v>
      </c>
      <c r="L36" t="str">
        <f>TRIM(SUBSTITUTE(SUBSTITUTE(SUBSTITUTE(SUBSTITUTE(UPPER(Transaction[[#This Row],[Region]]),"EMEA REGION","EMEA"),"APAC REGION","APAC"),"NORTH AMERICA","N. AMERICA"),"N .AMERICA","N.AMERICA"))</f>
        <v>APAC</v>
      </c>
      <c r="M36" t="s">
        <v>30</v>
      </c>
      <c r="N36" t="s">
        <v>53</v>
      </c>
      <c r="O3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6" t="s">
        <v>181</v>
      </c>
      <c r="Q36" t="str">
        <f>IF(TRIM(Transaction[[#This Row],[SalesChannel]])="","Missing Value",TRIM(Transaction[[#This Row],[SalesChannel]]))</f>
        <v>Partner Portal</v>
      </c>
      <c r="R36" s="4">
        <v>4</v>
      </c>
      <c r="S36" s="4" t="str">
        <f>IF(Transaction[[#This Row],[Quantity]]&lt;0,"Negative-review","Valid")</f>
        <v>Valid</v>
      </c>
      <c r="T36">
        <v>406.47</v>
      </c>
      <c r="U3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406.47</v>
      </c>
      <c r="V36">
        <v>485</v>
      </c>
      <c r="W36">
        <v>1940</v>
      </c>
      <c r="X3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1940</v>
      </c>
      <c r="Y36">
        <f>IF(Transaction[[#This Row],[GrossRevenue_Check]]="Invalid",Transaction[[#This Row],[ListPrice]]*Transaction[[#This Row],[Quantity]],Transaction[[#This Row],[GrossRevenue_Clean]])</f>
        <v>1940</v>
      </c>
      <c r="Z36" t="str">
        <f>IF(Transaction[[#This Row],[GrossRevenue_Clean]]=Transaction[[#This Row],[ListPrice]]*Transaction[[#This Row],[Quantity]],"Valid","Invalid")</f>
        <v>Valid</v>
      </c>
      <c r="AA36">
        <v>314.12</v>
      </c>
      <c r="AB3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314.12</v>
      </c>
      <c r="AC36">
        <f>IF(Transaction[[#This Row],[DiscountAmount_Check2]]="Invalid",Transaction[[#This Row],[GrossRevenue_Analytical]]-Transaction[[#This Row],[NetRevenue_Analytical]],Transaction[[#This Row],[DiscountAmount_Clean]])</f>
        <v>314.12</v>
      </c>
      <c r="AD36">
        <v>1625.88</v>
      </c>
      <c r="AE36" t="str">
        <f>IF(ROUND(Transaction[[#This Row],[GrossRevenue_Analytical]]-Transaction[[#This Row],[NetRevenue_Analytical]],2)=ROUND(Transaction[[#This Row],[DiscountAmount_Clean]],2),"Valid","Invalid")</f>
        <v>Valid</v>
      </c>
      <c r="AF3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1625.88</v>
      </c>
      <c r="AG36">
        <f>IF(Transaction[[#This Row],[NetRevenue_Check]]="Invalid",(Transaction[[#This Row],[Quantity]]*Transaction[[#This Row],[UnitPrice_Clean]]),Transaction[[#This Row],[NetRevenue_Clean]])</f>
        <v>1625.88</v>
      </c>
      <c r="AH36" t="str">
        <f>IF(Transaction[[#This Row],[Quantity]]*Transaction[[#This Row],[UnitPrice_Clean]]=Transaction[[#This Row],[NetRevenue_Clean]],"Valid","Invalid")</f>
        <v>Valid</v>
      </c>
      <c r="AI36" t="s">
        <v>23</v>
      </c>
      <c r="AJ36" t="s">
        <v>1974</v>
      </c>
      <c r="AK36" t="str">
        <f>IF(Transaction[[#This Row],[Salesperson]]="","Missing Value",TRIM(PROPER(Transaction[[#This Row],[Salesperson]])))</f>
        <v>Sandoval</v>
      </c>
      <c r="AM36" t="str">
        <f>IF(Transaction[[#This Row],[ContractType]]="","Missing Value",Transaction[[#This Row],[ContractType]])</f>
        <v>Missing Value</v>
      </c>
      <c r="AN36" t="s">
        <v>35</v>
      </c>
    </row>
    <row r="37" spans="1:40" x14ac:dyDescent="0.25">
      <c r="A37" t="s">
        <v>2516</v>
      </c>
      <c r="B37" s="1">
        <v>45709</v>
      </c>
      <c r="C3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3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3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7" s="2">
        <f>IFERROR(DATE(Transaction[[#This Row],[TransactionDateY]],Transaction[[#This Row],[TransactionDateM]],Transaction[[#This Row],[TransactionDateD]]),"Missing Value")</f>
        <v>45709</v>
      </c>
      <c r="G37" t="s">
        <v>1518</v>
      </c>
      <c r="H37" t="str">
        <f>IFERROR(VLOOKUP(Transaction[[#This Row],[CustomerID]],Custumer[],1,0),IF(LEN(Transaction[[#This Row],[CustomerID]])=7,LEFT(Transaction[[#This Row],[CustomerID]],6),"Invalid ID"))</f>
        <v>C-1138</v>
      </c>
      <c r="I37" t="s">
        <v>121</v>
      </c>
      <c r="J37" t="str">
        <f>TRIM(UPPER(Transaction[[#This Row],[ProductID]]))</f>
        <v>P-FS-001</v>
      </c>
      <c r="K37" t="str">
        <f>IFERROR(VLOOKUP(Transaction[[#This Row],[ProductID_Clean]],Product[],1,FALSE),"Invalid ID")</f>
        <v>P-FS-001</v>
      </c>
      <c r="L37" t="str">
        <f>TRIM(SUBSTITUTE(SUBSTITUTE(SUBSTITUTE(SUBSTITUTE(UPPER(Transaction[[#This Row],[Region]]),"EMEA REGION","EMEA"),"APAC REGION","APAC"),"NORTH AMERICA","N. AMERICA"),"N .AMERICA","N.AMERICA"))</f>
        <v>EMEA</v>
      </c>
      <c r="M37" t="s">
        <v>76</v>
      </c>
      <c r="N37" t="s">
        <v>21</v>
      </c>
      <c r="O37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Q37" t="str">
        <f>IF(TRIM(Transaction[[#This Row],[SalesChannel]])="","Missing Value",TRIM(Transaction[[#This Row],[SalesChannel]]))</f>
        <v>Missing Value</v>
      </c>
      <c r="R37" s="4">
        <v>1</v>
      </c>
      <c r="S37" s="4" t="str">
        <f>IF(Transaction[[#This Row],[Quantity]]&lt;0,"Negative-review","Valid")</f>
        <v>Valid</v>
      </c>
      <c r="T37">
        <v>1608.57</v>
      </c>
      <c r="U3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1608.57</v>
      </c>
      <c r="V37">
        <v>1850</v>
      </c>
      <c r="W37">
        <v>1850</v>
      </c>
      <c r="X3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37">
        <f>IF(Transaction[[#This Row],[GrossRevenue_Check]]="Invalid",Transaction[[#This Row],[ListPrice]]*Transaction[[#This Row],[Quantity]],Transaction[[#This Row],[GrossRevenue_Clean]])</f>
        <v>1850</v>
      </c>
      <c r="Z37" t="str">
        <f>IF(Transaction[[#This Row],[GrossRevenue_Clean]]=Transaction[[#This Row],[ListPrice]]*Transaction[[#This Row],[Quantity]],"Valid","Invalid")</f>
        <v>Valid</v>
      </c>
      <c r="AA37">
        <v>241.43</v>
      </c>
      <c r="AB3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241.43</v>
      </c>
      <c r="AC37">
        <f>IF(Transaction[[#This Row],[DiscountAmount_Check2]]="Invalid",Transaction[[#This Row],[GrossRevenue_Analytical]]-Transaction[[#This Row],[NetRevenue_Analytical]],Transaction[[#This Row],[DiscountAmount_Clean]])</f>
        <v>241.43</v>
      </c>
      <c r="AD37">
        <v>1608.57</v>
      </c>
      <c r="AE37" t="str">
        <f>IF(ROUND(Transaction[[#This Row],[GrossRevenue_Analytical]]-Transaction[[#This Row],[NetRevenue_Analytical]],2)=ROUND(Transaction[[#This Row],[DiscountAmount_Clean]],2),"Valid","Invalid")</f>
        <v>Valid</v>
      </c>
      <c r="AF3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1608.57</v>
      </c>
      <c r="AG37">
        <f>IF(Transaction[[#This Row],[NetRevenue_Check]]="Invalid",(Transaction[[#This Row],[Quantity]]*Transaction[[#This Row],[UnitPrice_Clean]]),Transaction[[#This Row],[NetRevenue_Clean]])</f>
        <v>1608.57</v>
      </c>
      <c r="AH37" t="str">
        <f>IF(Transaction[[#This Row],[Quantity]]*Transaction[[#This Row],[UnitPrice_Clean]]=Transaction[[#This Row],[NetRevenue_Clean]],"Valid","Invalid")</f>
        <v>Valid</v>
      </c>
      <c r="AI37" t="s">
        <v>23</v>
      </c>
      <c r="AJ37" t="s">
        <v>655</v>
      </c>
      <c r="AK37" t="str">
        <f>IF(Transaction[[#This Row],[Salesperson]]="","Missing Value",TRIM(PROPER(Transaction[[#This Row],[Salesperson]])))</f>
        <v>Jones</v>
      </c>
      <c r="AL37" t="s">
        <v>25</v>
      </c>
      <c r="AM37" t="str">
        <f>IF(Transaction[[#This Row],[ContractType]]="","Missing Value",Transaction[[#This Row],[ContractType]])</f>
        <v>Frame Agreement</v>
      </c>
      <c r="AN37" t="s">
        <v>35</v>
      </c>
    </row>
    <row r="38" spans="1:40" x14ac:dyDescent="0.25">
      <c r="A38" t="s">
        <v>2098</v>
      </c>
      <c r="B38" s="1">
        <v>45817</v>
      </c>
      <c r="C3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3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3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8" s="2">
        <f>IFERROR(DATE(Transaction[[#This Row],[TransactionDateY]],Transaction[[#This Row],[TransactionDateM]],Transaction[[#This Row],[TransactionDateD]]),"Missing Value")</f>
        <v>45817</v>
      </c>
      <c r="G38" t="s">
        <v>647</v>
      </c>
      <c r="H38" t="str">
        <f>IFERROR(VLOOKUP(Transaction[[#This Row],[CustomerID]],Custumer[],1,0),IF(LEN(Transaction[[#This Row],[CustomerID]])=7,LEFT(Transaction[[#This Row],[CustomerID]],6),"Invalid ID"))</f>
        <v>C-1085</v>
      </c>
      <c r="I38" t="s">
        <v>52</v>
      </c>
      <c r="J38" t="str">
        <f>TRIM(UPPER(Transaction[[#This Row],[ProductID]]))</f>
        <v>P-SI-002</v>
      </c>
      <c r="K38" t="str">
        <f>IFERROR(VLOOKUP(Transaction[[#This Row],[ProductID_Clean]],Product[],1,FALSE),"Invalid ID")</f>
        <v>P-SI-002</v>
      </c>
      <c r="L38" t="str">
        <f>TRIM(SUBSTITUTE(SUBSTITUTE(SUBSTITUTE(SUBSTITUTE(UPPER(Transaction[[#This Row],[Region]]),"EMEA REGION","EMEA"),"APAC REGION","APAC"),"NORTH AMERICA","N. AMERICA"),"N .AMERICA","N.AMERICA"))</f>
        <v>APAC</v>
      </c>
      <c r="M38" t="s">
        <v>127</v>
      </c>
      <c r="N38" t="s">
        <v>53</v>
      </c>
      <c r="O3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8" t="s">
        <v>93</v>
      </c>
      <c r="Q38" t="str">
        <f>IF(TRIM(Transaction[[#This Row],[SalesChannel]])="","Missing Value",TRIM(Transaction[[#This Row],[SalesChannel]]))</f>
        <v>direct</v>
      </c>
      <c r="R38" s="4">
        <v>1</v>
      </c>
      <c r="S38" s="4" t="str">
        <f>IF(Transaction[[#This Row],[Quantity]]&lt;0,"Negative-review","Valid")</f>
        <v>Valid</v>
      </c>
      <c r="T38">
        <v>574</v>
      </c>
      <c r="U3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574</v>
      </c>
      <c r="V38">
        <v>725</v>
      </c>
      <c r="W38">
        <v>725</v>
      </c>
      <c r="X3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38">
        <f>IF(Transaction[[#This Row],[GrossRevenue_Check]]="Invalid",Transaction[[#This Row],[ListPrice]]*Transaction[[#This Row],[Quantity]],Transaction[[#This Row],[GrossRevenue_Clean]])</f>
        <v>725</v>
      </c>
      <c r="Z38" t="str">
        <f>IF(Transaction[[#This Row],[GrossRevenue_Clean]]=Transaction[[#This Row],[ListPrice]]*Transaction[[#This Row],[Quantity]],"Valid","Invalid")</f>
        <v>Valid</v>
      </c>
      <c r="AA38">
        <v>151</v>
      </c>
      <c r="AB3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151</v>
      </c>
      <c r="AC38">
        <f>IF(Transaction[[#This Row],[DiscountAmount_Check2]]="Invalid",Transaction[[#This Row],[GrossRevenue_Analytical]]-Transaction[[#This Row],[NetRevenue_Analytical]],Transaction[[#This Row],[DiscountAmount_Clean]])</f>
        <v>151</v>
      </c>
      <c r="AD38">
        <v>574</v>
      </c>
      <c r="AE38" t="str">
        <f>IF(ROUND(Transaction[[#This Row],[GrossRevenue_Analytical]]-Transaction[[#This Row],[NetRevenue_Analytical]],2)=ROUND(Transaction[[#This Row],[DiscountAmount_Clean]],2),"Valid","Invalid")</f>
        <v>Valid</v>
      </c>
      <c r="AF38">
        <f>VALUE(IF(ISNUMBER(Transaction[[#This Row],[NetRevenue]]),Transaction[[#This Row],[NetRevenue]],IFERROR(IF(FIND("$",Transaction[[#This Row],[NetRevenue]])&gt;0,MID(Transaction[[#This Row],[NetRevenue]],2,10)),Transaction[[#This Row],[NetRevenue]])))</f>
        <v>574</v>
      </c>
      <c r="AG38">
        <f>IF(Transaction[[#This Row],[NetRevenue_Check]]="Invalid",(Transaction[[#This Row],[Quantity]]*Transaction[[#This Row],[UnitPrice_Clean]]),Transaction[[#This Row],[NetRevenue_Clean]])</f>
        <v>574</v>
      </c>
      <c r="AH38" t="str">
        <f>IF(Transaction[[#This Row],[Quantity]]*Transaction[[#This Row],[UnitPrice_Clean]]=Transaction[[#This Row],[NetRevenue_Clean]],"Valid","Invalid")</f>
        <v>Valid</v>
      </c>
      <c r="AI38" t="s">
        <v>23</v>
      </c>
      <c r="AJ38" t="s">
        <v>2099</v>
      </c>
      <c r="AK38" t="str">
        <f>IF(Transaction[[#This Row],[Salesperson]]="","Missing Value",TRIM(PROPER(Transaction[[#This Row],[Salesperson]])))</f>
        <v>Figueroa</v>
      </c>
      <c r="AL38" t="s">
        <v>42</v>
      </c>
      <c r="AM38" t="str">
        <f>IF(Transaction[[#This Row],[ContractType]]="","Missing Value",Transaction[[#This Row],[ContractType]])</f>
        <v>Standard PO</v>
      </c>
      <c r="AN38" t="s">
        <v>26</v>
      </c>
    </row>
    <row r="39" spans="1:40" x14ac:dyDescent="0.25">
      <c r="A39" t="s">
        <v>2629</v>
      </c>
      <c r="B39" s="1">
        <v>45719</v>
      </c>
      <c r="C3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3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3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9" s="2">
        <f>IFERROR(DATE(Transaction[[#This Row],[TransactionDateY]],Transaction[[#This Row],[TransactionDateM]],Transaction[[#This Row],[TransactionDateD]]),"Missing Value")</f>
        <v>45719</v>
      </c>
      <c r="G39" t="s">
        <v>18</v>
      </c>
      <c r="H39" t="str">
        <f>IFERROR(VLOOKUP(Transaction[[#This Row],[CustomerID]],Custumer[],1,0),IF(LEN(Transaction[[#This Row],[CustomerID]])=7,LEFT(Transaction[[#This Row],[CustomerID]],6),"Invalid ID"))</f>
        <v>C-1048</v>
      </c>
      <c r="I39" t="s">
        <v>2384</v>
      </c>
      <c r="J39" t="str">
        <f>TRIM(UPPER(Transaction[[#This Row],[ProductID]]))</f>
        <v>P-SA-004</v>
      </c>
      <c r="K39" t="str">
        <f>IFERROR(VLOOKUP(Transaction[[#This Row],[ProductID_Clean]],Product[],1,FALSE),"Invalid ID")</f>
        <v>P-SA-004</v>
      </c>
      <c r="L39" t="str">
        <f>TRIM(SUBSTITUTE(SUBSTITUTE(SUBSTITUTE(SUBSTITUTE(UPPER(Transaction[[#This Row],[Region]]),"EMEA REGION","EMEA"),"APAC REGION","APAC"),"NORTH AMERICA","N. AMERICA"),"N .AMERICA","N.AMERICA"))</f>
        <v>N. AMERICA</v>
      </c>
      <c r="M39" t="s">
        <v>20</v>
      </c>
      <c r="N39" t="s">
        <v>31</v>
      </c>
      <c r="O3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39" t="s">
        <v>22</v>
      </c>
      <c r="Q39" t="str">
        <f>IF(TRIM(Transaction[[#This Row],[SalesChannel]])="","Missing Value",TRIM(Transaction[[#This Row],[SalesChannel]]))</f>
        <v>Direct</v>
      </c>
      <c r="R39" s="4">
        <v>1</v>
      </c>
      <c r="S39" s="4" t="str">
        <f>IF(Transaction[[#This Row],[Quantity]]&lt;0,"Negative-review","Valid")</f>
        <v>Valid</v>
      </c>
      <c r="T39">
        <v>1388.68</v>
      </c>
      <c r="U3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1388.68</v>
      </c>
      <c r="V39">
        <v>1650</v>
      </c>
      <c r="W39">
        <v>1650</v>
      </c>
      <c r="X3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39">
        <f>IF(Transaction[[#This Row],[GrossRevenue_Check]]="Invalid",Transaction[[#This Row],[ListPrice]]*Transaction[[#This Row],[Quantity]],Transaction[[#This Row],[GrossRevenue_Clean]])</f>
        <v>1650</v>
      </c>
      <c r="Z39" t="str">
        <f>IF(Transaction[[#This Row],[GrossRevenue_Clean]]=Transaction[[#This Row],[ListPrice]]*Transaction[[#This Row],[Quantity]],"Valid","Invalid")</f>
        <v>Valid</v>
      </c>
      <c r="AA39">
        <v>261.32</v>
      </c>
      <c r="AB3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261.32</v>
      </c>
      <c r="AC39">
        <f>IF(Transaction[[#This Row],[DiscountAmount_Check2]]="Invalid",Transaction[[#This Row],[GrossRevenue_Analytical]]-Transaction[[#This Row],[NetRevenue_Analytical]],Transaction[[#This Row],[DiscountAmount_Clean]])</f>
        <v>261.32</v>
      </c>
      <c r="AD39">
        <v>1388.68</v>
      </c>
      <c r="AE39" t="str">
        <f>IF(ROUND(Transaction[[#This Row],[GrossRevenue_Analytical]]-Transaction[[#This Row],[NetRevenue_Analytical]],2)=ROUND(Transaction[[#This Row],[DiscountAmount_Clean]],2),"Valid","Invalid")</f>
        <v>Valid</v>
      </c>
      <c r="AF3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1388.68</v>
      </c>
      <c r="AG39">
        <f>IF(Transaction[[#This Row],[NetRevenue_Check]]="Invalid",(Transaction[[#This Row],[Quantity]]*Transaction[[#This Row],[UnitPrice_Clean]]),Transaction[[#This Row],[NetRevenue_Clean]])</f>
        <v>1388.68</v>
      </c>
      <c r="AH39" t="str">
        <f>IF(Transaction[[#This Row],[Quantity]]*Transaction[[#This Row],[UnitPrice_Clean]]=Transaction[[#This Row],[NetRevenue_Clean]],"Valid","Invalid")</f>
        <v>Valid</v>
      </c>
      <c r="AI39" t="s">
        <v>23</v>
      </c>
      <c r="AJ39" t="s">
        <v>2630</v>
      </c>
      <c r="AK39" t="str">
        <f>IF(Transaction[[#This Row],[Salesperson]]="","Missing Value",TRIM(PROPER(Transaction[[#This Row],[Salesperson]])))</f>
        <v>Bonilla</v>
      </c>
      <c r="AL39" t="s">
        <v>34</v>
      </c>
      <c r="AM39" t="str">
        <f>IF(Transaction[[#This Row],[ContractType]]="","Missing Value",Transaction[[#This Row],[ContractType]])</f>
        <v>Annual License</v>
      </c>
      <c r="AN39" t="s">
        <v>26</v>
      </c>
    </row>
    <row r="40" spans="1:40" x14ac:dyDescent="0.25">
      <c r="A40" t="s">
        <v>2543</v>
      </c>
      <c r="B40" s="1">
        <v>45779</v>
      </c>
      <c r="C4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4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4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0" s="2">
        <f>IFERROR(DATE(Transaction[[#This Row],[TransactionDateY]],Transaction[[#This Row],[TransactionDateM]],Transaction[[#This Row],[TransactionDateD]]),"Missing Value")</f>
        <v>45779</v>
      </c>
      <c r="G40" t="s">
        <v>336</v>
      </c>
      <c r="H40" t="str">
        <f>IFERROR(VLOOKUP(Transaction[[#This Row],[CustomerID]],Custumer[],1,0),IF(LEN(Transaction[[#This Row],[CustomerID]])=7,LEFT(Transaction[[#This Row],[CustomerID]],6),"Invalid ID"))</f>
        <v>C-1109</v>
      </c>
      <c r="I40" t="s">
        <v>62</v>
      </c>
      <c r="J40" t="str">
        <f>TRIM(UPPER(Transaction[[#This Row],[ProductID]]))</f>
        <v>P-SI-004</v>
      </c>
      <c r="K40" t="str">
        <f>IFERROR(VLOOKUP(Transaction[[#This Row],[ProductID_Clean]],Product[],1,FALSE),"Invalid ID")</f>
        <v>P-SI-004</v>
      </c>
      <c r="L40" t="str">
        <f>TRIM(SUBSTITUTE(SUBSTITUTE(SUBSTITUTE(SUBSTITUTE(UPPER(Transaction[[#This Row],[Region]]),"EMEA REGION","EMEA"),"APAC REGION","APAC"),"NORTH AMERICA","N. AMERICA"),"N .AMERICA","N.AMERICA"))</f>
        <v>EMEA</v>
      </c>
      <c r="M40" t="s">
        <v>76</v>
      </c>
      <c r="N40" t="s">
        <v>53</v>
      </c>
      <c r="O4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0" t="s">
        <v>40</v>
      </c>
      <c r="Q40" t="str">
        <f>IF(TRIM(Transaction[[#This Row],[SalesChannel]])="","Missing Value",TRIM(Transaction[[#This Row],[SalesChannel]]))</f>
        <v>Distributor</v>
      </c>
      <c r="R40" s="4">
        <v>4</v>
      </c>
      <c r="S40" s="4" t="str">
        <f>IF(Transaction[[#This Row],[Quantity]]&lt;0,"Negative-review","Valid")</f>
        <v>Valid</v>
      </c>
      <c r="T40">
        <v>1985.93</v>
      </c>
      <c r="U4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1985.93</v>
      </c>
      <c r="V40">
        <v>2450</v>
      </c>
      <c r="W40">
        <v>9800</v>
      </c>
      <c r="X4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40">
        <f>IF(Transaction[[#This Row],[GrossRevenue_Check]]="Invalid",Transaction[[#This Row],[ListPrice]]*Transaction[[#This Row],[Quantity]],Transaction[[#This Row],[GrossRevenue_Clean]])</f>
        <v>9800</v>
      </c>
      <c r="Z40" t="str">
        <f>IF(Transaction[[#This Row],[GrossRevenue_Clean]]=Transaction[[#This Row],[ListPrice]]*Transaction[[#This Row],[Quantity]],"Valid","Invalid")</f>
        <v>Valid</v>
      </c>
      <c r="AA40">
        <v>1856.28</v>
      </c>
      <c r="AB4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1856.28</v>
      </c>
      <c r="AC40">
        <f>IF(Transaction[[#This Row],[DiscountAmount_Check2]]="Invalid",Transaction[[#This Row],[GrossRevenue_Analytical]]-Transaction[[#This Row],[NetRevenue_Analytical]],Transaction[[#This Row],[DiscountAmount_Clean]])</f>
        <v>1856.28</v>
      </c>
      <c r="AD40">
        <v>7943.72</v>
      </c>
      <c r="AE40" t="str">
        <f>IF(ROUND(Transaction[[#This Row],[GrossRevenue_Analytical]]-Transaction[[#This Row],[NetRevenue_Analytical]],2)=ROUND(Transaction[[#This Row],[DiscountAmount_Clean]],2),"Valid","Invalid")</f>
        <v>Valid</v>
      </c>
      <c r="AF40">
        <f>VALUE(IF(ISNUMBER(Transaction[[#This Row],[NetRevenue]]),Transaction[[#This Row],[NetRevenue]],IFERROR(IF(FIND("$",Transaction[[#This Row],[NetRevenue]])&gt;0,MID(Transaction[[#This Row],[NetRevenue]],2,10)),Transaction[[#This Row],[NetRevenue]])))</f>
        <v>7943.72</v>
      </c>
      <c r="AG40">
        <f>IF(Transaction[[#This Row],[NetRevenue_Check]]="Invalid",(Transaction[[#This Row],[Quantity]]*Transaction[[#This Row],[UnitPrice_Clean]]),Transaction[[#This Row],[NetRevenue_Clean]])</f>
        <v>7943.72</v>
      </c>
      <c r="AH40" t="str">
        <f>IF(Transaction[[#This Row],[Quantity]]*Transaction[[#This Row],[UnitPrice_Clean]]=Transaction[[#This Row],[NetRevenue_Clean]],"Valid","Invalid")</f>
        <v>Valid</v>
      </c>
      <c r="AI40" t="s">
        <v>23</v>
      </c>
      <c r="AJ40" t="s">
        <v>1549</v>
      </c>
      <c r="AK40" t="str">
        <f>IF(Transaction[[#This Row],[Salesperson]]="","Missing Value",TRIM(PROPER(Transaction[[#This Row],[Salesperson]])))</f>
        <v>Davis-Ap</v>
      </c>
      <c r="AL40" t="s">
        <v>42</v>
      </c>
      <c r="AM40" t="str">
        <f>IF(Transaction[[#This Row],[ContractType]]="","Missing Value",Transaction[[#This Row],[ContractType]])</f>
        <v>Standard PO</v>
      </c>
      <c r="AN40" t="s">
        <v>65</v>
      </c>
    </row>
    <row r="41" spans="1:40" x14ac:dyDescent="0.25">
      <c r="A41" t="s">
        <v>1221</v>
      </c>
      <c r="B41" t="s">
        <v>1222</v>
      </c>
      <c r="C4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4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4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1" s="2">
        <f>IFERROR(DATE(Transaction[[#This Row],[TransactionDateY]],Transaction[[#This Row],[TransactionDateM]],Transaction[[#This Row],[TransactionDateD]]),"Missing Value")</f>
        <v>45687</v>
      </c>
      <c r="G41" t="s">
        <v>297</v>
      </c>
      <c r="H41" t="str">
        <f>IFERROR(VLOOKUP(Transaction[[#This Row],[CustomerID]],Custumer[],1,0),IF(LEN(Transaction[[#This Row],[CustomerID]])=7,LEFT(Transaction[[#This Row],[CustomerID]],6),"Invalid ID"))</f>
        <v>C-1181</v>
      </c>
      <c r="I41" t="s">
        <v>52</v>
      </c>
      <c r="J41" t="str">
        <f>TRIM(UPPER(Transaction[[#This Row],[ProductID]]))</f>
        <v>P-SI-002</v>
      </c>
      <c r="K41" t="str">
        <f>IFERROR(VLOOKUP(Transaction[[#This Row],[ProductID_Clean]],Product[],1,FALSE),"Invalid ID")</f>
        <v>P-SI-002</v>
      </c>
      <c r="L41" t="str">
        <f>TRIM(SUBSTITUTE(SUBSTITUTE(SUBSTITUTE(SUBSTITUTE(UPPER(Transaction[[#This Row],[Region]]),"EMEA REGION","EMEA"),"APAC REGION","APAC"),"NORTH AMERICA","N. AMERICA"),"N .AMERICA","N.AMERICA"))</f>
        <v>N. AMERICA</v>
      </c>
      <c r="M41" t="s">
        <v>20</v>
      </c>
      <c r="N41" t="s">
        <v>47</v>
      </c>
      <c r="O4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1" t="s">
        <v>40</v>
      </c>
      <c r="Q41" t="str">
        <f>IF(TRIM(Transaction[[#This Row],[SalesChannel]])="","Missing Value",TRIM(Transaction[[#This Row],[SalesChannel]]))</f>
        <v>Distributor</v>
      </c>
      <c r="R41" s="4">
        <v>3</v>
      </c>
      <c r="S41" s="4" t="str">
        <f>IF(Transaction[[#This Row],[Quantity]]&lt;0,"Negative-review","Valid")</f>
        <v>Valid</v>
      </c>
      <c r="T41">
        <v>567.91999999999996</v>
      </c>
      <c r="U4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567.91999999999996</v>
      </c>
      <c r="V41">
        <v>725</v>
      </c>
      <c r="W41">
        <v>2175</v>
      </c>
      <c r="X4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2175</v>
      </c>
      <c r="Y41">
        <f>IF(Transaction[[#This Row],[GrossRevenue_Check]]="Invalid",Transaction[[#This Row],[ListPrice]]*Transaction[[#This Row],[Quantity]],Transaction[[#This Row],[GrossRevenue_Clean]])</f>
        <v>2175</v>
      </c>
      <c r="Z41" t="str">
        <f>IF(Transaction[[#This Row],[GrossRevenue_Clean]]=Transaction[[#This Row],[ListPrice]]*Transaction[[#This Row],[Quantity]],"Valid","Invalid")</f>
        <v>Valid</v>
      </c>
      <c r="AA41" t="s">
        <v>1223</v>
      </c>
      <c r="AB4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471.24</v>
      </c>
      <c r="AC41">
        <f>IF(Transaction[[#This Row],[DiscountAmount_Check2]]="Invalid",Transaction[[#This Row],[GrossRevenue_Analytical]]-Transaction[[#This Row],[NetRevenue_Analytical]],Transaction[[#This Row],[DiscountAmount_Clean]])</f>
        <v>471.24</v>
      </c>
      <c r="AD41">
        <v>1703.76</v>
      </c>
      <c r="AE41" t="str">
        <f>IF(ROUND(Transaction[[#This Row],[GrossRevenue_Analytical]]-Transaction[[#This Row],[NetRevenue_Analytical]],2)=ROUND(Transaction[[#This Row],[DiscountAmount_Clean]],2),"Valid","Invalid")</f>
        <v>Valid</v>
      </c>
      <c r="AF4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1703.76</v>
      </c>
      <c r="AG41">
        <f>IF(Transaction[[#This Row],[NetRevenue_Check]]="Invalid",(Transaction[[#This Row],[Quantity]]*Transaction[[#This Row],[UnitPrice_Clean]]),Transaction[[#This Row],[NetRevenue_Clean]])</f>
        <v>1703.76</v>
      </c>
      <c r="AH41" t="str">
        <f>IF(Transaction[[#This Row],[Quantity]]*Transaction[[#This Row],[UnitPrice_Clean]]=Transaction[[#This Row],[NetRevenue_Clean]],"Valid","Invalid")</f>
        <v>Valid</v>
      </c>
      <c r="AI41" t="s">
        <v>23</v>
      </c>
      <c r="AJ41" t="s">
        <v>1224</v>
      </c>
      <c r="AK41" t="str">
        <f>IF(Transaction[[#This Row],[Salesperson]]="","Missing Value",TRIM(PROPER(Transaction[[#This Row],[Salesperson]])))</f>
        <v>Moreno</v>
      </c>
      <c r="AL41" t="s">
        <v>42</v>
      </c>
      <c r="AM41" t="str">
        <f>IF(Transaction[[#This Row],[ContractType]]="","Missing Value",Transaction[[#This Row],[ContractType]])</f>
        <v>Standard PO</v>
      </c>
      <c r="AN41" t="s">
        <v>49</v>
      </c>
    </row>
    <row r="42" spans="1:40" x14ac:dyDescent="0.25">
      <c r="A42" t="s">
        <v>2912</v>
      </c>
      <c r="B42" s="1">
        <v>45777</v>
      </c>
      <c r="C4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4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4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2" s="2">
        <f>IFERROR(DATE(Transaction[[#This Row],[TransactionDateY]],Transaction[[#This Row],[TransactionDateM]],Transaction[[#This Row],[TransactionDateD]]),"Missing Value")</f>
        <v>45777</v>
      </c>
      <c r="G42" t="s">
        <v>2913</v>
      </c>
      <c r="H42" t="str">
        <f>IFERROR(VLOOKUP(Transaction[[#This Row],[CustomerID]],Custumer[],1,0),IF(LEN(Transaction[[#This Row],[CustomerID]])=7,LEFT(Transaction[[#This Row],[CustomerID]],6),"Invalid ID"))</f>
        <v>C-1015</v>
      </c>
      <c r="I42" t="s">
        <v>58</v>
      </c>
      <c r="J42" t="str">
        <f>TRIM(UPPER(Transaction[[#This Row],[ProductID]]))</f>
        <v>P-SI-005</v>
      </c>
      <c r="K42" t="str">
        <f>IFERROR(VLOOKUP(Transaction[[#This Row],[ProductID_Clean]],Product[],1,FALSE),"Invalid ID")</f>
        <v>P-SI-005</v>
      </c>
      <c r="L42" t="str">
        <f>TRIM(SUBSTITUTE(SUBSTITUTE(SUBSTITUTE(SUBSTITUTE(UPPER(Transaction[[#This Row],[Region]]),"EMEA REGION","EMEA"),"APAC REGION","APAC"),"NORTH AMERICA","N. AMERICA"),"N .AMERICA","N.AMERICA"))</f>
        <v>N. AMERICA</v>
      </c>
      <c r="M42" t="s">
        <v>204</v>
      </c>
      <c r="N42" t="s">
        <v>53</v>
      </c>
      <c r="O4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2" t="s">
        <v>22</v>
      </c>
      <c r="Q42" t="str">
        <f>IF(TRIM(Transaction[[#This Row],[SalesChannel]])="","Missing Value",TRIM(Transaction[[#This Row],[SalesChannel]]))</f>
        <v>Direct</v>
      </c>
      <c r="R42" s="4">
        <v>1</v>
      </c>
      <c r="S42" s="4" t="str">
        <f>IF(Transaction[[#This Row],[Quantity]]&lt;0,"Negative-review","Valid")</f>
        <v>Valid</v>
      </c>
      <c r="T42">
        <v>1003.12</v>
      </c>
      <c r="U4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1003.12</v>
      </c>
      <c r="V42">
        <v>1120</v>
      </c>
      <c r="W42">
        <v>1120</v>
      </c>
      <c r="X4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1120</v>
      </c>
      <c r="Y42">
        <f>IF(Transaction[[#This Row],[GrossRevenue_Check]]="Invalid",Transaction[[#This Row],[ListPrice]]*Transaction[[#This Row],[Quantity]],Transaction[[#This Row],[GrossRevenue_Clean]])</f>
        <v>1120</v>
      </c>
      <c r="Z42" t="str">
        <f>IF(Transaction[[#This Row],[GrossRevenue_Clean]]=Transaction[[#This Row],[ListPrice]]*Transaction[[#This Row],[Quantity]],"Valid","Invalid")</f>
        <v>Valid</v>
      </c>
      <c r="AA42">
        <v>116.88</v>
      </c>
      <c r="AB4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116.88</v>
      </c>
      <c r="AC42">
        <f>IF(Transaction[[#This Row],[DiscountAmount_Check2]]="Invalid",Transaction[[#This Row],[GrossRevenue_Analytical]]-Transaction[[#This Row],[NetRevenue_Analytical]],Transaction[[#This Row],[DiscountAmount_Clean]])</f>
        <v>116.88</v>
      </c>
      <c r="AD42">
        <v>1003.12</v>
      </c>
      <c r="AE42" t="str">
        <f>IF(ROUND(Transaction[[#This Row],[GrossRevenue_Analytical]]-Transaction[[#This Row],[NetRevenue_Analytical]],2)=ROUND(Transaction[[#This Row],[DiscountAmount_Clean]],2),"Valid","Invalid")</f>
        <v>Valid</v>
      </c>
      <c r="AF4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1003.12</v>
      </c>
      <c r="AG42">
        <f>IF(Transaction[[#This Row],[NetRevenue_Check]]="Invalid",(Transaction[[#This Row],[Quantity]]*Transaction[[#This Row],[UnitPrice_Clean]]),Transaction[[#This Row],[NetRevenue_Clean]])</f>
        <v>1003.12</v>
      </c>
      <c r="AH42" t="str">
        <f>IF(Transaction[[#This Row],[Quantity]]*Transaction[[#This Row],[UnitPrice_Clean]]=Transaction[[#This Row],[NetRevenue_Clean]],"Valid","Invalid")</f>
        <v>Valid</v>
      </c>
      <c r="AI42" t="s">
        <v>23</v>
      </c>
      <c r="AJ42" t="s">
        <v>653</v>
      </c>
      <c r="AK42" t="str">
        <f>IF(Transaction[[#This Row],[Salesperson]]="","Missing Value",TRIM(PROPER(Transaction[[#This Row],[Salesperson]])))</f>
        <v>Bennett</v>
      </c>
      <c r="AM42" t="str">
        <f>IF(Transaction[[#This Row],[ContractType]]="","Missing Value",Transaction[[#This Row],[ContractType]])</f>
        <v>Missing Value</v>
      </c>
      <c r="AN42" t="s">
        <v>26</v>
      </c>
    </row>
    <row r="43" spans="1:40" x14ac:dyDescent="0.25">
      <c r="A43" t="s">
        <v>2006</v>
      </c>
      <c r="B43" s="1">
        <v>45700</v>
      </c>
      <c r="C4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4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4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3" s="2">
        <f>IFERROR(DATE(Transaction[[#This Row],[TransactionDateY]],Transaction[[#This Row],[TransactionDateM]],Transaction[[#This Row],[TransactionDateD]]),"Missing Value")</f>
        <v>45700</v>
      </c>
      <c r="G43" t="s">
        <v>329</v>
      </c>
      <c r="H43" t="str">
        <f>IFERROR(VLOOKUP(Transaction[[#This Row],[CustomerID]],Custumer[],1,0),IF(LEN(Transaction[[#This Row],[CustomerID]])=7,LEFT(Transaction[[#This Row],[CustomerID]],6),"Invalid ID"))</f>
        <v>C-1145</v>
      </c>
      <c r="I43" t="s">
        <v>71</v>
      </c>
      <c r="J43" t="str">
        <f>TRIM(UPPER(Transaction[[#This Row],[ProductID]]))</f>
        <v>P-SI-003</v>
      </c>
      <c r="K43" t="str">
        <f>IFERROR(VLOOKUP(Transaction[[#This Row],[ProductID_Clean]],Product[],1,FALSE),"Invalid ID")</f>
        <v>P-SI-003</v>
      </c>
      <c r="L43" t="str">
        <f>TRIM(SUBSTITUTE(SUBSTITUTE(SUBSTITUTE(SUBSTITUTE(UPPER(Transaction[[#This Row],[Region]]),"EMEA REGION","EMEA"),"APAC REGION","APAC"),"NORTH AMERICA","N. AMERICA"),"N .AMERICA","N.AMERICA"))</f>
        <v>N. AMERICA</v>
      </c>
      <c r="M43" t="s">
        <v>20</v>
      </c>
      <c r="N43" t="s">
        <v>53</v>
      </c>
      <c r="O4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3" t="s">
        <v>173</v>
      </c>
      <c r="Q43" t="str">
        <f>IF(TRIM(Transaction[[#This Row],[SalesChannel]])="","Missing Value",TRIM(Transaction[[#This Row],[SalesChannel]]))</f>
        <v>Distributor</v>
      </c>
      <c r="R43" s="4">
        <v>1</v>
      </c>
      <c r="S43" s="4" t="str">
        <f>IF(Transaction[[#This Row],[Quantity]]&lt;0,"Negative-review","Valid")</f>
        <v>Valid</v>
      </c>
      <c r="T43">
        <v>1494.63</v>
      </c>
      <c r="U4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1494.63</v>
      </c>
      <c r="V43">
        <v>1890</v>
      </c>
      <c r="W43">
        <v>1890</v>
      </c>
      <c r="X4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43">
        <f>IF(Transaction[[#This Row],[GrossRevenue_Check]]="Invalid",Transaction[[#This Row],[ListPrice]]*Transaction[[#This Row],[Quantity]],Transaction[[#This Row],[GrossRevenue_Clean]])</f>
        <v>1890</v>
      </c>
      <c r="Z43" t="str">
        <f>IF(Transaction[[#This Row],[GrossRevenue_Clean]]=Transaction[[#This Row],[ListPrice]]*Transaction[[#This Row],[Quantity]],"Valid","Invalid")</f>
        <v>Valid</v>
      </c>
      <c r="AA43">
        <v>395.37</v>
      </c>
      <c r="AB4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395.37</v>
      </c>
      <c r="AC43">
        <f>IF(Transaction[[#This Row],[DiscountAmount_Check2]]="Invalid",Transaction[[#This Row],[GrossRevenue_Analytical]]-Transaction[[#This Row],[NetRevenue_Analytical]],Transaction[[#This Row],[DiscountAmount_Clean]])</f>
        <v>395.37</v>
      </c>
      <c r="AD43">
        <v>1494.63</v>
      </c>
      <c r="AE43" t="str">
        <f>IF(ROUND(Transaction[[#This Row],[GrossRevenue_Analytical]]-Transaction[[#This Row],[NetRevenue_Analytical]],2)=ROUND(Transaction[[#This Row],[DiscountAmount_Clean]],2),"Valid","Invalid")</f>
        <v>Valid</v>
      </c>
      <c r="AF4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1494.63</v>
      </c>
      <c r="AG43">
        <f>IF(Transaction[[#This Row],[NetRevenue_Check]]="Invalid",(Transaction[[#This Row],[Quantity]]*Transaction[[#This Row],[UnitPrice_Clean]]),Transaction[[#This Row],[NetRevenue_Clean]])</f>
        <v>1494.63</v>
      </c>
      <c r="AH43" t="str">
        <f>IF(Transaction[[#This Row],[Quantity]]*Transaction[[#This Row],[UnitPrice_Clean]]=Transaction[[#This Row],[NetRevenue_Clean]],"Valid","Invalid")</f>
        <v>Valid</v>
      </c>
      <c r="AI43" t="s">
        <v>23</v>
      </c>
      <c r="AJ43" t="s">
        <v>2007</v>
      </c>
      <c r="AK43" t="str">
        <f>IF(Transaction[[#This Row],[Salesperson]]="","Missing Value",TRIM(PROPER(Transaction[[#This Row],[Salesperson]])))</f>
        <v>Chavez-Em</v>
      </c>
      <c r="AL43" t="s">
        <v>55</v>
      </c>
      <c r="AM43" t="str">
        <f>IF(Transaction[[#This Row],[ContractType]]="","Missing Value",Transaction[[#This Row],[ContractType]])</f>
        <v>Spot</v>
      </c>
      <c r="AN43" t="s">
        <v>65</v>
      </c>
    </row>
    <row r="44" spans="1:40" x14ac:dyDescent="0.25">
      <c r="A44" t="s">
        <v>2187</v>
      </c>
      <c r="B44" s="1">
        <v>45813</v>
      </c>
      <c r="C4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4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4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4" s="2">
        <f>IFERROR(DATE(Transaction[[#This Row],[TransactionDateY]],Transaction[[#This Row],[TransactionDateM]],Transaction[[#This Row],[TransactionDateD]]),"Missing Value")</f>
        <v>45813</v>
      </c>
      <c r="G44" t="s">
        <v>172</v>
      </c>
      <c r="H44" t="str">
        <f>IFERROR(VLOOKUP(Transaction[[#This Row],[CustomerID]],Custumer[],1,0),IF(LEN(Transaction[[#This Row],[CustomerID]])=7,LEFT(Transaction[[#This Row],[CustomerID]],6),"Invalid ID"))</f>
        <v>C-1099</v>
      </c>
      <c r="I44" t="s">
        <v>226</v>
      </c>
      <c r="J44" t="str">
        <f>TRIM(UPPER(Transaction[[#This Row],[ProductID]]))</f>
        <v>P-SA-002</v>
      </c>
      <c r="K44" t="str">
        <f>IFERROR(VLOOKUP(Transaction[[#This Row],[ProductID_Clean]],Product[],1,FALSE),"Invalid ID")</f>
        <v>P-SA-002</v>
      </c>
      <c r="L44" t="str">
        <f>TRIM(SUBSTITUTE(SUBSTITUTE(SUBSTITUTE(SUBSTITUTE(UPPER(Transaction[[#This Row],[Region]]),"EMEA REGION","EMEA"),"APAC REGION","APAC"),"NORTH AMERICA","N. AMERICA"),"N .AMERICA","N.AMERICA"))</f>
        <v>EMEA</v>
      </c>
      <c r="M44" t="s">
        <v>76</v>
      </c>
      <c r="N44" t="s">
        <v>31</v>
      </c>
      <c r="O4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44" t="s">
        <v>40</v>
      </c>
      <c r="Q44" t="str">
        <f>IF(TRIM(Transaction[[#This Row],[SalesChannel]])="","Missing Value",TRIM(Transaction[[#This Row],[SalesChannel]]))</f>
        <v>Distributor</v>
      </c>
      <c r="R44" s="4">
        <v>2</v>
      </c>
      <c r="S44" s="4" t="str">
        <f>IF(Transaction[[#This Row],[Quantity]]&lt;0,"Negative-review","Valid")</f>
        <v>Valid</v>
      </c>
      <c r="T44">
        <v>7986.66</v>
      </c>
      <c r="U4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7986.66</v>
      </c>
      <c r="V44">
        <v>9800</v>
      </c>
      <c r="W44">
        <v>19600</v>
      </c>
      <c r="X4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19600</v>
      </c>
      <c r="Y44">
        <f>IF(Transaction[[#This Row],[GrossRevenue_Check]]="Invalid",Transaction[[#This Row],[ListPrice]]*Transaction[[#This Row],[Quantity]],Transaction[[#This Row],[GrossRevenue_Clean]])</f>
        <v>19600</v>
      </c>
      <c r="Z44" t="str">
        <f>IF(Transaction[[#This Row],[GrossRevenue_Clean]]=Transaction[[#This Row],[ListPrice]]*Transaction[[#This Row],[Quantity]],"Valid","Invalid")</f>
        <v>Valid</v>
      </c>
      <c r="AA44">
        <v>3626.68</v>
      </c>
      <c r="AB4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3626.68</v>
      </c>
      <c r="AC44">
        <f>IF(Transaction[[#This Row],[DiscountAmount_Check2]]="Invalid",Transaction[[#This Row],[GrossRevenue_Analytical]]-Transaction[[#This Row],[NetRevenue_Analytical]],Transaction[[#This Row],[DiscountAmount_Clean]])</f>
        <v>3626.68</v>
      </c>
      <c r="AD44">
        <v>15973.32</v>
      </c>
      <c r="AE44" t="str">
        <f>IF(ROUND(Transaction[[#This Row],[GrossRevenue_Analytical]]-Transaction[[#This Row],[NetRevenue_Analytical]],2)=ROUND(Transaction[[#This Row],[DiscountAmount_Clean]],2),"Valid","Invalid")</f>
        <v>Valid</v>
      </c>
      <c r="AF4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15973.32</v>
      </c>
      <c r="AG44">
        <f>IF(Transaction[[#This Row],[NetRevenue_Check]]="Invalid",(Transaction[[#This Row],[Quantity]]*Transaction[[#This Row],[UnitPrice_Clean]]),Transaction[[#This Row],[NetRevenue_Clean]])</f>
        <v>15973.32</v>
      </c>
      <c r="AH44" t="str">
        <f>IF(Transaction[[#This Row],[Quantity]]*Transaction[[#This Row],[UnitPrice_Clean]]=Transaction[[#This Row],[NetRevenue_Clean]],"Valid","Invalid")</f>
        <v>Valid</v>
      </c>
      <c r="AI44" t="s">
        <v>99</v>
      </c>
      <c r="AJ44" t="s">
        <v>342</v>
      </c>
      <c r="AK44" t="str">
        <f>IF(Transaction[[#This Row],[Salesperson]]="","Missing Value",TRIM(PROPER(Transaction[[#This Row],[Salesperson]])))</f>
        <v>Moore-Ap</v>
      </c>
      <c r="AL44" t="s">
        <v>34</v>
      </c>
      <c r="AM44" t="str">
        <f>IF(Transaction[[#This Row],[ContractType]]="","Missing Value",Transaction[[#This Row],[ContractType]])</f>
        <v>Annual License</v>
      </c>
      <c r="AN44" t="s">
        <v>43</v>
      </c>
    </row>
    <row r="45" spans="1:40" x14ac:dyDescent="0.25">
      <c r="A45" t="s">
        <v>302</v>
      </c>
      <c r="B45" t="s">
        <v>303</v>
      </c>
      <c r="C4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4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4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5" s="2">
        <f>IFERROR(DATE(Transaction[[#This Row],[TransactionDateY]],Transaction[[#This Row],[TransactionDateM]],Transaction[[#This Row],[TransactionDateD]]),"Missing Value")</f>
        <v>45687</v>
      </c>
      <c r="G45" t="s">
        <v>172</v>
      </c>
      <c r="H45" t="str">
        <f>IFERROR(VLOOKUP(Transaction[[#This Row],[CustomerID]],Custumer[],1,0),IF(LEN(Transaction[[#This Row],[CustomerID]])=7,LEFT(Transaction[[#This Row],[CustomerID]],6),"Invalid ID"))</f>
        <v>C-1099</v>
      </c>
      <c r="I45" t="s">
        <v>304</v>
      </c>
      <c r="J45" t="str">
        <f>TRIM(UPPER(Transaction[[#This Row],[ProductID]]))</f>
        <v>P-XX-999</v>
      </c>
      <c r="K45" t="str">
        <f>IFERROR(VLOOKUP(Transaction[[#This Row],[ProductID_Clean]],Product[],1,FALSE),"Invalid ID")</f>
        <v>Invalid ID</v>
      </c>
      <c r="L45" t="str">
        <f>TRIM(SUBSTITUTE(SUBSTITUTE(SUBSTITUTE(SUBSTITUTE(UPPER(Transaction[[#This Row],[Region]]),"EMEA REGION","EMEA"),"APAC REGION","APAC"),"NORTH AMERICA","N. AMERICA"),"N .AMERICA","N.AMERICA"))</f>
        <v>EMEA</v>
      </c>
      <c r="M45" t="s">
        <v>76</v>
      </c>
      <c r="N45" t="s">
        <v>31</v>
      </c>
      <c r="O4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45" t="s">
        <v>22</v>
      </c>
      <c r="Q45" t="str">
        <f>IF(TRIM(Transaction[[#This Row],[SalesChannel]])="","Missing Value",TRIM(Transaction[[#This Row],[SalesChannel]]))</f>
        <v>Direct</v>
      </c>
      <c r="R45" s="4">
        <v>1</v>
      </c>
      <c r="S45" s="4" t="str">
        <f>IF(Transaction[[#This Row],[Quantity]]&lt;0,"Negative-review","Valid")</f>
        <v>Valid</v>
      </c>
      <c r="T45">
        <v>2860.31</v>
      </c>
      <c r="U4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2860.31</v>
      </c>
      <c r="V45">
        <v>3200</v>
      </c>
      <c r="W45">
        <v>3200</v>
      </c>
      <c r="X4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45">
        <f>IF(Transaction[[#This Row],[GrossRevenue_Check]]="Invalid",Transaction[[#This Row],[ListPrice]]*Transaction[[#This Row],[Quantity]],Transaction[[#This Row],[GrossRevenue_Clean]])</f>
        <v>3200</v>
      </c>
      <c r="Z45" t="str">
        <f>IF(Transaction[[#This Row],[GrossRevenue_Clean]]=Transaction[[#This Row],[ListPrice]]*Transaction[[#This Row],[Quantity]],"Valid","Invalid")</f>
        <v>Valid</v>
      </c>
      <c r="AA45">
        <v>339.69</v>
      </c>
      <c r="AB4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339.69</v>
      </c>
      <c r="AC45">
        <f>IF(Transaction[[#This Row],[DiscountAmount_Check2]]="Invalid",Transaction[[#This Row],[GrossRevenue_Analytical]]-Transaction[[#This Row],[NetRevenue_Analytical]],Transaction[[#This Row],[DiscountAmount_Clean]])</f>
        <v>339.69</v>
      </c>
      <c r="AD45">
        <v>2860.31</v>
      </c>
      <c r="AE45" t="str">
        <f>IF(ROUND(Transaction[[#This Row],[GrossRevenue_Analytical]]-Transaction[[#This Row],[NetRevenue_Analytical]],2)=ROUND(Transaction[[#This Row],[DiscountAmount_Clean]],2),"Valid","Invalid")</f>
        <v>Valid</v>
      </c>
      <c r="AF45">
        <f>VALUE(IF(ISNUMBER(Transaction[[#This Row],[NetRevenue]]),Transaction[[#This Row],[NetRevenue]],IFERROR(IF(FIND("$",Transaction[[#This Row],[NetRevenue]])&gt;0,MID(Transaction[[#This Row],[NetRevenue]],2,10)),Transaction[[#This Row],[NetRevenue]])))</f>
        <v>2860.31</v>
      </c>
      <c r="AG45">
        <f>IF(Transaction[[#This Row],[NetRevenue_Check]]="Invalid",(Transaction[[#This Row],[Quantity]]*Transaction[[#This Row],[UnitPrice_Clean]]),Transaction[[#This Row],[NetRevenue_Clean]])</f>
        <v>2860.31</v>
      </c>
      <c r="AH45" t="str">
        <f>IF(Transaction[[#This Row],[Quantity]]*Transaction[[#This Row],[UnitPrice_Clean]]=Transaction[[#This Row],[NetRevenue_Clean]],"Valid","Invalid")</f>
        <v>Valid</v>
      </c>
      <c r="AI45" t="s">
        <v>23</v>
      </c>
      <c r="AJ45" t="s">
        <v>305</v>
      </c>
      <c r="AK45" t="str">
        <f>IF(Transaction[[#This Row],[Salesperson]]="","Missing Value",TRIM(PROPER(Transaction[[#This Row],[Salesperson]])))</f>
        <v>Collins</v>
      </c>
      <c r="AL45" t="s">
        <v>34</v>
      </c>
      <c r="AM45" t="str">
        <f>IF(Transaction[[#This Row],[ContractType]]="","Missing Value",Transaction[[#This Row],[ContractType]])</f>
        <v>Annual License</v>
      </c>
      <c r="AN45" t="s">
        <v>43</v>
      </c>
    </row>
    <row r="46" spans="1:40" x14ac:dyDescent="0.25">
      <c r="A46" t="s">
        <v>246</v>
      </c>
      <c r="B46" s="1">
        <v>45737</v>
      </c>
      <c r="C4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4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4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6" s="2">
        <f>IFERROR(DATE(Transaction[[#This Row],[TransactionDateY]],Transaction[[#This Row],[TransactionDateM]],Transaction[[#This Row],[TransactionDateD]]),"Missing Value")</f>
        <v>45737</v>
      </c>
      <c r="G46" t="s">
        <v>247</v>
      </c>
      <c r="H46" t="str">
        <f>IFERROR(VLOOKUP(Transaction[[#This Row],[CustomerID]],Custumer[],1,0),IF(LEN(Transaction[[#This Row],[CustomerID]])=7,LEFT(Transaction[[#This Row],[CustomerID]],6),"Invalid ID"))</f>
        <v>C-1045</v>
      </c>
      <c r="I46" t="s">
        <v>52</v>
      </c>
      <c r="J46" t="str">
        <f>TRIM(UPPER(Transaction[[#This Row],[ProductID]]))</f>
        <v>P-SI-002</v>
      </c>
      <c r="K46" t="str">
        <f>IFERROR(VLOOKUP(Transaction[[#This Row],[ProductID_Clean]],Product[],1,FALSE),"Invalid ID")</f>
        <v>P-SI-002</v>
      </c>
      <c r="L46" t="str">
        <f>TRIM(SUBSTITUTE(SUBSTITUTE(SUBSTITUTE(SUBSTITUTE(UPPER(Transaction[[#This Row],[Region]]),"EMEA REGION","EMEA"),"APAC REGION","APAC"),"NORTH AMERICA","N. AMERICA"),"N .AMERICA","N.AMERICA"))</f>
        <v>EMEA</v>
      </c>
      <c r="M46" t="s">
        <v>177</v>
      </c>
      <c r="N46" t="s">
        <v>53</v>
      </c>
      <c r="O4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6" t="s">
        <v>181</v>
      </c>
      <c r="Q46" t="str">
        <f>IF(TRIM(Transaction[[#This Row],[SalesChannel]])="","Missing Value",TRIM(Transaction[[#This Row],[SalesChannel]]))</f>
        <v>Partner Portal</v>
      </c>
      <c r="R46" s="4">
        <v>8</v>
      </c>
      <c r="S46" s="4" t="str">
        <f>IF(Transaction[[#This Row],[Quantity]]&lt;0,"Negative-review","Valid")</f>
        <v>Valid</v>
      </c>
      <c r="T46">
        <v>610.17999999999995</v>
      </c>
      <c r="U4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610.17999999999995</v>
      </c>
      <c r="V46">
        <v>725</v>
      </c>
      <c r="W46">
        <v>5800</v>
      </c>
      <c r="X4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5800</v>
      </c>
      <c r="Y46">
        <f>IF(Transaction[[#This Row],[GrossRevenue_Check]]="Invalid",Transaction[[#This Row],[ListPrice]]*Transaction[[#This Row],[Quantity]],Transaction[[#This Row],[GrossRevenue_Clean]])</f>
        <v>5800</v>
      </c>
      <c r="Z46" t="str">
        <f>IF(Transaction[[#This Row],[GrossRevenue_Clean]]=Transaction[[#This Row],[ListPrice]]*Transaction[[#This Row],[Quantity]],"Valid","Invalid")</f>
        <v>Valid</v>
      </c>
      <c r="AA46">
        <v>918.56</v>
      </c>
      <c r="AB4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918.56</v>
      </c>
      <c r="AC46">
        <f>IF(Transaction[[#This Row],[DiscountAmount_Check2]]="Invalid",Transaction[[#This Row],[GrossRevenue_Analytical]]-Transaction[[#This Row],[NetRevenue_Analytical]],Transaction[[#This Row],[DiscountAmount_Clean]])</f>
        <v>918.56</v>
      </c>
      <c r="AD46">
        <v>4881.4399999999996</v>
      </c>
      <c r="AE46" t="str">
        <f>IF(ROUND(Transaction[[#This Row],[GrossRevenue_Analytical]]-Transaction[[#This Row],[NetRevenue_Analytical]],2)=ROUND(Transaction[[#This Row],[DiscountAmount_Clean]],2),"Valid","Invalid")</f>
        <v>Valid</v>
      </c>
      <c r="AF46">
        <f>VALUE(IF(ISNUMBER(Transaction[[#This Row],[NetRevenue]]),Transaction[[#This Row],[NetRevenue]],IFERROR(IF(FIND("$",Transaction[[#This Row],[NetRevenue]])&gt;0,MID(Transaction[[#This Row],[NetRevenue]],2,10)),Transaction[[#This Row],[NetRevenue]])))</f>
        <v>4881.4399999999996</v>
      </c>
      <c r="AG46">
        <f>IF(Transaction[[#This Row],[NetRevenue_Check]]="Invalid",(Transaction[[#This Row],[Quantity]]*Transaction[[#This Row],[UnitPrice_Clean]]),Transaction[[#This Row],[NetRevenue_Clean]])</f>
        <v>4881.4399999999996</v>
      </c>
      <c r="AH46" t="str">
        <f>IF(Transaction[[#This Row],[Quantity]]*Transaction[[#This Row],[UnitPrice_Clean]]=Transaction[[#This Row],[NetRevenue_Clean]],"Valid","Invalid")</f>
        <v>Valid</v>
      </c>
      <c r="AI46" t="s">
        <v>23</v>
      </c>
      <c r="AJ46" t="s">
        <v>248</v>
      </c>
      <c r="AK46" t="str">
        <f>IF(Transaction[[#This Row],[Salesperson]]="","Missing Value",TRIM(PROPER(Transaction[[#This Row],[Salesperson]])))</f>
        <v>Nguyen</v>
      </c>
      <c r="AL46" t="s">
        <v>25</v>
      </c>
      <c r="AM46" t="str">
        <f>IF(Transaction[[#This Row],[ContractType]]="","Missing Value",Transaction[[#This Row],[ContractType]])</f>
        <v>Frame Agreement</v>
      </c>
      <c r="AN46" t="s">
        <v>35</v>
      </c>
    </row>
    <row r="47" spans="1:40" x14ac:dyDescent="0.25">
      <c r="A47" t="s">
        <v>1491</v>
      </c>
      <c r="B47" s="1">
        <v>45806</v>
      </c>
      <c r="C4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4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29</v>
      </c>
      <c r="E4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7" s="2">
        <f>IFERROR(DATE(Transaction[[#This Row],[TransactionDateY]],Transaction[[#This Row],[TransactionDateM]],Transaction[[#This Row],[TransactionDateD]]),"Missing Value")</f>
        <v>45806</v>
      </c>
      <c r="G47" t="s">
        <v>1492</v>
      </c>
      <c r="H47" t="str">
        <f>IFERROR(VLOOKUP(Transaction[[#This Row],[CustomerID]],Custumer[],1,0),IF(LEN(Transaction[[#This Row],[CustomerID]])=7,LEFT(Transaction[[#This Row],[CustomerID]],6),"Invalid ID"))</f>
        <v>C-1090</v>
      </c>
      <c r="I47" t="s">
        <v>92</v>
      </c>
      <c r="J47" t="str">
        <f>TRIM(UPPER(Transaction[[#This Row],[ProductID]]))</f>
        <v>P-SI-008</v>
      </c>
      <c r="K47" t="str">
        <f>IFERROR(VLOOKUP(Transaction[[#This Row],[ProductID_Clean]],Product[],1,FALSE),"Invalid ID")</f>
        <v>P-SI-008</v>
      </c>
      <c r="L47" t="str">
        <f>TRIM(SUBSTITUTE(SUBSTITUTE(SUBSTITUTE(SUBSTITUTE(UPPER(Transaction[[#This Row],[Region]]),"EMEA REGION","EMEA"),"APAC REGION","APAC"),"NORTH AMERICA","N. AMERICA"),"N .AMERICA","N.AMERICA"))</f>
        <v>LATIN AMERICA</v>
      </c>
      <c r="M47" t="s">
        <v>82</v>
      </c>
      <c r="N47" t="s">
        <v>53</v>
      </c>
      <c r="O4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7" t="s">
        <v>181</v>
      </c>
      <c r="Q47" t="str">
        <f>IF(TRIM(Transaction[[#This Row],[SalesChannel]])="","Missing Value",TRIM(Transaction[[#This Row],[SalesChannel]]))</f>
        <v>Partner Portal</v>
      </c>
      <c r="R47" s="4">
        <v>4</v>
      </c>
      <c r="S47" s="4" t="str">
        <f>IF(Transaction[[#This Row],[Quantity]]&lt;0,"Negative-review","Valid")</f>
        <v>Valid</v>
      </c>
      <c r="T47">
        <v>801.52</v>
      </c>
      <c r="U4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801.52</v>
      </c>
      <c r="V47">
        <v>950</v>
      </c>
      <c r="W47">
        <v>3800</v>
      </c>
      <c r="X4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3800</v>
      </c>
      <c r="Y47">
        <f>IF(Transaction[[#This Row],[GrossRevenue_Check]]="Invalid",Transaction[[#This Row],[ListPrice]]*Transaction[[#This Row],[Quantity]],Transaction[[#This Row],[GrossRevenue_Clean]])</f>
        <v>3800</v>
      </c>
      <c r="Z47" t="str">
        <f>IF(Transaction[[#This Row],[GrossRevenue_Clean]]=Transaction[[#This Row],[ListPrice]]*Transaction[[#This Row],[Quantity]],"Valid","Invalid")</f>
        <v>Valid</v>
      </c>
      <c r="AA47">
        <v>593.91999999999996</v>
      </c>
      <c r="AB4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593.91999999999996</v>
      </c>
      <c r="AC47">
        <f>IF(Transaction[[#This Row],[DiscountAmount_Check2]]="Invalid",Transaction[[#This Row],[GrossRevenue_Analytical]]-Transaction[[#This Row],[NetRevenue_Analytical]],Transaction[[#This Row],[DiscountAmount_Clean]])</f>
        <v>593.91999999999996</v>
      </c>
      <c r="AD47">
        <v>3206.08</v>
      </c>
      <c r="AE47" t="str">
        <f>IF(ROUND(Transaction[[#This Row],[GrossRevenue_Analytical]]-Transaction[[#This Row],[NetRevenue_Analytical]],2)=ROUND(Transaction[[#This Row],[DiscountAmount_Clean]],2),"Valid","Invalid")</f>
        <v>Valid</v>
      </c>
      <c r="AF4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3206.08</v>
      </c>
      <c r="AG47">
        <f>IF(Transaction[[#This Row],[NetRevenue_Check]]="Invalid",(Transaction[[#This Row],[Quantity]]*Transaction[[#This Row],[UnitPrice_Clean]]),Transaction[[#This Row],[NetRevenue_Clean]])</f>
        <v>3206.08</v>
      </c>
      <c r="AH47" t="str">
        <f>IF(Transaction[[#This Row],[Quantity]]*Transaction[[#This Row],[UnitPrice_Clean]]=Transaction[[#This Row],[NetRevenue_Clean]],"Valid","Invalid")</f>
        <v>Valid</v>
      </c>
      <c r="AI47" t="s">
        <v>23</v>
      </c>
      <c r="AJ47" t="s">
        <v>1493</v>
      </c>
      <c r="AK47" t="str">
        <f>IF(Transaction[[#This Row],[Salesperson]]="","Missing Value",TRIM(PROPER(Transaction[[#This Row],[Salesperson]])))</f>
        <v>Pugh</v>
      </c>
      <c r="AL47" t="s">
        <v>25</v>
      </c>
      <c r="AM47" t="str">
        <f>IF(Transaction[[#This Row],[ContractType]]="","Missing Value",Transaction[[#This Row],[ContractType]])</f>
        <v>Frame Agreement</v>
      </c>
      <c r="AN47" t="s">
        <v>65</v>
      </c>
    </row>
    <row r="48" spans="1:40" x14ac:dyDescent="0.25">
      <c r="A48" t="s">
        <v>2424</v>
      </c>
      <c r="C4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4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4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48" s="2" t="str">
        <f>IFERROR(DATE(Transaction[[#This Row],[TransactionDateY]],Transaction[[#This Row],[TransactionDateM]],Transaction[[#This Row],[TransactionDateD]]),"Missing Value")</f>
        <v>Missing Value</v>
      </c>
      <c r="G48" t="s">
        <v>565</v>
      </c>
      <c r="H48" t="str">
        <f>IFERROR(VLOOKUP(Transaction[[#This Row],[CustomerID]],Custumer[],1,0),IF(LEN(Transaction[[#This Row],[CustomerID]])=7,LEFT(Transaction[[#This Row],[CustomerID]],6),"Invalid ID"))</f>
        <v>C-1007</v>
      </c>
      <c r="I48" t="s">
        <v>62</v>
      </c>
      <c r="J48" t="str">
        <f>TRIM(UPPER(Transaction[[#This Row],[ProductID]]))</f>
        <v>P-SI-004</v>
      </c>
      <c r="K48" t="str">
        <f>IFERROR(VLOOKUP(Transaction[[#This Row],[ProductID_Clean]],Product[],1,FALSE),"Invalid ID")</f>
        <v>P-SI-004</v>
      </c>
      <c r="L48" t="str">
        <f>TRIM(SUBSTITUTE(SUBSTITUTE(SUBSTITUTE(SUBSTITUTE(UPPER(Transaction[[#This Row],[Region]]),"EMEA REGION","EMEA"),"APAC REGION","APAC"),"NORTH AMERICA","N. AMERICA"),"N .AMERICA","N.AMERICA"))</f>
        <v>N. AMERICA</v>
      </c>
      <c r="M48" t="s">
        <v>20</v>
      </c>
      <c r="N48" t="s">
        <v>47</v>
      </c>
      <c r="O4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8" t="s">
        <v>40</v>
      </c>
      <c r="Q48" t="str">
        <f>IF(TRIM(Transaction[[#This Row],[SalesChannel]])="","Missing Value",TRIM(Transaction[[#This Row],[SalesChannel]]))</f>
        <v>Distributor</v>
      </c>
      <c r="R48" s="4">
        <v>3</v>
      </c>
      <c r="S48" s="4" t="str">
        <f>IF(Transaction[[#This Row],[Quantity]]&lt;0,"Negative-review","Valid")</f>
        <v>Valid</v>
      </c>
      <c r="T48">
        <v>1701.22</v>
      </c>
      <c r="U4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1701.22</v>
      </c>
      <c r="V48">
        <v>2450</v>
      </c>
      <c r="W48">
        <v>7350</v>
      </c>
      <c r="X4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7350</v>
      </c>
      <c r="Y48">
        <f>IF(Transaction[[#This Row],[GrossRevenue_Check]]="Invalid",Transaction[[#This Row],[ListPrice]]*Transaction[[#This Row],[Quantity]],Transaction[[#This Row],[GrossRevenue_Clean]])</f>
        <v>7350</v>
      </c>
      <c r="Z48" t="str">
        <f>IF(Transaction[[#This Row],[GrossRevenue_Clean]]=Transaction[[#This Row],[ListPrice]]*Transaction[[#This Row],[Quantity]],"Valid","Invalid")</f>
        <v>Valid</v>
      </c>
      <c r="AA48">
        <v>2246.34</v>
      </c>
      <c r="AB4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2246.34</v>
      </c>
      <c r="AC48">
        <f>IF(Transaction[[#This Row],[DiscountAmount_Check2]]="Invalid",Transaction[[#This Row],[GrossRevenue_Analytical]]-Transaction[[#This Row],[NetRevenue_Analytical]],Transaction[[#This Row],[DiscountAmount_Clean]])</f>
        <v>2246.34</v>
      </c>
      <c r="AD48">
        <v>5103.66</v>
      </c>
      <c r="AE48" t="str">
        <f>IF(ROUND(Transaction[[#This Row],[GrossRevenue_Analytical]]-Transaction[[#This Row],[NetRevenue_Analytical]],2)=ROUND(Transaction[[#This Row],[DiscountAmount_Clean]],2),"Valid","Invalid")</f>
        <v>Valid</v>
      </c>
      <c r="AF48">
        <f>VALUE(IF(ISNUMBER(Transaction[[#This Row],[NetRevenue]]),Transaction[[#This Row],[NetRevenue]],IFERROR(IF(FIND("$",Transaction[[#This Row],[NetRevenue]])&gt;0,MID(Transaction[[#This Row],[NetRevenue]],2,10)),Transaction[[#This Row],[NetRevenue]])))</f>
        <v>5103.66</v>
      </c>
      <c r="AG48">
        <f>IF(Transaction[[#This Row],[NetRevenue_Check]]="Invalid",(Transaction[[#This Row],[Quantity]]*Transaction[[#This Row],[UnitPrice_Clean]]),Transaction[[#This Row],[NetRevenue_Clean]])</f>
        <v>5103.66</v>
      </c>
      <c r="AH48" t="str">
        <f>IF(Transaction[[#This Row],[Quantity]]*Transaction[[#This Row],[UnitPrice_Clean]]=Transaction[[#This Row],[NetRevenue_Clean]],"Valid","Invalid")</f>
        <v>Valid</v>
      </c>
      <c r="AI48" t="s">
        <v>23</v>
      </c>
      <c r="AJ48" t="s">
        <v>2329</v>
      </c>
      <c r="AK48" t="str">
        <f>IF(Transaction[[#This Row],[Salesperson]]="","Missing Value",TRIM(PROPER(Transaction[[#This Row],[Salesperson]])))</f>
        <v>Carlson-Na</v>
      </c>
      <c r="AL48" t="s">
        <v>42</v>
      </c>
      <c r="AM48" t="str">
        <f>IF(Transaction[[#This Row],[ContractType]]="","Missing Value",Transaction[[#This Row],[ContractType]])</f>
        <v>Standard PO</v>
      </c>
      <c r="AN48" t="s">
        <v>35</v>
      </c>
    </row>
    <row r="49" spans="1:40" x14ac:dyDescent="0.25">
      <c r="A49" t="s">
        <v>1465</v>
      </c>
      <c r="B49" s="1">
        <v>45759</v>
      </c>
      <c r="C4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4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4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9" s="2">
        <f>IFERROR(DATE(Transaction[[#This Row],[TransactionDateY]],Transaction[[#This Row],[TransactionDateM]],Transaction[[#This Row],[TransactionDateD]]),"Missing Value")</f>
        <v>45759</v>
      </c>
      <c r="G49" t="s">
        <v>297</v>
      </c>
      <c r="H49" t="str">
        <f>IFERROR(VLOOKUP(Transaction[[#This Row],[CustomerID]],Custumer[],1,0),IF(LEN(Transaction[[#This Row],[CustomerID]])=7,LEFT(Transaction[[#This Row],[CustomerID]],6),"Invalid ID"))</f>
        <v>C-1181</v>
      </c>
      <c r="I49" t="s">
        <v>97</v>
      </c>
      <c r="J49" t="str">
        <f>TRIM(UPPER(Transaction[[#This Row],[ProductID]]))</f>
        <v>P-SI-001</v>
      </c>
      <c r="K49" t="str">
        <f>IFERROR(VLOOKUP(Transaction[[#This Row],[ProductID_Clean]],Product[],1,FALSE),"Invalid ID")</f>
        <v>P-SI-001</v>
      </c>
      <c r="L49" t="str">
        <f>TRIM(SUBSTITUTE(SUBSTITUTE(SUBSTITUTE(SUBSTITUTE(UPPER(Transaction[[#This Row],[Region]]),"EMEA REGION","EMEA"),"APAC REGION","APAC"),"NORTH AMERICA","N. AMERICA"),"N .AMERICA","N.AMERICA"))</f>
        <v>N. AMERICA</v>
      </c>
      <c r="M49" t="s">
        <v>20</v>
      </c>
      <c r="N49" t="s">
        <v>53</v>
      </c>
      <c r="O4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9" t="s">
        <v>22</v>
      </c>
      <c r="Q49" t="str">
        <f>IF(TRIM(Transaction[[#This Row],[SalesChannel]])="","Missing Value",TRIM(Transaction[[#This Row],[SalesChannel]]))</f>
        <v>Direct</v>
      </c>
      <c r="R49" s="4">
        <v>8</v>
      </c>
      <c r="S49" s="4" t="str">
        <f>IF(Transaction[[#This Row],[Quantity]]&lt;0,"Negative-review","Valid")</f>
        <v>Valid</v>
      </c>
      <c r="T49">
        <v>436.58</v>
      </c>
      <c r="U4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436.58</v>
      </c>
      <c r="V49">
        <v>485</v>
      </c>
      <c r="W49">
        <v>3880</v>
      </c>
      <c r="X4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3880</v>
      </c>
      <c r="Y49">
        <f>IF(Transaction[[#This Row],[GrossRevenue_Check]]="Invalid",Transaction[[#This Row],[ListPrice]]*Transaction[[#This Row],[Quantity]],Transaction[[#This Row],[GrossRevenue_Clean]])</f>
        <v>3880</v>
      </c>
      <c r="Z49" t="str">
        <f>IF(Transaction[[#This Row],[GrossRevenue_Clean]]=Transaction[[#This Row],[ListPrice]]*Transaction[[#This Row],[Quantity]],"Valid","Invalid")</f>
        <v>Valid</v>
      </c>
      <c r="AA49">
        <v>387.36</v>
      </c>
      <c r="AB4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387.36</v>
      </c>
      <c r="AC49">
        <f>IF(Transaction[[#This Row],[DiscountAmount_Check2]]="Invalid",Transaction[[#This Row],[GrossRevenue_Analytical]]-Transaction[[#This Row],[NetRevenue_Analytical]],Transaction[[#This Row],[DiscountAmount_Clean]])</f>
        <v>387.36</v>
      </c>
      <c r="AD49">
        <v>3492.64</v>
      </c>
      <c r="AE49" t="str">
        <f>IF(ROUND(Transaction[[#This Row],[GrossRevenue_Analytical]]-Transaction[[#This Row],[NetRevenue_Analytical]],2)=ROUND(Transaction[[#This Row],[DiscountAmount_Clean]],2),"Valid","Invalid")</f>
        <v>Valid</v>
      </c>
      <c r="AF49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3492.64</v>
      </c>
      <c r="AG49">
        <f>IF(Transaction[[#This Row],[NetRevenue_Check]]="Invalid",(Transaction[[#This Row],[Quantity]]*Transaction[[#This Row],[UnitPrice_Clean]]),Transaction[[#This Row],[NetRevenue_Clean]])</f>
        <v>3492.64</v>
      </c>
      <c r="AH49" t="str">
        <f>IF(Transaction[[#This Row],[Quantity]]*Transaction[[#This Row],[UnitPrice_Clean]]=Transaction[[#This Row],[NetRevenue_Clean]],"Valid","Invalid")</f>
        <v>Valid</v>
      </c>
      <c r="AI49" t="s">
        <v>99</v>
      </c>
      <c r="AJ49" t="s">
        <v>1466</v>
      </c>
      <c r="AK49" t="str">
        <f>IF(Transaction[[#This Row],[Salesperson]]="","Missing Value",TRIM(PROPER(Transaction[[#This Row],[Salesperson]])))</f>
        <v>Ware-Ap</v>
      </c>
      <c r="AL49" t="s">
        <v>42</v>
      </c>
      <c r="AM49" t="str">
        <f>IF(Transaction[[#This Row],[ContractType]]="","Missing Value",Transaction[[#This Row],[ContractType]])</f>
        <v>Standard PO</v>
      </c>
      <c r="AN49" t="s">
        <v>49</v>
      </c>
    </row>
    <row r="50" spans="1:40" x14ac:dyDescent="0.25">
      <c r="A50" t="s">
        <v>612</v>
      </c>
      <c r="B50" s="1">
        <v>45708</v>
      </c>
      <c r="C5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5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5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0" s="2">
        <f>IFERROR(DATE(Transaction[[#This Row],[TransactionDateY]],Transaction[[#This Row],[TransactionDateM]],Transaction[[#This Row],[TransactionDateD]]),"Missing Value")</f>
        <v>45708</v>
      </c>
      <c r="G50" t="s">
        <v>613</v>
      </c>
      <c r="H50" t="str">
        <f>IFERROR(VLOOKUP(Transaction[[#This Row],[CustomerID]],Custumer[],1,0),IF(LEN(Transaction[[#This Row],[CustomerID]])=7,LEFT(Transaction[[#This Row],[CustomerID]],6),"Invalid ID"))</f>
        <v>C-1166</v>
      </c>
      <c r="I50" t="s">
        <v>46</v>
      </c>
      <c r="J50" t="str">
        <f>TRIM(UPPER(Transaction[[#This Row],[ProductID]]))</f>
        <v>P-SI-006</v>
      </c>
      <c r="K50" t="str">
        <f>IFERROR(VLOOKUP(Transaction[[#This Row],[ProductID_Clean]],Product[],1,FALSE),"Invalid ID")</f>
        <v>P-SI-006</v>
      </c>
      <c r="L50" t="str">
        <f>TRIM(SUBSTITUTE(SUBSTITUTE(SUBSTITUTE(SUBSTITUTE(UPPER(Transaction[[#This Row],[Region]]),"EMEA REGION","EMEA"),"APAC REGION","APAC"),"NORTH AMERICA","N. AMERICA"),"N .AMERICA","N.AMERICA"))</f>
        <v>N. AMERICA</v>
      </c>
      <c r="M50" t="s">
        <v>20</v>
      </c>
      <c r="N50" t="s">
        <v>53</v>
      </c>
      <c r="O5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0" t="s">
        <v>181</v>
      </c>
      <c r="Q50" t="str">
        <f>IF(TRIM(Transaction[[#This Row],[SalesChannel]])="","Missing Value",TRIM(Transaction[[#This Row],[SalesChannel]]))</f>
        <v>Partner Portal</v>
      </c>
      <c r="R50" s="4">
        <v>2</v>
      </c>
      <c r="S50" s="4" t="str">
        <f>IF(Transaction[[#This Row],[Quantity]]&lt;0,"Negative-review","Valid")</f>
        <v>Valid</v>
      </c>
      <c r="T50">
        <v>183.38</v>
      </c>
      <c r="U5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183.38</v>
      </c>
      <c r="V50">
        <v>215</v>
      </c>
      <c r="W50">
        <v>430</v>
      </c>
      <c r="X5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50">
        <f>IF(Transaction[[#This Row],[GrossRevenue_Check]]="Invalid",Transaction[[#This Row],[ListPrice]]*Transaction[[#This Row],[Quantity]],Transaction[[#This Row],[GrossRevenue_Clean]])</f>
        <v>430</v>
      </c>
      <c r="Z50" t="str">
        <f>IF(Transaction[[#This Row],[GrossRevenue_Clean]]=Transaction[[#This Row],[ListPrice]]*Transaction[[#This Row],[Quantity]],"Valid","Invalid")</f>
        <v>Valid</v>
      </c>
      <c r="AA50">
        <v>63.24</v>
      </c>
      <c r="AB5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63.24</v>
      </c>
      <c r="AC50">
        <f>IF(Transaction[[#This Row],[DiscountAmount_Check2]]="Invalid",Transaction[[#This Row],[GrossRevenue_Analytical]]-Transaction[[#This Row],[NetRevenue_Analytical]],Transaction[[#This Row],[DiscountAmount_Clean]])</f>
        <v>63.24</v>
      </c>
      <c r="AD50">
        <v>366.76</v>
      </c>
      <c r="AE50" t="str">
        <f>IF(ROUND(Transaction[[#This Row],[GrossRevenue_Analytical]]-Transaction[[#This Row],[NetRevenue_Analytical]],2)=ROUND(Transaction[[#This Row],[DiscountAmount_Clean]],2),"Valid","Invalid")</f>
        <v>Valid</v>
      </c>
      <c r="AF50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366.76</v>
      </c>
      <c r="AG50">
        <f>IF(Transaction[[#This Row],[NetRevenue_Check]]="Invalid",(Transaction[[#This Row],[Quantity]]*Transaction[[#This Row],[UnitPrice_Clean]]),Transaction[[#This Row],[NetRevenue_Clean]])</f>
        <v>366.76</v>
      </c>
      <c r="AH50" t="str">
        <f>IF(Transaction[[#This Row],[Quantity]]*Transaction[[#This Row],[UnitPrice_Clean]]=Transaction[[#This Row],[NetRevenue_Clean]],"Valid","Invalid")</f>
        <v>Valid</v>
      </c>
      <c r="AI50" t="s">
        <v>23</v>
      </c>
      <c r="AJ50" t="s">
        <v>614</v>
      </c>
      <c r="AK50" t="str">
        <f>IF(Transaction[[#This Row],[Salesperson]]="","Missing Value",TRIM(PROPER(Transaction[[#This Row],[Salesperson]])))</f>
        <v>Moore</v>
      </c>
      <c r="AM50" t="str">
        <f>IF(Transaction[[#This Row],[ContractType]]="","Missing Value",Transaction[[#This Row],[ContractType]])</f>
        <v>Missing Value</v>
      </c>
      <c r="AN50" t="s">
        <v>65</v>
      </c>
    </row>
    <row r="51" spans="1:40" x14ac:dyDescent="0.25">
      <c r="A51" t="s">
        <v>274</v>
      </c>
      <c r="B51" t="s">
        <v>275</v>
      </c>
      <c r="C5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5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5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1" s="2">
        <f>IFERROR(DATE(Transaction[[#This Row],[TransactionDateY]],Transaction[[#This Row],[TransactionDateM]],Transaction[[#This Row],[TransactionDateD]]),"Missing Value")</f>
        <v>45809</v>
      </c>
      <c r="G51" t="s">
        <v>276</v>
      </c>
      <c r="H51" t="str">
        <f>IFERROR(VLOOKUP(Transaction[[#This Row],[CustomerID]],Custumer[],1,0),IF(LEN(Transaction[[#This Row],[CustomerID]])=7,LEFT(Transaction[[#This Row],[CustomerID]],6),"Invalid ID"))</f>
        <v>C-1129</v>
      </c>
      <c r="I51" t="s">
        <v>268</v>
      </c>
      <c r="J51" t="str">
        <f>TRIM(UPPER(Transaction[[#This Row],[ProductID]]))</f>
        <v>P-FS-002</v>
      </c>
      <c r="K51" t="str">
        <f>IFERROR(VLOOKUP(Transaction[[#This Row],[ProductID_Clean]],Product[],1,FALSE),"Invalid ID")</f>
        <v>P-FS-002</v>
      </c>
      <c r="L51" t="str">
        <f>TRIM(SUBSTITUTE(SUBSTITUTE(SUBSTITUTE(SUBSTITUTE(UPPER(Transaction[[#This Row],[Region]]),"EMEA REGION","EMEA"),"APAC REGION","APAC"),"NORTH AMERICA","N. AMERICA"),"N .AMERICA","N.AMERICA"))</f>
        <v>N. AMERICA</v>
      </c>
      <c r="M51" t="s">
        <v>20</v>
      </c>
      <c r="N51" t="s">
        <v>21</v>
      </c>
      <c r="O51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51" t="s">
        <v>181</v>
      </c>
      <c r="Q51" t="str">
        <f>IF(TRIM(Transaction[[#This Row],[SalesChannel]])="","Missing Value",TRIM(Transaction[[#This Row],[SalesChannel]]))</f>
        <v>Partner Portal</v>
      </c>
      <c r="R51" s="4">
        <v>1</v>
      </c>
      <c r="S51" s="4" t="str">
        <f>IF(Transaction[[#This Row],[Quantity]]&lt;0,"Negative-review","Valid")</f>
        <v>Valid</v>
      </c>
      <c r="T51">
        <v>2183.8000000000002</v>
      </c>
      <c r="U5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2183.8000000000002</v>
      </c>
      <c r="V51">
        <v>2400</v>
      </c>
      <c r="W51">
        <v>2400</v>
      </c>
      <c r="X5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51">
        <f>IF(Transaction[[#This Row],[GrossRevenue_Check]]="Invalid",Transaction[[#This Row],[ListPrice]]*Transaction[[#This Row],[Quantity]],Transaction[[#This Row],[GrossRevenue_Clean]])</f>
        <v>2400</v>
      </c>
      <c r="Z51" t="str">
        <f>IF(Transaction[[#This Row],[GrossRevenue_Clean]]=Transaction[[#This Row],[ListPrice]]*Transaction[[#This Row],[Quantity]],"Valid","Invalid")</f>
        <v>Valid</v>
      </c>
      <c r="AA51">
        <v>216.2</v>
      </c>
      <c r="AB5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216.2</v>
      </c>
      <c r="AC51">
        <f>IF(Transaction[[#This Row],[DiscountAmount_Check2]]="Invalid",Transaction[[#This Row],[GrossRevenue_Analytical]]-Transaction[[#This Row],[NetRevenue_Analytical]],Transaction[[#This Row],[DiscountAmount_Clean]])</f>
        <v>216.2</v>
      </c>
      <c r="AD51">
        <v>2183.8000000000002</v>
      </c>
      <c r="AE51" t="str">
        <f>IF(ROUND(Transaction[[#This Row],[GrossRevenue_Analytical]]-Transaction[[#This Row],[NetRevenue_Analytical]],2)=ROUND(Transaction[[#This Row],[DiscountAmount_Clean]],2),"Valid","Invalid")</f>
        <v>Valid</v>
      </c>
      <c r="AF5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2183.8000000000002</v>
      </c>
      <c r="AG51">
        <f>IF(Transaction[[#This Row],[NetRevenue_Check]]="Invalid",(Transaction[[#This Row],[Quantity]]*Transaction[[#This Row],[UnitPrice_Clean]]),Transaction[[#This Row],[NetRevenue_Clean]])</f>
        <v>2183.8000000000002</v>
      </c>
      <c r="AH51" t="str">
        <f>IF(Transaction[[#This Row],[Quantity]]*Transaction[[#This Row],[UnitPrice_Clean]]=Transaction[[#This Row],[NetRevenue_Clean]],"Valid","Invalid")</f>
        <v>Valid</v>
      </c>
      <c r="AI51" t="s">
        <v>23</v>
      </c>
      <c r="AJ51" t="s">
        <v>277</v>
      </c>
      <c r="AK51" t="str">
        <f>IF(Transaction[[#This Row],[Salesperson]]="","Missing Value",TRIM(PROPER(Transaction[[#This Row],[Salesperson]])))</f>
        <v>Webster-Ap</v>
      </c>
      <c r="AL51" t="s">
        <v>224</v>
      </c>
      <c r="AM51" t="str">
        <f>IF(Transaction[[#This Row],[ContractType]]="","Missing Value",Transaction[[#This Row],[ContractType]])</f>
        <v>Annual</v>
      </c>
      <c r="AN51" t="s">
        <v>49</v>
      </c>
    </row>
    <row r="52" spans="1:40" x14ac:dyDescent="0.25">
      <c r="A52" t="s">
        <v>2482</v>
      </c>
      <c r="B52" t="s">
        <v>2483</v>
      </c>
      <c r="C5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5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5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2" s="2">
        <f>IFERROR(DATE(Transaction[[#This Row],[TransactionDateY]],Transaction[[#This Row],[TransactionDateM]],Transaction[[#This Row],[TransactionDateD]]),"Missing Value")</f>
        <v>45818</v>
      </c>
      <c r="G52" t="s">
        <v>784</v>
      </c>
      <c r="H52" t="str">
        <f>IFERROR(VLOOKUP(Transaction[[#This Row],[CustomerID]],Custumer[],1,0),IF(LEN(Transaction[[#This Row],[CustomerID]])=7,LEFT(Transaction[[#This Row],[CustomerID]],6),"Invalid ID"))</f>
        <v>C-1159</v>
      </c>
      <c r="I52" t="s">
        <v>46</v>
      </c>
      <c r="J52" t="str">
        <f>TRIM(UPPER(Transaction[[#This Row],[ProductID]]))</f>
        <v>P-SI-006</v>
      </c>
      <c r="K52" t="str">
        <f>IFERROR(VLOOKUP(Transaction[[#This Row],[ProductID_Clean]],Product[],1,FALSE),"Invalid ID")</f>
        <v>P-SI-006</v>
      </c>
      <c r="L52" t="str">
        <f>TRIM(SUBSTITUTE(SUBSTITUTE(SUBSTITUTE(SUBSTITUTE(UPPER(Transaction[[#This Row],[Region]]),"EMEA REGION","EMEA"),"APAC REGION","APAC"),"NORTH AMERICA","N. AMERICA"),"N .AMERICA","N.AMERICA"))</f>
        <v>EMEA</v>
      </c>
      <c r="M52" t="s">
        <v>76</v>
      </c>
      <c r="N52" t="s">
        <v>53</v>
      </c>
      <c r="O5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2" t="s">
        <v>40</v>
      </c>
      <c r="Q52" t="str">
        <f>IF(TRIM(Transaction[[#This Row],[SalesChannel]])="","Missing Value",TRIM(Transaction[[#This Row],[SalesChannel]]))</f>
        <v>Distributor</v>
      </c>
      <c r="R52" s="4">
        <v>3</v>
      </c>
      <c r="S52" s="4" t="str">
        <f>IF(Transaction[[#This Row],[Quantity]]&lt;0,"Negative-review","Valid")</f>
        <v>Valid</v>
      </c>
      <c r="T52">
        <v>186.72</v>
      </c>
      <c r="U5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186.72</v>
      </c>
      <c r="V52">
        <v>215</v>
      </c>
      <c r="W52">
        <v>645</v>
      </c>
      <c r="X5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52">
        <f>IF(Transaction[[#This Row],[GrossRevenue_Check]]="Invalid",Transaction[[#This Row],[ListPrice]]*Transaction[[#This Row],[Quantity]],Transaction[[#This Row],[GrossRevenue_Clean]])</f>
        <v>645</v>
      </c>
      <c r="Z52" t="str">
        <f>IF(Transaction[[#This Row],[GrossRevenue_Clean]]=Transaction[[#This Row],[ListPrice]]*Transaction[[#This Row],[Quantity]],"Valid","Invalid")</f>
        <v>Valid</v>
      </c>
      <c r="AA52">
        <v>84.84</v>
      </c>
      <c r="AB5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84.84</v>
      </c>
      <c r="AC52">
        <f>IF(Transaction[[#This Row],[DiscountAmount_Check2]]="Invalid",Transaction[[#This Row],[GrossRevenue_Analytical]]-Transaction[[#This Row],[NetRevenue_Analytical]],Transaction[[#This Row],[DiscountAmount_Clean]])</f>
        <v>84.84</v>
      </c>
      <c r="AD52">
        <v>560.16</v>
      </c>
      <c r="AE52" t="str">
        <f>IF(ROUND(Transaction[[#This Row],[GrossRevenue_Analytical]]-Transaction[[#This Row],[NetRevenue_Analytical]],2)=ROUND(Transaction[[#This Row],[DiscountAmount_Clean]],2),"Valid","Invalid")</f>
        <v>Valid</v>
      </c>
      <c r="AF52">
        <f>VALUE(IF(ISNUMBER(Transaction[[#This Row],[NetRevenue]]),Transaction[[#This Row],[NetRevenue]],IFERROR(IF(FIND("$",Transaction[[#This Row],[NetRevenue]])&gt;0,MID(Transaction[[#This Row],[NetRevenue]],2,10)),Transaction[[#This Row],[NetRevenue]])))</f>
        <v>560.16</v>
      </c>
      <c r="AG52">
        <f>IF(Transaction[[#This Row],[NetRevenue_Check]]="Invalid",(Transaction[[#This Row],[Quantity]]*Transaction[[#This Row],[UnitPrice_Clean]]),Transaction[[#This Row],[NetRevenue_Clean]])</f>
        <v>560.16</v>
      </c>
      <c r="AH52" t="str">
        <f>IF(Transaction[[#This Row],[Quantity]]*Transaction[[#This Row],[UnitPrice_Clean]]=Transaction[[#This Row],[NetRevenue_Clean]],"Valid","Invalid")</f>
        <v>Valid</v>
      </c>
      <c r="AI52" t="s">
        <v>23</v>
      </c>
      <c r="AJ52" t="s">
        <v>1165</v>
      </c>
      <c r="AK52" t="str">
        <f>IF(Transaction[[#This Row],[Salesperson]]="","Missing Value",TRIM(PROPER(Transaction[[#This Row],[Salesperson]])))</f>
        <v>Williams</v>
      </c>
      <c r="AL52" t="s">
        <v>42</v>
      </c>
      <c r="AM52" t="str">
        <f>IF(Transaction[[#This Row],[ContractType]]="","Missing Value",Transaction[[#This Row],[ContractType]])</f>
        <v>Standard PO</v>
      </c>
      <c r="AN52" t="s">
        <v>49</v>
      </c>
    </row>
    <row r="53" spans="1:40" x14ac:dyDescent="0.25">
      <c r="A53" t="s">
        <v>175</v>
      </c>
      <c r="B53" s="1">
        <v>45684</v>
      </c>
      <c r="C5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5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5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3" s="2">
        <f>IFERROR(DATE(Transaction[[#This Row],[TransactionDateY]],Transaction[[#This Row],[TransactionDateM]],Transaction[[#This Row],[TransactionDateD]]),"Missing Value")</f>
        <v>45684</v>
      </c>
      <c r="G53" t="s">
        <v>176</v>
      </c>
      <c r="H53" t="str">
        <f>IFERROR(VLOOKUP(Transaction[[#This Row],[CustomerID]],Custumer[],1,0),IF(LEN(Transaction[[#This Row],[CustomerID]])=7,LEFT(Transaction[[#This Row],[CustomerID]],6),"Invalid ID"))</f>
        <v>C-1062</v>
      </c>
      <c r="I53" t="s">
        <v>111</v>
      </c>
      <c r="J53" t="str">
        <f>TRIM(UPPER(Transaction[[#This Row],[ProductID]]))</f>
        <v>P-SA-004</v>
      </c>
      <c r="K53" t="str">
        <f>IFERROR(VLOOKUP(Transaction[[#This Row],[ProductID_Clean]],Product[],1,FALSE),"Invalid ID")</f>
        <v>P-SA-004</v>
      </c>
      <c r="L53" t="str">
        <f>TRIM(SUBSTITUTE(SUBSTITUTE(SUBSTITUTE(SUBSTITUTE(UPPER(Transaction[[#This Row],[Region]]),"EMEA REGION","EMEA"),"APAC REGION","APAC"),"NORTH AMERICA","N. AMERICA"),"N .AMERICA","N.AMERICA"))</f>
        <v>EMEA</v>
      </c>
      <c r="M53" t="s">
        <v>177</v>
      </c>
      <c r="N53" t="s">
        <v>31</v>
      </c>
      <c r="O5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3" t="s">
        <v>22</v>
      </c>
      <c r="Q53" t="str">
        <f>IF(TRIM(Transaction[[#This Row],[SalesChannel]])="","Missing Value",TRIM(Transaction[[#This Row],[SalesChannel]]))</f>
        <v>Direct</v>
      </c>
      <c r="R53" s="4">
        <v>1</v>
      </c>
      <c r="S53" s="4" t="str">
        <f>IF(Transaction[[#This Row],[Quantity]]&lt;0,"Negative-review","Valid")</f>
        <v>Valid</v>
      </c>
      <c r="T53">
        <v>1392.62</v>
      </c>
      <c r="U5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1392.62</v>
      </c>
      <c r="V53">
        <v>1650</v>
      </c>
      <c r="W53">
        <v>1650</v>
      </c>
      <c r="X5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53">
        <f>IF(Transaction[[#This Row],[GrossRevenue_Check]]="Invalid",Transaction[[#This Row],[ListPrice]]*Transaction[[#This Row],[Quantity]],Transaction[[#This Row],[GrossRevenue_Clean]])</f>
        <v>1650</v>
      </c>
      <c r="Z53" t="str">
        <f>IF(Transaction[[#This Row],[GrossRevenue_Clean]]=Transaction[[#This Row],[ListPrice]]*Transaction[[#This Row],[Quantity]],"Valid","Invalid")</f>
        <v>Valid</v>
      </c>
      <c r="AA53">
        <v>257.38</v>
      </c>
      <c r="AB5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257.38</v>
      </c>
      <c r="AC53">
        <f>IF(Transaction[[#This Row],[DiscountAmount_Check2]]="Invalid",Transaction[[#This Row],[GrossRevenue_Analytical]]-Transaction[[#This Row],[NetRevenue_Analytical]],Transaction[[#This Row],[DiscountAmount_Clean]])</f>
        <v>257.38</v>
      </c>
      <c r="AD53">
        <v>1392.62</v>
      </c>
      <c r="AE53" t="str">
        <f>IF(ROUND(Transaction[[#This Row],[GrossRevenue_Analytical]]-Transaction[[#This Row],[NetRevenue_Analytical]],2)=ROUND(Transaction[[#This Row],[DiscountAmount_Clean]],2),"Valid","Invalid")</f>
        <v>Valid</v>
      </c>
      <c r="AF5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1392.62</v>
      </c>
      <c r="AG53">
        <f>IF(Transaction[[#This Row],[NetRevenue_Check]]="Invalid",(Transaction[[#This Row],[Quantity]]*Transaction[[#This Row],[UnitPrice_Clean]]),Transaction[[#This Row],[NetRevenue_Clean]])</f>
        <v>1392.62</v>
      </c>
      <c r="AH53" t="str">
        <f>IF(Transaction[[#This Row],[Quantity]]*Transaction[[#This Row],[UnitPrice_Clean]]=Transaction[[#This Row],[NetRevenue_Clean]],"Valid","Invalid")</f>
        <v>Valid</v>
      </c>
      <c r="AI53" t="s">
        <v>23</v>
      </c>
      <c r="AJ53" t="s">
        <v>178</v>
      </c>
      <c r="AK53" t="str">
        <f>IF(Transaction[[#This Row],[Salesperson]]="","Missing Value",TRIM(PROPER(Transaction[[#This Row],[Salesperson]])))</f>
        <v>Miller</v>
      </c>
      <c r="AL53" t="s">
        <v>34</v>
      </c>
      <c r="AM53" t="str">
        <f>IF(Transaction[[#This Row],[ContractType]]="","Missing Value",Transaction[[#This Row],[ContractType]])</f>
        <v>Annual License</v>
      </c>
      <c r="AN53" t="s">
        <v>65</v>
      </c>
    </row>
    <row r="54" spans="1:40" x14ac:dyDescent="0.25">
      <c r="A54" t="s">
        <v>2443</v>
      </c>
      <c r="B54" s="1">
        <v>45833</v>
      </c>
      <c r="C5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5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5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4" s="2">
        <f>IFERROR(DATE(Transaction[[#This Row],[TransactionDateY]],Transaction[[#This Row],[TransactionDateM]],Transaction[[#This Row],[TransactionDateD]]),"Missing Value")</f>
        <v>45833</v>
      </c>
      <c r="G54" t="s">
        <v>146</v>
      </c>
      <c r="H54" t="str">
        <f>IFERROR(VLOOKUP(Transaction[[#This Row],[CustomerID]],Custumer[],1,0),IF(LEN(Transaction[[#This Row],[CustomerID]])=7,LEFT(Transaction[[#This Row],[CustomerID]],6),"Invalid ID"))</f>
        <v>C-1095</v>
      </c>
      <c r="I54" t="s">
        <v>58</v>
      </c>
      <c r="J54" t="str">
        <f>TRIM(UPPER(Transaction[[#This Row],[ProductID]]))</f>
        <v>P-SI-005</v>
      </c>
      <c r="K54" t="str">
        <f>IFERROR(VLOOKUP(Transaction[[#This Row],[ProductID_Clean]],Product[],1,FALSE),"Invalid ID")</f>
        <v>P-SI-005</v>
      </c>
      <c r="L54" t="str">
        <f>TRIM(SUBSTITUTE(SUBSTITUTE(SUBSTITUTE(SUBSTITUTE(UPPER(Transaction[[#This Row],[Region]]),"EMEA REGION","EMEA"),"APAC REGION","APAC"),"NORTH AMERICA","N. AMERICA"),"N .AMERICA","N.AMERICA"))</f>
        <v>LATIN AMERICA</v>
      </c>
      <c r="M54" t="s">
        <v>82</v>
      </c>
      <c r="N54" t="s">
        <v>47</v>
      </c>
      <c r="O5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4" t="s">
        <v>93</v>
      </c>
      <c r="Q54" t="str">
        <f>IF(TRIM(Transaction[[#This Row],[SalesChannel]])="","Missing Value",TRIM(Transaction[[#This Row],[SalesChannel]]))</f>
        <v>direct</v>
      </c>
      <c r="R54" s="4">
        <v>8</v>
      </c>
      <c r="S54" s="4" t="str">
        <f>IF(Transaction[[#This Row],[Quantity]]&lt;0,"Negative-review","Valid")</f>
        <v>Valid</v>
      </c>
      <c r="T54">
        <v>906.4</v>
      </c>
      <c r="U5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906.4</v>
      </c>
      <c r="V54">
        <v>1120</v>
      </c>
      <c r="W54">
        <v>8960</v>
      </c>
      <c r="X5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8960</v>
      </c>
      <c r="Y54">
        <f>IF(Transaction[[#This Row],[GrossRevenue_Check]]="Invalid",Transaction[[#This Row],[ListPrice]]*Transaction[[#This Row],[Quantity]],Transaction[[#This Row],[GrossRevenue_Clean]])</f>
        <v>8960</v>
      </c>
      <c r="Z54" t="str">
        <f>IF(Transaction[[#This Row],[GrossRevenue_Clean]]=Transaction[[#This Row],[ListPrice]]*Transaction[[#This Row],[Quantity]],"Valid","Invalid")</f>
        <v>Valid</v>
      </c>
      <c r="AA54">
        <v>1708.8</v>
      </c>
      <c r="AB5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1708.8</v>
      </c>
      <c r="AC54">
        <f>IF(Transaction[[#This Row],[DiscountAmount_Check2]]="Invalid",Transaction[[#This Row],[GrossRevenue_Analytical]]-Transaction[[#This Row],[NetRevenue_Analytical]],Transaction[[#This Row],[DiscountAmount_Clean]])</f>
        <v>1708.8</v>
      </c>
      <c r="AD54">
        <v>7251.2</v>
      </c>
      <c r="AE54" t="str">
        <f>IF(ROUND(Transaction[[#This Row],[GrossRevenue_Analytical]]-Transaction[[#This Row],[NetRevenue_Analytical]],2)=ROUND(Transaction[[#This Row],[DiscountAmount_Clean]],2),"Valid","Invalid")</f>
        <v>Valid</v>
      </c>
      <c r="AF54">
        <f>VALUE(IF(ISNUMBER(Transaction[[#This Row],[NetRevenue]]),Transaction[[#This Row],[NetRevenue]],IFERROR(IF(FIND("$",Transaction[[#This Row],[NetRevenue]])&gt;0,MID(Transaction[[#This Row],[NetRevenue]],2,10)),Transaction[[#This Row],[NetRevenue]])))</f>
        <v>7251.2</v>
      </c>
      <c r="AG54">
        <f>IF(Transaction[[#This Row],[NetRevenue_Check]]="Invalid",(Transaction[[#This Row],[Quantity]]*Transaction[[#This Row],[UnitPrice_Clean]]),Transaction[[#This Row],[NetRevenue_Clean]])</f>
        <v>7251.2</v>
      </c>
      <c r="AH54" t="str">
        <f>IF(Transaction[[#This Row],[Quantity]]*Transaction[[#This Row],[UnitPrice_Clean]]=Transaction[[#This Row],[NetRevenue_Clean]],"Valid","Invalid")</f>
        <v>Valid</v>
      </c>
      <c r="AI54" t="s">
        <v>23</v>
      </c>
      <c r="AJ54" t="s">
        <v>2444</v>
      </c>
      <c r="AK54" t="str">
        <f>IF(Transaction[[#This Row],[Salesperson]]="","Missing Value",TRIM(PROPER(Transaction[[#This Row],[Salesperson]])))</f>
        <v>Ramos-Em</v>
      </c>
      <c r="AL54" t="s">
        <v>42</v>
      </c>
      <c r="AM54" t="str">
        <f>IF(Transaction[[#This Row],[ContractType]]="","Missing Value",Transaction[[#This Row],[ContractType]])</f>
        <v>Standard PO</v>
      </c>
      <c r="AN54" t="s">
        <v>49</v>
      </c>
    </row>
    <row r="55" spans="1:40" x14ac:dyDescent="0.25">
      <c r="A55" t="s">
        <v>2680</v>
      </c>
      <c r="B55" s="1">
        <v>45688</v>
      </c>
      <c r="C5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5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31</v>
      </c>
      <c r="E5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5" s="2">
        <f>IFERROR(DATE(Transaction[[#This Row],[TransactionDateY]],Transaction[[#This Row],[TransactionDateM]],Transaction[[#This Row],[TransactionDateD]]),"Missing Value")</f>
        <v>45688</v>
      </c>
      <c r="G55" t="s">
        <v>167</v>
      </c>
      <c r="H55" t="str">
        <f>IFERROR(VLOOKUP(Transaction[[#This Row],[CustomerID]],Custumer[],1,0),IF(LEN(Transaction[[#This Row],[CustomerID]])=7,LEFT(Transaction[[#This Row],[CustomerID]],6),"Invalid ID"))</f>
        <v>C-1008</v>
      </c>
      <c r="I55" t="s">
        <v>258</v>
      </c>
      <c r="J55" t="str">
        <f>TRIM(UPPER(Transaction[[#This Row],[ProductID]]))</f>
        <v>P-SA-003</v>
      </c>
      <c r="K55" t="str">
        <f>IFERROR(VLOOKUP(Transaction[[#This Row],[ProductID_Clean]],Product[],1,FALSE),"Invalid ID")</f>
        <v>P-SA-003</v>
      </c>
      <c r="L55" t="str">
        <f>TRIM(SUBSTITUTE(SUBSTITUTE(SUBSTITUTE(SUBSTITUTE(UPPER(Transaction[[#This Row],[Region]]),"EMEA REGION","EMEA"),"APAC REGION","APAC"),"NORTH AMERICA","N. AMERICA"),"N .AMERICA","N.AMERICA"))</f>
        <v>N. AMERICA</v>
      </c>
      <c r="M55" t="s">
        <v>495</v>
      </c>
      <c r="N55" t="s">
        <v>205</v>
      </c>
      <c r="O5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5" t="s">
        <v>40</v>
      </c>
      <c r="Q55" t="str">
        <f>IF(TRIM(Transaction[[#This Row],[SalesChannel]])="","Missing Value",TRIM(Transaction[[#This Row],[SalesChannel]]))</f>
        <v>Distributor</v>
      </c>
      <c r="R55" s="4">
        <v>1</v>
      </c>
      <c r="S55" s="4" t="str">
        <f>IF(Transaction[[#This Row],[Quantity]]&lt;0,"Negative-review","Valid")</f>
        <v>Valid</v>
      </c>
      <c r="T55">
        <v>2061.69</v>
      </c>
      <c r="U5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2061.69</v>
      </c>
      <c r="V55">
        <v>2750</v>
      </c>
      <c r="W55">
        <v>2750</v>
      </c>
      <c r="X5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55">
        <f>IF(Transaction[[#This Row],[GrossRevenue_Check]]="Invalid",Transaction[[#This Row],[ListPrice]]*Transaction[[#This Row],[Quantity]],Transaction[[#This Row],[GrossRevenue_Clean]])</f>
        <v>2750</v>
      </c>
      <c r="Z55" t="str">
        <f>IF(Transaction[[#This Row],[GrossRevenue_Clean]]=Transaction[[#This Row],[ListPrice]]*Transaction[[#This Row],[Quantity]],"Valid","Invalid")</f>
        <v>Valid</v>
      </c>
      <c r="AA55">
        <v>688.31</v>
      </c>
      <c r="AB5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688.31</v>
      </c>
      <c r="AC55">
        <f>IF(Transaction[[#This Row],[DiscountAmount_Check2]]="Invalid",Transaction[[#This Row],[GrossRevenue_Analytical]]-Transaction[[#This Row],[NetRevenue_Analytical]],Transaction[[#This Row],[DiscountAmount_Clean]])</f>
        <v>688.31</v>
      </c>
      <c r="AD55">
        <v>2061.69</v>
      </c>
      <c r="AE55" t="str">
        <f>IF(ROUND(Transaction[[#This Row],[GrossRevenue_Analytical]]-Transaction[[#This Row],[NetRevenue_Analytical]],2)=ROUND(Transaction[[#This Row],[DiscountAmount_Clean]],2),"Valid","Invalid")</f>
        <v>Valid</v>
      </c>
      <c r="AF55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2061.69</v>
      </c>
      <c r="AG55">
        <f>IF(Transaction[[#This Row],[NetRevenue_Check]]="Invalid",(Transaction[[#This Row],[Quantity]]*Transaction[[#This Row],[UnitPrice_Clean]]),Transaction[[#This Row],[NetRevenue_Clean]])</f>
        <v>2061.69</v>
      </c>
      <c r="AH55" t="str">
        <f>IF(Transaction[[#This Row],[Quantity]]*Transaction[[#This Row],[UnitPrice_Clean]]=Transaction[[#This Row],[NetRevenue_Clean]],"Valid","Invalid")</f>
        <v>Valid</v>
      </c>
      <c r="AI55" t="s">
        <v>23</v>
      </c>
      <c r="AJ55" t="s">
        <v>2681</v>
      </c>
      <c r="AK55" t="str">
        <f>IF(Transaction[[#This Row],[Salesperson]]="","Missing Value",TRIM(PROPER(Transaction[[#This Row],[Salesperson]])))</f>
        <v>Coleman-Em</v>
      </c>
      <c r="AL55" t="s">
        <v>113</v>
      </c>
      <c r="AM55" t="str">
        <f>IF(Transaction[[#This Row],[ContractType]]="","Missing Value",Transaction[[#This Row],[ContractType]])</f>
        <v>Subscription</v>
      </c>
      <c r="AN55" t="s">
        <v>26</v>
      </c>
    </row>
    <row r="56" spans="1:40" x14ac:dyDescent="0.25">
      <c r="A56" t="s">
        <v>731</v>
      </c>
      <c r="B56" t="s">
        <v>732</v>
      </c>
      <c r="C5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5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5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6" s="2">
        <f>IFERROR(DATE(Transaction[[#This Row],[TransactionDateY]],Transaction[[#This Row],[TransactionDateM]],Transaction[[#This Row],[TransactionDateD]]),"Missing Value")</f>
        <v>45668</v>
      </c>
      <c r="G56" t="s">
        <v>733</v>
      </c>
      <c r="H56" t="str">
        <f>IFERROR(VLOOKUP(Transaction[[#This Row],[CustomerID]],Custumer[],1,0),IF(LEN(Transaction[[#This Row],[CustomerID]])=7,LEFT(Transaction[[#This Row],[CustomerID]],6),"Invalid ID"))</f>
        <v>C-1017</v>
      </c>
      <c r="I56" t="s">
        <v>62</v>
      </c>
      <c r="J56" t="str">
        <f>TRIM(UPPER(Transaction[[#This Row],[ProductID]]))</f>
        <v>P-SI-004</v>
      </c>
      <c r="K56" t="str">
        <f>IFERROR(VLOOKUP(Transaction[[#This Row],[ProductID_Clean]],Product[],1,FALSE),"Invalid ID")</f>
        <v>P-SI-004</v>
      </c>
      <c r="L56" t="str">
        <f>TRIM(SUBSTITUTE(SUBSTITUTE(SUBSTITUTE(SUBSTITUTE(UPPER(Transaction[[#This Row],[Region]]),"EMEA REGION","EMEA"),"APAC REGION","APAC"),"NORTH AMERICA","N. AMERICA"),"N .AMERICA","N.AMERICA"))</f>
        <v>EMEA</v>
      </c>
      <c r="M56" t="s">
        <v>76</v>
      </c>
      <c r="N56" t="s">
        <v>47</v>
      </c>
      <c r="O5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6" t="s">
        <v>420</v>
      </c>
      <c r="Q56" t="str">
        <f>IF(TRIM(Transaction[[#This Row],[SalesChannel]])="","Missing Value",TRIM(Transaction[[#This Row],[SalesChannel]]))</f>
        <v>partner portal</v>
      </c>
      <c r="R56" s="4">
        <v>1</v>
      </c>
      <c r="S56" s="4" t="str">
        <f>IF(Transaction[[#This Row],[Quantity]]&lt;0,"Negative-review","Valid")</f>
        <v>Valid</v>
      </c>
      <c r="T56">
        <v>2111.14</v>
      </c>
      <c r="U5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2111.14</v>
      </c>
      <c r="V56">
        <v>2450</v>
      </c>
      <c r="W56">
        <v>2450</v>
      </c>
      <c r="X5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56">
        <f>IF(Transaction[[#This Row],[GrossRevenue_Check]]="Invalid",Transaction[[#This Row],[ListPrice]]*Transaction[[#This Row],[Quantity]],Transaction[[#This Row],[GrossRevenue_Clean]])</f>
        <v>2450</v>
      </c>
      <c r="Z56" t="str">
        <f>IF(Transaction[[#This Row],[GrossRevenue_Clean]]=Transaction[[#This Row],[ListPrice]]*Transaction[[#This Row],[Quantity]],"Valid","Invalid")</f>
        <v>Valid</v>
      </c>
      <c r="AA56">
        <v>338.86</v>
      </c>
      <c r="AB5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338.86</v>
      </c>
      <c r="AC56">
        <f>IF(Transaction[[#This Row],[DiscountAmount_Check2]]="Invalid",Transaction[[#This Row],[GrossRevenue_Analytical]]-Transaction[[#This Row],[NetRevenue_Analytical]],Transaction[[#This Row],[DiscountAmount_Clean]])</f>
        <v>338.86</v>
      </c>
      <c r="AD56" t="s">
        <v>734</v>
      </c>
      <c r="AE56" t="str">
        <f>IF(ROUND(Transaction[[#This Row],[GrossRevenue_Analytical]]-Transaction[[#This Row],[NetRevenue_Analytical]],2)=ROUND(Transaction[[#This Row],[DiscountAmount_Clean]],2),"Valid","Invalid")</f>
        <v>Valid</v>
      </c>
      <c r="AF56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2111.14</v>
      </c>
      <c r="AG56">
        <f>IF(Transaction[[#This Row],[NetRevenue_Check]]="Invalid",(Transaction[[#This Row],[Quantity]]*Transaction[[#This Row],[UnitPrice_Clean]]),Transaction[[#This Row],[NetRevenue_Clean]])</f>
        <v>2111.14</v>
      </c>
      <c r="AH56" t="str">
        <f>IF(Transaction[[#This Row],[Quantity]]*Transaction[[#This Row],[UnitPrice_Clean]]=Transaction[[#This Row],[NetRevenue_Clean]],"Valid","Invalid")</f>
        <v>Valid</v>
      </c>
      <c r="AI56" t="s">
        <v>128</v>
      </c>
      <c r="AJ56" t="s">
        <v>735</v>
      </c>
      <c r="AK56" t="str">
        <f>IF(Transaction[[#This Row],[Salesperson]]="","Missing Value",TRIM(PROPER(Transaction[[#This Row],[Salesperson]])))</f>
        <v>Lawson</v>
      </c>
      <c r="AL56" t="s">
        <v>42</v>
      </c>
      <c r="AM56" t="str">
        <f>IF(Transaction[[#This Row],[ContractType]]="","Missing Value",Transaction[[#This Row],[ContractType]])</f>
        <v>Standard PO</v>
      </c>
      <c r="AN56" t="s">
        <v>26</v>
      </c>
    </row>
    <row r="57" spans="1:40" x14ac:dyDescent="0.25">
      <c r="A57" t="s">
        <v>1473</v>
      </c>
      <c r="B57" t="s">
        <v>751</v>
      </c>
      <c r="C5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5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5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7" s="2">
        <f>IFERROR(DATE(Transaction[[#This Row],[TransactionDateY]],Transaction[[#This Row],[TransactionDateM]],Transaction[[#This Row],[TransactionDateD]]),"Missing Value")</f>
        <v>45794</v>
      </c>
      <c r="G57" t="s">
        <v>150</v>
      </c>
      <c r="H57" t="str">
        <f>IFERROR(VLOOKUP(Transaction[[#This Row],[CustomerID]],Custumer[],1,0),IF(LEN(Transaction[[#This Row],[CustomerID]])=7,LEFT(Transaction[[#This Row],[CustomerID]],6),"Invalid ID"))</f>
        <v>C-1061</v>
      </c>
      <c r="I57" t="s">
        <v>117</v>
      </c>
      <c r="J57" t="str">
        <f>TRIM(UPPER(Transaction[[#This Row],[ProductID]]))</f>
        <v>P-SI-007</v>
      </c>
      <c r="K57" t="str">
        <f>IFERROR(VLOOKUP(Transaction[[#This Row],[ProductID_Clean]],Product[],1,FALSE),"Invalid ID")</f>
        <v>P-SI-007</v>
      </c>
      <c r="L57" t="str">
        <f>TRIM(SUBSTITUTE(SUBSTITUTE(SUBSTITUTE(SUBSTITUTE(UPPER(Transaction[[#This Row],[Region]]),"EMEA REGION","EMEA"),"APAC REGION","APAC"),"NORTH AMERICA","N. AMERICA"),"N .AMERICA","N.AMERICA"))</f>
        <v>EMEA</v>
      </c>
      <c r="M57" t="s">
        <v>87</v>
      </c>
      <c r="N57" t="s">
        <v>98</v>
      </c>
      <c r="O5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7" t="s">
        <v>181</v>
      </c>
      <c r="Q57" t="str">
        <f>IF(TRIM(Transaction[[#This Row],[SalesChannel]])="","Missing Value",TRIM(Transaction[[#This Row],[SalesChannel]]))</f>
        <v>Partner Portal</v>
      </c>
      <c r="R57" s="4">
        <v>1</v>
      </c>
      <c r="S57" s="4" t="str">
        <f>IF(Transaction[[#This Row],[Quantity]]&lt;0,"Negative-review","Valid")</f>
        <v>Valid</v>
      </c>
      <c r="T57">
        <v>883.63</v>
      </c>
      <c r="U5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883.63</v>
      </c>
      <c r="V57">
        <v>980</v>
      </c>
      <c r="W57">
        <v>980</v>
      </c>
      <c r="X5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57">
        <f>IF(Transaction[[#This Row],[GrossRevenue_Check]]="Invalid",Transaction[[#This Row],[ListPrice]]*Transaction[[#This Row],[Quantity]],Transaction[[#This Row],[GrossRevenue_Clean]])</f>
        <v>980</v>
      </c>
      <c r="Z57" t="str">
        <f>IF(Transaction[[#This Row],[GrossRevenue_Clean]]=Transaction[[#This Row],[ListPrice]]*Transaction[[#This Row],[Quantity]],"Valid","Invalid")</f>
        <v>Valid</v>
      </c>
      <c r="AA57">
        <v>96.37</v>
      </c>
      <c r="AB5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96.37</v>
      </c>
      <c r="AC57">
        <f>IF(Transaction[[#This Row],[DiscountAmount_Check2]]="Invalid",Transaction[[#This Row],[GrossRevenue_Analytical]]-Transaction[[#This Row],[NetRevenue_Analytical]],Transaction[[#This Row],[DiscountAmount_Clean]])</f>
        <v>96.37</v>
      </c>
      <c r="AD57">
        <v>883.63</v>
      </c>
      <c r="AE57" t="str">
        <f>IF(ROUND(Transaction[[#This Row],[GrossRevenue_Analytical]]-Transaction[[#This Row],[NetRevenue_Analytical]],2)=ROUND(Transaction[[#This Row],[DiscountAmount_Clean]],2),"Valid","Invalid")</f>
        <v>Valid</v>
      </c>
      <c r="AF57">
        <f>VALUE(IF(ISNUMBER(Transaction[[#This Row],[NetRevenue]]),Transaction[[#This Row],[NetRevenue]],IFERROR(IF(FIND("$",Transaction[[#This Row],[NetRevenue]])&gt;0,MID(Transaction[[#This Row],[NetRevenue]],2,10)),Transaction[[#This Row],[NetRevenue]])))</f>
        <v>883.63</v>
      </c>
      <c r="AG57">
        <f>IF(Transaction[[#This Row],[NetRevenue_Check]]="Invalid",(Transaction[[#This Row],[Quantity]]*Transaction[[#This Row],[UnitPrice_Clean]]),Transaction[[#This Row],[NetRevenue_Clean]])</f>
        <v>883.63</v>
      </c>
      <c r="AH57" t="str">
        <f>IF(Transaction[[#This Row],[Quantity]]*Transaction[[#This Row],[UnitPrice_Clean]]=Transaction[[#This Row],[NetRevenue_Clean]],"Valid","Invalid")</f>
        <v>Valid</v>
      </c>
      <c r="AI57" t="s">
        <v>23</v>
      </c>
      <c r="AJ57" t="s">
        <v>1474</v>
      </c>
      <c r="AK57" t="str">
        <f>IF(Transaction[[#This Row],[Salesperson]]="","Missing Value",TRIM(PROPER(Transaction[[#This Row],[Salesperson]])))</f>
        <v>Perry-Na</v>
      </c>
      <c r="AL57" t="s">
        <v>55</v>
      </c>
      <c r="AM57" t="str">
        <f>IF(Transaction[[#This Row],[ContractType]]="","Missing Value",Transaction[[#This Row],[ContractType]])</f>
        <v>Spot</v>
      </c>
      <c r="AN57" t="s">
        <v>49</v>
      </c>
    </row>
    <row r="58" spans="1:40" x14ac:dyDescent="0.25">
      <c r="A58" t="s">
        <v>743</v>
      </c>
      <c r="B58" s="1">
        <v>45827</v>
      </c>
      <c r="C5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5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5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8" s="2">
        <f>IFERROR(DATE(Transaction[[#This Row],[TransactionDateY]],Transaction[[#This Row],[TransactionDateM]],Transaction[[#This Row],[TransactionDateD]]),"Missing Value")</f>
        <v>45827</v>
      </c>
      <c r="G58" t="s">
        <v>180</v>
      </c>
      <c r="H58" t="str">
        <f>IFERROR(VLOOKUP(Transaction[[#This Row],[CustomerID]],Custumer[],1,0),IF(LEN(Transaction[[#This Row],[CustomerID]])=7,LEFT(Transaction[[#This Row],[CustomerID]],6),"Invalid ID"))</f>
        <v>C-1158</v>
      </c>
      <c r="I58" t="s">
        <v>46</v>
      </c>
      <c r="J58" t="str">
        <f>TRIM(UPPER(Transaction[[#This Row],[ProductID]]))</f>
        <v>P-SI-006</v>
      </c>
      <c r="K58" t="str">
        <f>IFERROR(VLOOKUP(Transaction[[#This Row],[ProductID_Clean]],Product[],1,FALSE),"Invalid ID")</f>
        <v>P-SI-006</v>
      </c>
      <c r="L58" t="str">
        <f>TRIM(SUBSTITUTE(SUBSTITUTE(SUBSTITUTE(SUBSTITUTE(UPPER(Transaction[[#This Row],[Region]]),"EMEA REGION","EMEA"),"APAC REGION","APAC"),"NORTH AMERICA","N. AMERICA"),"N .AMERICA","N.AMERICA"))</f>
        <v>EMEA</v>
      </c>
      <c r="M58" t="s">
        <v>76</v>
      </c>
      <c r="N58" t="s">
        <v>53</v>
      </c>
      <c r="O5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8" t="s">
        <v>40</v>
      </c>
      <c r="Q58" t="str">
        <f>IF(TRIM(Transaction[[#This Row],[SalesChannel]])="","Missing Value",TRIM(Transaction[[#This Row],[SalesChannel]]))</f>
        <v>Distributor</v>
      </c>
      <c r="R58" s="4">
        <v>3</v>
      </c>
      <c r="S58" s="4" t="str">
        <f>IF(Transaction[[#This Row],[Quantity]]&lt;0,"Negative-review","Valid")</f>
        <v>Valid</v>
      </c>
      <c r="T58">
        <v>185.4</v>
      </c>
      <c r="U5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185.4</v>
      </c>
      <c r="V58">
        <v>215</v>
      </c>
      <c r="W58">
        <v>645</v>
      </c>
      <c r="X5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58">
        <f>IF(Transaction[[#This Row],[GrossRevenue_Check]]="Invalid",Transaction[[#This Row],[ListPrice]]*Transaction[[#This Row],[Quantity]],Transaction[[#This Row],[GrossRevenue_Clean]])</f>
        <v>645</v>
      </c>
      <c r="Z58" t="str">
        <f>IF(Transaction[[#This Row],[GrossRevenue_Clean]]=Transaction[[#This Row],[ListPrice]]*Transaction[[#This Row],[Quantity]],"Valid","Invalid")</f>
        <v>Valid</v>
      </c>
      <c r="AA58">
        <v>88.8</v>
      </c>
      <c r="AB5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88.8</v>
      </c>
      <c r="AC58">
        <f>IF(Transaction[[#This Row],[DiscountAmount_Check2]]="Invalid",Transaction[[#This Row],[GrossRevenue_Analytical]]-Transaction[[#This Row],[NetRevenue_Analytical]],Transaction[[#This Row],[DiscountAmount_Clean]])</f>
        <v>88.8</v>
      </c>
      <c r="AD58">
        <v>556.20000000000005</v>
      </c>
      <c r="AE58" t="str">
        <f>IF(ROUND(Transaction[[#This Row],[GrossRevenue_Analytical]]-Transaction[[#This Row],[NetRevenue_Analytical]],2)=ROUND(Transaction[[#This Row],[DiscountAmount_Clean]],2),"Valid","Invalid")</f>
        <v>Valid</v>
      </c>
      <c r="AF58">
        <f>VALUE(IF(ISNUMBER(Transaction[[#This Row],[NetRevenue]]),Transaction[[#This Row],[NetRevenue]],IFERROR(IF(FIND("$",Transaction[[#This Row],[NetRevenue]])&gt;0,MID(Transaction[[#This Row],[NetRevenue]],2,10)),Transaction[[#This Row],[NetRevenue]])))</f>
        <v>556.20000000000005</v>
      </c>
      <c r="AG58">
        <f>IF(Transaction[[#This Row],[NetRevenue_Check]]="Invalid",(Transaction[[#This Row],[Quantity]]*Transaction[[#This Row],[UnitPrice_Clean]]),Transaction[[#This Row],[NetRevenue_Clean]])</f>
        <v>556.20000000000005</v>
      </c>
      <c r="AH58" t="str">
        <f>IF(Transaction[[#This Row],[Quantity]]*Transaction[[#This Row],[UnitPrice_Clean]]=Transaction[[#This Row],[NetRevenue_Clean]],"Valid","Invalid")</f>
        <v>Valid</v>
      </c>
      <c r="AI58" t="s">
        <v>23</v>
      </c>
      <c r="AJ58" t="s">
        <v>744</v>
      </c>
      <c r="AK58" t="str">
        <f>IF(Transaction[[#This Row],[Salesperson]]="","Missing Value",TRIM(PROPER(Transaction[[#This Row],[Salesperson]])))</f>
        <v>Lewis</v>
      </c>
      <c r="AL58" t="s">
        <v>25</v>
      </c>
      <c r="AM58" t="str">
        <f>IF(Transaction[[#This Row],[ContractType]]="","Missing Value",Transaction[[#This Row],[ContractType]])</f>
        <v>Frame Agreement</v>
      </c>
      <c r="AN58" t="s">
        <v>65</v>
      </c>
    </row>
    <row r="59" spans="1:40" x14ac:dyDescent="0.25">
      <c r="A59" t="s">
        <v>2393</v>
      </c>
      <c r="B59" s="1">
        <v>45675</v>
      </c>
      <c r="C5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5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5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9" s="2">
        <f>IFERROR(DATE(Transaction[[#This Row],[TransactionDateY]],Transaction[[#This Row],[TransactionDateM]],Transaction[[#This Row],[TransactionDateD]]),"Missing Value")</f>
        <v>45675</v>
      </c>
      <c r="G59" t="s">
        <v>423</v>
      </c>
      <c r="H59" t="str">
        <f>IFERROR(VLOOKUP(Transaction[[#This Row],[CustomerID]],Custumer[],1,0),IF(LEN(Transaction[[#This Row],[CustomerID]])=7,LEFT(Transaction[[#This Row],[CustomerID]],6),"Invalid ID"))</f>
        <v>C-1121</v>
      </c>
      <c r="I59" t="s">
        <v>534</v>
      </c>
      <c r="J59" t="str">
        <f>TRIM(UPPER(Transaction[[#This Row],[ProductID]]))</f>
        <v>P-FS-005</v>
      </c>
      <c r="K59" t="str">
        <f>IFERROR(VLOOKUP(Transaction[[#This Row],[ProductID_Clean]],Product[],1,FALSE),"Invalid ID")</f>
        <v>P-FS-005</v>
      </c>
      <c r="L59" t="str">
        <f>TRIM(SUBSTITUTE(SUBSTITUTE(SUBSTITUTE(SUBSTITUTE(UPPER(Transaction[[#This Row],[Region]]),"EMEA REGION","EMEA"),"APAC REGION","APAC"),"NORTH AMERICA","N. AMERICA"),"N .AMERICA","N.AMERICA"))</f>
        <v>N. AMERICA</v>
      </c>
      <c r="M59" t="s">
        <v>168</v>
      </c>
      <c r="N59" t="s">
        <v>21</v>
      </c>
      <c r="O59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59" t="s">
        <v>22</v>
      </c>
      <c r="Q59" t="str">
        <f>IF(TRIM(Transaction[[#This Row],[SalesChannel]])="","Missing Value",TRIM(Transaction[[#This Row],[SalesChannel]]))</f>
        <v>Direct</v>
      </c>
      <c r="R59" s="4">
        <v>1</v>
      </c>
      <c r="S59" s="4" t="str">
        <f>IF(Transaction[[#This Row],[Quantity]]&lt;0,"Negative-review","Valid")</f>
        <v>Valid</v>
      </c>
      <c r="T59">
        <v>742.66</v>
      </c>
      <c r="U5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742.66</v>
      </c>
      <c r="V59">
        <v>950</v>
      </c>
      <c r="W59">
        <v>950</v>
      </c>
      <c r="X5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59">
        <f>IF(Transaction[[#This Row],[GrossRevenue_Check]]="Invalid",Transaction[[#This Row],[ListPrice]]*Transaction[[#This Row],[Quantity]],Transaction[[#This Row],[GrossRevenue_Clean]])</f>
        <v>950</v>
      </c>
      <c r="Z59" t="str">
        <f>IF(Transaction[[#This Row],[GrossRevenue_Clean]]=Transaction[[#This Row],[ListPrice]]*Transaction[[#This Row],[Quantity]],"Valid","Invalid")</f>
        <v>Valid</v>
      </c>
      <c r="AA59">
        <v>207.34</v>
      </c>
      <c r="AB5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207.34</v>
      </c>
      <c r="AC59">
        <f>IF(Transaction[[#This Row],[DiscountAmount_Check2]]="Invalid",Transaction[[#This Row],[GrossRevenue_Analytical]]-Transaction[[#This Row],[NetRevenue_Analytical]],Transaction[[#This Row],[DiscountAmount_Clean]])</f>
        <v>207.34</v>
      </c>
      <c r="AD59">
        <v>742.66</v>
      </c>
      <c r="AE59" t="str">
        <f>IF(ROUND(Transaction[[#This Row],[GrossRevenue_Analytical]]-Transaction[[#This Row],[NetRevenue_Analytical]],2)=ROUND(Transaction[[#This Row],[DiscountAmount_Clean]],2),"Valid","Invalid")</f>
        <v>Valid</v>
      </c>
      <c r="AF59">
        <f>VALUE(IF(ISNUMBER(Transaction[[#This Row],[NetRevenue]]),Transaction[[#This Row],[NetRevenue]],IFERROR(IF(FIND("$",Transaction[[#This Row],[NetRevenue]])&gt;0,MID(Transaction[[#This Row],[NetRevenue]],2,10)),Transaction[[#This Row],[NetRevenue]])))</f>
        <v>742.66</v>
      </c>
      <c r="AG59">
        <f>IF(Transaction[[#This Row],[NetRevenue_Check]]="Invalid",(Transaction[[#This Row],[Quantity]]*Transaction[[#This Row],[UnitPrice_Clean]]),Transaction[[#This Row],[NetRevenue_Clean]])</f>
        <v>742.66</v>
      </c>
      <c r="AH59" t="str">
        <f>IF(Transaction[[#This Row],[Quantity]]*Transaction[[#This Row],[UnitPrice_Clean]]=Transaction[[#This Row],[NetRevenue_Clean]],"Valid","Invalid")</f>
        <v>Valid</v>
      </c>
      <c r="AI59" t="s">
        <v>23</v>
      </c>
      <c r="AJ59" t="s">
        <v>2394</v>
      </c>
      <c r="AK59" t="str">
        <f>IF(Transaction[[#This Row],[Salesperson]]="","Missing Value",TRIM(PROPER(Transaction[[#This Row],[Salesperson]])))</f>
        <v>Hunt-Em</v>
      </c>
      <c r="AL59" t="s">
        <v>25</v>
      </c>
      <c r="AM59" t="str">
        <f>IF(Transaction[[#This Row],[ContractType]]="","Missing Value",Transaction[[#This Row],[ContractType]])</f>
        <v>Frame Agreement</v>
      </c>
      <c r="AN59" t="s">
        <v>49</v>
      </c>
    </row>
    <row r="60" spans="1:40" x14ac:dyDescent="0.25">
      <c r="A60" t="s">
        <v>475</v>
      </c>
      <c r="B60" s="1">
        <v>45823</v>
      </c>
      <c r="C6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6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6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0" s="2">
        <f>IFERROR(DATE(Transaction[[#This Row],[TransactionDateY]],Transaction[[#This Row],[TransactionDateM]],Transaction[[#This Row],[TransactionDateD]]),"Missing Value")</f>
        <v>45823</v>
      </c>
      <c r="G60" t="s">
        <v>476</v>
      </c>
      <c r="H60" t="str">
        <f>IFERROR(VLOOKUP(Transaction[[#This Row],[CustomerID]],Custumer[],1,0),IF(LEN(Transaction[[#This Row],[CustomerID]])=7,LEFT(Transaction[[#This Row],[CustomerID]],6),"Invalid ID"))</f>
        <v>C-1174</v>
      </c>
      <c r="I60" t="s">
        <v>226</v>
      </c>
      <c r="J60" t="str">
        <f>TRIM(UPPER(Transaction[[#This Row],[ProductID]]))</f>
        <v>P-SA-002</v>
      </c>
      <c r="K60" t="str">
        <f>IFERROR(VLOOKUP(Transaction[[#This Row],[ProductID_Clean]],Product[],1,FALSE),"Invalid ID")</f>
        <v>P-SA-002</v>
      </c>
      <c r="L60" t="str">
        <f>TRIM(SUBSTITUTE(SUBSTITUTE(SUBSTITUTE(SUBSTITUTE(UPPER(Transaction[[#This Row],[Region]]),"EMEA REGION","EMEA"),"APAC REGION","APAC"),"NORTH AMERICA","N. AMERICA"),"N .AMERICA","N.AMERICA"))</f>
        <v>N. AMERICA</v>
      </c>
      <c r="M60" t="s">
        <v>204</v>
      </c>
      <c r="N60" t="s">
        <v>205</v>
      </c>
      <c r="O60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60" t="s">
        <v>181</v>
      </c>
      <c r="Q60" t="str">
        <f>IF(TRIM(Transaction[[#This Row],[SalesChannel]])="","Missing Value",TRIM(Transaction[[#This Row],[SalesChannel]]))</f>
        <v>Partner Portal</v>
      </c>
      <c r="R60" s="4">
        <v>1</v>
      </c>
      <c r="S60" s="4" t="str">
        <f>IF(Transaction[[#This Row],[Quantity]]&lt;0,"Negative-review","Valid")</f>
        <v>Valid</v>
      </c>
      <c r="T60">
        <v>8074.33</v>
      </c>
      <c r="U6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8074.33</v>
      </c>
      <c r="V60">
        <v>9800</v>
      </c>
      <c r="W60">
        <v>9800</v>
      </c>
      <c r="X6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60">
        <f>IF(Transaction[[#This Row],[GrossRevenue_Check]]="Invalid",Transaction[[#This Row],[ListPrice]]*Transaction[[#This Row],[Quantity]],Transaction[[#This Row],[GrossRevenue_Clean]])</f>
        <v>9800</v>
      </c>
      <c r="Z60" t="str">
        <f>IF(Transaction[[#This Row],[GrossRevenue_Clean]]=Transaction[[#This Row],[ListPrice]]*Transaction[[#This Row],[Quantity]],"Valid","Invalid")</f>
        <v>Valid</v>
      </c>
      <c r="AA60">
        <v>1725.67</v>
      </c>
      <c r="AB6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1725.67</v>
      </c>
      <c r="AC60">
        <f>IF(Transaction[[#This Row],[DiscountAmount_Check2]]="Invalid",Transaction[[#This Row],[GrossRevenue_Analytical]]-Transaction[[#This Row],[NetRevenue_Analytical]],Transaction[[#This Row],[DiscountAmount_Clean]])</f>
        <v>1725.67</v>
      </c>
      <c r="AD60" t="s">
        <v>477</v>
      </c>
      <c r="AE60" t="str">
        <f>IF(ROUND(Transaction[[#This Row],[GrossRevenue_Analytical]]-Transaction[[#This Row],[NetRevenue_Analytical]],2)=ROUND(Transaction[[#This Row],[DiscountAmount_Clean]],2),"Valid","Invalid")</f>
        <v>Valid</v>
      </c>
      <c r="AF60">
        <f>VALUE(IF(ISNUMBER(Transaction[[#This Row],[NetRevenue]]),Transaction[[#This Row],[NetRevenue]],IFERROR(IF(FIND("$",Transaction[[#This Row],[NetRevenue]])&gt;0,MID(Transaction[[#This Row],[NetRevenue]],2,10)),Transaction[[#This Row],[NetRevenue]])))</f>
        <v>8074.33</v>
      </c>
      <c r="AG60">
        <f>IF(Transaction[[#This Row],[NetRevenue_Check]]="Invalid",(Transaction[[#This Row],[Quantity]]*Transaction[[#This Row],[UnitPrice_Clean]]),Transaction[[#This Row],[NetRevenue_Clean]])</f>
        <v>8074.33</v>
      </c>
      <c r="AH60" t="str">
        <f>IF(Transaction[[#This Row],[Quantity]]*Transaction[[#This Row],[UnitPrice_Clean]]=Transaction[[#This Row],[NetRevenue_Clean]],"Valid","Invalid")</f>
        <v>Valid</v>
      </c>
      <c r="AI60" t="s">
        <v>23</v>
      </c>
      <c r="AJ60" t="s">
        <v>227</v>
      </c>
      <c r="AK60" t="str">
        <f>IF(Transaction[[#This Row],[Salesperson]]="","Missing Value",TRIM(PROPER(Transaction[[#This Row],[Salesperson]])))</f>
        <v>Reed</v>
      </c>
      <c r="AL60" t="s">
        <v>113</v>
      </c>
      <c r="AM60" t="str">
        <f>IF(Transaction[[#This Row],[ContractType]]="","Missing Value",Transaction[[#This Row],[ContractType]])</f>
        <v>Subscription</v>
      </c>
      <c r="AN60" t="s">
        <v>35</v>
      </c>
    </row>
    <row r="61" spans="1:40" x14ac:dyDescent="0.25">
      <c r="A61" t="s">
        <v>1038</v>
      </c>
      <c r="B61" s="1">
        <v>45661</v>
      </c>
      <c r="C6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6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6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1" s="2">
        <f>IFERROR(DATE(Transaction[[#This Row],[TransactionDateY]],Transaction[[#This Row],[TransactionDateM]],Transaction[[#This Row],[TransactionDateD]]),"Missing Value")</f>
        <v>45661</v>
      </c>
      <c r="G61" t="s">
        <v>423</v>
      </c>
      <c r="H61" t="str">
        <f>IFERROR(VLOOKUP(Transaction[[#This Row],[CustomerID]],Custumer[],1,0),IF(LEN(Transaction[[#This Row],[CustomerID]])=7,LEFT(Transaction[[#This Row],[CustomerID]],6),"Invalid ID"))</f>
        <v>C-1121</v>
      </c>
      <c r="I61" t="s">
        <v>71</v>
      </c>
      <c r="J61" t="str">
        <f>TRIM(UPPER(Transaction[[#This Row],[ProductID]]))</f>
        <v>P-SI-003</v>
      </c>
      <c r="K61" t="str">
        <f>IFERROR(VLOOKUP(Transaction[[#This Row],[ProductID_Clean]],Product[],1,FALSE),"Invalid ID")</f>
        <v>P-SI-003</v>
      </c>
      <c r="L61" t="str">
        <f>TRIM(SUBSTITUTE(SUBSTITUTE(SUBSTITUTE(SUBSTITUTE(UPPER(Transaction[[#This Row],[Region]]),"EMEA REGION","EMEA"),"APAC REGION","APAC"),"NORTH AMERICA","N. AMERICA"),"N .AMERICA","N.AMERICA"))</f>
        <v>N. AMERICA</v>
      </c>
      <c r="M61" t="s">
        <v>20</v>
      </c>
      <c r="N61" t="s">
        <v>53</v>
      </c>
      <c r="O6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1" t="s">
        <v>40</v>
      </c>
      <c r="Q61" t="str">
        <f>IF(TRIM(Transaction[[#This Row],[SalesChannel]])="","Missing Value",TRIM(Transaction[[#This Row],[SalesChannel]]))</f>
        <v>Distributor</v>
      </c>
      <c r="R61" s="4">
        <v>4</v>
      </c>
      <c r="S61" s="4" t="str">
        <f>IF(Transaction[[#This Row],[Quantity]]&lt;0,"Negative-review","Valid")</f>
        <v>Valid</v>
      </c>
      <c r="T61">
        <v>1622.64</v>
      </c>
      <c r="U6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1622.64</v>
      </c>
      <c r="V61">
        <v>1890</v>
      </c>
      <c r="W61">
        <v>7560</v>
      </c>
      <c r="X6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7560</v>
      </c>
      <c r="Y61">
        <f>IF(Transaction[[#This Row],[GrossRevenue_Check]]="Invalid",Transaction[[#This Row],[ListPrice]]*Transaction[[#This Row],[Quantity]],Transaction[[#This Row],[GrossRevenue_Clean]])</f>
        <v>7560</v>
      </c>
      <c r="Z61" t="str">
        <f>IF(Transaction[[#This Row],[GrossRevenue_Clean]]=Transaction[[#This Row],[ListPrice]]*Transaction[[#This Row],[Quantity]],"Valid","Invalid")</f>
        <v>Valid</v>
      </c>
      <c r="AA61">
        <v>1069.44</v>
      </c>
      <c r="AB6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1069.44</v>
      </c>
      <c r="AC61">
        <f>IF(Transaction[[#This Row],[DiscountAmount_Check2]]="Invalid",Transaction[[#This Row],[GrossRevenue_Analytical]]-Transaction[[#This Row],[NetRevenue_Analytical]],Transaction[[#This Row],[DiscountAmount_Clean]])</f>
        <v>1069.44</v>
      </c>
      <c r="AD61">
        <v>6490.56</v>
      </c>
      <c r="AE61" t="str">
        <f>IF(ROUND(Transaction[[#This Row],[GrossRevenue_Analytical]]-Transaction[[#This Row],[NetRevenue_Analytical]],2)=ROUND(Transaction[[#This Row],[DiscountAmount_Clean]],2),"Valid","Invalid")</f>
        <v>Valid</v>
      </c>
      <c r="AF61">
        <f>VALUE(IF(ISNUMBER(Transaction[[#This Row],[NetRevenue]]),Transaction[[#This Row],[NetRevenue]],IFERROR(IF(FIND("$",Transaction[[#This Row],[NetRevenue]])&gt;0,MID(Transaction[[#This Row],[NetRevenue]],2,10)),Transaction[[#This Row],[NetRevenue]])))</f>
        <v>6490.56</v>
      </c>
      <c r="AG61">
        <f>IF(Transaction[[#This Row],[NetRevenue_Check]]="Invalid",(Transaction[[#This Row],[Quantity]]*Transaction[[#This Row],[UnitPrice_Clean]]),Transaction[[#This Row],[NetRevenue_Clean]])</f>
        <v>6490.56</v>
      </c>
      <c r="AH61" t="str">
        <f>IF(Transaction[[#This Row],[Quantity]]*Transaction[[#This Row],[UnitPrice_Clean]]=Transaction[[#This Row],[NetRevenue_Clean]],"Valid","Invalid")</f>
        <v>Valid</v>
      </c>
      <c r="AI61" t="s">
        <v>23</v>
      </c>
      <c r="AJ61" t="s">
        <v>281</v>
      </c>
      <c r="AK61" t="str">
        <f>IF(Transaction[[#This Row],[Salesperson]]="","Missing Value",TRIM(PROPER(Transaction[[#This Row],[Salesperson]])))</f>
        <v>Rodriguez-Na</v>
      </c>
      <c r="AL61" t="s">
        <v>55</v>
      </c>
      <c r="AM61" t="str">
        <f>IF(Transaction[[#This Row],[ContractType]]="","Missing Value",Transaction[[#This Row],[ContractType]])</f>
        <v>Spot</v>
      </c>
      <c r="AN61" t="s">
        <v>49</v>
      </c>
    </row>
    <row r="62" spans="1:40" x14ac:dyDescent="0.25">
      <c r="A62" t="s">
        <v>1514</v>
      </c>
      <c r="B62" s="1">
        <v>45783</v>
      </c>
      <c r="C6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6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6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2" s="2">
        <f>IFERROR(DATE(Transaction[[#This Row],[TransactionDateY]],Transaction[[#This Row],[TransactionDateM]],Transaction[[#This Row],[TransactionDateD]]),"Missing Value")</f>
        <v>45783</v>
      </c>
      <c r="G62" t="s">
        <v>1515</v>
      </c>
      <c r="H62" t="str">
        <f>IFERROR(VLOOKUP(Transaction[[#This Row],[CustomerID]],Custumer[],1,0),IF(LEN(Transaction[[#This Row],[CustomerID]])=7,LEFT(Transaction[[#This Row],[CustomerID]],6),"Invalid ID"))</f>
        <v>C-1179</v>
      </c>
      <c r="I62" t="s">
        <v>46</v>
      </c>
      <c r="J62" t="str">
        <f>TRIM(UPPER(Transaction[[#This Row],[ProductID]]))</f>
        <v>P-SI-006</v>
      </c>
      <c r="K62" t="str">
        <f>IFERROR(VLOOKUP(Transaction[[#This Row],[ProductID_Clean]],Product[],1,FALSE),"Invalid ID")</f>
        <v>P-SI-006</v>
      </c>
      <c r="L62" t="str">
        <f>TRIM(SUBSTITUTE(SUBSTITUTE(SUBSTITUTE(SUBSTITUTE(UPPER(Transaction[[#This Row],[Region]]),"EMEA REGION","EMEA"),"APAC REGION","APAC"),"NORTH AMERICA","N. AMERICA"),"N .AMERICA","N.AMERICA"))</f>
        <v>APAC</v>
      </c>
      <c r="M62" t="s">
        <v>30</v>
      </c>
      <c r="N62" t="s">
        <v>53</v>
      </c>
      <c r="O6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2" t="s">
        <v>40</v>
      </c>
      <c r="Q62" t="str">
        <f>IF(TRIM(Transaction[[#This Row],[SalesChannel]])="","Missing Value",TRIM(Transaction[[#This Row],[SalesChannel]]))</f>
        <v>Distributor</v>
      </c>
      <c r="R62" s="4">
        <v>8</v>
      </c>
      <c r="S62" s="4" t="str">
        <f>IF(Transaction[[#This Row],[Quantity]]&lt;0,"Negative-review","Valid")</f>
        <v>Valid</v>
      </c>
      <c r="T62">
        <v>138.78</v>
      </c>
      <c r="U6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138.78</v>
      </c>
      <c r="V62">
        <v>215</v>
      </c>
      <c r="W62">
        <v>1720</v>
      </c>
      <c r="X6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1720</v>
      </c>
      <c r="Y62">
        <f>IF(Transaction[[#This Row],[GrossRevenue_Check]]="Invalid",Transaction[[#This Row],[ListPrice]]*Transaction[[#This Row],[Quantity]],Transaction[[#This Row],[GrossRevenue_Clean]])</f>
        <v>1720</v>
      </c>
      <c r="Z62" t="str">
        <f>IF(Transaction[[#This Row],[GrossRevenue_Clean]]=Transaction[[#This Row],[ListPrice]]*Transaction[[#This Row],[Quantity]],"Valid","Invalid")</f>
        <v>Valid</v>
      </c>
      <c r="AA62">
        <v>609.76</v>
      </c>
      <c r="AB6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609.76</v>
      </c>
      <c r="AC62">
        <f>IF(Transaction[[#This Row],[DiscountAmount_Check2]]="Invalid",Transaction[[#This Row],[GrossRevenue_Analytical]]-Transaction[[#This Row],[NetRevenue_Analytical]],Transaction[[#This Row],[DiscountAmount_Clean]])</f>
        <v>609.76</v>
      </c>
      <c r="AD62">
        <v>1110.24</v>
      </c>
      <c r="AE62" t="str">
        <f>IF(ROUND(Transaction[[#This Row],[GrossRevenue_Analytical]]-Transaction[[#This Row],[NetRevenue_Analytical]],2)=ROUND(Transaction[[#This Row],[DiscountAmount_Clean]],2),"Valid","Invalid")</f>
        <v>Valid</v>
      </c>
      <c r="AF6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1110.24</v>
      </c>
      <c r="AG62">
        <f>IF(Transaction[[#This Row],[NetRevenue_Check]]="Invalid",(Transaction[[#This Row],[Quantity]]*Transaction[[#This Row],[UnitPrice_Clean]]),Transaction[[#This Row],[NetRevenue_Clean]])</f>
        <v>1110.24</v>
      </c>
      <c r="AH62" t="str">
        <f>IF(Transaction[[#This Row],[Quantity]]*Transaction[[#This Row],[UnitPrice_Clean]]=Transaction[[#This Row],[NetRevenue_Clean]],"Valid","Invalid")</f>
        <v>Valid</v>
      </c>
      <c r="AI62" t="s">
        <v>23</v>
      </c>
      <c r="AJ62" t="s">
        <v>1516</v>
      </c>
      <c r="AK62" t="str">
        <f>IF(Transaction[[#This Row],[Salesperson]]="","Missing Value",TRIM(PROPER(Transaction[[#This Row],[Salesperson]])))</f>
        <v>Gregory</v>
      </c>
      <c r="AL62" t="s">
        <v>25</v>
      </c>
      <c r="AM62" t="str">
        <f>IF(Transaction[[#This Row],[ContractType]]="","Missing Value",Transaction[[#This Row],[ContractType]])</f>
        <v>Frame Agreement</v>
      </c>
      <c r="AN62" t="s">
        <v>26</v>
      </c>
    </row>
    <row r="63" spans="1:40" x14ac:dyDescent="0.25">
      <c r="A63" t="s">
        <v>2082</v>
      </c>
      <c r="B63" t="s">
        <v>2083</v>
      </c>
      <c r="C6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6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6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3" s="2">
        <f>IFERROR(DATE(Transaction[[#This Row],[TransactionDateY]],Transaction[[#This Row],[TransactionDateM]],Transaction[[#This Row],[TransactionDateD]]),"Missing Value")</f>
        <v>45768</v>
      </c>
      <c r="G63" t="s">
        <v>1000</v>
      </c>
      <c r="H63" t="str">
        <f>IFERROR(VLOOKUP(Transaction[[#This Row],[CustomerID]],Custumer[],1,0),IF(LEN(Transaction[[#This Row],[CustomerID]])=7,LEFT(Transaction[[#This Row],[CustomerID]],6),"Invalid ID"))</f>
        <v>C-1137</v>
      </c>
      <c r="I63" t="s">
        <v>111</v>
      </c>
      <c r="J63" t="str">
        <f>TRIM(UPPER(Transaction[[#This Row],[ProductID]]))</f>
        <v>P-SA-004</v>
      </c>
      <c r="K63" t="str">
        <f>IFERROR(VLOOKUP(Transaction[[#This Row],[ProductID_Clean]],Product[],1,FALSE),"Invalid ID")</f>
        <v>P-SA-004</v>
      </c>
      <c r="L63" t="str">
        <f>TRIM(SUBSTITUTE(SUBSTITUTE(SUBSTITUTE(SUBSTITUTE(UPPER(Transaction[[#This Row],[Region]]),"EMEA REGION","EMEA"),"APAC REGION","APAC"),"NORTH AMERICA","N. AMERICA"),"N .AMERICA","N.AMERICA"))</f>
        <v>N. AMERICA</v>
      </c>
      <c r="M63" t="s">
        <v>20</v>
      </c>
      <c r="N63" t="s">
        <v>31</v>
      </c>
      <c r="O6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63" t="s">
        <v>22</v>
      </c>
      <c r="Q63" t="str">
        <f>IF(TRIM(Transaction[[#This Row],[SalesChannel]])="","Missing Value",TRIM(Transaction[[#This Row],[SalesChannel]]))</f>
        <v>Direct</v>
      </c>
      <c r="R63" s="4">
        <v>1</v>
      </c>
      <c r="S63" s="4" t="str">
        <f>IF(Transaction[[#This Row],[Quantity]]&lt;0,"Negative-review","Valid")</f>
        <v>Valid</v>
      </c>
      <c r="T63">
        <v>1435.11</v>
      </c>
      <c r="U6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1435.11</v>
      </c>
      <c r="V63">
        <v>1650</v>
      </c>
      <c r="W63">
        <v>1650</v>
      </c>
      <c r="X6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63">
        <f>IF(Transaction[[#This Row],[GrossRevenue_Check]]="Invalid",Transaction[[#This Row],[ListPrice]]*Transaction[[#This Row],[Quantity]],Transaction[[#This Row],[GrossRevenue_Clean]])</f>
        <v>1650</v>
      </c>
      <c r="Z63" t="str">
        <f>IF(Transaction[[#This Row],[GrossRevenue_Clean]]=Transaction[[#This Row],[ListPrice]]*Transaction[[#This Row],[Quantity]],"Valid","Invalid")</f>
        <v>Valid</v>
      </c>
      <c r="AA63">
        <v>214.89</v>
      </c>
      <c r="AB6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214.89</v>
      </c>
      <c r="AC63">
        <f>IF(Transaction[[#This Row],[DiscountAmount_Check2]]="Invalid",Transaction[[#This Row],[GrossRevenue_Analytical]]-Transaction[[#This Row],[NetRevenue_Analytical]],Transaction[[#This Row],[DiscountAmount_Clean]])</f>
        <v>214.89</v>
      </c>
      <c r="AD63">
        <v>1435.11</v>
      </c>
      <c r="AE63" t="str">
        <f>IF(ROUND(Transaction[[#This Row],[GrossRevenue_Analytical]]-Transaction[[#This Row],[NetRevenue_Analytical]],2)=ROUND(Transaction[[#This Row],[DiscountAmount_Clean]],2),"Valid","Invalid")</f>
        <v>Valid</v>
      </c>
      <c r="AF6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1435.11</v>
      </c>
      <c r="AG63">
        <f>IF(Transaction[[#This Row],[NetRevenue_Check]]="Invalid",(Transaction[[#This Row],[Quantity]]*Transaction[[#This Row],[UnitPrice_Clean]]),Transaction[[#This Row],[NetRevenue_Clean]])</f>
        <v>1435.11</v>
      </c>
      <c r="AH63" t="str">
        <f>IF(Transaction[[#This Row],[Quantity]]*Transaction[[#This Row],[UnitPrice_Clean]]=Transaction[[#This Row],[NetRevenue_Clean]],"Valid","Invalid")</f>
        <v>Valid</v>
      </c>
      <c r="AI63" t="s">
        <v>23</v>
      </c>
      <c r="AK63" t="str">
        <f>IF(Transaction[[#This Row],[Salesperson]]="","Missing Value",TRIM(PROPER(Transaction[[#This Row],[Salesperson]])))</f>
        <v>Missing Value</v>
      </c>
      <c r="AL63" t="s">
        <v>34</v>
      </c>
      <c r="AM63" t="str">
        <f>IF(Transaction[[#This Row],[ContractType]]="","Missing Value",Transaction[[#This Row],[ContractType]])</f>
        <v>Annual License</v>
      </c>
      <c r="AN63" t="s">
        <v>26</v>
      </c>
    </row>
    <row r="64" spans="1:40" x14ac:dyDescent="0.25">
      <c r="A64" t="s">
        <v>1710</v>
      </c>
      <c r="B64" t="s">
        <v>256</v>
      </c>
      <c r="C6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6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6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4" s="2">
        <f>IFERROR(DATE(Transaction[[#This Row],[TransactionDateY]],Transaction[[#This Row],[TransactionDateM]],Transaction[[#This Row],[TransactionDateD]]),"Missing Value")</f>
        <v>45820</v>
      </c>
      <c r="G64" t="s">
        <v>851</v>
      </c>
      <c r="H64" t="str">
        <f>IFERROR(VLOOKUP(Transaction[[#This Row],[CustomerID]],Custumer[],1,0),IF(LEN(Transaction[[#This Row],[CustomerID]])=7,LEFT(Transaction[[#This Row],[CustomerID]],6),"Invalid ID"))</f>
        <v>C-1068</v>
      </c>
      <c r="I64" t="s">
        <v>46</v>
      </c>
      <c r="J64" t="str">
        <f>TRIM(UPPER(Transaction[[#This Row],[ProductID]]))</f>
        <v>P-SI-006</v>
      </c>
      <c r="K64" t="str">
        <f>IFERROR(VLOOKUP(Transaction[[#This Row],[ProductID_Clean]],Product[],1,FALSE),"Invalid ID")</f>
        <v>P-SI-006</v>
      </c>
      <c r="L64" t="str">
        <f>TRIM(SUBSTITUTE(SUBSTITUTE(SUBSTITUTE(SUBSTITUTE(UPPER(Transaction[[#This Row],[Region]]),"EMEA REGION","EMEA"),"APAC REGION","APAC"),"NORTH AMERICA","N. AMERICA"),"N .AMERICA","N.AMERICA"))</f>
        <v>APAC</v>
      </c>
      <c r="M64" t="s">
        <v>127</v>
      </c>
      <c r="N64" t="s">
        <v>53</v>
      </c>
      <c r="O6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4" t="s">
        <v>22</v>
      </c>
      <c r="Q64" t="str">
        <f>IF(TRIM(Transaction[[#This Row],[SalesChannel]])="","Missing Value",TRIM(Transaction[[#This Row],[SalesChannel]]))</f>
        <v>Direct</v>
      </c>
      <c r="R64" s="4">
        <v>4</v>
      </c>
      <c r="S64" s="4" t="str">
        <f>IF(Transaction[[#This Row],[Quantity]]&lt;0,"Negative-review","Valid")</f>
        <v>Valid</v>
      </c>
      <c r="T64">
        <v>186.82</v>
      </c>
      <c r="U6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186.82</v>
      </c>
      <c r="V64">
        <v>215</v>
      </c>
      <c r="W64">
        <v>860</v>
      </c>
      <c r="X6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860</v>
      </c>
      <c r="Y64">
        <f>IF(Transaction[[#This Row],[GrossRevenue_Check]]="Invalid",Transaction[[#This Row],[ListPrice]]*Transaction[[#This Row],[Quantity]],Transaction[[#This Row],[GrossRevenue_Clean]])</f>
        <v>860</v>
      </c>
      <c r="Z64" t="str">
        <f>IF(Transaction[[#This Row],[GrossRevenue_Clean]]=Transaction[[#This Row],[ListPrice]]*Transaction[[#This Row],[Quantity]],"Valid","Invalid")</f>
        <v>Valid</v>
      </c>
      <c r="AA64">
        <v>112.72</v>
      </c>
      <c r="AB6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112.72</v>
      </c>
      <c r="AC64">
        <f>IF(Transaction[[#This Row],[DiscountAmount_Check2]]="Invalid",Transaction[[#This Row],[GrossRevenue_Analytical]]-Transaction[[#This Row],[NetRevenue_Analytical]],Transaction[[#This Row],[DiscountAmount_Clean]])</f>
        <v>112.72</v>
      </c>
      <c r="AD64">
        <v>747.28</v>
      </c>
      <c r="AE64" t="str">
        <f>IF(ROUND(Transaction[[#This Row],[GrossRevenue_Analytical]]-Transaction[[#This Row],[NetRevenue_Analytical]],2)=ROUND(Transaction[[#This Row],[DiscountAmount_Clean]],2),"Valid","Invalid")</f>
        <v>Valid</v>
      </c>
      <c r="AF64">
        <f>VALUE(IF(ISNUMBER(Transaction[[#This Row],[NetRevenue]]),Transaction[[#This Row],[NetRevenue]],IFERROR(IF(FIND("$",Transaction[[#This Row],[NetRevenue]])&gt;0,MID(Transaction[[#This Row],[NetRevenue]],2,10)),Transaction[[#This Row],[NetRevenue]])))</f>
        <v>747.28</v>
      </c>
      <c r="AG64">
        <f>IF(Transaction[[#This Row],[NetRevenue_Check]]="Invalid",(Transaction[[#This Row],[Quantity]]*Transaction[[#This Row],[UnitPrice_Clean]]),Transaction[[#This Row],[NetRevenue_Clean]])</f>
        <v>747.28</v>
      </c>
      <c r="AH64" t="str">
        <f>IF(Transaction[[#This Row],[Quantity]]*Transaction[[#This Row],[UnitPrice_Clean]]=Transaction[[#This Row],[NetRevenue_Clean]],"Valid","Invalid")</f>
        <v>Valid</v>
      </c>
      <c r="AI64" t="s">
        <v>23</v>
      </c>
      <c r="AJ64" t="s">
        <v>1711</v>
      </c>
      <c r="AK64" t="str">
        <f>IF(Transaction[[#This Row],[Salesperson]]="","Missing Value",TRIM(PROPER(Transaction[[#This Row],[Salesperson]])))</f>
        <v>Rose-Na</v>
      </c>
      <c r="AL64" t="s">
        <v>42</v>
      </c>
      <c r="AM64" t="str">
        <f>IF(Transaction[[#This Row],[ContractType]]="","Missing Value",Transaction[[#This Row],[ContractType]])</f>
        <v>Standard PO</v>
      </c>
      <c r="AN64" t="s">
        <v>49</v>
      </c>
    </row>
    <row r="65" spans="1:40" x14ac:dyDescent="0.25">
      <c r="A65" t="s">
        <v>228</v>
      </c>
      <c r="B65" t="s">
        <v>229</v>
      </c>
      <c r="C6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6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6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5" s="2">
        <f>IFERROR(DATE(Transaction[[#This Row],[TransactionDateY]],Transaction[[#This Row],[TransactionDateM]],Transaction[[#This Row],[TransactionDateD]]),"Missing Value")</f>
        <v>45697</v>
      </c>
      <c r="G65" t="s">
        <v>102</v>
      </c>
      <c r="H65" t="str">
        <f>IFERROR(VLOOKUP(Transaction[[#This Row],[CustomerID]],Custumer[],1,0),IF(LEN(Transaction[[#This Row],[CustomerID]])=7,LEFT(Transaction[[#This Row],[CustomerID]],6),"Invalid ID"))</f>
        <v>C-1120</v>
      </c>
      <c r="I65" t="s">
        <v>29</v>
      </c>
      <c r="J65" t="str">
        <f>TRIM(UPPER(Transaction[[#This Row],[ProductID]]))</f>
        <v>P-SA-001</v>
      </c>
      <c r="K65" t="str">
        <f>IFERROR(VLOOKUP(Transaction[[#This Row],[ProductID_Clean]],Product[],1,FALSE),"Invalid ID")</f>
        <v>P-SA-001</v>
      </c>
      <c r="L65" t="str">
        <f>TRIM(SUBSTITUTE(SUBSTITUTE(SUBSTITUTE(SUBSTITUTE(UPPER(Transaction[[#This Row],[Region]]),"EMEA REGION","EMEA"),"APAC REGION","APAC"),"NORTH AMERICA","N. AMERICA"),"N .AMERICA","N.AMERICA"))</f>
        <v>EMEA</v>
      </c>
      <c r="M65" t="s">
        <v>76</v>
      </c>
      <c r="N65" t="s">
        <v>31</v>
      </c>
      <c r="O6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65" t="s">
        <v>181</v>
      </c>
      <c r="Q65" t="str">
        <f>IF(TRIM(Transaction[[#This Row],[SalesChannel]])="","Missing Value",TRIM(Transaction[[#This Row],[SalesChannel]]))</f>
        <v>Partner Portal</v>
      </c>
      <c r="R65" s="4">
        <v>1</v>
      </c>
      <c r="S65" s="4" t="str">
        <f>IF(Transaction[[#This Row],[Quantity]]&lt;0,"Negative-review","Valid")</f>
        <v>Valid</v>
      </c>
      <c r="T65">
        <v>3634.45</v>
      </c>
      <c r="U6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3634.45</v>
      </c>
      <c r="V65">
        <v>4200</v>
      </c>
      <c r="W65">
        <v>4200</v>
      </c>
      <c r="X6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65">
        <f>IF(Transaction[[#This Row],[GrossRevenue_Check]]="Invalid",Transaction[[#This Row],[ListPrice]]*Transaction[[#This Row],[Quantity]],Transaction[[#This Row],[GrossRevenue_Clean]])</f>
        <v>4200</v>
      </c>
      <c r="Z65" t="str">
        <f>IF(Transaction[[#This Row],[GrossRevenue_Clean]]=Transaction[[#This Row],[ListPrice]]*Transaction[[#This Row],[Quantity]],"Valid","Invalid")</f>
        <v>Valid</v>
      </c>
      <c r="AA65">
        <v>565.54999999999995</v>
      </c>
      <c r="AB6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565.54999999999995</v>
      </c>
      <c r="AC65">
        <f>IF(Transaction[[#This Row],[DiscountAmount_Check2]]="Invalid",Transaction[[#This Row],[GrossRevenue_Analytical]]-Transaction[[#This Row],[NetRevenue_Analytical]],Transaction[[#This Row],[DiscountAmount_Clean]])</f>
        <v>565.54999999999995</v>
      </c>
      <c r="AD65">
        <v>3634.45</v>
      </c>
      <c r="AE65" t="str">
        <f>IF(ROUND(Transaction[[#This Row],[GrossRevenue_Analytical]]-Transaction[[#This Row],[NetRevenue_Analytical]],2)=ROUND(Transaction[[#This Row],[DiscountAmount_Clean]],2),"Valid","Invalid")</f>
        <v>Valid</v>
      </c>
      <c r="AF6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3634.45</v>
      </c>
      <c r="AG65">
        <f>IF(Transaction[[#This Row],[NetRevenue_Check]]="Invalid",(Transaction[[#This Row],[Quantity]]*Transaction[[#This Row],[UnitPrice_Clean]]),Transaction[[#This Row],[NetRevenue_Clean]])</f>
        <v>3634.45</v>
      </c>
      <c r="AH65" t="str">
        <f>IF(Transaction[[#This Row],[Quantity]]*Transaction[[#This Row],[UnitPrice_Clean]]=Transaction[[#This Row],[NetRevenue_Clean]],"Valid","Invalid")</f>
        <v>Valid</v>
      </c>
      <c r="AI65" t="s">
        <v>23</v>
      </c>
      <c r="AJ65" t="s">
        <v>230</v>
      </c>
      <c r="AK65" t="str">
        <f>IF(Transaction[[#This Row],[Salesperson]]="","Missing Value",TRIM(PROPER(Transaction[[#This Row],[Salesperson]])))</f>
        <v>Parker-Na</v>
      </c>
      <c r="AL65" t="s">
        <v>34</v>
      </c>
      <c r="AM65" t="str">
        <f>IF(Transaction[[#This Row],[ContractType]]="","Missing Value",Transaction[[#This Row],[ContractType]])</f>
        <v>Annual License</v>
      </c>
      <c r="AN65" t="s">
        <v>43</v>
      </c>
    </row>
    <row r="66" spans="1:40" x14ac:dyDescent="0.25">
      <c r="A66" t="s">
        <v>2934</v>
      </c>
      <c r="B66" t="s">
        <v>2935</v>
      </c>
      <c r="C6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6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6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6" s="2">
        <f>IFERROR(DATE(Transaction[[#This Row],[TransactionDateY]],Transaction[[#This Row],[TransactionDateM]],Transaction[[#This Row],[TransactionDateD]]),"Missing Value")</f>
        <v>45703</v>
      </c>
      <c r="G66" t="s">
        <v>200</v>
      </c>
      <c r="H66" t="str">
        <f>IFERROR(VLOOKUP(Transaction[[#This Row],[CustomerID]],Custumer[],1,0),IF(LEN(Transaction[[#This Row],[CustomerID]])=7,LEFT(Transaction[[#This Row],[CustomerID]],6),"Invalid ID"))</f>
        <v>C-1070</v>
      </c>
      <c r="I66" t="s">
        <v>46</v>
      </c>
      <c r="J66" t="str">
        <f>TRIM(UPPER(Transaction[[#This Row],[ProductID]]))</f>
        <v>P-SI-006</v>
      </c>
      <c r="K66" t="str">
        <f>IFERROR(VLOOKUP(Transaction[[#This Row],[ProductID_Clean]],Product[],1,FALSE),"Invalid ID")</f>
        <v>P-SI-006</v>
      </c>
      <c r="L66" t="str">
        <f>TRIM(SUBSTITUTE(SUBSTITUTE(SUBSTITUTE(SUBSTITUTE(UPPER(Transaction[[#This Row],[Region]]),"EMEA REGION","EMEA"),"APAC REGION","APAC"),"NORTH AMERICA","N. AMERICA"),"N .AMERICA","N.AMERICA"))</f>
        <v>EMEA</v>
      </c>
      <c r="M66" t="s">
        <v>76</v>
      </c>
      <c r="N66" t="s">
        <v>53</v>
      </c>
      <c r="O6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6" t="s">
        <v>77</v>
      </c>
      <c r="Q66" t="str">
        <f>IF(TRIM(Transaction[[#This Row],[SalesChannel]])="","Missing Value",TRIM(Transaction[[#This Row],[SalesChannel]]))</f>
        <v>distributor</v>
      </c>
      <c r="R66" s="4">
        <v>3</v>
      </c>
      <c r="S66" s="4" t="str">
        <f>IF(Transaction[[#This Row],[Quantity]]&lt;0,"Negative-review","Valid")</f>
        <v>Valid</v>
      </c>
      <c r="T66">
        <v>142.02000000000001</v>
      </c>
      <c r="U6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142.02000000000001</v>
      </c>
      <c r="V66">
        <v>215</v>
      </c>
      <c r="W66">
        <v>645</v>
      </c>
      <c r="X6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66">
        <f>IF(Transaction[[#This Row],[GrossRevenue_Check]]="Invalid",Transaction[[#This Row],[ListPrice]]*Transaction[[#This Row],[Quantity]],Transaction[[#This Row],[GrossRevenue_Clean]])</f>
        <v>645</v>
      </c>
      <c r="Z66" t="str">
        <f>IF(Transaction[[#This Row],[GrossRevenue_Clean]]=Transaction[[#This Row],[ListPrice]]*Transaction[[#This Row],[Quantity]],"Valid","Invalid")</f>
        <v>Valid</v>
      </c>
      <c r="AA66">
        <v>218.94</v>
      </c>
      <c r="AB6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218.94</v>
      </c>
      <c r="AC66">
        <f>IF(Transaction[[#This Row],[DiscountAmount_Check2]]="Invalid",Transaction[[#This Row],[GrossRevenue_Analytical]]-Transaction[[#This Row],[NetRevenue_Analytical]],Transaction[[#This Row],[DiscountAmount_Clean]])</f>
        <v>218.94</v>
      </c>
      <c r="AD66">
        <v>426.06</v>
      </c>
      <c r="AE66" t="str">
        <f>IF(ROUND(Transaction[[#This Row],[GrossRevenue_Analytical]]-Transaction[[#This Row],[NetRevenue_Analytical]],2)=ROUND(Transaction[[#This Row],[DiscountAmount_Clean]],2),"Valid","Invalid")</f>
        <v>Valid</v>
      </c>
      <c r="AF66">
        <f>VALUE(IF(ISNUMBER(Transaction[[#This Row],[NetRevenue]]),Transaction[[#This Row],[NetRevenue]],IFERROR(IF(FIND("$",Transaction[[#This Row],[NetRevenue]])&gt;0,MID(Transaction[[#This Row],[NetRevenue]],2,10)),Transaction[[#This Row],[NetRevenue]])))</f>
        <v>426.06</v>
      </c>
      <c r="AG66">
        <f>IF(Transaction[[#This Row],[NetRevenue_Check]]="Invalid",(Transaction[[#This Row],[Quantity]]*Transaction[[#This Row],[UnitPrice_Clean]]),Transaction[[#This Row],[NetRevenue_Clean]])</f>
        <v>426.06</v>
      </c>
      <c r="AH66" t="str">
        <f>IF(Transaction[[#This Row],[Quantity]]*Transaction[[#This Row],[UnitPrice_Clean]]=Transaction[[#This Row],[NetRevenue_Clean]],"Valid","Invalid")</f>
        <v>Valid</v>
      </c>
      <c r="AI66" t="s">
        <v>23</v>
      </c>
      <c r="AJ66" t="s">
        <v>2936</v>
      </c>
      <c r="AK66" t="str">
        <f>IF(Transaction[[#This Row],[Salesperson]]="","Missing Value",TRIM(PROPER(Transaction[[#This Row],[Salesperson]])))</f>
        <v>Walker-Ap</v>
      </c>
      <c r="AL66" t="s">
        <v>55</v>
      </c>
      <c r="AM66" t="str">
        <f>IF(Transaction[[#This Row],[ContractType]]="","Missing Value",Transaction[[#This Row],[ContractType]])</f>
        <v>Spot</v>
      </c>
      <c r="AN66" t="s">
        <v>35</v>
      </c>
    </row>
    <row r="67" spans="1:40" x14ac:dyDescent="0.25">
      <c r="A67" t="s">
        <v>2899</v>
      </c>
      <c r="B67" t="s">
        <v>2900</v>
      </c>
      <c r="C6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6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6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7" s="2">
        <f>IFERROR(DATE(Transaction[[#This Row],[TransactionDateY]],Transaction[[#This Row],[TransactionDateM]],Transaction[[#This Row],[TransactionDateD]]),"Missing Value")</f>
        <v>45662</v>
      </c>
      <c r="G67" t="s">
        <v>647</v>
      </c>
      <c r="H67" t="str">
        <f>IFERROR(VLOOKUP(Transaction[[#This Row],[CustomerID]],Custumer[],1,0),IF(LEN(Transaction[[#This Row],[CustomerID]])=7,LEFT(Transaction[[#This Row],[CustomerID]],6),"Invalid ID"))</f>
        <v>C-1085</v>
      </c>
      <c r="I67" t="s">
        <v>39</v>
      </c>
      <c r="J67" t="str">
        <f>TRIM(UPPER(Transaction[[#This Row],[ProductID]]))</f>
        <v>P-FS-006</v>
      </c>
      <c r="K67" t="str">
        <f>IFERROR(VLOOKUP(Transaction[[#This Row],[ProductID_Clean]],Product[],1,FALSE),"Invalid ID")</f>
        <v>P-FS-006</v>
      </c>
      <c r="L67" t="str">
        <f>TRIM(SUBSTITUTE(SUBSTITUTE(SUBSTITUTE(SUBSTITUTE(UPPER(Transaction[[#This Row],[Region]]),"EMEA REGION","EMEA"),"APAC REGION","APAC"),"NORTH AMERICA","N. AMERICA"),"N .AMERICA","N.AMERICA"))</f>
        <v>APAC</v>
      </c>
      <c r="M67" t="s">
        <v>122</v>
      </c>
      <c r="N67" t="s">
        <v>21</v>
      </c>
      <c r="O67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67" t="s">
        <v>40</v>
      </c>
      <c r="Q67" t="str">
        <f>IF(TRIM(Transaction[[#This Row],[SalesChannel]])="","Missing Value",TRIM(Transaction[[#This Row],[SalesChannel]]))</f>
        <v>Distributor</v>
      </c>
      <c r="R67" s="4">
        <v>1</v>
      </c>
      <c r="S67" s="4" t="str">
        <f>IF(Transaction[[#This Row],[Quantity]]&lt;0,"Negative-review","Valid")</f>
        <v>Valid</v>
      </c>
      <c r="T67">
        <v>940.96</v>
      </c>
      <c r="U6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940.96</v>
      </c>
      <c r="V67">
        <v>1450</v>
      </c>
      <c r="W67">
        <v>1450</v>
      </c>
      <c r="X6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67">
        <f>IF(Transaction[[#This Row],[GrossRevenue_Check]]="Invalid",Transaction[[#This Row],[ListPrice]]*Transaction[[#This Row],[Quantity]],Transaction[[#This Row],[GrossRevenue_Clean]])</f>
        <v>1450</v>
      </c>
      <c r="Z67" t="str">
        <f>IF(Transaction[[#This Row],[GrossRevenue_Clean]]=Transaction[[#This Row],[ListPrice]]*Transaction[[#This Row],[Quantity]],"Valid","Invalid")</f>
        <v>Valid</v>
      </c>
      <c r="AB6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67">
        <f>IF(Transaction[[#This Row],[DiscountAmount_Check2]]="Invalid",Transaction[[#This Row],[GrossRevenue_Analytical]]-Transaction[[#This Row],[NetRevenue_Analytical]],Transaction[[#This Row],[DiscountAmount_Clean]])</f>
        <v>509.03999999999996</v>
      </c>
      <c r="AD67">
        <v>940.96</v>
      </c>
      <c r="AE67" t="str">
        <f>IF(ROUND(Transaction[[#This Row],[GrossRevenue_Analytical]]-Transaction[[#This Row],[NetRevenue_Analytical]],2)=ROUND(Transaction[[#This Row],[DiscountAmount_Clean]],2),"Valid","Invalid")</f>
        <v>Invalid</v>
      </c>
      <c r="AF67">
        <f>VALUE(IF(ISNUMBER(Transaction[[#This Row],[NetRevenue]]),Transaction[[#This Row],[NetRevenue]],IFERROR(IF(FIND("$",Transaction[[#This Row],[NetRevenue]])&gt;0,MID(Transaction[[#This Row],[NetRevenue]],2,10)),Transaction[[#This Row],[NetRevenue]])))</f>
        <v>940.96</v>
      </c>
      <c r="AG67">
        <f>IF(Transaction[[#This Row],[NetRevenue_Check]]="Invalid",(Transaction[[#This Row],[Quantity]]*Transaction[[#This Row],[UnitPrice_Clean]]),Transaction[[#This Row],[NetRevenue_Clean]])</f>
        <v>940.96</v>
      </c>
      <c r="AH67" t="str">
        <f>IF(Transaction[[#This Row],[Quantity]]*Transaction[[#This Row],[UnitPrice_Clean]]=Transaction[[#This Row],[NetRevenue_Clean]],"Valid","Invalid")</f>
        <v>Valid</v>
      </c>
      <c r="AI67" t="s">
        <v>23</v>
      </c>
      <c r="AJ67" t="s">
        <v>383</v>
      </c>
      <c r="AK67" t="str">
        <f>IF(Transaction[[#This Row],[Salesperson]]="","Missing Value",TRIM(PROPER(Transaction[[#This Row],[Salesperson]])))</f>
        <v>White</v>
      </c>
      <c r="AL67" t="s">
        <v>42</v>
      </c>
      <c r="AM67" t="str">
        <f>IF(Transaction[[#This Row],[ContractType]]="","Missing Value",Transaction[[#This Row],[ContractType]])</f>
        <v>Standard PO</v>
      </c>
      <c r="AN67" t="s">
        <v>26</v>
      </c>
    </row>
    <row r="68" spans="1:40" x14ac:dyDescent="0.25">
      <c r="A68" t="s">
        <v>1320</v>
      </c>
      <c r="B68" s="1">
        <v>45727</v>
      </c>
      <c r="C6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6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6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8" s="2">
        <f>IFERROR(DATE(Transaction[[#This Row],[TransactionDateY]],Transaction[[#This Row],[TransactionDateM]],Transaction[[#This Row],[TransactionDateD]]),"Missing Value")</f>
        <v>45727</v>
      </c>
      <c r="G68" t="s">
        <v>1321</v>
      </c>
      <c r="H68" t="str">
        <f>IFERROR(VLOOKUP(Transaction[[#This Row],[CustomerID]],Custumer[],1,0),IF(LEN(Transaction[[#This Row],[CustomerID]])=7,LEFT(Transaction[[#This Row],[CustomerID]],6),"Invalid ID"))</f>
        <v>C-1066</v>
      </c>
      <c r="I68" t="s">
        <v>97</v>
      </c>
      <c r="J68" t="str">
        <f>TRIM(UPPER(Transaction[[#This Row],[ProductID]]))</f>
        <v>P-SI-001</v>
      </c>
      <c r="K68" t="str">
        <f>IFERROR(VLOOKUP(Transaction[[#This Row],[ProductID_Clean]],Product[],1,FALSE),"Invalid ID")</f>
        <v>P-SI-001</v>
      </c>
      <c r="L68" t="str">
        <f>TRIM(SUBSTITUTE(SUBSTITUTE(SUBSTITUTE(SUBSTITUTE(UPPER(Transaction[[#This Row],[Region]]),"EMEA REGION","EMEA"),"APAC REGION","APAC"),"NORTH AMERICA","N. AMERICA"),"N .AMERICA","N.AMERICA"))</f>
        <v>EMEA</v>
      </c>
      <c r="M68" t="s">
        <v>76</v>
      </c>
      <c r="N68" t="s">
        <v>53</v>
      </c>
      <c r="O6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8" t="s">
        <v>22</v>
      </c>
      <c r="Q68" t="str">
        <f>IF(TRIM(Transaction[[#This Row],[SalesChannel]])="","Missing Value",TRIM(Transaction[[#This Row],[SalesChannel]]))</f>
        <v>Direct</v>
      </c>
      <c r="R68" s="4">
        <v>3</v>
      </c>
      <c r="S68" s="4" t="str">
        <f>IF(Transaction[[#This Row],[Quantity]]&lt;0,"Negative-review","Valid")</f>
        <v>Valid</v>
      </c>
      <c r="T68">
        <v>449.65</v>
      </c>
      <c r="U6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449.65</v>
      </c>
      <c r="V68">
        <v>485</v>
      </c>
      <c r="W68">
        <v>1455</v>
      </c>
      <c r="X6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68">
        <f>IF(Transaction[[#This Row],[GrossRevenue_Check]]="Invalid",Transaction[[#This Row],[ListPrice]]*Transaction[[#This Row],[Quantity]],Transaction[[#This Row],[GrossRevenue_Clean]])</f>
        <v>1455</v>
      </c>
      <c r="Z68" t="str">
        <f>IF(Transaction[[#This Row],[GrossRevenue_Clean]]=Transaction[[#This Row],[ListPrice]]*Transaction[[#This Row],[Quantity]],"Valid","Invalid")</f>
        <v>Valid</v>
      </c>
      <c r="AA68" t="s">
        <v>1322</v>
      </c>
      <c r="AB6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106.05</v>
      </c>
      <c r="AC68">
        <f>IF(Transaction[[#This Row],[DiscountAmount_Check2]]="Invalid",Transaction[[#This Row],[GrossRevenue_Analytical]]-Transaction[[#This Row],[NetRevenue_Analytical]],Transaction[[#This Row],[DiscountAmount_Clean]])</f>
        <v>106.05</v>
      </c>
      <c r="AD68">
        <v>1348.95</v>
      </c>
      <c r="AE68" t="str">
        <f>IF(ROUND(Transaction[[#This Row],[GrossRevenue_Analytical]]-Transaction[[#This Row],[NetRevenue_Analytical]],2)=ROUND(Transaction[[#This Row],[DiscountAmount_Clean]],2),"Valid","Invalid")</f>
        <v>Valid</v>
      </c>
      <c r="AF6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1348.95</v>
      </c>
      <c r="AG68">
        <f>IF(Transaction[[#This Row],[NetRevenue_Check]]="Invalid",(Transaction[[#This Row],[Quantity]]*Transaction[[#This Row],[UnitPrice_Clean]]),Transaction[[#This Row],[NetRevenue_Clean]])</f>
        <v>1348.95</v>
      </c>
      <c r="AH68" t="str">
        <f>IF(Transaction[[#This Row],[Quantity]]*Transaction[[#This Row],[UnitPrice_Clean]]=Transaction[[#This Row],[NetRevenue_Clean]],"Valid","Invalid")</f>
        <v>Valid</v>
      </c>
      <c r="AI68" t="s">
        <v>23</v>
      </c>
      <c r="AJ68" t="s">
        <v>1323</v>
      </c>
      <c r="AK68" t="str">
        <f>IF(Transaction[[#This Row],[Salesperson]]="","Missing Value",TRIM(PROPER(Transaction[[#This Row],[Salesperson]])))</f>
        <v>Brown-Em</v>
      </c>
      <c r="AL68" t="s">
        <v>25</v>
      </c>
      <c r="AM68" t="str">
        <f>IF(Transaction[[#This Row],[ContractType]]="","Missing Value",Transaction[[#This Row],[ContractType]])</f>
        <v>Frame Agreement</v>
      </c>
      <c r="AN68" t="s">
        <v>26</v>
      </c>
    </row>
    <row r="69" spans="1:40" x14ac:dyDescent="0.25">
      <c r="A69" t="s">
        <v>1327</v>
      </c>
      <c r="B69" s="1">
        <v>45795</v>
      </c>
      <c r="C6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6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6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9" s="2">
        <f>IFERROR(DATE(Transaction[[#This Row],[TransactionDateY]],Transaction[[#This Row],[TransactionDateM]],Transaction[[#This Row],[TransactionDateD]]),"Missing Value")</f>
        <v>45795</v>
      </c>
      <c r="G69" t="s">
        <v>571</v>
      </c>
      <c r="H69" t="str">
        <f>IFERROR(VLOOKUP(Transaction[[#This Row],[CustomerID]],Custumer[],1,0),IF(LEN(Transaction[[#This Row],[CustomerID]])=7,LEFT(Transaction[[#This Row],[CustomerID]],6),"Invalid ID"))</f>
        <v>C-1060</v>
      </c>
      <c r="I69" t="s">
        <v>29</v>
      </c>
      <c r="J69" t="str">
        <f>TRIM(UPPER(Transaction[[#This Row],[ProductID]]))</f>
        <v>P-SA-001</v>
      </c>
      <c r="K69" t="str">
        <f>IFERROR(VLOOKUP(Transaction[[#This Row],[ProductID_Clean]],Product[],1,FALSE),"Invalid ID")</f>
        <v>P-SA-001</v>
      </c>
      <c r="L69" t="str">
        <f>TRIM(SUBSTITUTE(SUBSTITUTE(SUBSTITUTE(SUBSTITUTE(UPPER(Transaction[[#This Row],[Region]]),"EMEA REGION","EMEA"),"APAC REGION","APAC"),"NORTH AMERICA","N. AMERICA"),"N .AMERICA","N.AMERICA"))</f>
        <v>APAC</v>
      </c>
      <c r="M69" t="s">
        <v>30</v>
      </c>
      <c r="N69" t="s">
        <v>572</v>
      </c>
      <c r="O6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69" t="s">
        <v>22</v>
      </c>
      <c r="Q69" t="str">
        <f>IF(TRIM(Transaction[[#This Row],[SalesChannel]])="","Missing Value",TRIM(Transaction[[#This Row],[SalesChannel]]))</f>
        <v>Direct</v>
      </c>
      <c r="R69" s="4">
        <v>1</v>
      </c>
      <c r="S69" s="4" t="str">
        <f>IF(Transaction[[#This Row],[Quantity]]&lt;0,"Negative-review","Valid")</f>
        <v>Valid</v>
      </c>
      <c r="T69">
        <v>3712.82</v>
      </c>
      <c r="U6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3712.82</v>
      </c>
      <c r="V69">
        <v>4200</v>
      </c>
      <c r="W69">
        <v>4200</v>
      </c>
      <c r="X6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69">
        <f>IF(Transaction[[#This Row],[GrossRevenue_Check]]="Invalid",Transaction[[#This Row],[ListPrice]]*Transaction[[#This Row],[Quantity]],Transaction[[#This Row],[GrossRevenue_Clean]])</f>
        <v>4200</v>
      </c>
      <c r="Z69" t="str">
        <f>IF(Transaction[[#This Row],[GrossRevenue_Clean]]=Transaction[[#This Row],[ListPrice]]*Transaction[[#This Row],[Quantity]],"Valid","Invalid")</f>
        <v>Valid</v>
      </c>
      <c r="AA69">
        <v>487.18</v>
      </c>
      <c r="AB6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487.18</v>
      </c>
      <c r="AC69">
        <f>IF(Transaction[[#This Row],[DiscountAmount_Check2]]="Invalid",Transaction[[#This Row],[GrossRevenue_Analytical]]-Transaction[[#This Row],[NetRevenue_Analytical]],Transaction[[#This Row],[DiscountAmount_Clean]])</f>
        <v>487.18</v>
      </c>
      <c r="AD69" t="s">
        <v>1328</v>
      </c>
      <c r="AE69" t="str">
        <f>IF(ROUND(Transaction[[#This Row],[GrossRevenue_Analytical]]-Transaction[[#This Row],[NetRevenue_Analytical]],2)=ROUND(Transaction[[#This Row],[DiscountAmount_Clean]],2),"Valid","Invalid")</f>
        <v>Valid</v>
      </c>
      <c r="AF69">
        <f>VALUE(IF(ISNUMBER(Transaction[[#This Row],[NetRevenue]]),Transaction[[#This Row],[NetRevenue]],IFERROR(IF(FIND("$",Transaction[[#This Row],[NetRevenue]])&gt;0,MID(Transaction[[#This Row],[NetRevenue]],2,10)),Transaction[[#This Row],[NetRevenue]])))</f>
        <v>3712.82</v>
      </c>
      <c r="AG69">
        <f>IF(Transaction[[#This Row],[NetRevenue_Check]]="Invalid",(Transaction[[#This Row],[Quantity]]*Transaction[[#This Row],[UnitPrice_Clean]]),Transaction[[#This Row],[NetRevenue_Clean]])</f>
        <v>3712.82</v>
      </c>
      <c r="AH69" t="str">
        <f>IF(Transaction[[#This Row],[Quantity]]*Transaction[[#This Row],[UnitPrice_Clean]]=Transaction[[#This Row],[NetRevenue_Clean]],"Valid","Invalid")</f>
        <v>Valid</v>
      </c>
      <c r="AI69" t="s">
        <v>23</v>
      </c>
      <c r="AJ69" t="s">
        <v>1329</v>
      </c>
      <c r="AK69" t="str">
        <f>IF(Transaction[[#This Row],[Salesperson]]="","Missing Value",TRIM(PROPER(Transaction[[#This Row],[Salesperson]])))</f>
        <v>Harris-Na</v>
      </c>
      <c r="AL69" t="s">
        <v>210</v>
      </c>
      <c r="AM69" t="str">
        <f>IF(Transaction[[#This Row],[ContractType]]="","Missing Value",Transaction[[#This Row],[ContractType]])</f>
        <v>Perpetual</v>
      </c>
      <c r="AN69" t="s">
        <v>43</v>
      </c>
    </row>
    <row r="70" spans="1:40" x14ac:dyDescent="0.25">
      <c r="A70" t="s">
        <v>1137</v>
      </c>
      <c r="B70" t="s">
        <v>1138</v>
      </c>
      <c r="C7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7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06</v>
      </c>
      <c r="E7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0" s="2">
        <f>IFERROR(DATE(Transaction[[#This Row],[TransactionDateY]],Transaction[[#This Row],[TransactionDateM]],Transaction[[#This Row],[TransactionDateD]]),"Missing Value")</f>
        <v>45663</v>
      </c>
      <c r="G70" t="s">
        <v>135</v>
      </c>
      <c r="H70" t="str">
        <f>IFERROR(VLOOKUP(Transaction[[#This Row],[CustomerID]],Custumer[],1,0),IF(LEN(Transaction[[#This Row],[CustomerID]])=7,LEFT(Transaction[[#This Row],[CustomerID]],6),"Invalid ID"))</f>
        <v>C-1112</v>
      </c>
      <c r="I70" t="s">
        <v>46</v>
      </c>
      <c r="J70" t="str">
        <f>TRIM(UPPER(Transaction[[#This Row],[ProductID]]))</f>
        <v>P-SI-006</v>
      </c>
      <c r="K70" t="str">
        <f>IFERROR(VLOOKUP(Transaction[[#This Row],[ProductID_Clean]],Product[],1,FALSE),"Invalid ID")</f>
        <v>P-SI-006</v>
      </c>
      <c r="L70" t="str">
        <f>TRIM(SUBSTITUTE(SUBSTITUTE(SUBSTITUTE(SUBSTITUTE(UPPER(Transaction[[#This Row],[Region]]),"EMEA REGION","EMEA"),"APAC REGION","APAC"),"NORTH AMERICA","N. AMERICA"),"N .AMERICA","N.AMERICA"))</f>
        <v>N. AMERICA</v>
      </c>
      <c r="M70" t="s">
        <v>20</v>
      </c>
      <c r="N70" t="s">
        <v>47</v>
      </c>
      <c r="O7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0" t="s">
        <v>40</v>
      </c>
      <c r="Q70" t="str">
        <f>IF(TRIM(Transaction[[#This Row],[SalesChannel]])="","Missing Value",TRIM(Transaction[[#This Row],[SalesChannel]]))</f>
        <v>Distributor</v>
      </c>
      <c r="R70" s="4">
        <v>1</v>
      </c>
      <c r="S70" s="4" t="str">
        <f>IF(Transaction[[#This Row],[Quantity]]&lt;0,"Negative-review","Valid")</f>
        <v>Valid</v>
      </c>
      <c r="T70">
        <v>10.75</v>
      </c>
      <c r="U7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10.75</v>
      </c>
      <c r="V70">
        <v>215</v>
      </c>
      <c r="W70">
        <v>215</v>
      </c>
      <c r="X7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70">
        <f>IF(Transaction[[#This Row],[GrossRevenue_Check]]="Invalid",Transaction[[#This Row],[ListPrice]]*Transaction[[#This Row],[Quantity]],Transaction[[#This Row],[GrossRevenue_Clean]])</f>
        <v>215</v>
      </c>
      <c r="Z70" t="str">
        <f>IF(Transaction[[#This Row],[GrossRevenue_Clean]]=Transaction[[#This Row],[ListPrice]]*Transaction[[#This Row],[Quantity]],"Valid","Invalid")</f>
        <v>Valid</v>
      </c>
      <c r="AA70">
        <v>69.19</v>
      </c>
      <c r="AB7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69.19</v>
      </c>
      <c r="AC70">
        <f>IF(Transaction[[#This Row],[DiscountAmount_Check2]]="Invalid",Transaction[[#This Row],[GrossRevenue_Analytical]]-Transaction[[#This Row],[NetRevenue_Analytical]],Transaction[[#This Row],[DiscountAmount_Clean]])</f>
        <v>204.25</v>
      </c>
      <c r="AD70">
        <v>145.81</v>
      </c>
      <c r="AE70" t="str">
        <f>IF(ROUND(Transaction[[#This Row],[GrossRevenue_Analytical]]-Transaction[[#This Row],[NetRevenue_Analytical]],2)=ROUND(Transaction[[#This Row],[DiscountAmount_Clean]],2),"Valid","Invalid")</f>
        <v>Invalid</v>
      </c>
      <c r="AF7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145.81</v>
      </c>
      <c r="AG70">
        <f>IF(Transaction[[#This Row],[NetRevenue_Check]]="Invalid",(Transaction[[#This Row],[Quantity]]*Transaction[[#This Row],[UnitPrice_Clean]]),Transaction[[#This Row],[NetRevenue_Clean]])</f>
        <v>10.75</v>
      </c>
      <c r="AH70" t="str">
        <f>IF(Transaction[[#This Row],[Quantity]]*Transaction[[#This Row],[UnitPrice_Clean]]=Transaction[[#This Row],[NetRevenue_Clean]],"Valid","Invalid")</f>
        <v>Invalid</v>
      </c>
      <c r="AI70" t="s">
        <v>23</v>
      </c>
      <c r="AJ70" t="s">
        <v>1139</v>
      </c>
      <c r="AK70" t="str">
        <f>IF(Transaction[[#This Row],[Salesperson]]="","Missing Value",TRIM(PROPER(Transaction[[#This Row],[Salesperson]])))</f>
        <v>Robinson-Na</v>
      </c>
      <c r="AL70" t="s">
        <v>25</v>
      </c>
      <c r="AM70" t="str">
        <f>IF(Transaction[[#This Row],[ContractType]]="","Missing Value",Transaction[[#This Row],[ContractType]])</f>
        <v>Frame Agreement</v>
      </c>
      <c r="AN70" t="s">
        <v>43</v>
      </c>
    </row>
    <row r="71" spans="1:40" x14ac:dyDescent="0.25">
      <c r="A71" t="s">
        <v>1726</v>
      </c>
      <c r="B71" s="1">
        <v>45651</v>
      </c>
      <c r="C7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12</v>
      </c>
      <c r="D7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7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2024</v>
      </c>
      <c r="F71" s="2">
        <f>IFERROR(DATE(Transaction[[#This Row],[TransactionDateY]],Transaction[[#This Row],[TransactionDateM]],Transaction[[#This Row],[TransactionDateD]]),"Missing Value")</f>
        <v>45651</v>
      </c>
      <c r="G71" t="s">
        <v>1727</v>
      </c>
      <c r="H71" t="str">
        <f>IFERROR(VLOOKUP(Transaction[[#This Row],[CustomerID]],Custumer[],1,0),IF(LEN(Transaction[[#This Row],[CustomerID]])=7,LEFT(Transaction[[#This Row],[CustomerID]],6),"Invalid ID"))</f>
        <v>C-1077</v>
      </c>
      <c r="I71" t="s">
        <v>268</v>
      </c>
      <c r="J71" t="str">
        <f>TRIM(UPPER(Transaction[[#This Row],[ProductID]]))</f>
        <v>P-FS-002</v>
      </c>
      <c r="K71" t="str">
        <f>IFERROR(VLOOKUP(Transaction[[#This Row],[ProductID_Clean]],Product[],1,FALSE),"Invalid ID")</f>
        <v>P-FS-002</v>
      </c>
      <c r="L71" t="str">
        <f>TRIM(SUBSTITUTE(SUBSTITUTE(SUBSTITUTE(SUBSTITUTE(UPPER(Transaction[[#This Row],[Region]]),"EMEA REGION","EMEA"),"APAC REGION","APAC"),"NORTH AMERICA","N. AMERICA"),"N .AMERICA","N.AMERICA"))</f>
        <v>EMEA</v>
      </c>
      <c r="M71" t="s">
        <v>76</v>
      </c>
      <c r="N71" t="s">
        <v>771</v>
      </c>
      <c r="O71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71" t="s">
        <v>40</v>
      </c>
      <c r="Q71" t="str">
        <f>IF(TRIM(Transaction[[#This Row],[SalesChannel]])="","Missing Value",TRIM(Transaction[[#This Row],[SalesChannel]]))</f>
        <v>Distributor</v>
      </c>
      <c r="R71" s="4">
        <v>1</v>
      </c>
      <c r="S71" s="4" t="str">
        <f>IF(Transaction[[#This Row],[Quantity]]&lt;0,"Negative-review","Valid")</f>
        <v>Valid</v>
      </c>
      <c r="T71">
        <v>2165.8200000000002</v>
      </c>
      <c r="U7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2165.8200000000002</v>
      </c>
      <c r="V71">
        <v>2400</v>
      </c>
      <c r="W71">
        <v>2400</v>
      </c>
      <c r="X7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71">
        <f>IF(Transaction[[#This Row],[GrossRevenue_Check]]="Invalid",Transaction[[#This Row],[ListPrice]]*Transaction[[#This Row],[Quantity]],Transaction[[#This Row],[GrossRevenue_Clean]])</f>
        <v>2400</v>
      </c>
      <c r="Z71" t="str">
        <f>IF(Transaction[[#This Row],[GrossRevenue_Clean]]=Transaction[[#This Row],[ListPrice]]*Transaction[[#This Row],[Quantity]],"Valid","Invalid")</f>
        <v>Valid</v>
      </c>
      <c r="AA71">
        <v>234.18</v>
      </c>
      <c r="AB7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234.18</v>
      </c>
      <c r="AC71">
        <f>IF(Transaction[[#This Row],[DiscountAmount_Check2]]="Invalid",Transaction[[#This Row],[GrossRevenue_Analytical]]-Transaction[[#This Row],[NetRevenue_Analytical]],Transaction[[#This Row],[DiscountAmount_Clean]])</f>
        <v>234.18</v>
      </c>
      <c r="AD71">
        <v>2165.8200000000002</v>
      </c>
      <c r="AE71" t="str">
        <f>IF(ROUND(Transaction[[#This Row],[GrossRevenue_Analytical]]-Transaction[[#This Row],[NetRevenue_Analytical]],2)=ROUND(Transaction[[#This Row],[DiscountAmount_Clean]],2),"Valid","Invalid")</f>
        <v>Valid</v>
      </c>
      <c r="AF7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2165.8200000000002</v>
      </c>
      <c r="AG71">
        <f>IF(Transaction[[#This Row],[NetRevenue_Check]]="Invalid",(Transaction[[#This Row],[Quantity]]*Transaction[[#This Row],[UnitPrice_Clean]]),Transaction[[#This Row],[NetRevenue_Clean]])</f>
        <v>2165.8200000000002</v>
      </c>
      <c r="AH71" t="str">
        <f>IF(Transaction[[#This Row],[Quantity]]*Transaction[[#This Row],[UnitPrice_Clean]]=Transaction[[#This Row],[NetRevenue_Clean]],"Valid","Invalid")</f>
        <v>Valid</v>
      </c>
      <c r="AI71" t="s">
        <v>23</v>
      </c>
      <c r="AJ71" t="s">
        <v>1350</v>
      </c>
      <c r="AK71" t="str">
        <f>IF(Transaction[[#This Row],[Salesperson]]="","Missing Value",TRIM(PROPER(Transaction[[#This Row],[Salesperson]])))</f>
        <v>Thompson</v>
      </c>
      <c r="AL71" t="s">
        <v>224</v>
      </c>
      <c r="AM71" t="str">
        <f>IF(Transaction[[#This Row],[ContractType]]="","Missing Value",Transaction[[#This Row],[ContractType]])</f>
        <v>Annual</v>
      </c>
      <c r="AN71" t="s">
        <v>49</v>
      </c>
    </row>
    <row r="72" spans="1:40" x14ac:dyDescent="0.25">
      <c r="A72" t="s">
        <v>1916</v>
      </c>
      <c r="B72" s="1">
        <v>45809</v>
      </c>
      <c r="C7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7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7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2" s="2">
        <f>IFERROR(DATE(Transaction[[#This Row],[TransactionDateY]],Transaction[[#This Row],[TransactionDateM]],Transaction[[#This Row],[TransactionDateD]]),"Missing Value")</f>
        <v>45809</v>
      </c>
      <c r="G72" t="s">
        <v>167</v>
      </c>
      <c r="H72" t="str">
        <f>IFERROR(VLOOKUP(Transaction[[#This Row],[CustomerID]],Custumer[],1,0),IF(LEN(Transaction[[#This Row],[CustomerID]])=7,LEFT(Transaction[[#This Row],[CustomerID]],6),"Invalid ID"))</f>
        <v>C-1008</v>
      </c>
      <c r="I72" t="s">
        <v>29</v>
      </c>
      <c r="J72" t="str">
        <f>TRIM(UPPER(Transaction[[#This Row],[ProductID]]))</f>
        <v>P-SA-001</v>
      </c>
      <c r="K72" t="str">
        <f>IFERROR(VLOOKUP(Transaction[[#This Row],[ProductID_Clean]],Product[],1,FALSE),"Invalid ID")</f>
        <v>P-SA-001</v>
      </c>
      <c r="L72" t="str">
        <f>TRIM(SUBSTITUTE(SUBSTITUTE(SUBSTITUTE(SUBSTITUTE(UPPER(Transaction[[#This Row],[Region]]),"EMEA REGION","EMEA"),"APAC REGION","APAC"),"NORTH AMERICA","N. AMERICA"),"N .AMERICA","N.AMERICA"))</f>
        <v>N. AMERICA</v>
      </c>
      <c r="M72" t="s">
        <v>20</v>
      </c>
      <c r="N72" t="s">
        <v>31</v>
      </c>
      <c r="O7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Q72" t="str">
        <f>IF(TRIM(Transaction[[#This Row],[SalesChannel]])="","Missing Value",TRIM(Transaction[[#This Row],[SalesChannel]]))</f>
        <v>Missing Value</v>
      </c>
      <c r="R72" s="4">
        <v>5</v>
      </c>
      <c r="S72" s="4" t="str">
        <f>IF(Transaction[[#This Row],[Quantity]]&lt;0,"Negative-review","Valid")</f>
        <v>Valid</v>
      </c>
      <c r="T72">
        <v>3007.23</v>
      </c>
      <c r="U7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3007.23</v>
      </c>
      <c r="V72">
        <v>4200</v>
      </c>
      <c r="W72">
        <v>21000</v>
      </c>
      <c r="X7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21000</v>
      </c>
      <c r="Y72">
        <f>IF(Transaction[[#This Row],[GrossRevenue_Check]]="Invalid",Transaction[[#This Row],[ListPrice]]*Transaction[[#This Row],[Quantity]],Transaction[[#This Row],[GrossRevenue_Clean]])</f>
        <v>21000</v>
      </c>
      <c r="Z72" t="str">
        <f>IF(Transaction[[#This Row],[GrossRevenue_Clean]]=Transaction[[#This Row],[ListPrice]]*Transaction[[#This Row],[Quantity]],"Valid","Invalid")</f>
        <v>Valid</v>
      </c>
      <c r="AA72">
        <v>5963.85</v>
      </c>
      <c r="AB7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5963.85</v>
      </c>
      <c r="AC72">
        <f>IF(Transaction[[#This Row],[DiscountAmount_Check2]]="Invalid",Transaction[[#This Row],[GrossRevenue_Analytical]]-Transaction[[#This Row],[NetRevenue_Analytical]],Transaction[[#This Row],[DiscountAmount_Clean]])</f>
        <v>5963.85</v>
      </c>
      <c r="AD72">
        <v>15036.15</v>
      </c>
      <c r="AE72" t="str">
        <f>IF(ROUND(Transaction[[#This Row],[GrossRevenue_Analytical]]-Transaction[[#This Row],[NetRevenue_Analytical]],2)=ROUND(Transaction[[#This Row],[DiscountAmount_Clean]],2),"Valid","Invalid")</f>
        <v>Valid</v>
      </c>
      <c r="AF7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15036.15</v>
      </c>
      <c r="AG72">
        <f>IF(Transaction[[#This Row],[NetRevenue_Check]]="Invalid",(Transaction[[#This Row],[Quantity]]*Transaction[[#This Row],[UnitPrice_Clean]]),Transaction[[#This Row],[NetRevenue_Clean]])</f>
        <v>15036.15</v>
      </c>
      <c r="AH72" t="str">
        <f>IF(Transaction[[#This Row],[Quantity]]*Transaction[[#This Row],[UnitPrice_Clean]]=Transaction[[#This Row],[NetRevenue_Clean]],"Valid","Invalid")</f>
        <v>Valid</v>
      </c>
      <c r="AI72" t="s">
        <v>23</v>
      </c>
      <c r="AJ72" t="s">
        <v>287</v>
      </c>
      <c r="AK72" t="str">
        <f>IF(Transaction[[#This Row],[Salesperson]]="","Missing Value",TRIM(PROPER(Transaction[[#This Row],[Salesperson]])))</f>
        <v>Saunders</v>
      </c>
      <c r="AL72" t="s">
        <v>34</v>
      </c>
      <c r="AM72" t="str">
        <f>IF(Transaction[[#This Row],[ContractType]]="","Missing Value",Transaction[[#This Row],[ContractType]])</f>
        <v>Annual License</v>
      </c>
      <c r="AN72" t="s">
        <v>26</v>
      </c>
    </row>
    <row r="73" spans="1:40" x14ac:dyDescent="0.25">
      <c r="A73" t="s">
        <v>582</v>
      </c>
      <c r="B73" s="1">
        <v>45740</v>
      </c>
      <c r="C7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7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7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3" s="2">
        <f>IFERROR(DATE(Transaction[[#This Row],[TransactionDateY]],Transaction[[#This Row],[TransactionDateM]],Transaction[[#This Row],[TransactionDateD]]),"Missing Value")</f>
        <v>45740</v>
      </c>
      <c r="G73" t="s">
        <v>541</v>
      </c>
      <c r="H73" t="str">
        <f>IFERROR(VLOOKUP(Transaction[[#This Row],[CustomerID]],Custumer[],1,0),IF(LEN(Transaction[[#This Row],[CustomerID]])=7,LEFT(Transaction[[#This Row],[CustomerID]],6),"Invalid ID"))</f>
        <v>C-1075</v>
      </c>
      <c r="I73" t="s">
        <v>121</v>
      </c>
      <c r="J73" t="str">
        <f>TRIM(UPPER(Transaction[[#This Row],[ProductID]]))</f>
        <v>P-FS-001</v>
      </c>
      <c r="K73" t="str">
        <f>IFERROR(VLOOKUP(Transaction[[#This Row],[ProductID_Clean]],Product[],1,FALSE),"Invalid ID")</f>
        <v>P-FS-001</v>
      </c>
      <c r="L73" t="str">
        <f>TRIM(SUBSTITUTE(SUBSTITUTE(SUBSTITUTE(SUBSTITUTE(UPPER(Transaction[[#This Row],[Region]]),"EMEA REGION","EMEA"),"APAC REGION","APAC"),"NORTH AMERICA","N. AMERICA"),"N .AMERICA","N.AMERICA"))</f>
        <v>N. AMERICA</v>
      </c>
      <c r="M73" t="s">
        <v>20</v>
      </c>
      <c r="N73" t="s">
        <v>244</v>
      </c>
      <c r="O7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73" t="s">
        <v>22</v>
      </c>
      <c r="Q73" t="str">
        <f>IF(TRIM(Transaction[[#This Row],[SalesChannel]])="","Missing Value",TRIM(Transaction[[#This Row],[SalesChannel]]))</f>
        <v>Direct</v>
      </c>
      <c r="R73" s="4">
        <v>1</v>
      </c>
      <c r="S73" s="4" t="str">
        <f>IF(Transaction[[#This Row],[Quantity]]&lt;0,"Negative-review","Valid")</f>
        <v>Valid</v>
      </c>
      <c r="T73">
        <v>1440.79</v>
      </c>
      <c r="U7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1440.79</v>
      </c>
      <c r="V73">
        <v>1850</v>
      </c>
      <c r="W73">
        <v>1850</v>
      </c>
      <c r="X7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73">
        <f>IF(Transaction[[#This Row],[GrossRevenue_Check]]="Invalid",Transaction[[#This Row],[ListPrice]]*Transaction[[#This Row],[Quantity]],Transaction[[#This Row],[GrossRevenue_Clean]])</f>
        <v>1850</v>
      </c>
      <c r="Z73" t="str">
        <f>IF(Transaction[[#This Row],[GrossRevenue_Clean]]=Transaction[[#This Row],[ListPrice]]*Transaction[[#This Row],[Quantity]],"Valid","Invalid")</f>
        <v>Valid</v>
      </c>
      <c r="AA73">
        <v>409.21</v>
      </c>
      <c r="AB7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409.21</v>
      </c>
      <c r="AC73">
        <f>IF(Transaction[[#This Row],[DiscountAmount_Check2]]="Invalid",Transaction[[#This Row],[GrossRevenue_Analytical]]-Transaction[[#This Row],[NetRevenue_Analytical]],Transaction[[#This Row],[DiscountAmount_Clean]])</f>
        <v>409.21</v>
      </c>
      <c r="AD73">
        <v>1440.79</v>
      </c>
      <c r="AE73" t="str">
        <f>IF(ROUND(Transaction[[#This Row],[GrossRevenue_Analytical]]-Transaction[[#This Row],[NetRevenue_Analytical]],2)=ROUND(Transaction[[#This Row],[DiscountAmount_Clean]],2),"Valid","Invalid")</f>
        <v>Valid</v>
      </c>
      <c r="AF7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1440.79</v>
      </c>
      <c r="AG73">
        <f>IF(Transaction[[#This Row],[NetRevenue_Check]]="Invalid",(Transaction[[#This Row],[Quantity]]*Transaction[[#This Row],[UnitPrice_Clean]]),Transaction[[#This Row],[NetRevenue_Clean]])</f>
        <v>1440.79</v>
      </c>
      <c r="AH73" t="str">
        <f>IF(Transaction[[#This Row],[Quantity]]*Transaction[[#This Row],[UnitPrice_Clean]]=Transaction[[#This Row],[NetRevenue_Clean]],"Valid","Invalid")</f>
        <v>Valid</v>
      </c>
      <c r="AI73" t="s">
        <v>23</v>
      </c>
      <c r="AJ73" t="s">
        <v>583</v>
      </c>
      <c r="AK73" t="str">
        <f>IF(Transaction[[#This Row],[Salesperson]]="","Missing Value",TRIM(PROPER(Transaction[[#This Row],[Salesperson]])))</f>
        <v>Duran</v>
      </c>
      <c r="AL73" t="s">
        <v>25</v>
      </c>
      <c r="AM73" t="str">
        <f>IF(Transaction[[#This Row],[ContractType]]="","Missing Value",Transaction[[#This Row],[ContractType]])</f>
        <v>Frame Agreement</v>
      </c>
      <c r="AN73" t="s">
        <v>49</v>
      </c>
    </row>
    <row r="74" spans="1:40" x14ac:dyDescent="0.25">
      <c r="A74" t="s">
        <v>1644</v>
      </c>
      <c r="B74" s="1">
        <v>45680</v>
      </c>
      <c r="C7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7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7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4" s="2">
        <f>IFERROR(DATE(Transaction[[#This Row],[TransactionDateY]],Transaction[[#This Row],[TransactionDateM]],Transaction[[#This Row],[TransactionDateD]]),"Missing Value")</f>
        <v>45680</v>
      </c>
      <c r="G74" t="s">
        <v>102</v>
      </c>
      <c r="H74" t="str">
        <f>IFERROR(VLOOKUP(Transaction[[#This Row],[CustomerID]],Custumer[],1,0),IF(LEN(Transaction[[#This Row],[CustomerID]])=7,LEFT(Transaction[[#This Row],[CustomerID]],6),"Invalid ID"))</f>
        <v>C-1120</v>
      </c>
      <c r="I74" t="s">
        <v>97</v>
      </c>
      <c r="J74" t="str">
        <f>TRIM(UPPER(Transaction[[#This Row],[ProductID]]))</f>
        <v>P-SI-001</v>
      </c>
      <c r="K74" t="str">
        <f>IFERROR(VLOOKUP(Transaction[[#This Row],[ProductID_Clean]],Product[],1,FALSE),"Invalid ID")</f>
        <v>P-SI-001</v>
      </c>
      <c r="L74" t="str">
        <f>TRIM(SUBSTITUTE(SUBSTITUTE(SUBSTITUTE(SUBSTITUTE(UPPER(Transaction[[#This Row],[Region]]),"EMEA REGION","EMEA"),"APAC REGION","APAC"),"NORTH AMERICA","N. AMERICA"),"N .AMERICA","N.AMERICA"))</f>
        <v>EMEA</v>
      </c>
      <c r="M74" t="s">
        <v>76</v>
      </c>
      <c r="N74" t="s">
        <v>53</v>
      </c>
      <c r="O7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4" t="s">
        <v>40</v>
      </c>
      <c r="Q74" t="str">
        <f>IF(TRIM(Transaction[[#This Row],[SalesChannel]])="","Missing Value",TRIM(Transaction[[#This Row],[SalesChannel]]))</f>
        <v>Distributor</v>
      </c>
      <c r="R74" s="4">
        <v>4</v>
      </c>
      <c r="S74" s="4" t="str">
        <f>IF(Transaction[[#This Row],[Quantity]]&lt;0,"Negative-review","Valid")</f>
        <v>Valid</v>
      </c>
      <c r="T74">
        <v>412.76</v>
      </c>
      <c r="U7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412.76</v>
      </c>
      <c r="V74">
        <v>485</v>
      </c>
      <c r="W74">
        <v>1940</v>
      </c>
      <c r="X7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1940</v>
      </c>
      <c r="Y74">
        <f>IF(Transaction[[#This Row],[GrossRevenue_Check]]="Invalid",Transaction[[#This Row],[ListPrice]]*Transaction[[#This Row],[Quantity]],Transaction[[#This Row],[GrossRevenue_Clean]])</f>
        <v>1940</v>
      </c>
      <c r="Z74" t="str">
        <f>IF(Transaction[[#This Row],[GrossRevenue_Clean]]=Transaction[[#This Row],[ListPrice]]*Transaction[[#This Row],[Quantity]],"Valid","Invalid")</f>
        <v>Valid</v>
      </c>
      <c r="AA74" t="s">
        <v>1645</v>
      </c>
      <c r="AB7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288.95999999999998</v>
      </c>
      <c r="AC74">
        <f>IF(Transaction[[#This Row],[DiscountAmount_Check2]]="Invalid",Transaction[[#This Row],[GrossRevenue_Analytical]]-Transaction[[#This Row],[NetRevenue_Analytical]],Transaction[[#This Row],[DiscountAmount_Clean]])</f>
        <v>288.95999999999998</v>
      </c>
      <c r="AD74">
        <v>1651.04</v>
      </c>
      <c r="AE74" t="str">
        <f>IF(ROUND(Transaction[[#This Row],[GrossRevenue_Analytical]]-Transaction[[#This Row],[NetRevenue_Analytical]],2)=ROUND(Transaction[[#This Row],[DiscountAmount_Clean]],2),"Valid","Invalid")</f>
        <v>Valid</v>
      </c>
      <c r="AF7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1651.04</v>
      </c>
      <c r="AG74">
        <f>IF(Transaction[[#This Row],[NetRevenue_Check]]="Invalid",(Transaction[[#This Row],[Quantity]]*Transaction[[#This Row],[UnitPrice_Clean]]),Transaction[[#This Row],[NetRevenue_Clean]])</f>
        <v>1651.04</v>
      </c>
      <c r="AH74" t="str">
        <f>IF(Transaction[[#This Row],[Quantity]]*Transaction[[#This Row],[UnitPrice_Clean]]=Transaction[[#This Row],[NetRevenue_Clean]],"Valid","Invalid")</f>
        <v>Valid</v>
      </c>
      <c r="AI74" t="s">
        <v>23</v>
      </c>
      <c r="AJ74" t="s">
        <v>1646</v>
      </c>
      <c r="AK74" t="str">
        <f>IF(Transaction[[#This Row],[Salesperson]]="","Missing Value",TRIM(PROPER(Transaction[[#This Row],[Salesperson]])))</f>
        <v>Roberts</v>
      </c>
      <c r="AL74" t="s">
        <v>55</v>
      </c>
      <c r="AM74" t="str">
        <f>IF(Transaction[[#This Row],[ContractType]]="","Missing Value",Transaction[[#This Row],[ContractType]])</f>
        <v>Spot</v>
      </c>
      <c r="AN74" t="s">
        <v>43</v>
      </c>
    </row>
    <row r="75" spans="1:40" x14ac:dyDescent="0.25">
      <c r="A75" t="s">
        <v>1487</v>
      </c>
      <c r="B75" s="1">
        <v>45773</v>
      </c>
      <c r="C7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7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7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5" s="2">
        <f>IFERROR(DATE(Transaction[[#This Row],[TransactionDateY]],Transaction[[#This Row],[TransactionDateM]],Transaction[[#This Row],[TransactionDateD]]),"Missing Value")</f>
        <v>45773</v>
      </c>
      <c r="G75" t="s">
        <v>473</v>
      </c>
      <c r="H75" t="str">
        <f>IFERROR(VLOOKUP(Transaction[[#This Row],[CustomerID]],Custumer[],1,0),IF(LEN(Transaction[[#This Row],[CustomerID]])=7,LEFT(Transaction[[#This Row],[CustomerID]],6),"Invalid ID"))</f>
        <v>C-1016</v>
      </c>
      <c r="I75" t="s">
        <v>97</v>
      </c>
      <c r="J75" t="str">
        <f>TRIM(UPPER(Transaction[[#This Row],[ProductID]]))</f>
        <v>P-SI-001</v>
      </c>
      <c r="K75" t="str">
        <f>IFERROR(VLOOKUP(Transaction[[#This Row],[ProductID_Clean]],Product[],1,FALSE),"Invalid ID")</f>
        <v>P-SI-001</v>
      </c>
      <c r="L75" t="str">
        <f>TRIM(SUBSTITUTE(SUBSTITUTE(SUBSTITUTE(SUBSTITUTE(UPPER(Transaction[[#This Row],[Region]]),"EMEA REGION","EMEA"),"APAC REGION","APAC"),"NORTH AMERICA","N. AMERICA"),"N .AMERICA","N.AMERICA"))</f>
        <v>APAC</v>
      </c>
      <c r="M75" t="s">
        <v>63</v>
      </c>
      <c r="N75" t="s">
        <v>272</v>
      </c>
      <c r="O7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5" t="s">
        <v>22</v>
      </c>
      <c r="Q75" t="str">
        <f>IF(TRIM(Transaction[[#This Row],[SalesChannel]])="","Missing Value",TRIM(Transaction[[#This Row],[SalesChannel]]))</f>
        <v>Direct</v>
      </c>
      <c r="R75" s="4">
        <v>4</v>
      </c>
      <c r="S75" s="4" t="str">
        <f>IF(Transaction[[#This Row],[Quantity]]&lt;0,"Negative-review","Valid")</f>
        <v>Valid</v>
      </c>
      <c r="T75">
        <v>386.83</v>
      </c>
      <c r="U7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386.83</v>
      </c>
      <c r="V75">
        <v>485</v>
      </c>
      <c r="W75">
        <v>1940</v>
      </c>
      <c r="X7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1940</v>
      </c>
      <c r="Y75">
        <f>IF(Transaction[[#This Row],[GrossRevenue_Check]]="Invalid",Transaction[[#This Row],[ListPrice]]*Transaction[[#This Row],[Quantity]],Transaction[[#This Row],[GrossRevenue_Clean]])</f>
        <v>1940</v>
      </c>
      <c r="Z75" t="str">
        <f>IF(Transaction[[#This Row],[GrossRevenue_Clean]]=Transaction[[#This Row],[ListPrice]]*Transaction[[#This Row],[Quantity]],"Valid","Invalid")</f>
        <v>Valid</v>
      </c>
      <c r="AA75">
        <v>392.68</v>
      </c>
      <c r="AB7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392.68</v>
      </c>
      <c r="AC75">
        <f>IF(Transaction[[#This Row],[DiscountAmount_Check2]]="Invalid",Transaction[[#This Row],[GrossRevenue_Analytical]]-Transaction[[#This Row],[NetRevenue_Analytical]],Transaction[[#This Row],[DiscountAmount_Clean]])</f>
        <v>392.68</v>
      </c>
      <c r="AD75">
        <v>1547.32</v>
      </c>
      <c r="AE75" t="str">
        <f>IF(ROUND(Transaction[[#This Row],[GrossRevenue_Analytical]]-Transaction[[#This Row],[NetRevenue_Analytical]],2)=ROUND(Transaction[[#This Row],[DiscountAmount_Clean]],2),"Valid","Invalid")</f>
        <v>Valid</v>
      </c>
      <c r="AF7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1547.32</v>
      </c>
      <c r="AG75">
        <f>IF(Transaction[[#This Row],[NetRevenue_Check]]="Invalid",(Transaction[[#This Row],[Quantity]]*Transaction[[#This Row],[UnitPrice_Clean]]),Transaction[[#This Row],[NetRevenue_Clean]])</f>
        <v>1547.32</v>
      </c>
      <c r="AH75" t="str">
        <f>IF(Transaction[[#This Row],[Quantity]]*Transaction[[#This Row],[UnitPrice_Clean]]=Transaction[[#This Row],[NetRevenue_Clean]],"Valid","Invalid")</f>
        <v>Valid</v>
      </c>
      <c r="AI75" t="s">
        <v>23</v>
      </c>
      <c r="AJ75" t="s">
        <v>1488</v>
      </c>
      <c r="AK75" t="str">
        <f>IF(Transaction[[#This Row],[Salesperson]]="","Missing Value",TRIM(PROPER(Transaction[[#This Row],[Salesperson]])))</f>
        <v>Wilson-Na</v>
      </c>
      <c r="AL75" t="s">
        <v>42</v>
      </c>
      <c r="AM75" t="str">
        <f>IF(Transaction[[#This Row],[ContractType]]="","Missing Value",Transaction[[#This Row],[ContractType]])</f>
        <v>Standard PO</v>
      </c>
      <c r="AN75" t="s">
        <v>26</v>
      </c>
    </row>
    <row r="76" spans="1:40" x14ac:dyDescent="0.25">
      <c r="A76" t="s">
        <v>1747</v>
      </c>
      <c r="B76" s="1">
        <v>45665</v>
      </c>
      <c r="C7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7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7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6" s="2">
        <f>IFERROR(DATE(Transaction[[#This Row],[TransactionDateY]],Transaction[[#This Row],[TransactionDateM]],Transaction[[#This Row],[TransactionDateD]]),"Missing Value")</f>
        <v>45665</v>
      </c>
      <c r="G76" t="s">
        <v>956</v>
      </c>
      <c r="H76" t="str">
        <f>IFERROR(VLOOKUP(Transaction[[#This Row],[CustomerID]],Custumer[],1,0),IF(LEN(Transaction[[#This Row],[CustomerID]])=7,LEFT(Transaction[[#This Row],[CustomerID]],6),"Invalid ID"))</f>
        <v>C-1072</v>
      </c>
      <c r="I76" t="s">
        <v>71</v>
      </c>
      <c r="J76" t="str">
        <f>TRIM(UPPER(Transaction[[#This Row],[ProductID]]))</f>
        <v>P-SI-003</v>
      </c>
      <c r="K76" t="str">
        <f>IFERROR(VLOOKUP(Transaction[[#This Row],[ProductID_Clean]],Product[],1,FALSE),"Invalid ID")</f>
        <v>P-SI-003</v>
      </c>
      <c r="L76" t="str">
        <f>TRIM(SUBSTITUTE(SUBSTITUTE(SUBSTITUTE(SUBSTITUTE(UPPER(Transaction[[#This Row],[Region]]),"EMEA REGION","EMEA"),"APAC REGION","APAC"),"NORTH AMERICA","N. AMERICA"),"N .AMERICA","N.AMERICA"))</f>
        <v>N. AMERICA</v>
      </c>
      <c r="M76" t="s">
        <v>20</v>
      </c>
      <c r="N76" t="s">
        <v>53</v>
      </c>
      <c r="O7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6" t="s">
        <v>181</v>
      </c>
      <c r="Q76" t="str">
        <f>IF(TRIM(Transaction[[#This Row],[SalesChannel]])="","Missing Value",TRIM(Transaction[[#This Row],[SalesChannel]]))</f>
        <v>Partner Portal</v>
      </c>
      <c r="R76" s="4">
        <v>1</v>
      </c>
      <c r="S76" s="4" t="str">
        <f>IF(Transaction[[#This Row],[Quantity]]&lt;0,"Negative-review","Valid")</f>
        <v>Valid</v>
      </c>
      <c r="T76">
        <v>94.5</v>
      </c>
      <c r="U7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94.5</v>
      </c>
      <c r="V76">
        <v>1890</v>
      </c>
      <c r="W76">
        <v>1890</v>
      </c>
      <c r="X7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76">
        <f>IF(Transaction[[#This Row],[GrossRevenue_Check]]="Invalid",Transaction[[#This Row],[ListPrice]]*Transaction[[#This Row],[Quantity]],Transaction[[#This Row],[GrossRevenue_Clean]])</f>
        <v>1890</v>
      </c>
      <c r="Z76" t="str">
        <f>IF(Transaction[[#This Row],[GrossRevenue_Clean]]=Transaction[[#This Row],[ListPrice]]*Transaction[[#This Row],[Quantity]],"Valid","Invalid")</f>
        <v>Valid</v>
      </c>
      <c r="AA76">
        <v>174.59</v>
      </c>
      <c r="AB7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174.59</v>
      </c>
      <c r="AC76">
        <f>IF(Transaction[[#This Row],[DiscountAmount_Check2]]="Invalid",Transaction[[#This Row],[GrossRevenue_Analytical]]-Transaction[[#This Row],[NetRevenue_Analytical]],Transaction[[#This Row],[DiscountAmount_Clean]])</f>
        <v>1795.5</v>
      </c>
      <c r="AD76">
        <v>1715.41</v>
      </c>
      <c r="AE76" t="str">
        <f>IF(ROUND(Transaction[[#This Row],[GrossRevenue_Analytical]]-Transaction[[#This Row],[NetRevenue_Analytical]],2)=ROUND(Transaction[[#This Row],[DiscountAmount_Clean]],2),"Valid","Invalid")</f>
        <v>Invalid</v>
      </c>
      <c r="AF7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1715.41</v>
      </c>
      <c r="AG76">
        <f>IF(Transaction[[#This Row],[NetRevenue_Check]]="Invalid",(Transaction[[#This Row],[Quantity]]*Transaction[[#This Row],[UnitPrice_Clean]]),Transaction[[#This Row],[NetRevenue_Clean]])</f>
        <v>94.5</v>
      </c>
      <c r="AH76" t="str">
        <f>IF(Transaction[[#This Row],[Quantity]]*Transaction[[#This Row],[UnitPrice_Clean]]=Transaction[[#This Row],[NetRevenue_Clean]],"Valid","Invalid")</f>
        <v>Invalid</v>
      </c>
      <c r="AI76" t="s">
        <v>23</v>
      </c>
      <c r="AJ76" t="s">
        <v>1748</v>
      </c>
      <c r="AK76" t="str">
        <f>IF(Transaction[[#This Row],[Salesperson]]="","Missing Value",TRIM(PROPER(Transaction[[#This Row],[Salesperson]])))</f>
        <v>Nelson-Na</v>
      </c>
      <c r="AL76" t="s">
        <v>25</v>
      </c>
      <c r="AM76" t="str">
        <f>IF(Transaction[[#This Row],[ContractType]]="","Missing Value",Transaction[[#This Row],[ContractType]])</f>
        <v>Frame Agreement</v>
      </c>
      <c r="AN76" t="s">
        <v>35</v>
      </c>
    </row>
    <row r="77" spans="1:40" x14ac:dyDescent="0.25">
      <c r="A77" t="s">
        <v>2138</v>
      </c>
      <c r="B77" s="1">
        <v>45744</v>
      </c>
      <c r="C7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7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7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7" s="2">
        <f>IFERROR(DATE(Transaction[[#This Row],[TransactionDateY]],Transaction[[#This Row],[TransactionDateM]],Transaction[[#This Row],[TransactionDateD]]),"Missing Value")</f>
        <v>45744</v>
      </c>
      <c r="G77" t="s">
        <v>157</v>
      </c>
      <c r="H77" t="str">
        <f>IFERROR(VLOOKUP(Transaction[[#This Row],[CustomerID]],Custumer[],1,0),IF(LEN(Transaction[[#This Row],[CustomerID]])=7,LEFT(Transaction[[#This Row],[CustomerID]],6),"Invalid ID"))</f>
        <v>C-1021</v>
      </c>
      <c r="I77" t="s">
        <v>97</v>
      </c>
      <c r="J77" t="str">
        <f>TRIM(UPPER(Transaction[[#This Row],[ProductID]]))</f>
        <v>P-SI-001</v>
      </c>
      <c r="K77" t="str">
        <f>IFERROR(VLOOKUP(Transaction[[#This Row],[ProductID_Clean]],Product[],1,FALSE),"Invalid ID")</f>
        <v>P-SI-001</v>
      </c>
      <c r="L77" t="str">
        <f>TRIM(SUBSTITUTE(SUBSTITUTE(SUBSTITUTE(SUBSTITUTE(UPPER(Transaction[[#This Row],[Region]]),"EMEA REGION","EMEA"),"APAC REGION","APAC"),"NORTH AMERICA","N. AMERICA"),"N .AMERICA","N.AMERICA"))</f>
        <v>EMEA</v>
      </c>
      <c r="M77" t="s">
        <v>76</v>
      </c>
      <c r="N77" t="s">
        <v>53</v>
      </c>
      <c r="O7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7" t="s">
        <v>22</v>
      </c>
      <c r="Q77" t="str">
        <f>IF(TRIM(Transaction[[#This Row],[SalesChannel]])="","Missing Value",TRIM(Transaction[[#This Row],[SalesChannel]]))</f>
        <v>Direct</v>
      </c>
      <c r="R77" s="4">
        <v>5</v>
      </c>
      <c r="S77" s="4" t="str">
        <f>IF(Transaction[[#This Row],[Quantity]]&lt;0,"Negative-review","Valid")</f>
        <v>Valid</v>
      </c>
      <c r="T77">
        <v>425.42</v>
      </c>
      <c r="U7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425.42</v>
      </c>
      <c r="V77">
        <v>485</v>
      </c>
      <c r="W77">
        <v>2425</v>
      </c>
      <c r="X7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2425</v>
      </c>
      <c r="Y77">
        <f>IF(Transaction[[#This Row],[GrossRevenue_Check]]="Invalid",Transaction[[#This Row],[ListPrice]]*Transaction[[#This Row],[Quantity]],Transaction[[#This Row],[GrossRevenue_Clean]])</f>
        <v>2425</v>
      </c>
      <c r="Z77" t="str">
        <f>IF(Transaction[[#This Row],[GrossRevenue_Clean]]=Transaction[[#This Row],[ListPrice]]*Transaction[[#This Row],[Quantity]],"Valid","Invalid")</f>
        <v>Valid</v>
      </c>
      <c r="AA77">
        <v>297.89999999999998</v>
      </c>
      <c r="AB7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297.89999999999998</v>
      </c>
      <c r="AC77">
        <f>IF(Transaction[[#This Row],[DiscountAmount_Check2]]="Invalid",Transaction[[#This Row],[GrossRevenue_Analytical]]-Transaction[[#This Row],[NetRevenue_Analytical]],Transaction[[#This Row],[DiscountAmount_Clean]])</f>
        <v>297.89999999999998</v>
      </c>
      <c r="AD77">
        <v>2127.1</v>
      </c>
      <c r="AE77" t="str">
        <f>IF(ROUND(Transaction[[#This Row],[GrossRevenue_Analytical]]-Transaction[[#This Row],[NetRevenue_Analytical]],2)=ROUND(Transaction[[#This Row],[DiscountAmount_Clean]],2),"Valid","Invalid")</f>
        <v>Valid</v>
      </c>
      <c r="AF77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2127.1</v>
      </c>
      <c r="AG77">
        <f>IF(Transaction[[#This Row],[NetRevenue_Check]]="Invalid",(Transaction[[#This Row],[Quantity]]*Transaction[[#This Row],[UnitPrice_Clean]]),Transaction[[#This Row],[NetRevenue_Clean]])</f>
        <v>2127.1</v>
      </c>
      <c r="AH77" t="str">
        <f>IF(Transaction[[#This Row],[Quantity]]*Transaction[[#This Row],[UnitPrice_Clean]]=Transaction[[#This Row],[NetRevenue_Clean]],"Valid","Invalid")</f>
        <v>Valid</v>
      </c>
      <c r="AI77" t="s">
        <v>99</v>
      </c>
      <c r="AJ77" t="s">
        <v>666</v>
      </c>
      <c r="AK77" t="str">
        <f>IF(Transaction[[#This Row],[Salesperson]]="","Missing Value",TRIM(PROPER(Transaction[[#This Row],[Salesperson]])))</f>
        <v>Jordan</v>
      </c>
      <c r="AL77" t="s">
        <v>42</v>
      </c>
      <c r="AM77" t="str">
        <f>IF(Transaction[[#This Row],[ContractType]]="","Missing Value",Transaction[[#This Row],[ContractType]])</f>
        <v>Standard PO</v>
      </c>
      <c r="AN77" t="s">
        <v>49</v>
      </c>
    </row>
    <row r="78" spans="1:40" x14ac:dyDescent="0.25">
      <c r="A78" t="s">
        <v>2324</v>
      </c>
      <c r="B78" s="1">
        <v>45704</v>
      </c>
      <c r="C7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7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7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8" s="2">
        <f>IFERROR(DATE(Transaction[[#This Row],[TransactionDateY]],Transaction[[#This Row],[TransactionDateM]],Transaction[[#This Row],[TransactionDateD]]),"Missing Value")</f>
        <v>45704</v>
      </c>
      <c r="G78" t="s">
        <v>333</v>
      </c>
      <c r="H78" t="str">
        <f>IFERROR(VLOOKUP(Transaction[[#This Row],[CustomerID]],Custumer[],1,0),IF(LEN(Transaction[[#This Row],[CustomerID]])=7,LEFT(Transaction[[#This Row],[CustomerID]],6),"Invalid ID"))</f>
        <v>C-1033</v>
      </c>
      <c r="I78" t="s">
        <v>58</v>
      </c>
      <c r="J78" t="str">
        <f>TRIM(UPPER(Transaction[[#This Row],[ProductID]]))</f>
        <v>P-SI-005</v>
      </c>
      <c r="K78" t="str">
        <f>IFERROR(VLOOKUP(Transaction[[#This Row],[ProductID_Clean]],Product[],1,FALSE),"Invalid ID")</f>
        <v>P-SI-005</v>
      </c>
      <c r="L78" t="str">
        <f>TRIM(SUBSTITUTE(SUBSTITUTE(SUBSTITUTE(SUBSTITUTE(UPPER(Transaction[[#This Row],[Region]]),"EMEA REGION","EMEA"),"APAC REGION","APAC"),"NORTH AMERICA","N. AMERICA"),"N .AMERICA","N.AMERICA"))</f>
        <v>EMEA</v>
      </c>
      <c r="M78" t="s">
        <v>76</v>
      </c>
      <c r="N78" t="s">
        <v>53</v>
      </c>
      <c r="O7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8" t="s">
        <v>22</v>
      </c>
      <c r="Q78" t="str">
        <f>IF(TRIM(Transaction[[#This Row],[SalesChannel]])="","Missing Value",TRIM(Transaction[[#This Row],[SalesChannel]]))</f>
        <v>Direct</v>
      </c>
      <c r="R78" s="4">
        <v>1</v>
      </c>
      <c r="S78" s="4" t="str">
        <f>IF(Transaction[[#This Row],[Quantity]]&lt;0,"Negative-review","Valid")</f>
        <v>Valid</v>
      </c>
      <c r="T78">
        <v>1036.23</v>
      </c>
      <c r="U7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1036.23</v>
      </c>
      <c r="V78">
        <v>1120</v>
      </c>
      <c r="W78" t="s">
        <v>2325</v>
      </c>
      <c r="X7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1120</v>
      </c>
      <c r="Y78">
        <f>IF(Transaction[[#This Row],[GrossRevenue_Check]]="Invalid",Transaction[[#This Row],[ListPrice]]*Transaction[[#This Row],[Quantity]],Transaction[[#This Row],[GrossRevenue_Clean]])</f>
        <v>1120</v>
      </c>
      <c r="Z78" t="str">
        <f>IF(Transaction[[#This Row],[GrossRevenue_Clean]]=Transaction[[#This Row],[ListPrice]]*Transaction[[#This Row],[Quantity]],"Valid","Invalid")</f>
        <v>Valid</v>
      </c>
      <c r="AA78">
        <v>83.77</v>
      </c>
      <c r="AB7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83.77</v>
      </c>
      <c r="AC78">
        <f>IF(Transaction[[#This Row],[DiscountAmount_Check2]]="Invalid",Transaction[[#This Row],[GrossRevenue_Analytical]]-Transaction[[#This Row],[NetRevenue_Analytical]],Transaction[[#This Row],[DiscountAmount_Clean]])</f>
        <v>83.77</v>
      </c>
      <c r="AD78">
        <v>1036.23</v>
      </c>
      <c r="AE78" t="str">
        <f>IF(ROUND(Transaction[[#This Row],[GrossRevenue_Analytical]]-Transaction[[#This Row],[NetRevenue_Analytical]],2)=ROUND(Transaction[[#This Row],[DiscountAmount_Clean]],2),"Valid","Invalid")</f>
        <v>Valid</v>
      </c>
      <c r="AF7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1036.23</v>
      </c>
      <c r="AG78">
        <f>IF(Transaction[[#This Row],[NetRevenue_Check]]="Invalid",(Transaction[[#This Row],[Quantity]]*Transaction[[#This Row],[UnitPrice_Clean]]),Transaction[[#This Row],[NetRevenue_Clean]])</f>
        <v>1036.23</v>
      </c>
      <c r="AH78" t="str">
        <f>IF(Transaction[[#This Row],[Quantity]]*Transaction[[#This Row],[UnitPrice_Clean]]=Transaction[[#This Row],[NetRevenue_Clean]],"Valid","Invalid")</f>
        <v>Valid</v>
      </c>
      <c r="AI78" t="s">
        <v>23</v>
      </c>
      <c r="AJ78" t="s">
        <v>1442</v>
      </c>
      <c r="AK78" t="str">
        <f>IF(Transaction[[#This Row],[Salesperson]]="","Missing Value",TRIM(PROPER(Transaction[[#This Row],[Salesperson]])))</f>
        <v>Anderson-Na</v>
      </c>
      <c r="AL78" t="s">
        <v>42</v>
      </c>
      <c r="AM78" t="str">
        <f>IF(Transaction[[#This Row],[ContractType]]="","Missing Value",Transaction[[#This Row],[ContractType]])</f>
        <v>Standard PO</v>
      </c>
      <c r="AN78" t="s">
        <v>43</v>
      </c>
    </row>
    <row r="79" spans="1:40" x14ac:dyDescent="0.25">
      <c r="A79" t="s">
        <v>249</v>
      </c>
      <c r="B79" s="1">
        <v>45712</v>
      </c>
      <c r="C7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7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7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9" s="2">
        <f>IFERROR(DATE(Transaction[[#This Row],[TransactionDateY]],Transaction[[#This Row],[TransactionDateM]],Transaction[[#This Row],[TransactionDateD]]),"Missing Value")</f>
        <v>45712</v>
      </c>
      <c r="G79" t="s">
        <v>250</v>
      </c>
      <c r="H79" t="str">
        <f>IFERROR(VLOOKUP(Transaction[[#This Row],[CustomerID]],Custumer[],1,0),IF(LEN(Transaction[[#This Row],[CustomerID]])=7,LEFT(Transaction[[#This Row],[CustomerID]],6),"Invalid ID"))</f>
        <v>C-1043</v>
      </c>
      <c r="I79" t="s">
        <v>117</v>
      </c>
      <c r="J79" t="str">
        <f>TRIM(UPPER(Transaction[[#This Row],[ProductID]]))</f>
        <v>P-SI-007</v>
      </c>
      <c r="K79" t="str">
        <f>IFERROR(VLOOKUP(Transaction[[#This Row],[ProductID_Clean]],Product[],1,FALSE),"Invalid ID")</f>
        <v>P-SI-007</v>
      </c>
      <c r="L79" t="str">
        <f>TRIM(SUBSTITUTE(SUBSTITUTE(SUBSTITUTE(SUBSTITUTE(UPPER(Transaction[[#This Row],[Region]]),"EMEA REGION","EMEA"),"APAC REGION","APAC"),"NORTH AMERICA","N. AMERICA"),"N .AMERICA","N.AMERICA"))</f>
        <v>EMEA</v>
      </c>
      <c r="M79" t="s">
        <v>87</v>
      </c>
      <c r="N79" t="s">
        <v>53</v>
      </c>
      <c r="O7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9" t="s">
        <v>22</v>
      </c>
      <c r="Q79" t="str">
        <f>IF(TRIM(Transaction[[#This Row],[SalesChannel]])="","Missing Value",TRIM(Transaction[[#This Row],[SalesChannel]]))</f>
        <v>Direct</v>
      </c>
      <c r="R79" s="4">
        <v>8</v>
      </c>
      <c r="S79" s="4" t="str">
        <f>IF(Transaction[[#This Row],[Quantity]]&lt;0,"Negative-review","Valid")</f>
        <v>Valid</v>
      </c>
      <c r="T79">
        <v>922.44</v>
      </c>
      <c r="U7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922.44</v>
      </c>
      <c r="V79">
        <v>980</v>
      </c>
      <c r="W79">
        <v>7840</v>
      </c>
      <c r="X7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7840</v>
      </c>
      <c r="Y79">
        <f>IF(Transaction[[#This Row],[GrossRevenue_Check]]="Invalid",Transaction[[#This Row],[ListPrice]]*Transaction[[#This Row],[Quantity]],Transaction[[#This Row],[GrossRevenue_Clean]])</f>
        <v>7840</v>
      </c>
      <c r="Z79" t="str">
        <f>IF(Transaction[[#This Row],[GrossRevenue_Clean]]=Transaction[[#This Row],[ListPrice]]*Transaction[[#This Row],[Quantity]],"Valid","Invalid")</f>
        <v>Valid</v>
      </c>
      <c r="AA79">
        <v>460.48</v>
      </c>
      <c r="AB7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460.48</v>
      </c>
      <c r="AC79">
        <f>IF(Transaction[[#This Row],[DiscountAmount_Check2]]="Invalid",Transaction[[#This Row],[GrossRevenue_Analytical]]-Transaction[[#This Row],[NetRevenue_Analytical]],Transaction[[#This Row],[DiscountAmount_Clean]])</f>
        <v>460.48</v>
      </c>
      <c r="AD79">
        <v>7379.52</v>
      </c>
      <c r="AE79" t="str">
        <f>IF(ROUND(Transaction[[#This Row],[GrossRevenue_Analytical]]-Transaction[[#This Row],[NetRevenue_Analytical]],2)=ROUND(Transaction[[#This Row],[DiscountAmount_Clean]],2),"Valid","Invalid")</f>
        <v>Valid</v>
      </c>
      <c r="AF79">
        <f>VALUE(IF(ISNUMBER(Transaction[[#This Row],[NetRevenue]]),Transaction[[#This Row],[NetRevenue]],IFERROR(IF(FIND("$",Transaction[[#This Row],[NetRevenue]])&gt;0,MID(Transaction[[#This Row],[NetRevenue]],2,10)),Transaction[[#This Row],[NetRevenue]])))</f>
        <v>7379.52</v>
      </c>
      <c r="AG79">
        <f>IF(Transaction[[#This Row],[NetRevenue_Check]]="Invalid",(Transaction[[#This Row],[Quantity]]*Transaction[[#This Row],[UnitPrice_Clean]]),Transaction[[#This Row],[NetRevenue_Clean]])</f>
        <v>7379.52</v>
      </c>
      <c r="AH79" t="str">
        <f>IF(Transaction[[#This Row],[Quantity]]*Transaction[[#This Row],[UnitPrice_Clean]]=Transaction[[#This Row],[NetRevenue_Clean]],"Valid","Invalid")</f>
        <v>Valid</v>
      </c>
      <c r="AI79" t="s">
        <v>23</v>
      </c>
      <c r="AJ79" t="s">
        <v>251</v>
      </c>
      <c r="AK79" t="str">
        <f>IF(Transaction[[#This Row],[Salesperson]]="","Missing Value",TRIM(PROPER(Transaction[[#This Row],[Salesperson]])))</f>
        <v>Patel</v>
      </c>
      <c r="AL79" t="s">
        <v>42</v>
      </c>
      <c r="AM79" t="str">
        <f>IF(Transaction[[#This Row],[ContractType]]="","Missing Value",Transaction[[#This Row],[ContractType]])</f>
        <v>Standard PO</v>
      </c>
      <c r="AN79" t="s">
        <v>35</v>
      </c>
    </row>
    <row r="80" spans="1:40" x14ac:dyDescent="0.25">
      <c r="A80" t="s">
        <v>1670</v>
      </c>
      <c r="B80" s="1">
        <v>45724</v>
      </c>
      <c r="C8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8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8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0" s="2">
        <f>IFERROR(DATE(Transaction[[#This Row],[TransactionDateY]],Transaction[[#This Row],[TransactionDateM]],Transaction[[#This Row],[TransactionDateD]]),"Missing Value")</f>
        <v>45724</v>
      </c>
      <c r="G80" t="s">
        <v>1671</v>
      </c>
      <c r="H80" t="str">
        <f>IFERROR(VLOOKUP(Transaction[[#This Row],[CustomerID]],Custumer[],1,0),IF(LEN(Transaction[[#This Row],[CustomerID]])=7,LEFT(Transaction[[#This Row],[CustomerID]],6),"Invalid ID"))</f>
        <v>C-1183</v>
      </c>
      <c r="I80" t="s">
        <v>29</v>
      </c>
      <c r="J80" t="str">
        <f>TRIM(UPPER(Transaction[[#This Row],[ProductID]]))</f>
        <v>P-SA-001</v>
      </c>
      <c r="K80" t="str">
        <f>IFERROR(VLOOKUP(Transaction[[#This Row],[ProductID_Clean]],Product[],1,FALSE),"Invalid ID")</f>
        <v>P-SA-001</v>
      </c>
      <c r="L80" t="str">
        <f>TRIM(SUBSTITUTE(SUBSTITUTE(SUBSTITUTE(SUBSTITUTE(UPPER(Transaction[[#This Row],[Region]]),"EMEA REGION","EMEA"),"APAC REGION","APAC"),"NORTH AMERICA","N. AMERICA"),"N .AMERICA","N.AMERICA"))</f>
        <v>N. AMERICA</v>
      </c>
      <c r="M80" t="s">
        <v>204</v>
      </c>
      <c r="N80" t="s">
        <v>31</v>
      </c>
      <c r="O80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80" t="s">
        <v>22</v>
      </c>
      <c r="Q80" t="str">
        <f>IF(TRIM(Transaction[[#This Row],[SalesChannel]])="","Missing Value",TRIM(Transaction[[#This Row],[SalesChannel]]))</f>
        <v>Direct</v>
      </c>
      <c r="R80" s="4">
        <v>1</v>
      </c>
      <c r="S80" s="4" t="str">
        <f>IF(Transaction[[#This Row],[Quantity]]&lt;0,"Negative-review","Valid")</f>
        <v>Valid</v>
      </c>
      <c r="T80">
        <v>3884.92</v>
      </c>
      <c r="U8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3884.92</v>
      </c>
      <c r="V80">
        <v>4200</v>
      </c>
      <c r="W80">
        <v>4200</v>
      </c>
      <c r="X8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80">
        <f>IF(Transaction[[#This Row],[GrossRevenue_Check]]="Invalid",Transaction[[#This Row],[ListPrice]]*Transaction[[#This Row],[Quantity]],Transaction[[#This Row],[GrossRevenue_Clean]])</f>
        <v>4200</v>
      </c>
      <c r="Z80" t="str">
        <f>IF(Transaction[[#This Row],[GrossRevenue_Clean]]=Transaction[[#This Row],[ListPrice]]*Transaction[[#This Row],[Quantity]],"Valid","Invalid")</f>
        <v>Valid</v>
      </c>
      <c r="AA80">
        <v>315.08</v>
      </c>
      <c r="AB8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315.08</v>
      </c>
      <c r="AC80">
        <f>IF(Transaction[[#This Row],[DiscountAmount_Check2]]="Invalid",Transaction[[#This Row],[GrossRevenue_Analytical]]-Transaction[[#This Row],[NetRevenue_Analytical]],Transaction[[#This Row],[DiscountAmount_Clean]])</f>
        <v>315.08</v>
      </c>
      <c r="AD80">
        <v>3884.92</v>
      </c>
      <c r="AE80" t="str">
        <f>IF(ROUND(Transaction[[#This Row],[GrossRevenue_Analytical]]-Transaction[[#This Row],[NetRevenue_Analytical]],2)=ROUND(Transaction[[#This Row],[DiscountAmount_Clean]],2),"Valid","Invalid")</f>
        <v>Valid</v>
      </c>
      <c r="AF80">
        <f>VALUE(IF(ISNUMBER(Transaction[[#This Row],[NetRevenue]]),Transaction[[#This Row],[NetRevenue]],IFERROR(IF(FIND("$",Transaction[[#This Row],[NetRevenue]])&gt;0,MID(Transaction[[#This Row],[NetRevenue]],2,10)),Transaction[[#This Row],[NetRevenue]])))</f>
        <v>3884.92</v>
      </c>
      <c r="AG80">
        <f>IF(Transaction[[#This Row],[NetRevenue_Check]]="Invalid",(Transaction[[#This Row],[Quantity]]*Transaction[[#This Row],[UnitPrice_Clean]]),Transaction[[#This Row],[NetRevenue_Clean]])</f>
        <v>3884.92</v>
      </c>
      <c r="AH80" t="str">
        <f>IF(Transaction[[#This Row],[Quantity]]*Transaction[[#This Row],[UnitPrice_Clean]]=Transaction[[#This Row],[NetRevenue_Clean]],"Valid","Invalid")</f>
        <v>Valid</v>
      </c>
      <c r="AI80" t="s">
        <v>128</v>
      </c>
      <c r="AJ80" t="s">
        <v>607</v>
      </c>
      <c r="AK80" t="str">
        <f>IF(Transaction[[#This Row],[Salesperson]]="","Missing Value",TRIM(PROPER(Transaction[[#This Row],[Salesperson]])))</f>
        <v>Hall</v>
      </c>
      <c r="AL80" t="s">
        <v>210</v>
      </c>
      <c r="AM80" t="str">
        <f>IF(Transaction[[#This Row],[ContractType]]="","Missing Value",Transaction[[#This Row],[ContractType]])</f>
        <v>Perpetual</v>
      </c>
      <c r="AN80" t="s">
        <v>35</v>
      </c>
    </row>
    <row r="81" spans="1:40" x14ac:dyDescent="0.25">
      <c r="A81" t="s">
        <v>323</v>
      </c>
      <c r="B81" t="s">
        <v>324</v>
      </c>
      <c r="C8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8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8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1" s="2">
        <f>IFERROR(DATE(Transaction[[#This Row],[TransactionDateY]],Transaction[[#This Row],[TransactionDateM]],Transaction[[#This Row],[TransactionDateD]]),"Missing Value")</f>
        <v>45729</v>
      </c>
      <c r="G81" t="s">
        <v>325</v>
      </c>
      <c r="H81" t="str">
        <f>IFERROR(VLOOKUP(Transaction[[#This Row],[CustomerID]],Custumer[],1,0),IF(LEN(Transaction[[#This Row],[CustomerID]])=7,LEFT(Transaction[[#This Row],[CustomerID]],6),"Invalid ID"))</f>
        <v>C-1030</v>
      </c>
      <c r="I81" t="s">
        <v>226</v>
      </c>
      <c r="J81" t="str">
        <f>TRIM(UPPER(Transaction[[#This Row],[ProductID]]))</f>
        <v>P-SA-002</v>
      </c>
      <c r="K81" t="str">
        <f>IFERROR(VLOOKUP(Transaction[[#This Row],[ProductID_Clean]],Product[],1,FALSE),"Invalid ID")</f>
        <v>P-SA-002</v>
      </c>
      <c r="L81" t="str">
        <f>TRIM(SUBSTITUTE(SUBSTITUTE(SUBSTITUTE(SUBSTITUTE(UPPER(Transaction[[#This Row],[Region]]),"EMEA REGION","EMEA"),"APAC REGION","APAC"),"NORTH AMERICA","N. AMERICA"),"N .AMERICA","N.AMERICA"))</f>
        <v>EMEA</v>
      </c>
      <c r="M81" t="s">
        <v>76</v>
      </c>
      <c r="N81" t="s">
        <v>31</v>
      </c>
      <c r="O8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81" t="s">
        <v>22</v>
      </c>
      <c r="Q81" t="str">
        <f>IF(TRIM(Transaction[[#This Row],[SalesChannel]])="","Missing Value",TRIM(Transaction[[#This Row],[SalesChannel]]))</f>
        <v>Direct</v>
      </c>
      <c r="R81" s="4">
        <v>1</v>
      </c>
      <c r="S81" s="4" t="str">
        <f>IF(Transaction[[#This Row],[Quantity]]&lt;0,"Negative-review","Valid")</f>
        <v>Valid</v>
      </c>
      <c r="T81">
        <v>9361.2900000000009</v>
      </c>
      <c r="U8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9361.2900000000009</v>
      </c>
      <c r="V81">
        <v>9800</v>
      </c>
      <c r="W81">
        <v>9800</v>
      </c>
      <c r="X8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81">
        <f>IF(Transaction[[#This Row],[GrossRevenue_Check]]="Invalid",Transaction[[#This Row],[ListPrice]]*Transaction[[#This Row],[Quantity]],Transaction[[#This Row],[GrossRevenue_Clean]])</f>
        <v>9800</v>
      </c>
      <c r="Z81" t="str">
        <f>IF(Transaction[[#This Row],[GrossRevenue_Clean]]=Transaction[[#This Row],[ListPrice]]*Transaction[[#This Row],[Quantity]],"Valid","Invalid")</f>
        <v>Valid</v>
      </c>
      <c r="AA81">
        <v>438.71</v>
      </c>
      <c r="AB8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438.71</v>
      </c>
      <c r="AC81">
        <f>IF(Transaction[[#This Row],[DiscountAmount_Check2]]="Invalid",Transaction[[#This Row],[GrossRevenue_Analytical]]-Transaction[[#This Row],[NetRevenue_Analytical]],Transaction[[#This Row],[DiscountAmount_Clean]])</f>
        <v>438.71</v>
      </c>
      <c r="AD81">
        <v>9361.2900000000009</v>
      </c>
      <c r="AE81" t="str">
        <f>IF(ROUND(Transaction[[#This Row],[GrossRevenue_Analytical]]-Transaction[[#This Row],[NetRevenue_Analytical]],2)=ROUND(Transaction[[#This Row],[DiscountAmount_Clean]],2),"Valid","Invalid")</f>
        <v>Valid</v>
      </c>
      <c r="AF81">
        <f>VALUE(IF(ISNUMBER(Transaction[[#This Row],[NetRevenue]]),Transaction[[#This Row],[NetRevenue]],IFERROR(IF(FIND("$",Transaction[[#This Row],[NetRevenue]])&gt;0,MID(Transaction[[#This Row],[NetRevenue]],2,10)),Transaction[[#This Row],[NetRevenue]])))</f>
        <v>9361.2900000000009</v>
      </c>
      <c r="AG81">
        <f>IF(Transaction[[#This Row],[NetRevenue_Check]]="Invalid",(Transaction[[#This Row],[Quantity]]*Transaction[[#This Row],[UnitPrice_Clean]]),Transaction[[#This Row],[NetRevenue_Clean]])</f>
        <v>9361.2900000000009</v>
      </c>
      <c r="AH81" t="str">
        <f>IF(Transaction[[#This Row],[Quantity]]*Transaction[[#This Row],[UnitPrice_Clean]]=Transaction[[#This Row],[NetRevenue_Clean]],"Valid","Invalid")</f>
        <v>Valid</v>
      </c>
      <c r="AI81" t="s">
        <v>23</v>
      </c>
      <c r="AJ81" t="s">
        <v>326</v>
      </c>
      <c r="AK81" t="str">
        <f>IF(Transaction[[#This Row],[Salesperson]]="","Missing Value",TRIM(PROPER(Transaction[[#This Row],[Salesperson]])))</f>
        <v>Hansen-Em</v>
      </c>
      <c r="AL81" t="s">
        <v>113</v>
      </c>
      <c r="AM81" t="str">
        <f>IF(Transaction[[#This Row],[ContractType]]="","Missing Value",Transaction[[#This Row],[ContractType]])</f>
        <v>Subscription</v>
      </c>
      <c r="AN81" t="s">
        <v>49</v>
      </c>
    </row>
    <row r="82" spans="1:40" x14ac:dyDescent="0.25">
      <c r="A82" t="s">
        <v>1846</v>
      </c>
      <c r="B82" s="1">
        <v>45837</v>
      </c>
      <c r="C8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8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29</v>
      </c>
      <c r="E8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2" s="2">
        <f>IFERROR(DATE(Transaction[[#This Row],[TransactionDateY]],Transaction[[#This Row],[TransactionDateM]],Transaction[[#This Row],[TransactionDateD]]),"Missing Value")</f>
        <v>45837</v>
      </c>
      <c r="G82" t="s">
        <v>102</v>
      </c>
      <c r="H82" t="str">
        <f>IFERROR(VLOOKUP(Transaction[[#This Row],[CustomerID]],Custumer[],1,0),IF(LEN(Transaction[[#This Row],[CustomerID]])=7,LEFT(Transaction[[#This Row],[CustomerID]],6),"Invalid ID"))</f>
        <v>C-1120</v>
      </c>
      <c r="I82" t="s">
        <v>111</v>
      </c>
      <c r="J82" t="str">
        <f>TRIM(UPPER(Transaction[[#This Row],[ProductID]]))</f>
        <v>P-SA-004</v>
      </c>
      <c r="K82" t="str">
        <f>IFERROR(VLOOKUP(Transaction[[#This Row],[ProductID_Clean]],Product[],1,FALSE),"Invalid ID")</f>
        <v>P-SA-004</v>
      </c>
      <c r="L82" t="str">
        <f>TRIM(SUBSTITUTE(SUBSTITUTE(SUBSTITUTE(SUBSTITUTE(UPPER(Transaction[[#This Row],[Region]]),"EMEA REGION","EMEA"),"APAC REGION","APAC"),"NORTH AMERICA","N. AMERICA"),"N .AMERICA","N.AMERICA"))</f>
        <v>EMEA</v>
      </c>
      <c r="M82" t="s">
        <v>76</v>
      </c>
      <c r="N82" t="s">
        <v>205</v>
      </c>
      <c r="O8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82" t="s">
        <v>22</v>
      </c>
      <c r="Q82" t="str">
        <f>IF(TRIM(Transaction[[#This Row],[SalesChannel]])="","Missing Value",TRIM(Transaction[[#This Row],[SalesChannel]]))</f>
        <v>Direct</v>
      </c>
      <c r="R82" s="4">
        <v>3</v>
      </c>
      <c r="S82" s="4" t="str">
        <f>IF(Transaction[[#This Row],[Quantity]]&lt;0,"Negative-review","Valid")</f>
        <v>Valid</v>
      </c>
      <c r="T82">
        <v>1507.53</v>
      </c>
      <c r="U8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1507.53</v>
      </c>
      <c r="V82">
        <v>1650</v>
      </c>
      <c r="W82">
        <v>4950</v>
      </c>
      <c r="X8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4950</v>
      </c>
      <c r="Y82">
        <f>IF(Transaction[[#This Row],[GrossRevenue_Check]]="Invalid",Transaction[[#This Row],[ListPrice]]*Transaction[[#This Row],[Quantity]],Transaction[[#This Row],[GrossRevenue_Clean]])</f>
        <v>4950</v>
      </c>
      <c r="Z82" t="str">
        <f>IF(Transaction[[#This Row],[GrossRevenue_Clean]]=Transaction[[#This Row],[ListPrice]]*Transaction[[#This Row],[Quantity]],"Valid","Invalid")</f>
        <v>Valid</v>
      </c>
      <c r="AA82">
        <v>427.41</v>
      </c>
      <c r="AB8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427.41</v>
      </c>
      <c r="AC82">
        <f>IF(Transaction[[#This Row],[DiscountAmount_Check2]]="Invalid",Transaction[[#This Row],[GrossRevenue_Analytical]]-Transaction[[#This Row],[NetRevenue_Analytical]],Transaction[[#This Row],[DiscountAmount_Clean]])</f>
        <v>427.41</v>
      </c>
      <c r="AD82">
        <v>4522.59</v>
      </c>
      <c r="AE82" t="str">
        <f>IF(ROUND(Transaction[[#This Row],[GrossRevenue_Analytical]]-Transaction[[#This Row],[NetRevenue_Analytical]],2)=ROUND(Transaction[[#This Row],[DiscountAmount_Clean]],2),"Valid","Invalid")</f>
        <v>Valid</v>
      </c>
      <c r="AF82">
        <f>VALUE(IF(ISNUMBER(Transaction[[#This Row],[NetRevenue]]),Transaction[[#This Row],[NetRevenue]],IFERROR(IF(FIND("$",Transaction[[#This Row],[NetRevenue]])&gt;0,MID(Transaction[[#This Row],[NetRevenue]],2,10)),Transaction[[#This Row],[NetRevenue]])))</f>
        <v>4522.59</v>
      </c>
      <c r="AG82">
        <f>IF(Transaction[[#This Row],[NetRevenue_Check]]="Invalid",(Transaction[[#This Row],[Quantity]]*Transaction[[#This Row],[UnitPrice_Clean]]),Transaction[[#This Row],[NetRevenue_Clean]])</f>
        <v>4522.59</v>
      </c>
      <c r="AH82" t="str">
        <f>IF(Transaction[[#This Row],[Quantity]]*Transaction[[#This Row],[UnitPrice_Clean]]=Transaction[[#This Row],[NetRevenue_Clean]],"Valid","Invalid")</f>
        <v>Valid</v>
      </c>
      <c r="AI82" t="s">
        <v>99</v>
      </c>
      <c r="AJ82" t="s">
        <v>1847</v>
      </c>
      <c r="AK82" t="str">
        <f>IF(Transaction[[#This Row],[Salesperson]]="","Missing Value",TRIM(PROPER(Transaction[[#This Row],[Salesperson]])))</f>
        <v>Barnett-Em</v>
      </c>
      <c r="AL82" t="s">
        <v>113</v>
      </c>
      <c r="AM82" t="str">
        <f>IF(Transaction[[#This Row],[ContractType]]="","Missing Value",Transaction[[#This Row],[ContractType]])</f>
        <v>Subscription</v>
      </c>
      <c r="AN82" t="s">
        <v>43</v>
      </c>
    </row>
    <row r="83" spans="1:40" x14ac:dyDescent="0.25">
      <c r="A83" t="s">
        <v>1571</v>
      </c>
      <c r="B83" s="1">
        <v>45660</v>
      </c>
      <c r="C8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8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8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3" s="2">
        <f>IFERROR(DATE(Transaction[[#This Row],[TransactionDateY]],Transaction[[#This Row],[TransactionDateM]],Transaction[[#This Row],[TransactionDateD]]),"Missing Value")</f>
        <v>45660</v>
      </c>
      <c r="G83" t="s">
        <v>1572</v>
      </c>
      <c r="H83" t="str">
        <f>IFERROR(VLOOKUP(Transaction[[#This Row],[CustomerID]],Custumer[],1,0),IF(LEN(Transaction[[#This Row],[CustomerID]])=7,LEFT(Transaction[[#This Row],[CustomerID]],6),"Invalid ID"))</f>
        <v>C-1098</v>
      </c>
      <c r="I83" t="s">
        <v>121</v>
      </c>
      <c r="J83" t="str">
        <f>TRIM(UPPER(Transaction[[#This Row],[ProductID]]))</f>
        <v>P-FS-001</v>
      </c>
      <c r="K83" t="str">
        <f>IFERROR(VLOOKUP(Transaction[[#This Row],[ProductID_Clean]],Product[],1,FALSE),"Invalid ID")</f>
        <v>P-FS-001</v>
      </c>
      <c r="L83" t="str">
        <f>TRIM(SUBSTITUTE(SUBSTITUTE(SUBSTITUTE(SUBSTITUTE(UPPER(Transaction[[#This Row],[Region]]),"EMEA REGION","EMEA"),"APAC REGION","APAC"),"NORTH AMERICA","N. AMERICA"),"N .AMERICA","N.AMERICA"))</f>
        <v>N. AMERICA</v>
      </c>
      <c r="M83" t="s">
        <v>20</v>
      </c>
      <c r="N83" t="s">
        <v>21</v>
      </c>
      <c r="O8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83" t="s">
        <v>22</v>
      </c>
      <c r="Q83" t="str">
        <f>IF(TRIM(Transaction[[#This Row],[SalesChannel]])="","Missing Value",TRIM(Transaction[[#This Row],[SalesChannel]]))</f>
        <v>Direct</v>
      </c>
      <c r="R83" s="4">
        <v>1</v>
      </c>
      <c r="S83" s="4" t="str">
        <f>IF(Transaction[[#This Row],[Quantity]]&lt;0,"Negative-review","Valid")</f>
        <v>Valid</v>
      </c>
      <c r="T83">
        <v>1466.66</v>
      </c>
      <c r="U8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1466.66</v>
      </c>
      <c r="V83">
        <v>1850</v>
      </c>
      <c r="W83">
        <v>1850</v>
      </c>
      <c r="X8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83">
        <f>IF(Transaction[[#This Row],[GrossRevenue_Check]]="Invalid",Transaction[[#This Row],[ListPrice]]*Transaction[[#This Row],[Quantity]],Transaction[[#This Row],[GrossRevenue_Clean]])</f>
        <v>1850</v>
      </c>
      <c r="Z83" t="str">
        <f>IF(Transaction[[#This Row],[GrossRevenue_Clean]]=Transaction[[#This Row],[ListPrice]]*Transaction[[#This Row],[Quantity]],"Valid","Invalid")</f>
        <v>Valid</v>
      </c>
      <c r="AA83">
        <v>383.34</v>
      </c>
      <c r="AB8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383.34</v>
      </c>
      <c r="AC83">
        <f>IF(Transaction[[#This Row],[DiscountAmount_Check2]]="Invalid",Transaction[[#This Row],[GrossRevenue_Analytical]]-Transaction[[#This Row],[NetRevenue_Analytical]],Transaction[[#This Row],[DiscountAmount_Clean]])</f>
        <v>383.34</v>
      </c>
      <c r="AD83">
        <v>1466.66</v>
      </c>
      <c r="AE83" t="str">
        <f>IF(ROUND(Transaction[[#This Row],[GrossRevenue_Analytical]]-Transaction[[#This Row],[NetRevenue_Analytical]],2)=ROUND(Transaction[[#This Row],[DiscountAmount_Clean]],2),"Valid","Invalid")</f>
        <v>Valid</v>
      </c>
      <c r="AF8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1466.66</v>
      </c>
      <c r="AG83">
        <f>IF(Transaction[[#This Row],[NetRevenue_Check]]="Invalid",(Transaction[[#This Row],[Quantity]]*Transaction[[#This Row],[UnitPrice_Clean]]),Transaction[[#This Row],[NetRevenue_Clean]])</f>
        <v>1466.66</v>
      </c>
      <c r="AH83" t="str">
        <f>IF(Transaction[[#This Row],[Quantity]]*Transaction[[#This Row],[UnitPrice_Clean]]=Transaction[[#This Row],[NetRevenue_Clean]],"Valid","Invalid")</f>
        <v>Valid</v>
      </c>
      <c r="AI83" t="s">
        <v>23</v>
      </c>
      <c r="AJ83" t="s">
        <v>1573</v>
      </c>
      <c r="AK83" t="str">
        <f>IF(Transaction[[#This Row],[Salesperson]]="","Missing Value",TRIM(PROPER(Transaction[[#This Row],[Salesperson]])))</f>
        <v>Gomez-Em</v>
      </c>
      <c r="AL83" t="s">
        <v>25</v>
      </c>
      <c r="AM83" t="str">
        <f>IF(Transaction[[#This Row],[ContractType]]="","Missing Value",Transaction[[#This Row],[ContractType]])</f>
        <v>Frame Agreement</v>
      </c>
      <c r="AN83" t="s">
        <v>65</v>
      </c>
    </row>
    <row r="84" spans="1:40" x14ac:dyDescent="0.25">
      <c r="A84" t="s">
        <v>393</v>
      </c>
      <c r="B84" s="1">
        <v>45706</v>
      </c>
      <c r="C8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8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8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4" s="2">
        <f>IFERROR(DATE(Transaction[[#This Row],[TransactionDateY]],Transaction[[#This Row],[TransactionDateM]],Transaction[[#This Row],[TransactionDateD]]),"Missing Value")</f>
        <v>45706</v>
      </c>
      <c r="G84" t="s">
        <v>394</v>
      </c>
      <c r="H84" t="str">
        <f>IFERROR(VLOOKUP(Transaction[[#This Row],[CustomerID]],Custumer[],1,0),IF(LEN(Transaction[[#This Row],[CustomerID]])=7,LEFT(Transaction[[#This Row],[CustomerID]],6),"Invalid ID"))</f>
        <v>C-1128</v>
      </c>
      <c r="I84" t="s">
        <v>97</v>
      </c>
      <c r="J84" t="str">
        <f>TRIM(UPPER(Transaction[[#This Row],[ProductID]]))</f>
        <v>P-SI-001</v>
      </c>
      <c r="K84" t="str">
        <f>IFERROR(VLOOKUP(Transaction[[#This Row],[ProductID_Clean]],Product[],1,FALSE),"Invalid ID")</f>
        <v>P-SI-001</v>
      </c>
      <c r="L84" t="str">
        <f>TRIM(SUBSTITUTE(SUBSTITUTE(SUBSTITUTE(SUBSTITUTE(UPPER(Transaction[[#This Row],[Region]]),"EMEA REGION","EMEA"),"APAC REGION","APAC"),"NORTH AMERICA","N. AMERICA"),"N .AMERICA","N.AMERICA"))</f>
        <v>EMEA</v>
      </c>
      <c r="M84" t="s">
        <v>87</v>
      </c>
      <c r="N84" t="s">
        <v>47</v>
      </c>
      <c r="O8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4" t="s">
        <v>22</v>
      </c>
      <c r="Q84" t="str">
        <f>IF(TRIM(Transaction[[#This Row],[SalesChannel]])="","Missing Value",TRIM(Transaction[[#This Row],[SalesChannel]]))</f>
        <v>Direct</v>
      </c>
      <c r="R84" s="4">
        <v>2</v>
      </c>
      <c r="S84" s="4" t="str">
        <f>IF(Transaction[[#This Row],[Quantity]]&lt;0,"Negative-review","Valid")</f>
        <v>Valid</v>
      </c>
      <c r="T84">
        <v>440.6</v>
      </c>
      <c r="U8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440.6</v>
      </c>
      <c r="V84">
        <v>485</v>
      </c>
      <c r="W84">
        <v>970</v>
      </c>
      <c r="X8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84">
        <f>IF(Transaction[[#This Row],[GrossRevenue_Check]]="Invalid",Transaction[[#This Row],[ListPrice]]*Transaction[[#This Row],[Quantity]],Transaction[[#This Row],[GrossRevenue_Clean]])</f>
        <v>970</v>
      </c>
      <c r="Z84" t="str">
        <f>IF(Transaction[[#This Row],[GrossRevenue_Clean]]=Transaction[[#This Row],[ListPrice]]*Transaction[[#This Row],[Quantity]],"Valid","Invalid")</f>
        <v>Valid</v>
      </c>
      <c r="AA84">
        <v>88.8</v>
      </c>
      <c r="AB8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88.8</v>
      </c>
      <c r="AC84">
        <f>IF(Transaction[[#This Row],[DiscountAmount_Check2]]="Invalid",Transaction[[#This Row],[GrossRevenue_Analytical]]-Transaction[[#This Row],[NetRevenue_Analytical]],Transaction[[#This Row],[DiscountAmount_Clean]])</f>
        <v>88.8</v>
      </c>
      <c r="AD84">
        <v>881.2</v>
      </c>
      <c r="AE84" t="str">
        <f>IF(ROUND(Transaction[[#This Row],[GrossRevenue_Analytical]]-Transaction[[#This Row],[NetRevenue_Analytical]],2)=ROUND(Transaction[[#This Row],[DiscountAmount_Clean]],2),"Valid","Invalid")</f>
        <v>Valid</v>
      </c>
      <c r="AF84">
        <f>VALUE(IF(ISNUMBER(Transaction[[#This Row],[NetRevenue]]),Transaction[[#This Row],[NetRevenue]],IFERROR(IF(FIND("$",Transaction[[#This Row],[NetRevenue]])&gt;0,MID(Transaction[[#This Row],[NetRevenue]],2,10)),Transaction[[#This Row],[NetRevenue]])))</f>
        <v>881.2</v>
      </c>
      <c r="AG84">
        <f>IF(Transaction[[#This Row],[NetRevenue_Check]]="Invalid",(Transaction[[#This Row],[Quantity]]*Transaction[[#This Row],[UnitPrice_Clean]]),Transaction[[#This Row],[NetRevenue_Clean]])</f>
        <v>881.2</v>
      </c>
      <c r="AH84" t="str">
        <f>IF(Transaction[[#This Row],[Quantity]]*Transaction[[#This Row],[UnitPrice_Clean]]=Transaction[[#This Row],[NetRevenue_Clean]],"Valid","Invalid")</f>
        <v>Valid</v>
      </c>
      <c r="AI84" t="s">
        <v>23</v>
      </c>
      <c r="AJ84" t="s">
        <v>294</v>
      </c>
      <c r="AK84" t="str">
        <f>IF(Transaction[[#This Row],[Salesperson]]="","Missing Value",TRIM(PROPER(Transaction[[#This Row],[Salesperson]])))</f>
        <v>Sanders</v>
      </c>
      <c r="AL84" t="s">
        <v>55</v>
      </c>
      <c r="AM84" t="str">
        <f>IF(Transaction[[#This Row],[ContractType]]="","Missing Value",Transaction[[#This Row],[ContractType]])</f>
        <v>Spot</v>
      </c>
      <c r="AN84" t="s">
        <v>43</v>
      </c>
    </row>
    <row r="85" spans="1:40" x14ac:dyDescent="0.25">
      <c r="A85" t="s">
        <v>1675</v>
      </c>
      <c r="C8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8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8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85" s="2" t="str">
        <f>IFERROR(DATE(Transaction[[#This Row],[TransactionDateY]],Transaction[[#This Row],[TransactionDateM]],Transaction[[#This Row],[TransactionDateD]]),"Missing Value")</f>
        <v>Missing Value</v>
      </c>
      <c r="G85" t="s">
        <v>243</v>
      </c>
      <c r="H85" t="str">
        <f>IFERROR(VLOOKUP(Transaction[[#This Row],[CustomerID]],Custumer[],1,0),IF(LEN(Transaction[[#This Row],[CustomerID]])=7,LEFT(Transaction[[#This Row],[CustomerID]],6),"Invalid ID"))</f>
        <v>C-1059</v>
      </c>
      <c r="I85" t="s">
        <v>46</v>
      </c>
      <c r="J85" t="str">
        <f>TRIM(UPPER(Transaction[[#This Row],[ProductID]]))</f>
        <v>P-SI-006</v>
      </c>
      <c r="K85" t="str">
        <f>IFERROR(VLOOKUP(Transaction[[#This Row],[ProductID_Clean]],Product[],1,FALSE),"Invalid ID")</f>
        <v>P-SI-006</v>
      </c>
      <c r="L85" t="str">
        <f>TRIM(SUBSTITUTE(SUBSTITUTE(SUBSTITUTE(SUBSTITUTE(UPPER(Transaction[[#This Row],[Region]]),"EMEA REGION","EMEA"),"APAC REGION","APAC"),"NORTH AMERICA","N. AMERICA"),"N .AMERICA","N.AMERICA"))</f>
        <v>N. AMERICA</v>
      </c>
      <c r="M85" t="s">
        <v>20</v>
      </c>
      <c r="N85" t="s">
        <v>53</v>
      </c>
      <c r="O8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5" t="s">
        <v>22</v>
      </c>
      <c r="Q85" t="str">
        <f>IF(TRIM(Transaction[[#This Row],[SalesChannel]])="","Missing Value",TRIM(Transaction[[#This Row],[SalesChannel]]))</f>
        <v>Direct</v>
      </c>
      <c r="R85" s="4">
        <v>2</v>
      </c>
      <c r="S85" s="4" t="str">
        <f>IF(Transaction[[#This Row],[Quantity]]&lt;0,"Negative-review","Valid")</f>
        <v>Valid</v>
      </c>
      <c r="T85">
        <v>184.36</v>
      </c>
      <c r="U8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184.36</v>
      </c>
      <c r="V85">
        <v>215</v>
      </c>
      <c r="W85">
        <v>430</v>
      </c>
      <c r="X8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85">
        <f>IF(Transaction[[#This Row],[GrossRevenue_Check]]="Invalid",Transaction[[#This Row],[ListPrice]]*Transaction[[#This Row],[Quantity]],Transaction[[#This Row],[GrossRevenue_Clean]])</f>
        <v>430</v>
      </c>
      <c r="Z85" t="str">
        <f>IF(Transaction[[#This Row],[GrossRevenue_Clean]]=Transaction[[#This Row],[ListPrice]]*Transaction[[#This Row],[Quantity]],"Valid","Invalid")</f>
        <v>Valid</v>
      </c>
      <c r="AA85">
        <v>61.28</v>
      </c>
      <c r="AB8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61.28</v>
      </c>
      <c r="AC85">
        <f>IF(Transaction[[#This Row],[DiscountAmount_Check2]]="Invalid",Transaction[[#This Row],[GrossRevenue_Analytical]]-Transaction[[#This Row],[NetRevenue_Analytical]],Transaction[[#This Row],[DiscountAmount_Clean]])</f>
        <v>61.28</v>
      </c>
      <c r="AD85">
        <v>368.72</v>
      </c>
      <c r="AE85" t="str">
        <f>IF(ROUND(Transaction[[#This Row],[GrossRevenue_Analytical]]-Transaction[[#This Row],[NetRevenue_Analytical]],2)=ROUND(Transaction[[#This Row],[DiscountAmount_Clean]],2),"Valid","Invalid")</f>
        <v>Valid</v>
      </c>
      <c r="AF8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368.72</v>
      </c>
      <c r="AG85">
        <f>IF(Transaction[[#This Row],[NetRevenue_Check]]="Invalid",(Transaction[[#This Row],[Quantity]]*Transaction[[#This Row],[UnitPrice_Clean]]),Transaction[[#This Row],[NetRevenue_Clean]])</f>
        <v>368.72</v>
      </c>
      <c r="AH85" t="str">
        <f>IF(Transaction[[#This Row],[Quantity]]*Transaction[[#This Row],[UnitPrice_Clean]]=Transaction[[#This Row],[NetRevenue_Clean]],"Valid","Invalid")</f>
        <v>Valid</v>
      </c>
      <c r="AI85" t="s">
        <v>99</v>
      </c>
      <c r="AJ85" t="s">
        <v>1676</v>
      </c>
      <c r="AK85" t="str">
        <f>IF(Transaction[[#This Row],[Salesperson]]="","Missing Value",TRIM(PROPER(Transaction[[#This Row],[Salesperson]])))</f>
        <v>Harmon-Ap</v>
      </c>
      <c r="AL85" t="s">
        <v>55</v>
      </c>
      <c r="AM85" t="str">
        <f>IF(Transaction[[#This Row],[ContractType]]="","Missing Value",Transaction[[#This Row],[ContractType]])</f>
        <v>Spot</v>
      </c>
      <c r="AN85" t="s">
        <v>49</v>
      </c>
    </row>
    <row r="86" spans="1:40" x14ac:dyDescent="0.25">
      <c r="A86" t="s">
        <v>1094</v>
      </c>
      <c r="B86" s="1">
        <v>45762</v>
      </c>
      <c r="C8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8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8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6" s="2">
        <f>IFERROR(DATE(Transaction[[#This Row],[TransactionDateY]],Transaction[[#This Row],[TransactionDateM]],Transaction[[#This Row],[TransactionDateD]]),"Missing Value")</f>
        <v>45762</v>
      </c>
      <c r="G86" t="s">
        <v>1095</v>
      </c>
      <c r="H86" t="str">
        <f>IFERROR(VLOOKUP(Transaction[[#This Row],[CustomerID]],Custumer[],1,0),IF(LEN(Transaction[[#This Row],[CustomerID]])=7,LEFT(Transaction[[#This Row],[CustomerID]],6),"Invalid ID"))</f>
        <v>C-1036</v>
      </c>
      <c r="I86" t="s">
        <v>222</v>
      </c>
      <c r="J86" t="str">
        <f>TRIM(UPPER(Transaction[[#This Row],[ProductID]]))</f>
        <v>P-FS-003</v>
      </c>
      <c r="K86" t="str">
        <f>IFERROR(VLOOKUP(Transaction[[#This Row],[ProductID_Clean]],Product[],1,FALSE),"Invalid ID")</f>
        <v>P-FS-003</v>
      </c>
      <c r="L86" t="str">
        <f>TRIM(SUBSTITUTE(SUBSTITUTE(SUBSTITUTE(SUBSTITUTE(UPPER(Transaction[[#This Row],[Region]]),"EMEA REGION","EMEA"),"APAC REGION","APAC"),"NORTH AMERICA","N. AMERICA"),"N .AMERICA","N.AMERICA"))</f>
        <v>EMEA</v>
      </c>
      <c r="M86" t="s">
        <v>76</v>
      </c>
      <c r="N86" t="s">
        <v>21</v>
      </c>
      <c r="O8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86" t="s">
        <v>22</v>
      </c>
      <c r="Q86" t="str">
        <f>IF(TRIM(Transaction[[#This Row],[SalesChannel]])="","Missing Value",TRIM(Transaction[[#This Row],[SalesChannel]]))</f>
        <v>Direct</v>
      </c>
      <c r="R86" s="4">
        <v>1</v>
      </c>
      <c r="S86" s="4" t="str">
        <f>IF(Transaction[[#This Row],[Quantity]]&lt;0,"Negative-review","Valid")</f>
        <v>Valid</v>
      </c>
      <c r="T86">
        <v>3889.81</v>
      </c>
      <c r="U8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3889.81</v>
      </c>
      <c r="V86">
        <v>4100</v>
      </c>
      <c r="W86">
        <v>4100</v>
      </c>
      <c r="X8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4100</v>
      </c>
      <c r="Y86">
        <f>IF(Transaction[[#This Row],[GrossRevenue_Check]]="Invalid",Transaction[[#This Row],[ListPrice]]*Transaction[[#This Row],[Quantity]],Transaction[[#This Row],[GrossRevenue_Clean]])</f>
        <v>4100</v>
      </c>
      <c r="Z86" t="str">
        <f>IF(Transaction[[#This Row],[GrossRevenue_Clean]]=Transaction[[#This Row],[ListPrice]]*Transaction[[#This Row],[Quantity]],"Valid","Invalid")</f>
        <v>Valid</v>
      </c>
      <c r="AA86">
        <v>210.19</v>
      </c>
      <c r="AB8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210.19</v>
      </c>
      <c r="AC86">
        <f>IF(Transaction[[#This Row],[DiscountAmount_Check2]]="Invalid",Transaction[[#This Row],[GrossRevenue_Analytical]]-Transaction[[#This Row],[NetRevenue_Analytical]],Transaction[[#This Row],[DiscountAmount_Clean]])</f>
        <v>210.19</v>
      </c>
      <c r="AD86">
        <v>3889.81</v>
      </c>
      <c r="AE86" t="str">
        <f>IF(ROUND(Transaction[[#This Row],[GrossRevenue_Analytical]]-Transaction[[#This Row],[NetRevenue_Analytical]],2)=ROUND(Transaction[[#This Row],[DiscountAmount_Clean]],2),"Valid","Invalid")</f>
        <v>Valid</v>
      </c>
      <c r="AF86">
        <f>VALUE(IF(ISNUMBER(Transaction[[#This Row],[NetRevenue]]),Transaction[[#This Row],[NetRevenue]],IFERROR(IF(FIND("$",Transaction[[#This Row],[NetRevenue]])&gt;0,MID(Transaction[[#This Row],[NetRevenue]],2,10)),Transaction[[#This Row],[NetRevenue]])))</f>
        <v>3889.81</v>
      </c>
      <c r="AG86">
        <f>IF(Transaction[[#This Row],[NetRevenue_Check]]="Invalid",(Transaction[[#This Row],[Quantity]]*Transaction[[#This Row],[UnitPrice_Clean]]),Transaction[[#This Row],[NetRevenue_Clean]])</f>
        <v>3889.81</v>
      </c>
      <c r="AH86" t="str">
        <f>IF(Transaction[[#This Row],[Quantity]]*Transaction[[#This Row],[UnitPrice_Clean]]=Transaction[[#This Row],[NetRevenue_Clean]],"Valid","Invalid")</f>
        <v>Valid</v>
      </c>
      <c r="AI86" t="s">
        <v>23</v>
      </c>
      <c r="AJ86" t="s">
        <v>1096</v>
      </c>
      <c r="AK86" t="str">
        <f>IF(Transaction[[#This Row],[Salesperson]]="","Missing Value",TRIM(PROPER(Transaction[[#This Row],[Salesperson]])))</f>
        <v>Graham-Na</v>
      </c>
      <c r="AL86" t="s">
        <v>295</v>
      </c>
      <c r="AM86" t="str">
        <f>IF(Transaction[[#This Row],[ContractType]]="","Missing Value",Transaction[[#This Row],[ContractType]])</f>
        <v>Multi-Year</v>
      </c>
      <c r="AN86" t="s">
        <v>49</v>
      </c>
    </row>
    <row r="87" spans="1:40" x14ac:dyDescent="0.25">
      <c r="A87" t="s">
        <v>1672</v>
      </c>
      <c r="B87" s="1">
        <v>45800</v>
      </c>
      <c r="C8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8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8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7" s="2">
        <f>IFERROR(DATE(Transaction[[#This Row],[TransactionDateY]],Transaction[[#This Row],[TransactionDateM]],Transaction[[#This Row],[TransactionDateD]]),"Missing Value")</f>
        <v>45800</v>
      </c>
      <c r="G87" t="s">
        <v>396</v>
      </c>
      <c r="H87" t="str">
        <f>IFERROR(VLOOKUP(Transaction[[#This Row],[CustomerID]],Custumer[],1,0),IF(LEN(Transaction[[#This Row],[CustomerID]])=7,LEFT(Transaction[[#This Row],[CustomerID]],6),"Invalid ID"))</f>
        <v>C-1142</v>
      </c>
      <c r="I87" t="s">
        <v>62</v>
      </c>
      <c r="J87" t="str">
        <f>TRIM(UPPER(Transaction[[#This Row],[ProductID]]))</f>
        <v>P-SI-004</v>
      </c>
      <c r="K87" t="str">
        <f>IFERROR(VLOOKUP(Transaction[[#This Row],[ProductID_Clean]],Product[],1,FALSE),"Invalid ID")</f>
        <v>P-SI-004</v>
      </c>
      <c r="L87" t="str">
        <f>TRIM(SUBSTITUTE(SUBSTITUTE(SUBSTITUTE(SUBSTITUTE(UPPER(Transaction[[#This Row],[Region]]),"EMEA REGION","EMEA"),"APAC REGION","APAC"),"NORTH AMERICA","N. AMERICA"),"N .AMERICA","N.AMERICA"))</f>
        <v>N. AMERICA</v>
      </c>
      <c r="M87" t="s">
        <v>20</v>
      </c>
      <c r="N87" t="s">
        <v>53</v>
      </c>
      <c r="O8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7" t="s">
        <v>22</v>
      </c>
      <c r="Q87" t="str">
        <f>IF(TRIM(Transaction[[#This Row],[SalesChannel]])="","Missing Value",TRIM(Transaction[[#This Row],[SalesChannel]]))</f>
        <v>Direct</v>
      </c>
      <c r="R87" s="4">
        <v>1</v>
      </c>
      <c r="S87" s="4" t="str">
        <f>IF(Transaction[[#This Row],[Quantity]]&lt;0,"Negative-review","Valid")</f>
        <v>Valid</v>
      </c>
      <c r="T87">
        <v>2389.5100000000002</v>
      </c>
      <c r="U8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2389.5100000000002</v>
      </c>
      <c r="V87">
        <v>2450</v>
      </c>
      <c r="W87">
        <v>2450</v>
      </c>
      <c r="X8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87">
        <f>IF(Transaction[[#This Row],[GrossRevenue_Check]]="Invalid",Transaction[[#This Row],[ListPrice]]*Transaction[[#This Row],[Quantity]],Transaction[[#This Row],[GrossRevenue_Clean]])</f>
        <v>2450</v>
      </c>
      <c r="Z87" t="str">
        <f>IF(Transaction[[#This Row],[GrossRevenue_Clean]]=Transaction[[#This Row],[ListPrice]]*Transaction[[#This Row],[Quantity]],"Valid","Invalid")</f>
        <v>Valid</v>
      </c>
      <c r="AA87">
        <v>60.49</v>
      </c>
      <c r="AB8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60.49</v>
      </c>
      <c r="AC87">
        <f>IF(Transaction[[#This Row],[DiscountAmount_Check2]]="Invalid",Transaction[[#This Row],[GrossRevenue_Analytical]]-Transaction[[#This Row],[NetRevenue_Analytical]],Transaction[[#This Row],[DiscountAmount_Clean]])</f>
        <v>60.49</v>
      </c>
      <c r="AD87">
        <v>2389.5100000000002</v>
      </c>
      <c r="AE87" t="str">
        <f>IF(ROUND(Transaction[[#This Row],[GrossRevenue_Analytical]]-Transaction[[#This Row],[NetRevenue_Analytical]],2)=ROUND(Transaction[[#This Row],[DiscountAmount_Clean]],2),"Valid","Invalid")</f>
        <v>Valid</v>
      </c>
      <c r="AF87">
        <f>VALUE(IF(ISNUMBER(Transaction[[#This Row],[NetRevenue]]),Transaction[[#This Row],[NetRevenue]],IFERROR(IF(FIND("$",Transaction[[#This Row],[NetRevenue]])&gt;0,MID(Transaction[[#This Row],[NetRevenue]],2,10)),Transaction[[#This Row],[NetRevenue]])))</f>
        <v>2389.5100000000002</v>
      </c>
      <c r="AG87">
        <f>IF(Transaction[[#This Row],[NetRevenue_Check]]="Invalid",(Transaction[[#This Row],[Quantity]]*Transaction[[#This Row],[UnitPrice_Clean]]),Transaction[[#This Row],[NetRevenue_Clean]])</f>
        <v>2389.5100000000002</v>
      </c>
      <c r="AH87" t="str">
        <f>IF(Transaction[[#This Row],[Quantity]]*Transaction[[#This Row],[UnitPrice_Clean]]=Transaction[[#This Row],[NetRevenue_Clean]],"Valid","Invalid")</f>
        <v>Valid</v>
      </c>
      <c r="AI87" t="s">
        <v>23</v>
      </c>
      <c r="AK87" t="str">
        <f>IF(Transaction[[#This Row],[Salesperson]]="","Missing Value",TRIM(PROPER(Transaction[[#This Row],[Salesperson]])))</f>
        <v>Missing Value</v>
      </c>
      <c r="AL87" t="s">
        <v>42</v>
      </c>
      <c r="AM87" t="str">
        <f>IF(Transaction[[#This Row],[ContractType]]="","Missing Value",Transaction[[#This Row],[ContractType]])</f>
        <v>Standard PO</v>
      </c>
      <c r="AN87" t="s">
        <v>65</v>
      </c>
    </row>
    <row r="88" spans="1:40" x14ac:dyDescent="0.25">
      <c r="A88" t="s">
        <v>2315</v>
      </c>
      <c r="B88" s="1">
        <v>45834</v>
      </c>
      <c r="C8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8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8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8" s="2">
        <f>IFERROR(DATE(Transaction[[#This Row],[TransactionDateY]],Transaction[[#This Row],[TransactionDateM]],Transaction[[#This Row],[TransactionDateD]]),"Missing Value")</f>
        <v>45834</v>
      </c>
      <c r="G88" t="s">
        <v>1179</v>
      </c>
      <c r="H88" t="str">
        <f>IFERROR(VLOOKUP(Transaction[[#This Row],[CustomerID]],Custumer[],1,0),IF(LEN(Transaction[[#This Row],[CustomerID]])=7,LEFT(Transaction[[#This Row],[CustomerID]],6),"Invalid ID"))</f>
        <v>C-1116</v>
      </c>
      <c r="I88" t="s">
        <v>75</v>
      </c>
      <c r="J88" t="str">
        <f>TRIM(UPPER(Transaction[[#This Row],[ProductID]]))</f>
        <v>P-SA-005</v>
      </c>
      <c r="K88" t="str">
        <f>IFERROR(VLOOKUP(Transaction[[#This Row],[ProductID_Clean]],Product[],1,FALSE),"Invalid ID")</f>
        <v>P-SA-005</v>
      </c>
      <c r="L88" t="str">
        <f>TRIM(SUBSTITUTE(SUBSTITUTE(SUBSTITUTE(SUBSTITUTE(UPPER(Transaction[[#This Row],[Region]]),"EMEA REGION","EMEA"),"APAC REGION","APAC"),"NORTH AMERICA","N. AMERICA"),"N .AMERICA","N.AMERICA"))</f>
        <v>N. AMERICA</v>
      </c>
      <c r="M88" t="s">
        <v>204</v>
      </c>
      <c r="N88" t="s">
        <v>31</v>
      </c>
      <c r="O8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88" t="s">
        <v>181</v>
      </c>
      <c r="Q88" t="str">
        <f>IF(TRIM(Transaction[[#This Row],[SalesChannel]])="","Missing Value",TRIM(Transaction[[#This Row],[SalesChannel]]))</f>
        <v>Partner Portal</v>
      </c>
      <c r="R88" s="4">
        <v>1</v>
      </c>
      <c r="S88" s="4" t="str">
        <f>IF(Transaction[[#This Row],[Quantity]]&lt;0,"Negative-review","Valid")</f>
        <v>Valid</v>
      </c>
      <c r="T88">
        <v>2849.45</v>
      </c>
      <c r="U8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2849.45</v>
      </c>
      <c r="V88">
        <v>3200</v>
      </c>
      <c r="W88">
        <v>3200</v>
      </c>
      <c r="X8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88">
        <f>IF(Transaction[[#This Row],[GrossRevenue_Check]]="Invalid",Transaction[[#This Row],[ListPrice]]*Transaction[[#This Row],[Quantity]],Transaction[[#This Row],[GrossRevenue_Clean]])</f>
        <v>3200</v>
      </c>
      <c r="Z88" t="str">
        <f>IF(Transaction[[#This Row],[GrossRevenue_Clean]]=Transaction[[#This Row],[ListPrice]]*Transaction[[#This Row],[Quantity]],"Valid","Invalid")</f>
        <v>Valid</v>
      </c>
      <c r="AA88">
        <v>350.55</v>
      </c>
      <c r="AB8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350.55</v>
      </c>
      <c r="AC88">
        <f>IF(Transaction[[#This Row],[DiscountAmount_Check2]]="Invalid",Transaction[[#This Row],[GrossRevenue_Analytical]]-Transaction[[#This Row],[NetRevenue_Analytical]],Transaction[[#This Row],[DiscountAmount_Clean]])</f>
        <v>350.55</v>
      </c>
      <c r="AD88">
        <v>2849.45</v>
      </c>
      <c r="AE88" t="str">
        <f>IF(ROUND(Transaction[[#This Row],[GrossRevenue_Analytical]]-Transaction[[#This Row],[NetRevenue_Analytical]],2)=ROUND(Transaction[[#This Row],[DiscountAmount_Clean]],2),"Valid","Invalid")</f>
        <v>Valid</v>
      </c>
      <c r="AF8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2849.45</v>
      </c>
      <c r="AG88">
        <f>IF(Transaction[[#This Row],[NetRevenue_Check]]="Invalid",(Transaction[[#This Row],[Quantity]]*Transaction[[#This Row],[UnitPrice_Clean]]),Transaction[[#This Row],[NetRevenue_Clean]])</f>
        <v>2849.45</v>
      </c>
      <c r="AH88" t="str">
        <f>IF(Transaction[[#This Row],[Quantity]]*Transaction[[#This Row],[UnitPrice_Clean]]=Transaction[[#This Row],[NetRevenue_Clean]],"Valid","Invalid")</f>
        <v>Valid</v>
      </c>
      <c r="AI88" t="s">
        <v>23</v>
      </c>
      <c r="AJ88" t="s">
        <v>993</v>
      </c>
      <c r="AK88" t="str">
        <f>IF(Transaction[[#This Row],[Salesperson]]="","Missing Value",TRIM(PROPER(Transaction[[#This Row],[Salesperson]])))</f>
        <v>Miller-Ap</v>
      </c>
      <c r="AL88" t="s">
        <v>113</v>
      </c>
      <c r="AM88" t="str">
        <f>IF(Transaction[[#This Row],[ContractType]]="","Missing Value",Transaction[[#This Row],[ContractType]])</f>
        <v>Subscription</v>
      </c>
      <c r="AN88" t="s">
        <v>65</v>
      </c>
    </row>
    <row r="89" spans="1:40" x14ac:dyDescent="0.25">
      <c r="A89" t="s">
        <v>506</v>
      </c>
      <c r="B89" s="1">
        <v>45783</v>
      </c>
      <c r="C8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8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8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9" s="2">
        <f>IFERROR(DATE(Transaction[[#This Row],[TransactionDateY]],Transaction[[#This Row],[TransactionDateM]],Transaction[[#This Row],[TransactionDateD]]),"Missing Value")</f>
        <v>45783</v>
      </c>
      <c r="G89" t="s">
        <v>507</v>
      </c>
      <c r="H89" t="str">
        <f>IFERROR(VLOOKUP(Transaction[[#This Row],[CustomerID]],Custumer[],1,0),IF(LEN(Transaction[[#This Row],[CustomerID]])=7,LEFT(Transaction[[#This Row],[CustomerID]],6),"Invalid ID"))</f>
        <v>C-1091</v>
      </c>
      <c r="I89" t="s">
        <v>46</v>
      </c>
      <c r="J89" t="str">
        <f>TRIM(UPPER(Transaction[[#This Row],[ProductID]]))</f>
        <v>P-SI-006</v>
      </c>
      <c r="K89" t="str">
        <f>IFERROR(VLOOKUP(Transaction[[#This Row],[ProductID_Clean]],Product[],1,FALSE),"Invalid ID")</f>
        <v>P-SI-006</v>
      </c>
      <c r="L89" t="str">
        <f>TRIM(SUBSTITUTE(SUBSTITUTE(SUBSTITUTE(SUBSTITUTE(UPPER(Transaction[[#This Row],[Region]]),"EMEA REGION","EMEA"),"APAC REGION","APAC"),"NORTH AMERICA","N. AMERICA"),"N .AMERICA","N.AMERICA"))</f>
        <v>EMEA</v>
      </c>
      <c r="M89" t="s">
        <v>177</v>
      </c>
      <c r="N89" t="s">
        <v>53</v>
      </c>
      <c r="O8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9" t="s">
        <v>22</v>
      </c>
      <c r="Q89" t="str">
        <f>IF(TRIM(Transaction[[#This Row],[SalesChannel]])="","Missing Value",TRIM(Transaction[[#This Row],[SalesChannel]]))</f>
        <v>Direct</v>
      </c>
      <c r="R89" s="4">
        <v>1</v>
      </c>
      <c r="S89" s="4" t="str">
        <f>IF(Transaction[[#This Row],[Quantity]]&lt;0,"Negative-review","Valid")</f>
        <v>Valid</v>
      </c>
      <c r="T89">
        <v>188.86</v>
      </c>
      <c r="U8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188.86</v>
      </c>
      <c r="V89">
        <v>215</v>
      </c>
      <c r="W89">
        <v>215</v>
      </c>
      <c r="X8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89">
        <f>IF(Transaction[[#This Row],[GrossRevenue_Check]]="Invalid",Transaction[[#This Row],[ListPrice]]*Transaction[[#This Row],[Quantity]],Transaction[[#This Row],[GrossRevenue_Clean]])</f>
        <v>215</v>
      </c>
      <c r="Z89" t="str">
        <f>IF(Transaction[[#This Row],[GrossRevenue_Clean]]=Transaction[[#This Row],[ListPrice]]*Transaction[[#This Row],[Quantity]],"Valid","Invalid")</f>
        <v>Valid</v>
      </c>
      <c r="AA89">
        <v>26.14</v>
      </c>
      <c r="AB8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26.14</v>
      </c>
      <c r="AC89">
        <f>IF(Transaction[[#This Row],[DiscountAmount_Check2]]="Invalid",Transaction[[#This Row],[GrossRevenue_Analytical]]-Transaction[[#This Row],[NetRevenue_Analytical]],Transaction[[#This Row],[DiscountAmount_Clean]])</f>
        <v>26.14</v>
      </c>
      <c r="AD89">
        <v>188.86</v>
      </c>
      <c r="AE89" t="str">
        <f>IF(ROUND(Transaction[[#This Row],[GrossRevenue_Analytical]]-Transaction[[#This Row],[NetRevenue_Analytical]],2)=ROUND(Transaction[[#This Row],[DiscountAmount_Clean]],2),"Valid","Invalid")</f>
        <v>Valid</v>
      </c>
      <c r="AF8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188.86</v>
      </c>
      <c r="AG89">
        <f>IF(Transaction[[#This Row],[NetRevenue_Check]]="Invalid",(Transaction[[#This Row],[Quantity]]*Transaction[[#This Row],[UnitPrice_Clean]]),Transaction[[#This Row],[NetRevenue_Clean]])</f>
        <v>188.86</v>
      </c>
      <c r="AH89" t="str">
        <f>IF(Transaction[[#This Row],[Quantity]]*Transaction[[#This Row],[UnitPrice_Clean]]=Transaction[[#This Row],[NetRevenue_Clean]],"Valid","Invalid")</f>
        <v>Valid</v>
      </c>
      <c r="AI89" t="s">
        <v>23</v>
      </c>
      <c r="AJ89" t="s">
        <v>508</v>
      </c>
      <c r="AK89" t="str">
        <f>IF(Transaction[[#This Row],[Salesperson]]="","Missing Value",TRIM(PROPER(Transaction[[#This Row],[Salesperson]])))</f>
        <v>Edwards-Na</v>
      </c>
      <c r="AL89" t="s">
        <v>55</v>
      </c>
      <c r="AM89" t="str">
        <f>IF(Transaction[[#This Row],[ContractType]]="","Missing Value",Transaction[[#This Row],[ContractType]])</f>
        <v>Spot</v>
      </c>
      <c r="AN89" t="s">
        <v>26</v>
      </c>
    </row>
    <row r="90" spans="1:40" x14ac:dyDescent="0.25">
      <c r="A90" t="s">
        <v>3075</v>
      </c>
      <c r="B90" s="1">
        <v>45662</v>
      </c>
      <c r="C9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9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9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0" s="2">
        <f>IFERROR(DATE(Transaction[[#This Row],[TransactionDateY]],Transaction[[#This Row],[TransactionDateM]],Transaction[[#This Row],[TransactionDateD]]),"Missing Value")</f>
        <v>45662</v>
      </c>
      <c r="G90" t="s">
        <v>86</v>
      </c>
      <c r="H90" t="str">
        <f>IFERROR(VLOOKUP(Transaction[[#This Row],[CustomerID]],Custumer[],1,0),IF(LEN(Transaction[[#This Row],[CustomerID]])=7,LEFT(Transaction[[#This Row],[CustomerID]],6),"Invalid ID"))</f>
        <v>C-1177</v>
      </c>
      <c r="I90" t="s">
        <v>46</v>
      </c>
      <c r="J90" t="str">
        <f>TRIM(UPPER(Transaction[[#This Row],[ProductID]]))</f>
        <v>P-SI-006</v>
      </c>
      <c r="K90" t="str">
        <f>IFERROR(VLOOKUP(Transaction[[#This Row],[ProductID_Clean]],Product[],1,FALSE),"Invalid ID")</f>
        <v>P-SI-006</v>
      </c>
      <c r="L90" t="str">
        <f>TRIM(SUBSTITUTE(SUBSTITUTE(SUBSTITUTE(SUBSTITUTE(UPPER(Transaction[[#This Row],[Region]]),"EMEA REGION","EMEA"),"APAC REGION","APAC"),"NORTH AMERICA","N. AMERICA"),"N .AMERICA","N.AMERICA"))</f>
        <v>EMEA</v>
      </c>
      <c r="M90" t="s">
        <v>177</v>
      </c>
      <c r="N90" t="s">
        <v>53</v>
      </c>
      <c r="O9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0" t="s">
        <v>22</v>
      </c>
      <c r="Q90" t="str">
        <f>IF(TRIM(Transaction[[#This Row],[SalesChannel]])="","Missing Value",TRIM(Transaction[[#This Row],[SalesChannel]]))</f>
        <v>Direct</v>
      </c>
      <c r="R90" s="4">
        <v>2</v>
      </c>
      <c r="S90" s="4" t="str">
        <f>IF(Transaction[[#This Row],[Quantity]]&lt;0,"Negative-review","Valid")</f>
        <v>Valid</v>
      </c>
      <c r="T90">
        <v>175.51</v>
      </c>
      <c r="U9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175.51</v>
      </c>
      <c r="V90">
        <v>215</v>
      </c>
      <c r="W90">
        <v>430</v>
      </c>
      <c r="X9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90">
        <f>IF(Transaction[[#This Row],[GrossRevenue_Check]]="Invalid",Transaction[[#This Row],[ListPrice]]*Transaction[[#This Row],[Quantity]],Transaction[[#This Row],[GrossRevenue_Clean]])</f>
        <v>430</v>
      </c>
      <c r="Z90" t="str">
        <f>IF(Transaction[[#This Row],[GrossRevenue_Clean]]=Transaction[[#This Row],[ListPrice]]*Transaction[[#This Row],[Quantity]],"Valid","Invalid")</f>
        <v>Valid</v>
      </c>
      <c r="AA90">
        <v>78.98</v>
      </c>
      <c r="AB9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78.98</v>
      </c>
      <c r="AC90">
        <f>IF(Transaction[[#This Row],[DiscountAmount_Check2]]="Invalid",Transaction[[#This Row],[GrossRevenue_Analytical]]-Transaction[[#This Row],[NetRevenue_Analytical]],Transaction[[#This Row],[DiscountAmount_Clean]])</f>
        <v>78.98</v>
      </c>
      <c r="AD90">
        <v>351.02</v>
      </c>
      <c r="AE90" t="str">
        <f>IF(ROUND(Transaction[[#This Row],[GrossRevenue_Analytical]]-Transaction[[#This Row],[NetRevenue_Analytical]],2)=ROUND(Transaction[[#This Row],[DiscountAmount_Clean]],2),"Valid","Invalid")</f>
        <v>Valid</v>
      </c>
      <c r="AF90">
        <f>VALUE(IF(ISNUMBER(Transaction[[#This Row],[NetRevenue]]),Transaction[[#This Row],[NetRevenue]],IFERROR(IF(FIND("$",Transaction[[#This Row],[NetRevenue]])&gt;0,MID(Transaction[[#This Row],[NetRevenue]],2,10)),Transaction[[#This Row],[NetRevenue]])))</f>
        <v>351.02</v>
      </c>
      <c r="AG90">
        <f>IF(Transaction[[#This Row],[NetRevenue_Check]]="Invalid",(Transaction[[#This Row],[Quantity]]*Transaction[[#This Row],[UnitPrice_Clean]]),Transaction[[#This Row],[NetRevenue_Clean]])</f>
        <v>351.02</v>
      </c>
      <c r="AH90" t="str">
        <f>IF(Transaction[[#This Row],[Quantity]]*Transaction[[#This Row],[UnitPrice_Clean]]=Transaction[[#This Row],[NetRevenue_Clean]],"Valid","Invalid")</f>
        <v>Valid</v>
      </c>
      <c r="AI90" t="s">
        <v>23</v>
      </c>
      <c r="AK90" t="str">
        <f>IF(Transaction[[#This Row],[Salesperson]]="","Missing Value",TRIM(PROPER(Transaction[[#This Row],[Salesperson]])))</f>
        <v>Missing Value</v>
      </c>
      <c r="AL90" t="s">
        <v>42</v>
      </c>
      <c r="AM90" t="str">
        <f>IF(Transaction[[#This Row],[ContractType]]="","Missing Value",Transaction[[#This Row],[ContractType]])</f>
        <v>Standard PO</v>
      </c>
      <c r="AN90" t="s">
        <v>49</v>
      </c>
    </row>
    <row r="91" spans="1:40" x14ac:dyDescent="0.25">
      <c r="A91" t="s">
        <v>1003</v>
      </c>
      <c r="B91" s="1">
        <v>45733</v>
      </c>
      <c r="C9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9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9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1" s="2">
        <f>IFERROR(DATE(Transaction[[#This Row],[TransactionDateY]],Transaction[[#This Row],[TransactionDateM]],Transaction[[#This Row],[TransactionDateD]]),"Missing Value")</f>
        <v>45733</v>
      </c>
      <c r="G91" t="s">
        <v>795</v>
      </c>
      <c r="H91" t="str">
        <f>IFERROR(VLOOKUP(Transaction[[#This Row],[CustomerID]],Custumer[],1,0),IF(LEN(Transaction[[#This Row],[CustomerID]])=7,LEFT(Transaction[[#This Row],[CustomerID]],6),"Invalid ID"))</f>
        <v>C-1118</v>
      </c>
      <c r="I91" t="s">
        <v>52</v>
      </c>
      <c r="J91" t="str">
        <f>TRIM(UPPER(Transaction[[#This Row],[ProductID]]))</f>
        <v>P-SI-002</v>
      </c>
      <c r="K91" t="str">
        <f>IFERROR(VLOOKUP(Transaction[[#This Row],[ProductID_Clean]],Product[],1,FALSE),"Invalid ID")</f>
        <v>P-SI-002</v>
      </c>
      <c r="L91" t="str">
        <f>TRIM(SUBSTITUTE(SUBSTITUTE(SUBSTITUTE(SUBSTITUTE(UPPER(Transaction[[#This Row],[Region]]),"EMEA REGION","EMEA"),"APAC REGION","APAC"),"NORTH AMERICA","N. AMERICA"),"N .AMERICA","N.AMERICA"))</f>
        <v>N. AMERICA</v>
      </c>
      <c r="M91" t="s">
        <v>204</v>
      </c>
      <c r="N91" t="s">
        <v>53</v>
      </c>
      <c r="O9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1" t="s">
        <v>22</v>
      </c>
      <c r="Q91" t="str">
        <f>IF(TRIM(Transaction[[#This Row],[SalesChannel]])="","Missing Value",TRIM(Transaction[[#This Row],[SalesChannel]]))</f>
        <v>Direct</v>
      </c>
      <c r="R91" s="4">
        <v>1</v>
      </c>
      <c r="S91" s="4" t="str">
        <f>IF(Transaction[[#This Row],[Quantity]]&lt;0,"Negative-review","Valid")</f>
        <v>Valid</v>
      </c>
      <c r="T91">
        <v>620.97</v>
      </c>
      <c r="U9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620.97</v>
      </c>
      <c r="V91">
        <v>725</v>
      </c>
      <c r="W91">
        <v>725</v>
      </c>
      <c r="X9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91">
        <f>IF(Transaction[[#This Row],[GrossRevenue_Check]]="Invalid",Transaction[[#This Row],[ListPrice]]*Transaction[[#This Row],[Quantity]],Transaction[[#This Row],[GrossRevenue_Clean]])</f>
        <v>725</v>
      </c>
      <c r="Z91" t="str">
        <f>IF(Transaction[[#This Row],[GrossRevenue_Clean]]=Transaction[[#This Row],[ListPrice]]*Transaction[[#This Row],[Quantity]],"Valid","Invalid")</f>
        <v>Valid</v>
      </c>
      <c r="AA91">
        <v>104.03</v>
      </c>
      <c r="AB9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104.03</v>
      </c>
      <c r="AC91">
        <f>IF(Transaction[[#This Row],[DiscountAmount_Check2]]="Invalid",Transaction[[#This Row],[GrossRevenue_Analytical]]-Transaction[[#This Row],[NetRevenue_Analytical]],Transaction[[#This Row],[DiscountAmount_Clean]])</f>
        <v>104.03</v>
      </c>
      <c r="AD91">
        <v>620.97</v>
      </c>
      <c r="AE91" t="str">
        <f>IF(ROUND(Transaction[[#This Row],[GrossRevenue_Analytical]]-Transaction[[#This Row],[NetRevenue_Analytical]],2)=ROUND(Transaction[[#This Row],[DiscountAmount_Clean]],2),"Valid","Invalid")</f>
        <v>Valid</v>
      </c>
      <c r="AF91">
        <f>VALUE(IF(ISNUMBER(Transaction[[#This Row],[NetRevenue]]),Transaction[[#This Row],[NetRevenue]],IFERROR(IF(FIND("$",Transaction[[#This Row],[NetRevenue]])&gt;0,MID(Transaction[[#This Row],[NetRevenue]],2,10)),Transaction[[#This Row],[NetRevenue]])))</f>
        <v>620.97</v>
      </c>
      <c r="AG91">
        <f>IF(Transaction[[#This Row],[NetRevenue_Check]]="Invalid",(Transaction[[#This Row],[Quantity]]*Transaction[[#This Row],[UnitPrice_Clean]]),Transaction[[#This Row],[NetRevenue_Clean]])</f>
        <v>620.97</v>
      </c>
      <c r="AH91" t="str">
        <f>IF(Transaction[[#This Row],[Quantity]]*Transaction[[#This Row],[UnitPrice_Clean]]=Transaction[[#This Row],[NetRevenue_Clean]],"Valid","Invalid")</f>
        <v>Valid</v>
      </c>
      <c r="AI91" t="s">
        <v>23</v>
      </c>
      <c r="AJ91" t="s">
        <v>1004</v>
      </c>
      <c r="AK91" t="str">
        <f>IF(Transaction[[#This Row],[Salesperson]]="","Missing Value",TRIM(PROPER(Transaction[[#This Row],[Salesperson]])))</f>
        <v>Sullivan</v>
      </c>
      <c r="AL91" t="s">
        <v>55</v>
      </c>
      <c r="AM91" t="str">
        <f>IF(Transaction[[#This Row],[ContractType]]="","Missing Value",Transaction[[#This Row],[ContractType]])</f>
        <v>Spot</v>
      </c>
      <c r="AN91" t="s">
        <v>49</v>
      </c>
    </row>
    <row r="92" spans="1:40" x14ac:dyDescent="0.25">
      <c r="A92" t="s">
        <v>2163</v>
      </c>
      <c r="B92" t="s">
        <v>2164</v>
      </c>
      <c r="C9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9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9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2" s="2">
        <f>IFERROR(DATE(Transaction[[#This Row],[TransactionDateY]],Transaction[[#This Row],[TransactionDateM]],Transaction[[#This Row],[TransactionDateD]]),"Missing Value")</f>
        <v>45761</v>
      </c>
      <c r="G92" t="s">
        <v>345</v>
      </c>
      <c r="H92" t="str">
        <f>IFERROR(VLOOKUP(Transaction[[#This Row],[CustomerID]],Custumer[],1,0),IF(LEN(Transaction[[#This Row],[CustomerID]])=7,LEFT(Transaction[[#This Row],[CustomerID]],6),"Invalid ID"))</f>
        <v>C-1125</v>
      </c>
      <c r="I92" t="s">
        <v>39</v>
      </c>
      <c r="J92" t="str">
        <f>TRIM(UPPER(Transaction[[#This Row],[ProductID]]))</f>
        <v>P-FS-006</v>
      </c>
      <c r="K92" t="str">
        <f>IFERROR(VLOOKUP(Transaction[[#This Row],[ProductID_Clean]],Product[],1,FALSE),"Invalid ID")</f>
        <v>P-FS-006</v>
      </c>
      <c r="L92" t="str">
        <f>TRIM(SUBSTITUTE(SUBSTITUTE(SUBSTITUTE(SUBSTITUTE(UPPER(Transaction[[#This Row],[Region]]),"EMEA REGION","EMEA"),"APAC REGION","APAC"),"NORTH AMERICA","N. AMERICA"),"N .AMERICA","N.AMERICA"))</f>
        <v>N. AMERICA</v>
      </c>
      <c r="M92" t="s">
        <v>20</v>
      </c>
      <c r="N92" t="s">
        <v>21</v>
      </c>
      <c r="O92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92" t="s">
        <v>22</v>
      </c>
      <c r="Q92" t="str">
        <f>IF(TRIM(Transaction[[#This Row],[SalesChannel]])="","Missing Value",TRIM(Transaction[[#This Row],[SalesChannel]]))</f>
        <v>Direct</v>
      </c>
      <c r="R92" s="4">
        <v>1</v>
      </c>
      <c r="S92" s="4" t="str">
        <f>IF(Transaction[[#This Row],[Quantity]]&lt;0,"Negative-review","Valid")</f>
        <v>Valid</v>
      </c>
      <c r="T92">
        <v>1422.22</v>
      </c>
      <c r="U9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1422.22</v>
      </c>
      <c r="V92">
        <v>1450</v>
      </c>
      <c r="W92">
        <v>1450</v>
      </c>
      <c r="X9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92">
        <f>IF(Transaction[[#This Row],[GrossRevenue_Check]]="Invalid",Transaction[[#This Row],[ListPrice]]*Transaction[[#This Row],[Quantity]],Transaction[[#This Row],[GrossRevenue_Clean]])</f>
        <v>1450</v>
      </c>
      <c r="Z92" t="str">
        <f>IF(Transaction[[#This Row],[GrossRevenue_Clean]]=Transaction[[#This Row],[ListPrice]]*Transaction[[#This Row],[Quantity]],"Valid","Invalid")</f>
        <v>Valid</v>
      </c>
      <c r="AA92">
        <v>27.78</v>
      </c>
      <c r="AB9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27.78</v>
      </c>
      <c r="AC92">
        <f>IF(Transaction[[#This Row],[DiscountAmount_Check2]]="Invalid",Transaction[[#This Row],[GrossRevenue_Analytical]]-Transaction[[#This Row],[NetRevenue_Analytical]],Transaction[[#This Row],[DiscountAmount_Clean]])</f>
        <v>27.78</v>
      </c>
      <c r="AD92" t="s">
        <v>2165</v>
      </c>
      <c r="AE92" t="str">
        <f>IF(ROUND(Transaction[[#This Row],[GrossRevenue_Analytical]]-Transaction[[#This Row],[NetRevenue_Analytical]],2)=ROUND(Transaction[[#This Row],[DiscountAmount_Clean]],2),"Valid","Invalid")</f>
        <v>Valid</v>
      </c>
      <c r="AF9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1422.22</v>
      </c>
      <c r="AG92">
        <f>IF(Transaction[[#This Row],[NetRevenue_Check]]="Invalid",(Transaction[[#This Row],[Quantity]]*Transaction[[#This Row],[UnitPrice_Clean]]),Transaction[[#This Row],[NetRevenue_Clean]])</f>
        <v>1422.22</v>
      </c>
      <c r="AH92" t="str">
        <f>IF(Transaction[[#This Row],[Quantity]]*Transaction[[#This Row],[UnitPrice_Clean]]=Transaction[[#This Row],[NetRevenue_Clean]],"Valid","Invalid")</f>
        <v>Valid</v>
      </c>
      <c r="AI92" t="s">
        <v>23</v>
      </c>
      <c r="AJ92" t="s">
        <v>2166</v>
      </c>
      <c r="AK92" t="str">
        <f>IF(Transaction[[#This Row],[Salesperson]]="","Missing Value",TRIM(PROPER(Transaction[[#This Row],[Salesperson]])))</f>
        <v>Bowman-Ap</v>
      </c>
      <c r="AL92" t="s">
        <v>42</v>
      </c>
      <c r="AM92" t="str">
        <f>IF(Transaction[[#This Row],[ContractType]]="","Missing Value",Transaction[[#This Row],[ContractType]])</f>
        <v>Standard PO</v>
      </c>
      <c r="AN92" t="s">
        <v>49</v>
      </c>
    </row>
    <row r="93" spans="1:40" x14ac:dyDescent="0.25">
      <c r="A93" t="s">
        <v>1901</v>
      </c>
      <c r="B93" t="s">
        <v>1902</v>
      </c>
      <c r="C9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9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9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3" s="2">
        <f>IFERROR(DATE(Transaction[[#This Row],[TransactionDateY]],Transaction[[#This Row],[TransactionDateM]],Transaction[[#This Row],[TransactionDateD]]),"Missing Value")</f>
        <v>45720</v>
      </c>
      <c r="G93" t="s">
        <v>1903</v>
      </c>
      <c r="H93" t="str">
        <f>IFERROR(VLOOKUP(Transaction[[#This Row],[CustomerID]],Custumer[],1,0),IF(LEN(Transaction[[#This Row],[CustomerID]])=7,LEFT(Transaction[[#This Row],[CustomerID]],6),"Invalid ID"))</f>
        <v>C-1010</v>
      </c>
      <c r="I93" t="s">
        <v>117</v>
      </c>
      <c r="J93" t="str">
        <f>TRIM(UPPER(Transaction[[#This Row],[ProductID]]))</f>
        <v>P-SI-007</v>
      </c>
      <c r="K93" t="str">
        <f>IFERROR(VLOOKUP(Transaction[[#This Row],[ProductID_Clean]],Product[],1,FALSE),"Invalid ID")</f>
        <v>P-SI-007</v>
      </c>
      <c r="L93" t="str">
        <f>TRIM(SUBSTITUTE(SUBSTITUTE(SUBSTITUTE(SUBSTITUTE(UPPER(Transaction[[#This Row],[Region]]),"EMEA REGION","EMEA"),"APAC REGION","APAC"),"NORTH AMERICA","N. AMERICA"),"N .AMERICA","N.AMERICA"))</f>
        <v>N. AMERICA</v>
      </c>
      <c r="M93" t="s">
        <v>20</v>
      </c>
      <c r="N93" t="s">
        <v>272</v>
      </c>
      <c r="O9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3" t="s">
        <v>40</v>
      </c>
      <c r="Q93" t="str">
        <f>IF(TRIM(Transaction[[#This Row],[SalesChannel]])="","Missing Value",TRIM(Transaction[[#This Row],[SalesChannel]]))</f>
        <v>Distributor</v>
      </c>
      <c r="R93" s="4">
        <v>20</v>
      </c>
      <c r="S93" s="4" t="str">
        <f>IF(Transaction[[#This Row],[Quantity]]&lt;0,"Negative-review","Valid")</f>
        <v>Valid</v>
      </c>
      <c r="T93">
        <v>850.37</v>
      </c>
      <c r="U9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850.37</v>
      </c>
      <c r="V93">
        <v>980</v>
      </c>
      <c r="W93">
        <v>19600</v>
      </c>
      <c r="X9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19600</v>
      </c>
      <c r="Y93">
        <f>IF(Transaction[[#This Row],[GrossRevenue_Check]]="Invalid",Transaction[[#This Row],[ListPrice]]*Transaction[[#This Row],[Quantity]],Transaction[[#This Row],[GrossRevenue_Clean]])</f>
        <v>19600</v>
      </c>
      <c r="Z93" t="str">
        <f>IF(Transaction[[#This Row],[GrossRevenue_Clean]]=Transaction[[#This Row],[ListPrice]]*Transaction[[#This Row],[Quantity]],"Valid","Invalid")</f>
        <v>Valid</v>
      </c>
      <c r="AA93">
        <v>2592.6</v>
      </c>
      <c r="AB9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2592.6</v>
      </c>
      <c r="AC93">
        <f>IF(Transaction[[#This Row],[DiscountAmount_Check2]]="Invalid",Transaction[[#This Row],[GrossRevenue_Analytical]]-Transaction[[#This Row],[NetRevenue_Analytical]],Transaction[[#This Row],[DiscountAmount_Clean]])</f>
        <v>2592.6</v>
      </c>
      <c r="AD93">
        <v>17007.400000000001</v>
      </c>
      <c r="AE93" t="str">
        <f>IF(ROUND(Transaction[[#This Row],[GrossRevenue_Analytical]]-Transaction[[#This Row],[NetRevenue_Analytical]],2)=ROUND(Transaction[[#This Row],[DiscountAmount_Clean]],2),"Valid","Invalid")</f>
        <v>Valid</v>
      </c>
      <c r="AF9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17007.400000000001</v>
      </c>
      <c r="AG93">
        <f>IF(Transaction[[#This Row],[NetRevenue_Check]]="Invalid",(Transaction[[#This Row],[Quantity]]*Transaction[[#This Row],[UnitPrice_Clean]]),Transaction[[#This Row],[NetRevenue_Clean]])</f>
        <v>17007.400000000001</v>
      </c>
      <c r="AH93" t="str">
        <f>IF(Transaction[[#This Row],[Quantity]]*Transaction[[#This Row],[UnitPrice_Clean]]=Transaction[[#This Row],[NetRevenue_Clean]],"Valid","Invalid")</f>
        <v>Valid</v>
      </c>
      <c r="AI93" t="s">
        <v>23</v>
      </c>
      <c r="AJ93" t="s">
        <v>1904</v>
      </c>
      <c r="AK93" t="str">
        <f>IF(Transaction[[#This Row],[Salesperson]]="","Missing Value",TRIM(PROPER(Transaction[[#This Row],[Salesperson]])))</f>
        <v>Roberts</v>
      </c>
      <c r="AL93" t="s">
        <v>42</v>
      </c>
      <c r="AM93" t="str">
        <f>IF(Transaction[[#This Row],[ContractType]]="","Missing Value",Transaction[[#This Row],[ContractType]])</f>
        <v>Standard PO</v>
      </c>
      <c r="AN93" t="s">
        <v>35</v>
      </c>
    </row>
    <row r="94" spans="1:40" x14ac:dyDescent="0.25">
      <c r="A94" t="s">
        <v>2998</v>
      </c>
      <c r="B94" t="s">
        <v>2999</v>
      </c>
      <c r="C9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9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9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4" s="2">
        <f>IFERROR(DATE(Transaction[[#This Row],[TransactionDateY]],Transaction[[#This Row],[TransactionDateM]],Transaction[[#This Row],[TransactionDateD]]),"Missing Value")</f>
        <v>45827</v>
      </c>
      <c r="G94" t="s">
        <v>1336</v>
      </c>
      <c r="H94" t="str">
        <f>IFERROR(VLOOKUP(Transaction[[#This Row],[CustomerID]],Custumer[],1,0),IF(LEN(Transaction[[#This Row],[CustomerID]])=7,LEFT(Transaction[[#This Row],[CustomerID]],6),"Invalid ID"))</f>
        <v>Invalid ID</v>
      </c>
      <c r="I94" t="s">
        <v>774</v>
      </c>
      <c r="J94" t="str">
        <f>TRIM(UPPER(Transaction[[#This Row],[ProductID]]))</f>
        <v>P-FS-002</v>
      </c>
      <c r="K94" t="str">
        <f>IFERROR(VLOOKUP(Transaction[[#This Row],[ProductID_Clean]],Product[],1,FALSE),"Invalid ID")</f>
        <v>P-FS-002</v>
      </c>
      <c r="L94" t="str">
        <f>TRIM(SUBSTITUTE(SUBSTITUTE(SUBSTITUTE(SUBSTITUTE(UPPER(Transaction[[#This Row],[Region]]),"EMEA REGION","EMEA"),"APAC REGION","APAC"),"NORTH AMERICA","N. AMERICA"),"N .AMERICA","N.AMERICA"))</f>
        <v>EMEA</v>
      </c>
      <c r="M94" t="s">
        <v>76</v>
      </c>
      <c r="N94" t="s">
        <v>244</v>
      </c>
      <c r="O9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94" t="s">
        <v>22</v>
      </c>
      <c r="Q94" t="str">
        <f>IF(TRIM(Transaction[[#This Row],[SalesChannel]])="","Missing Value",TRIM(Transaction[[#This Row],[SalesChannel]]))</f>
        <v>Direct</v>
      </c>
      <c r="R94" s="4">
        <v>1</v>
      </c>
      <c r="S94" s="4" t="str">
        <f>IF(Transaction[[#This Row],[Quantity]]&lt;0,"Negative-review","Valid")</f>
        <v>Valid</v>
      </c>
      <c r="T94">
        <v>2225.62</v>
      </c>
      <c r="U9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2225.62</v>
      </c>
      <c r="V94">
        <v>2400</v>
      </c>
      <c r="W94">
        <v>2400</v>
      </c>
      <c r="X9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94">
        <f>IF(Transaction[[#This Row],[GrossRevenue_Check]]="Invalid",Transaction[[#This Row],[ListPrice]]*Transaction[[#This Row],[Quantity]],Transaction[[#This Row],[GrossRevenue_Clean]])</f>
        <v>2400</v>
      </c>
      <c r="Z94" t="str">
        <f>IF(Transaction[[#This Row],[GrossRevenue_Clean]]=Transaction[[#This Row],[ListPrice]]*Transaction[[#This Row],[Quantity]],"Valid","Invalid")</f>
        <v>Valid</v>
      </c>
      <c r="AA94" t="s">
        <v>3000</v>
      </c>
      <c r="AB9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174.38</v>
      </c>
      <c r="AC94">
        <f>IF(Transaction[[#This Row],[DiscountAmount_Check2]]="Invalid",Transaction[[#This Row],[GrossRevenue_Analytical]]-Transaction[[#This Row],[NetRevenue_Analytical]],Transaction[[#This Row],[DiscountAmount_Clean]])</f>
        <v>174.38</v>
      </c>
      <c r="AD94">
        <v>2225.62</v>
      </c>
      <c r="AE94" t="str">
        <f>IF(ROUND(Transaction[[#This Row],[GrossRevenue_Analytical]]-Transaction[[#This Row],[NetRevenue_Analytical]],2)=ROUND(Transaction[[#This Row],[DiscountAmount_Clean]],2),"Valid","Invalid")</f>
        <v>Valid</v>
      </c>
      <c r="AF9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2225.62</v>
      </c>
      <c r="AG94">
        <f>IF(Transaction[[#This Row],[NetRevenue_Check]]="Invalid",(Transaction[[#This Row],[Quantity]]*Transaction[[#This Row],[UnitPrice_Clean]]),Transaction[[#This Row],[NetRevenue_Clean]])</f>
        <v>2225.62</v>
      </c>
      <c r="AH94" t="str">
        <f>IF(Transaction[[#This Row],[Quantity]]*Transaction[[#This Row],[UnitPrice_Clean]]=Transaction[[#This Row],[NetRevenue_Clean]],"Valid","Invalid")</f>
        <v>Valid</v>
      </c>
      <c r="AI94" t="s">
        <v>23</v>
      </c>
      <c r="AJ94" t="s">
        <v>1690</v>
      </c>
      <c r="AK94" t="str">
        <f>IF(Transaction[[#This Row],[Salesperson]]="","Missing Value",TRIM(PROPER(Transaction[[#This Row],[Salesperson]])))</f>
        <v>Sullivan-Em</v>
      </c>
      <c r="AL94" t="s">
        <v>295</v>
      </c>
      <c r="AM94" t="str">
        <f>IF(Transaction[[#This Row],[ContractType]]="","Missing Value",Transaction[[#This Row],[ContractType]])</f>
        <v>Multi-Year</v>
      </c>
      <c r="AN94" t="s">
        <v>49</v>
      </c>
    </row>
    <row r="95" spans="1:40" x14ac:dyDescent="0.25">
      <c r="A95" t="s">
        <v>1517</v>
      </c>
      <c r="B95" s="1">
        <v>45752</v>
      </c>
      <c r="C9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9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9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5" s="2">
        <f>IFERROR(DATE(Transaction[[#This Row],[TransactionDateY]],Transaction[[#This Row],[TransactionDateM]],Transaction[[#This Row],[TransactionDateD]]),"Missing Value")</f>
        <v>45752</v>
      </c>
      <c r="G95" t="s">
        <v>1518</v>
      </c>
      <c r="H95" t="str">
        <f>IFERROR(VLOOKUP(Transaction[[#This Row],[CustomerID]],Custumer[],1,0),IF(LEN(Transaction[[#This Row],[CustomerID]])=7,LEFT(Transaction[[#This Row],[CustomerID]],6),"Invalid ID"))</f>
        <v>C-1138</v>
      </c>
      <c r="I95" t="s">
        <v>97</v>
      </c>
      <c r="J95" t="str">
        <f>TRIM(UPPER(Transaction[[#This Row],[ProductID]]))</f>
        <v>P-SI-001</v>
      </c>
      <c r="K95" t="str">
        <f>IFERROR(VLOOKUP(Transaction[[#This Row],[ProductID_Clean]],Product[],1,FALSE),"Invalid ID")</f>
        <v>P-SI-001</v>
      </c>
      <c r="L95" t="str">
        <f>TRIM(SUBSTITUTE(SUBSTITUTE(SUBSTITUTE(SUBSTITUTE(UPPER(Transaction[[#This Row],[Region]]),"EMEA REGION","EMEA"),"APAC REGION","APAC"),"NORTH AMERICA","N. AMERICA"),"N .AMERICA","N.AMERICA"))</f>
        <v>EMEA</v>
      </c>
      <c r="M95" t="s">
        <v>683</v>
      </c>
      <c r="N95" t="s">
        <v>53</v>
      </c>
      <c r="O9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5" t="s">
        <v>22</v>
      </c>
      <c r="Q95" t="str">
        <f>IF(TRIM(Transaction[[#This Row],[SalesChannel]])="","Missing Value",TRIM(Transaction[[#This Row],[SalesChannel]]))</f>
        <v>Direct</v>
      </c>
      <c r="R95" s="4">
        <v>2</v>
      </c>
      <c r="S95" s="4" t="str">
        <f>IF(Transaction[[#This Row],[Quantity]]&lt;0,"Negative-review","Valid")</f>
        <v>Valid</v>
      </c>
      <c r="T95">
        <v>433.2</v>
      </c>
      <c r="U9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433.2</v>
      </c>
      <c r="V95">
        <v>485</v>
      </c>
      <c r="W95">
        <v>970</v>
      </c>
      <c r="X9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95">
        <f>IF(Transaction[[#This Row],[GrossRevenue_Check]]="Invalid",Transaction[[#This Row],[ListPrice]]*Transaction[[#This Row],[Quantity]],Transaction[[#This Row],[GrossRevenue_Clean]])</f>
        <v>970</v>
      </c>
      <c r="Z95" t="str">
        <f>IF(Transaction[[#This Row],[GrossRevenue_Clean]]=Transaction[[#This Row],[ListPrice]]*Transaction[[#This Row],[Quantity]],"Valid","Invalid")</f>
        <v>Valid</v>
      </c>
      <c r="AA95">
        <v>103.6</v>
      </c>
      <c r="AB9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103.6</v>
      </c>
      <c r="AC95">
        <f>IF(Transaction[[#This Row],[DiscountAmount_Check2]]="Invalid",Transaction[[#This Row],[GrossRevenue_Analytical]]-Transaction[[#This Row],[NetRevenue_Analytical]],Transaction[[#This Row],[DiscountAmount_Clean]])</f>
        <v>103.6</v>
      </c>
      <c r="AD95">
        <v>866.4</v>
      </c>
      <c r="AE95" t="str">
        <f>IF(ROUND(Transaction[[#This Row],[GrossRevenue_Analytical]]-Transaction[[#This Row],[NetRevenue_Analytical]],2)=ROUND(Transaction[[#This Row],[DiscountAmount_Clean]],2),"Valid","Invalid")</f>
        <v>Valid</v>
      </c>
      <c r="AF95">
        <f>VALUE(IF(ISNUMBER(Transaction[[#This Row],[NetRevenue]]),Transaction[[#This Row],[NetRevenue]],IFERROR(IF(FIND("$",Transaction[[#This Row],[NetRevenue]])&gt;0,MID(Transaction[[#This Row],[NetRevenue]],2,10)),Transaction[[#This Row],[NetRevenue]])))</f>
        <v>866.4</v>
      </c>
      <c r="AG95">
        <f>IF(Transaction[[#This Row],[NetRevenue_Check]]="Invalid",(Transaction[[#This Row],[Quantity]]*Transaction[[#This Row],[UnitPrice_Clean]]),Transaction[[#This Row],[NetRevenue_Clean]])</f>
        <v>866.4</v>
      </c>
      <c r="AH95" t="str">
        <f>IF(Transaction[[#This Row],[Quantity]]*Transaction[[#This Row],[UnitPrice_Clean]]=Transaction[[#This Row],[NetRevenue_Clean]],"Valid","Invalid")</f>
        <v>Valid</v>
      </c>
      <c r="AI95" t="s">
        <v>23</v>
      </c>
      <c r="AJ95" t="s">
        <v>1519</v>
      </c>
      <c r="AK95" t="str">
        <f>IF(Transaction[[#This Row],[Salesperson]]="","Missing Value",TRIM(PROPER(Transaction[[#This Row],[Salesperson]])))</f>
        <v>Burch-Na</v>
      </c>
      <c r="AL95" t="s">
        <v>25</v>
      </c>
      <c r="AM95" t="str">
        <f>IF(Transaction[[#This Row],[ContractType]]="","Missing Value",Transaction[[#This Row],[ContractType]])</f>
        <v>Frame Agreement</v>
      </c>
      <c r="AN95" t="s">
        <v>35</v>
      </c>
    </row>
    <row r="96" spans="1:40" x14ac:dyDescent="0.25">
      <c r="A96" t="s">
        <v>2300</v>
      </c>
      <c r="B96" t="s">
        <v>2301</v>
      </c>
      <c r="C9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9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9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6" s="2">
        <f>IFERROR(DATE(Transaction[[#This Row],[TransactionDateY]],Transaction[[#This Row],[TransactionDateM]],Transaction[[#This Row],[TransactionDateD]]),"Missing Value")</f>
        <v>45799</v>
      </c>
      <c r="G96" t="s">
        <v>218</v>
      </c>
      <c r="H96" t="str">
        <f>IFERROR(VLOOKUP(Transaction[[#This Row],[CustomerID]],Custumer[],1,0),IF(LEN(Transaction[[#This Row],[CustomerID]])=7,LEFT(Transaction[[#This Row],[CustomerID]],6),"Invalid ID"))</f>
        <v>C-1098</v>
      </c>
      <c r="I96" t="s">
        <v>1061</v>
      </c>
      <c r="J96" t="str">
        <f>TRIM(UPPER(Transaction[[#This Row],[ProductID]]))</f>
        <v>P-SI-003</v>
      </c>
      <c r="K96" t="str">
        <f>IFERROR(VLOOKUP(Transaction[[#This Row],[ProductID_Clean]],Product[],1,FALSE),"Invalid ID")</f>
        <v>P-SI-003</v>
      </c>
      <c r="L96" t="str">
        <f>TRIM(SUBSTITUTE(SUBSTITUTE(SUBSTITUTE(SUBSTITUTE(UPPER(Transaction[[#This Row],[Region]]),"EMEA REGION","EMEA"),"APAC REGION","APAC"),"NORTH AMERICA","N. AMERICA"),"N .AMERICA","N.AMERICA"))</f>
        <v>N. AMERICA</v>
      </c>
      <c r="M96" t="s">
        <v>20</v>
      </c>
      <c r="N96" t="s">
        <v>53</v>
      </c>
      <c r="O9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6" t="s">
        <v>181</v>
      </c>
      <c r="Q96" t="str">
        <f>IF(TRIM(Transaction[[#This Row],[SalesChannel]])="","Missing Value",TRIM(Transaction[[#This Row],[SalesChannel]]))</f>
        <v>Partner Portal</v>
      </c>
      <c r="R96" s="4">
        <v>1</v>
      </c>
      <c r="S96" s="4" t="str">
        <f>IF(Transaction[[#This Row],[Quantity]]&lt;0,"Negative-review","Valid")</f>
        <v>Valid</v>
      </c>
      <c r="T96">
        <v>1666.45</v>
      </c>
      <c r="U9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1666.45</v>
      </c>
      <c r="V96">
        <v>1890</v>
      </c>
      <c r="W96">
        <v>1890</v>
      </c>
      <c r="X9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96">
        <f>IF(Transaction[[#This Row],[GrossRevenue_Check]]="Invalid",Transaction[[#This Row],[ListPrice]]*Transaction[[#This Row],[Quantity]],Transaction[[#This Row],[GrossRevenue_Clean]])</f>
        <v>1890</v>
      </c>
      <c r="Z96" t="str">
        <f>IF(Transaction[[#This Row],[GrossRevenue_Clean]]=Transaction[[#This Row],[ListPrice]]*Transaction[[#This Row],[Quantity]],"Valid","Invalid")</f>
        <v>Valid</v>
      </c>
      <c r="AA96">
        <v>223.55</v>
      </c>
      <c r="AB9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223.55</v>
      </c>
      <c r="AC96">
        <f>IF(Transaction[[#This Row],[DiscountAmount_Check2]]="Invalid",Transaction[[#This Row],[GrossRevenue_Analytical]]-Transaction[[#This Row],[NetRevenue_Analytical]],Transaction[[#This Row],[DiscountAmount_Clean]])</f>
        <v>223.55</v>
      </c>
      <c r="AD96">
        <v>1666.45</v>
      </c>
      <c r="AE96" t="str">
        <f>IF(ROUND(Transaction[[#This Row],[GrossRevenue_Analytical]]-Transaction[[#This Row],[NetRevenue_Analytical]],2)=ROUND(Transaction[[#This Row],[DiscountAmount_Clean]],2),"Valid","Invalid")</f>
        <v>Valid</v>
      </c>
      <c r="AF9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1666.45</v>
      </c>
      <c r="AG96">
        <f>IF(Transaction[[#This Row],[NetRevenue_Check]]="Invalid",(Transaction[[#This Row],[Quantity]]*Transaction[[#This Row],[UnitPrice_Clean]]),Transaction[[#This Row],[NetRevenue_Clean]])</f>
        <v>1666.45</v>
      </c>
      <c r="AH96" t="str">
        <f>IF(Transaction[[#This Row],[Quantity]]*Transaction[[#This Row],[UnitPrice_Clean]]=Transaction[[#This Row],[NetRevenue_Clean]],"Valid","Invalid")</f>
        <v>Valid</v>
      </c>
      <c r="AI96" t="s">
        <v>23</v>
      </c>
      <c r="AJ96" t="s">
        <v>2047</v>
      </c>
      <c r="AK96" t="str">
        <f>IF(Transaction[[#This Row],[Salesperson]]="","Missing Value",TRIM(PROPER(Transaction[[#This Row],[Salesperson]])))</f>
        <v>Jackson-Em</v>
      </c>
      <c r="AL96" t="s">
        <v>42</v>
      </c>
      <c r="AM96" t="str">
        <f>IF(Transaction[[#This Row],[ContractType]]="","Missing Value",Transaction[[#This Row],[ContractType]])</f>
        <v>Standard PO</v>
      </c>
      <c r="AN96" t="s">
        <v>65</v>
      </c>
    </row>
    <row r="97" spans="1:40" x14ac:dyDescent="0.25">
      <c r="A97" t="s">
        <v>1647</v>
      </c>
      <c r="B97" s="1">
        <v>45746</v>
      </c>
      <c r="C9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9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9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7" s="2">
        <f>IFERROR(DATE(Transaction[[#This Row],[TransactionDateY]],Transaction[[#This Row],[TransactionDateM]],Transaction[[#This Row],[TransactionDateD]]),"Missing Value")</f>
        <v>45746</v>
      </c>
      <c r="G97" t="s">
        <v>172</v>
      </c>
      <c r="H97" t="str">
        <f>IFERROR(VLOOKUP(Transaction[[#This Row],[CustomerID]],Custumer[],1,0),IF(LEN(Transaction[[#This Row],[CustomerID]])=7,LEFT(Transaction[[#This Row],[CustomerID]],6),"Invalid ID"))</f>
        <v>C-1099</v>
      </c>
      <c r="I97" t="s">
        <v>46</v>
      </c>
      <c r="J97" t="str">
        <f>TRIM(UPPER(Transaction[[#This Row],[ProductID]]))</f>
        <v>P-SI-006</v>
      </c>
      <c r="K97" t="str">
        <f>IFERROR(VLOOKUP(Transaction[[#This Row],[ProductID_Clean]],Product[],1,FALSE),"Invalid ID")</f>
        <v>P-SI-006</v>
      </c>
      <c r="L97" t="str">
        <f>TRIM(SUBSTITUTE(SUBSTITUTE(SUBSTITUTE(SUBSTITUTE(UPPER(Transaction[[#This Row],[Region]]),"EMEA REGION","EMEA"),"APAC REGION","APAC"),"NORTH AMERICA","N. AMERICA"),"N .AMERICA","N.AMERICA"))</f>
        <v>EMEA</v>
      </c>
      <c r="M97" t="s">
        <v>76</v>
      </c>
      <c r="N97" t="s">
        <v>53</v>
      </c>
      <c r="O9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7" t="s">
        <v>22</v>
      </c>
      <c r="Q97" t="str">
        <f>IF(TRIM(Transaction[[#This Row],[SalesChannel]])="","Missing Value",TRIM(Transaction[[#This Row],[SalesChannel]]))</f>
        <v>Direct</v>
      </c>
      <c r="R97" s="4">
        <v>8</v>
      </c>
      <c r="S97" s="4" t="str">
        <f>IF(Transaction[[#This Row],[Quantity]]&lt;0,"Negative-review","Valid")</f>
        <v>Valid</v>
      </c>
      <c r="T97">
        <v>192.08</v>
      </c>
      <c r="U9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192.08</v>
      </c>
      <c r="V97">
        <v>215</v>
      </c>
      <c r="W97">
        <v>1720</v>
      </c>
      <c r="X9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1720</v>
      </c>
      <c r="Y97">
        <f>IF(Transaction[[#This Row],[GrossRevenue_Check]]="Invalid",Transaction[[#This Row],[ListPrice]]*Transaction[[#This Row],[Quantity]],Transaction[[#This Row],[GrossRevenue_Clean]])</f>
        <v>1720</v>
      </c>
      <c r="Z97" t="str">
        <f>IF(Transaction[[#This Row],[GrossRevenue_Clean]]=Transaction[[#This Row],[ListPrice]]*Transaction[[#This Row],[Quantity]],"Valid","Invalid")</f>
        <v>Valid</v>
      </c>
      <c r="AA97" t="s">
        <v>1648</v>
      </c>
      <c r="AB9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183.36</v>
      </c>
      <c r="AC97">
        <f>IF(Transaction[[#This Row],[DiscountAmount_Check2]]="Invalid",Transaction[[#This Row],[GrossRevenue_Analytical]]-Transaction[[#This Row],[NetRevenue_Analytical]],Transaction[[#This Row],[DiscountAmount_Clean]])</f>
        <v>183.36</v>
      </c>
      <c r="AD97">
        <v>1536.64</v>
      </c>
      <c r="AE97" t="str">
        <f>IF(ROUND(Transaction[[#This Row],[GrossRevenue_Analytical]]-Transaction[[#This Row],[NetRevenue_Analytical]],2)=ROUND(Transaction[[#This Row],[DiscountAmount_Clean]],2),"Valid","Invalid")</f>
        <v>Valid</v>
      </c>
      <c r="AF9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1536.64</v>
      </c>
      <c r="AG97">
        <f>IF(Transaction[[#This Row],[NetRevenue_Check]]="Invalid",(Transaction[[#This Row],[Quantity]]*Transaction[[#This Row],[UnitPrice_Clean]]),Transaction[[#This Row],[NetRevenue_Clean]])</f>
        <v>1536.64</v>
      </c>
      <c r="AH97" t="str">
        <f>IF(Transaction[[#This Row],[Quantity]]*Transaction[[#This Row],[UnitPrice_Clean]]=Transaction[[#This Row],[NetRevenue_Clean]],"Valid","Invalid")</f>
        <v>Valid</v>
      </c>
      <c r="AI97" t="s">
        <v>23</v>
      </c>
      <c r="AJ97" t="s">
        <v>1649</v>
      </c>
      <c r="AK97" t="str">
        <f>IF(Transaction[[#This Row],[Salesperson]]="","Missing Value",TRIM(PROPER(Transaction[[#This Row],[Salesperson]])))</f>
        <v>Meza-Ap</v>
      </c>
      <c r="AL97" t="s">
        <v>25</v>
      </c>
      <c r="AM97" t="str">
        <f>IF(Transaction[[#This Row],[ContractType]]="","Missing Value",Transaction[[#This Row],[ContractType]])</f>
        <v>Frame Agreement</v>
      </c>
      <c r="AN97" t="s">
        <v>43</v>
      </c>
    </row>
    <row r="98" spans="1:40" x14ac:dyDescent="0.25">
      <c r="A98" t="s">
        <v>2844</v>
      </c>
      <c r="B98" t="s">
        <v>2845</v>
      </c>
      <c r="C9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9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9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8" s="2">
        <f>IFERROR(DATE(Transaction[[#This Row],[TransactionDateY]],Transaction[[#This Row],[TransactionDateM]],Transaction[[#This Row],[TransactionDateD]]),"Missing Value")</f>
        <v>45798</v>
      </c>
      <c r="G98" t="s">
        <v>1367</v>
      </c>
      <c r="H98" t="str">
        <f>IFERROR(VLOOKUP(Transaction[[#This Row],[CustomerID]],Custumer[],1,0),IF(LEN(Transaction[[#This Row],[CustomerID]])=7,LEFT(Transaction[[#This Row],[CustomerID]],6),"Invalid ID"))</f>
        <v>C-1069</v>
      </c>
      <c r="I98" t="s">
        <v>46</v>
      </c>
      <c r="J98" t="str">
        <f>TRIM(UPPER(Transaction[[#This Row],[ProductID]]))</f>
        <v>P-SI-006</v>
      </c>
      <c r="K98" t="str">
        <f>IFERROR(VLOOKUP(Transaction[[#This Row],[ProductID_Clean]],Product[],1,FALSE),"Invalid ID")</f>
        <v>P-SI-006</v>
      </c>
      <c r="L98" t="str">
        <f>TRIM(SUBSTITUTE(SUBSTITUTE(SUBSTITUTE(SUBSTITUTE(UPPER(Transaction[[#This Row],[Region]]),"EMEA REGION","EMEA"),"APAC REGION","APAC"),"NORTH AMERICA","N. AMERICA"),"N .AMERICA","N.AMERICA"))</f>
        <v>EMEA</v>
      </c>
      <c r="M98" t="s">
        <v>76</v>
      </c>
      <c r="N98" t="s">
        <v>98</v>
      </c>
      <c r="O9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Q98" t="str">
        <f>IF(TRIM(Transaction[[#This Row],[SalesChannel]])="","Missing Value",TRIM(Transaction[[#This Row],[SalesChannel]]))</f>
        <v>Missing Value</v>
      </c>
      <c r="R98" s="4">
        <v>3</v>
      </c>
      <c r="S98" s="4" t="str">
        <f>IF(Transaction[[#This Row],[Quantity]]&lt;0,"Negative-review","Valid")</f>
        <v>Valid</v>
      </c>
      <c r="T98">
        <v>153.37</v>
      </c>
      <c r="U9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153.37</v>
      </c>
      <c r="V98">
        <v>215</v>
      </c>
      <c r="W98">
        <v>645</v>
      </c>
      <c r="X9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98">
        <f>IF(Transaction[[#This Row],[GrossRevenue_Check]]="Invalid",Transaction[[#This Row],[ListPrice]]*Transaction[[#This Row],[Quantity]],Transaction[[#This Row],[GrossRevenue_Clean]])</f>
        <v>645</v>
      </c>
      <c r="Z98" t="str">
        <f>IF(Transaction[[#This Row],[GrossRevenue_Clean]]=Transaction[[#This Row],[ListPrice]]*Transaction[[#This Row],[Quantity]],"Valid","Invalid")</f>
        <v>Valid</v>
      </c>
      <c r="AA98">
        <v>184.89</v>
      </c>
      <c r="AB9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184.89</v>
      </c>
      <c r="AC98">
        <f>IF(Transaction[[#This Row],[DiscountAmount_Check2]]="Invalid",Transaction[[#This Row],[GrossRevenue_Analytical]]-Transaction[[#This Row],[NetRevenue_Analytical]],Transaction[[#This Row],[DiscountAmount_Clean]])</f>
        <v>184.89</v>
      </c>
      <c r="AD98">
        <v>460.11</v>
      </c>
      <c r="AE98" t="str">
        <f>IF(ROUND(Transaction[[#This Row],[GrossRevenue_Analytical]]-Transaction[[#This Row],[NetRevenue_Analytical]],2)=ROUND(Transaction[[#This Row],[DiscountAmount_Clean]],2),"Valid","Invalid")</f>
        <v>Valid</v>
      </c>
      <c r="AF98">
        <f>VALUE(IF(ISNUMBER(Transaction[[#This Row],[NetRevenue]]),Transaction[[#This Row],[NetRevenue]],IFERROR(IF(FIND("$",Transaction[[#This Row],[NetRevenue]])&gt;0,MID(Transaction[[#This Row],[NetRevenue]],2,10)),Transaction[[#This Row],[NetRevenue]])))</f>
        <v>460.11</v>
      </c>
      <c r="AG98">
        <f>IF(Transaction[[#This Row],[NetRevenue_Check]]="Invalid",(Transaction[[#This Row],[Quantity]]*Transaction[[#This Row],[UnitPrice_Clean]]),Transaction[[#This Row],[NetRevenue_Clean]])</f>
        <v>460.11</v>
      </c>
      <c r="AH98" t="str">
        <f>IF(Transaction[[#This Row],[Quantity]]*Transaction[[#This Row],[UnitPrice_Clean]]=Transaction[[#This Row],[NetRevenue_Clean]],"Valid","Invalid")</f>
        <v>Valid</v>
      </c>
      <c r="AI98" t="s">
        <v>23</v>
      </c>
      <c r="AJ98" t="s">
        <v>1868</v>
      </c>
      <c r="AK98" t="str">
        <f>IF(Transaction[[#This Row],[Salesperson]]="","Missing Value",TRIM(PROPER(Transaction[[#This Row],[Salesperson]])))</f>
        <v>Stevens</v>
      </c>
      <c r="AL98" t="s">
        <v>25</v>
      </c>
      <c r="AM98" t="str">
        <f>IF(Transaction[[#This Row],[ContractType]]="","Missing Value",Transaction[[#This Row],[ContractType]])</f>
        <v>Frame Agreement</v>
      </c>
      <c r="AN98" t="s">
        <v>43</v>
      </c>
    </row>
    <row r="99" spans="1:40" x14ac:dyDescent="0.25">
      <c r="A99" t="s">
        <v>918</v>
      </c>
      <c r="B99" s="1">
        <v>45748</v>
      </c>
      <c r="C9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9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9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9" s="2">
        <f>IFERROR(DATE(Transaction[[#This Row],[TransactionDateY]],Transaction[[#This Row],[TransactionDateM]],Transaction[[#This Row],[TransactionDateD]]),"Missing Value")</f>
        <v>45748</v>
      </c>
      <c r="G99" t="s">
        <v>919</v>
      </c>
      <c r="H99" t="str">
        <f>IFERROR(VLOOKUP(Transaction[[#This Row],[CustomerID]],Custumer[],1,0),IF(LEN(Transaction[[#This Row],[CustomerID]])=7,LEFT(Transaction[[#This Row],[CustomerID]],6),"Invalid ID"))</f>
        <v>C-1047</v>
      </c>
      <c r="I99" t="s">
        <v>121</v>
      </c>
      <c r="J99" t="str">
        <f>TRIM(UPPER(Transaction[[#This Row],[ProductID]]))</f>
        <v>P-FS-001</v>
      </c>
      <c r="K99" t="str">
        <f>IFERROR(VLOOKUP(Transaction[[#This Row],[ProductID_Clean]],Product[],1,FALSE),"Invalid ID")</f>
        <v>P-FS-001</v>
      </c>
      <c r="L99" t="str">
        <f>TRIM(SUBSTITUTE(SUBSTITUTE(SUBSTITUTE(SUBSTITUTE(UPPER(Transaction[[#This Row],[Region]]),"EMEA REGION","EMEA"),"APAC REGION","APAC"),"NORTH AMERICA","N. AMERICA"),"N .AMERICA","N.AMERICA"))</f>
        <v>EMEA</v>
      </c>
      <c r="M99" t="s">
        <v>76</v>
      </c>
      <c r="N99" t="s">
        <v>21</v>
      </c>
      <c r="O99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99" t="s">
        <v>22</v>
      </c>
      <c r="Q99" t="str">
        <f>IF(TRIM(Transaction[[#This Row],[SalesChannel]])="","Missing Value",TRIM(Transaction[[#This Row],[SalesChannel]]))</f>
        <v>Direct</v>
      </c>
      <c r="R99" s="4">
        <v>1</v>
      </c>
      <c r="S99" s="4" t="str">
        <f>IF(Transaction[[#This Row],[Quantity]]&lt;0,"Negative-review","Valid")</f>
        <v>Valid</v>
      </c>
      <c r="T99">
        <v>1480.53</v>
      </c>
      <c r="U9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1480.53</v>
      </c>
      <c r="V99">
        <v>1850</v>
      </c>
      <c r="W99">
        <v>1850</v>
      </c>
      <c r="X9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99">
        <f>IF(Transaction[[#This Row],[GrossRevenue_Check]]="Invalid",Transaction[[#This Row],[ListPrice]]*Transaction[[#This Row],[Quantity]],Transaction[[#This Row],[GrossRevenue_Clean]])</f>
        <v>1850</v>
      </c>
      <c r="Z99" t="str">
        <f>IF(Transaction[[#This Row],[GrossRevenue_Clean]]=Transaction[[#This Row],[ListPrice]]*Transaction[[#This Row],[Quantity]],"Valid","Invalid")</f>
        <v>Valid</v>
      </c>
      <c r="AA99">
        <v>369.47</v>
      </c>
      <c r="AB9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369.47</v>
      </c>
      <c r="AC99">
        <f>IF(Transaction[[#This Row],[DiscountAmount_Check2]]="Invalid",Transaction[[#This Row],[GrossRevenue_Analytical]]-Transaction[[#This Row],[NetRevenue_Analytical]],Transaction[[#This Row],[DiscountAmount_Clean]])</f>
        <v>369.47</v>
      </c>
      <c r="AD99">
        <v>1480.53</v>
      </c>
      <c r="AE99" t="str">
        <f>IF(ROUND(Transaction[[#This Row],[GrossRevenue_Analytical]]-Transaction[[#This Row],[NetRevenue_Analytical]],2)=ROUND(Transaction[[#This Row],[DiscountAmount_Clean]],2),"Valid","Invalid")</f>
        <v>Valid</v>
      </c>
      <c r="AF9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1480.53</v>
      </c>
      <c r="AG99">
        <f>IF(Transaction[[#This Row],[NetRevenue_Check]]="Invalid",(Transaction[[#This Row],[Quantity]]*Transaction[[#This Row],[UnitPrice_Clean]]),Transaction[[#This Row],[NetRevenue_Clean]])</f>
        <v>1480.53</v>
      </c>
      <c r="AH99" t="str">
        <f>IF(Transaction[[#This Row],[Quantity]]*Transaction[[#This Row],[UnitPrice_Clean]]=Transaction[[#This Row],[NetRevenue_Clean]],"Valid","Invalid")</f>
        <v>Valid</v>
      </c>
      <c r="AI99" t="s">
        <v>23</v>
      </c>
      <c r="AJ99" t="s">
        <v>920</v>
      </c>
      <c r="AK99" t="str">
        <f>IF(Transaction[[#This Row],[Salesperson]]="","Missing Value",TRIM(PROPER(Transaction[[#This Row],[Salesperson]])))</f>
        <v>Norris-Ap</v>
      </c>
      <c r="AL99" t="s">
        <v>55</v>
      </c>
      <c r="AM99" t="str">
        <f>IF(Transaction[[#This Row],[ContractType]]="","Missing Value",Transaction[[#This Row],[ContractType]])</f>
        <v>Spot</v>
      </c>
      <c r="AN99" t="s">
        <v>26</v>
      </c>
    </row>
    <row r="100" spans="1:40" x14ac:dyDescent="0.25">
      <c r="A100" t="s">
        <v>1596</v>
      </c>
      <c r="B100" s="1">
        <v>45774</v>
      </c>
      <c r="C10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0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10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0" s="2">
        <f>IFERROR(DATE(Transaction[[#This Row],[TransactionDateY]],Transaction[[#This Row],[TransactionDateM]],Transaction[[#This Row],[TransactionDateD]]),"Missing Value")</f>
        <v>45774</v>
      </c>
      <c r="G100" t="s">
        <v>135</v>
      </c>
      <c r="H100" t="str">
        <f>IFERROR(VLOOKUP(Transaction[[#This Row],[CustomerID]],Custumer[],1,0),IF(LEN(Transaction[[#This Row],[CustomerID]])=7,LEFT(Transaction[[#This Row],[CustomerID]],6),"Invalid ID"))</f>
        <v>C-1112</v>
      </c>
      <c r="I100" t="s">
        <v>97</v>
      </c>
      <c r="J100" t="str">
        <f>TRIM(UPPER(Transaction[[#This Row],[ProductID]]))</f>
        <v>P-SI-001</v>
      </c>
      <c r="K100" t="str">
        <f>IFERROR(VLOOKUP(Transaction[[#This Row],[ProductID_Clean]],Product[],1,FALSE),"Invalid ID")</f>
        <v>P-SI-001</v>
      </c>
      <c r="L100" t="str">
        <f>TRIM(SUBSTITUTE(SUBSTITUTE(SUBSTITUTE(SUBSTITUTE(UPPER(Transaction[[#This Row],[Region]]),"EMEA REGION","EMEA"),"APAC REGION","APAC"),"NORTH AMERICA","N. AMERICA"),"N .AMERICA","N.AMERICA"))</f>
        <v>N. AMERICA</v>
      </c>
      <c r="M100" t="s">
        <v>20</v>
      </c>
      <c r="N100" t="s">
        <v>53</v>
      </c>
      <c r="O10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0" t="s">
        <v>40</v>
      </c>
      <c r="Q100" t="str">
        <f>IF(TRIM(Transaction[[#This Row],[SalesChannel]])="","Missing Value",TRIM(Transaction[[#This Row],[SalesChannel]]))</f>
        <v>Distributor</v>
      </c>
      <c r="R100" s="4">
        <v>3</v>
      </c>
      <c r="S100" s="4" t="str">
        <f>IF(Transaction[[#This Row],[Quantity]]&lt;0,"Negative-review","Valid")</f>
        <v>Valid</v>
      </c>
      <c r="T100">
        <v>397.21</v>
      </c>
      <c r="U10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397.21</v>
      </c>
      <c r="V100">
        <v>485</v>
      </c>
      <c r="W100">
        <v>1455</v>
      </c>
      <c r="X10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100">
        <f>IF(Transaction[[#This Row],[GrossRevenue_Check]]="Invalid",Transaction[[#This Row],[ListPrice]]*Transaction[[#This Row],[Quantity]],Transaction[[#This Row],[GrossRevenue_Clean]])</f>
        <v>1455</v>
      </c>
      <c r="Z100" t="str">
        <f>IF(Transaction[[#This Row],[GrossRevenue_Clean]]=Transaction[[#This Row],[ListPrice]]*Transaction[[#This Row],[Quantity]],"Valid","Invalid")</f>
        <v>Valid</v>
      </c>
      <c r="AA100">
        <v>263.37</v>
      </c>
      <c r="AB10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263.37</v>
      </c>
      <c r="AC100">
        <f>IF(Transaction[[#This Row],[DiscountAmount_Check2]]="Invalid",Transaction[[#This Row],[GrossRevenue_Analytical]]-Transaction[[#This Row],[NetRevenue_Analytical]],Transaction[[#This Row],[DiscountAmount_Clean]])</f>
        <v>263.37</v>
      </c>
      <c r="AD100">
        <v>1191.6300000000001</v>
      </c>
      <c r="AE100" t="str">
        <f>IF(ROUND(Transaction[[#This Row],[GrossRevenue_Analytical]]-Transaction[[#This Row],[NetRevenue_Analytical]],2)=ROUND(Transaction[[#This Row],[DiscountAmount_Clean]],2),"Valid","Invalid")</f>
        <v>Valid</v>
      </c>
      <c r="AF10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1191.6300000000001</v>
      </c>
      <c r="AG100">
        <f>IF(Transaction[[#This Row],[NetRevenue_Check]]="Invalid",(Transaction[[#This Row],[Quantity]]*Transaction[[#This Row],[UnitPrice_Clean]]),Transaction[[#This Row],[NetRevenue_Clean]])</f>
        <v>1191.6300000000001</v>
      </c>
      <c r="AH100" t="str">
        <f>IF(Transaction[[#This Row],[Quantity]]*Transaction[[#This Row],[UnitPrice_Clean]]=Transaction[[#This Row],[NetRevenue_Clean]],"Valid","Invalid")</f>
        <v>Valid</v>
      </c>
      <c r="AI100" t="s">
        <v>23</v>
      </c>
      <c r="AJ100" t="s">
        <v>1597</v>
      </c>
      <c r="AK100" t="str">
        <f>IF(Transaction[[#This Row],[Salesperson]]="","Missing Value",TRIM(PROPER(Transaction[[#This Row],[Salesperson]])))</f>
        <v>Cox</v>
      </c>
      <c r="AL100" t="s">
        <v>42</v>
      </c>
      <c r="AM100" t="str">
        <f>IF(Transaction[[#This Row],[ContractType]]="","Missing Value",Transaction[[#This Row],[ContractType]])</f>
        <v>Standard PO</v>
      </c>
      <c r="AN100" t="s">
        <v>43</v>
      </c>
    </row>
    <row r="101" spans="1:40" x14ac:dyDescent="0.25">
      <c r="A101" t="s">
        <v>2892</v>
      </c>
      <c r="B101" s="1">
        <v>45717</v>
      </c>
      <c r="C10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0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10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1" s="2">
        <f>IFERROR(DATE(Transaction[[#This Row],[TransactionDateY]],Transaction[[#This Row],[TransactionDateM]],Transaction[[#This Row],[TransactionDateD]]),"Missing Value")</f>
        <v>45717</v>
      </c>
      <c r="G101" t="s">
        <v>276</v>
      </c>
      <c r="H101" t="str">
        <f>IFERROR(VLOOKUP(Transaction[[#This Row],[CustomerID]],Custumer[],1,0),IF(LEN(Transaction[[#This Row],[CustomerID]])=7,LEFT(Transaction[[#This Row],[CustomerID]],6),"Invalid ID"))</f>
        <v>C-1129</v>
      </c>
      <c r="I101" t="s">
        <v>97</v>
      </c>
      <c r="J101" t="str">
        <f>TRIM(UPPER(Transaction[[#This Row],[ProductID]]))</f>
        <v>P-SI-001</v>
      </c>
      <c r="K101" t="str">
        <f>IFERROR(VLOOKUP(Transaction[[#This Row],[ProductID_Clean]],Product[],1,FALSE),"Invalid ID")</f>
        <v>P-SI-001</v>
      </c>
      <c r="L101" t="str">
        <f>TRIM(SUBSTITUTE(SUBSTITUTE(SUBSTITUTE(SUBSTITUTE(UPPER(Transaction[[#This Row],[Region]]),"EMEA REGION","EMEA"),"APAC REGION","APAC"),"NORTH AMERICA","N. AMERICA"),"N .AMERICA","N.AMERICA"))</f>
        <v>N. AMERICA</v>
      </c>
      <c r="M101" t="s">
        <v>20</v>
      </c>
      <c r="N101" t="s">
        <v>53</v>
      </c>
      <c r="O10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1" t="s">
        <v>181</v>
      </c>
      <c r="Q101" t="str">
        <f>IF(TRIM(Transaction[[#This Row],[SalesChannel]])="","Missing Value",TRIM(Transaction[[#This Row],[SalesChannel]]))</f>
        <v>Partner Portal</v>
      </c>
      <c r="R101" s="4">
        <v>1</v>
      </c>
      <c r="S101" s="4" t="str">
        <f>IF(Transaction[[#This Row],[Quantity]]&lt;0,"Negative-review","Valid")</f>
        <v>Valid</v>
      </c>
      <c r="T101">
        <v>430.04</v>
      </c>
      <c r="U10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430.04</v>
      </c>
      <c r="V101">
        <v>485</v>
      </c>
      <c r="W101">
        <v>485</v>
      </c>
      <c r="X10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101">
        <f>IF(Transaction[[#This Row],[GrossRevenue_Check]]="Invalid",Transaction[[#This Row],[ListPrice]]*Transaction[[#This Row],[Quantity]],Transaction[[#This Row],[GrossRevenue_Clean]])</f>
        <v>485</v>
      </c>
      <c r="Z101" t="str">
        <f>IF(Transaction[[#This Row],[GrossRevenue_Clean]]=Transaction[[#This Row],[ListPrice]]*Transaction[[#This Row],[Quantity]],"Valid","Invalid")</f>
        <v>Valid</v>
      </c>
      <c r="AA101">
        <v>54.96</v>
      </c>
      <c r="AB10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54.96</v>
      </c>
      <c r="AC101">
        <f>IF(Transaction[[#This Row],[DiscountAmount_Check2]]="Invalid",Transaction[[#This Row],[GrossRevenue_Analytical]]-Transaction[[#This Row],[NetRevenue_Analytical]],Transaction[[#This Row],[DiscountAmount_Clean]])</f>
        <v>54.96</v>
      </c>
      <c r="AD101">
        <v>430.04</v>
      </c>
      <c r="AE101" t="str">
        <f>IF(ROUND(Transaction[[#This Row],[GrossRevenue_Analytical]]-Transaction[[#This Row],[NetRevenue_Analytical]],2)=ROUND(Transaction[[#This Row],[DiscountAmount_Clean]],2),"Valid","Invalid")</f>
        <v>Valid</v>
      </c>
      <c r="AF101">
        <f>VALUE(IF(ISNUMBER(Transaction[[#This Row],[NetRevenue]]),Transaction[[#This Row],[NetRevenue]],IFERROR(IF(FIND("$",Transaction[[#This Row],[NetRevenue]])&gt;0,MID(Transaction[[#This Row],[NetRevenue]],2,10)),Transaction[[#This Row],[NetRevenue]])))</f>
        <v>430.04</v>
      </c>
      <c r="AG101">
        <f>IF(Transaction[[#This Row],[NetRevenue_Check]]="Invalid",(Transaction[[#This Row],[Quantity]]*Transaction[[#This Row],[UnitPrice_Clean]]),Transaction[[#This Row],[NetRevenue_Clean]])</f>
        <v>430.04</v>
      </c>
      <c r="AH101" t="str">
        <f>IF(Transaction[[#This Row],[Quantity]]*Transaction[[#This Row],[UnitPrice_Clean]]=Transaction[[#This Row],[NetRevenue_Clean]],"Valid","Invalid")</f>
        <v>Valid</v>
      </c>
      <c r="AI101" t="s">
        <v>23</v>
      </c>
      <c r="AJ101" t="s">
        <v>2687</v>
      </c>
      <c r="AK101" t="str">
        <f>IF(Transaction[[#This Row],[Salesperson]]="","Missing Value",TRIM(PROPER(Transaction[[#This Row],[Salesperson]])))</f>
        <v>Kim</v>
      </c>
      <c r="AL101" t="s">
        <v>42</v>
      </c>
      <c r="AM101" t="str">
        <f>IF(Transaction[[#This Row],[ContractType]]="","Missing Value",Transaction[[#This Row],[ContractType]])</f>
        <v>Standard PO</v>
      </c>
      <c r="AN101" t="s">
        <v>49</v>
      </c>
    </row>
    <row r="102" spans="1:40" x14ac:dyDescent="0.25">
      <c r="A102" t="s">
        <v>2257</v>
      </c>
      <c r="B102" t="s">
        <v>2258</v>
      </c>
      <c r="C10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10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10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2" s="2">
        <f>IFERROR(DATE(Transaction[[#This Row],[TransactionDateY]],Transaction[[#This Row],[TransactionDateM]],Transaction[[#This Row],[TransactionDateD]]),"Missing Value")</f>
        <v>45707</v>
      </c>
      <c r="G102" t="s">
        <v>740</v>
      </c>
      <c r="H102" t="str">
        <f>IFERROR(VLOOKUP(Transaction[[#This Row],[CustomerID]],Custumer[],1,0),IF(LEN(Transaction[[#This Row],[CustomerID]])=7,LEFT(Transaction[[#This Row],[CustomerID]],6),"Invalid ID"))</f>
        <v>C-1139</v>
      </c>
      <c r="I102" t="s">
        <v>29</v>
      </c>
      <c r="J102" t="str">
        <f>TRIM(UPPER(Transaction[[#This Row],[ProductID]]))</f>
        <v>P-SA-001</v>
      </c>
      <c r="K102" t="str">
        <f>IFERROR(VLOOKUP(Transaction[[#This Row],[ProductID_Clean]],Product[],1,FALSE),"Invalid ID")</f>
        <v>P-SA-001</v>
      </c>
      <c r="L102" t="str">
        <f>TRIM(SUBSTITUTE(SUBSTITUTE(SUBSTITUTE(SUBSTITUTE(UPPER(Transaction[[#This Row],[Region]]),"EMEA REGION","EMEA"),"APAC REGION","APAC"),"NORTH AMERICA","N. AMERICA"),"N .AMERICA","N.AMERICA"))</f>
        <v>EMEA</v>
      </c>
      <c r="M102" t="s">
        <v>87</v>
      </c>
      <c r="N102" t="s">
        <v>857</v>
      </c>
      <c r="O10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2" t="s">
        <v>22</v>
      </c>
      <c r="Q102" t="str">
        <f>IF(TRIM(Transaction[[#This Row],[SalesChannel]])="","Missing Value",TRIM(Transaction[[#This Row],[SalesChannel]]))</f>
        <v>Direct</v>
      </c>
      <c r="R102" s="4">
        <v>1</v>
      </c>
      <c r="S102" s="4" t="str">
        <f>IF(Transaction[[#This Row],[Quantity]]&lt;0,"Negative-review","Valid")</f>
        <v>Valid</v>
      </c>
      <c r="T102">
        <v>3984.26</v>
      </c>
      <c r="U10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3984.26</v>
      </c>
      <c r="V102">
        <v>4200</v>
      </c>
      <c r="W102">
        <v>4200</v>
      </c>
      <c r="X10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102">
        <f>IF(Transaction[[#This Row],[GrossRevenue_Check]]="Invalid",Transaction[[#This Row],[ListPrice]]*Transaction[[#This Row],[Quantity]],Transaction[[#This Row],[GrossRevenue_Clean]])</f>
        <v>4200</v>
      </c>
      <c r="Z102" t="str">
        <f>IF(Transaction[[#This Row],[GrossRevenue_Clean]]=Transaction[[#This Row],[ListPrice]]*Transaction[[#This Row],[Quantity]],"Valid","Invalid")</f>
        <v>Valid</v>
      </c>
      <c r="AA102">
        <v>215.74</v>
      </c>
      <c r="AB10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215.74</v>
      </c>
      <c r="AC102">
        <f>IF(Transaction[[#This Row],[DiscountAmount_Check2]]="Invalid",Transaction[[#This Row],[GrossRevenue_Analytical]]-Transaction[[#This Row],[NetRevenue_Analytical]],Transaction[[#This Row],[DiscountAmount_Clean]])</f>
        <v>215.74</v>
      </c>
      <c r="AD102">
        <v>3984.26</v>
      </c>
      <c r="AE102" t="str">
        <f>IF(ROUND(Transaction[[#This Row],[GrossRevenue_Analytical]]-Transaction[[#This Row],[NetRevenue_Analytical]],2)=ROUND(Transaction[[#This Row],[DiscountAmount_Clean]],2),"Valid","Invalid")</f>
        <v>Valid</v>
      </c>
      <c r="AF102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3984.26</v>
      </c>
      <c r="AG102">
        <f>IF(Transaction[[#This Row],[NetRevenue_Check]]="Invalid",(Transaction[[#This Row],[Quantity]]*Transaction[[#This Row],[UnitPrice_Clean]]),Transaction[[#This Row],[NetRevenue_Clean]])</f>
        <v>3984.26</v>
      </c>
      <c r="AH102" t="str">
        <f>IF(Transaction[[#This Row],[Quantity]]*Transaction[[#This Row],[UnitPrice_Clean]]=Transaction[[#This Row],[NetRevenue_Clean]],"Valid","Invalid")</f>
        <v>Valid</v>
      </c>
      <c r="AI102" t="s">
        <v>23</v>
      </c>
      <c r="AJ102" t="s">
        <v>206</v>
      </c>
      <c r="AK102" t="str">
        <f>IF(Transaction[[#This Row],[Salesperson]]="","Missing Value",TRIM(PROPER(Transaction[[#This Row],[Salesperson]])))</f>
        <v>Rodriguez</v>
      </c>
      <c r="AL102" t="s">
        <v>113</v>
      </c>
      <c r="AM102" t="str">
        <f>IF(Transaction[[#This Row],[ContractType]]="","Missing Value",Transaction[[#This Row],[ContractType]])</f>
        <v>Subscription</v>
      </c>
      <c r="AN102" t="s">
        <v>43</v>
      </c>
    </row>
    <row r="103" spans="1:40" x14ac:dyDescent="0.25">
      <c r="A103" t="s">
        <v>1286</v>
      </c>
      <c r="B103" s="1">
        <v>45688</v>
      </c>
      <c r="C10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0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31</v>
      </c>
      <c r="E10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3" s="2">
        <f>IFERROR(DATE(Transaction[[#This Row],[TransactionDateY]],Transaction[[#This Row],[TransactionDateM]],Transaction[[#This Row],[TransactionDateD]]),"Missing Value")</f>
        <v>45688</v>
      </c>
      <c r="G103" t="s">
        <v>51</v>
      </c>
      <c r="H103" t="str">
        <f>IFERROR(VLOOKUP(Transaction[[#This Row],[CustomerID]],Custumer[],1,0),IF(LEN(Transaction[[#This Row],[CustomerID]])=7,LEFT(Transaction[[#This Row],[CustomerID]],6),"Invalid ID"))</f>
        <v>C-1006</v>
      </c>
      <c r="I103" t="s">
        <v>97</v>
      </c>
      <c r="J103" t="str">
        <f>TRIM(UPPER(Transaction[[#This Row],[ProductID]]))</f>
        <v>P-SI-001</v>
      </c>
      <c r="K103" t="str">
        <f>IFERROR(VLOOKUP(Transaction[[#This Row],[ProductID_Clean]],Product[],1,FALSE),"Invalid ID")</f>
        <v>P-SI-001</v>
      </c>
      <c r="L103" t="str">
        <f>TRIM(SUBSTITUTE(SUBSTITUTE(SUBSTITUTE(SUBSTITUTE(UPPER(Transaction[[#This Row],[Region]]),"EMEA REGION","EMEA"),"APAC REGION","APAC"),"NORTH AMERICA","N. AMERICA"),"N .AMERICA","N.AMERICA"))</f>
        <v>N. AMERICA</v>
      </c>
      <c r="M103" t="s">
        <v>20</v>
      </c>
      <c r="N103" t="s">
        <v>53</v>
      </c>
      <c r="O10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3" t="s">
        <v>40</v>
      </c>
      <c r="Q103" t="str">
        <f>IF(TRIM(Transaction[[#This Row],[SalesChannel]])="","Missing Value",TRIM(Transaction[[#This Row],[SalesChannel]]))</f>
        <v>Distributor</v>
      </c>
      <c r="R103" s="4">
        <v>12</v>
      </c>
      <c r="S103" s="4" t="str">
        <f>IF(Transaction[[#This Row],[Quantity]]&lt;0,"Negative-review","Valid")</f>
        <v>Valid</v>
      </c>
      <c r="T103">
        <v>403.9</v>
      </c>
      <c r="U10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403.9</v>
      </c>
      <c r="V103">
        <v>485</v>
      </c>
      <c r="W103">
        <v>5820</v>
      </c>
      <c r="X10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5820</v>
      </c>
      <c r="Y103">
        <f>IF(Transaction[[#This Row],[GrossRevenue_Check]]="Invalid",Transaction[[#This Row],[ListPrice]]*Transaction[[#This Row],[Quantity]],Transaction[[#This Row],[GrossRevenue_Clean]])</f>
        <v>5820</v>
      </c>
      <c r="Z103" t="str">
        <f>IF(Transaction[[#This Row],[GrossRevenue_Clean]]=Transaction[[#This Row],[ListPrice]]*Transaction[[#This Row],[Quantity]],"Valid","Invalid")</f>
        <v>Valid</v>
      </c>
      <c r="AA103">
        <v>973.2</v>
      </c>
      <c r="AB10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973.2</v>
      </c>
      <c r="AC103">
        <f>IF(Transaction[[#This Row],[DiscountAmount_Check2]]="Invalid",Transaction[[#This Row],[GrossRevenue_Analytical]]-Transaction[[#This Row],[NetRevenue_Analytical]],Transaction[[#This Row],[DiscountAmount_Clean]])</f>
        <v>973.2</v>
      </c>
      <c r="AD103">
        <v>4846.8</v>
      </c>
      <c r="AE103" t="str">
        <f>IF(ROUND(Transaction[[#This Row],[GrossRevenue_Analytical]]-Transaction[[#This Row],[NetRevenue_Analytical]],2)=ROUND(Transaction[[#This Row],[DiscountAmount_Clean]],2),"Valid","Invalid")</f>
        <v>Valid</v>
      </c>
      <c r="AF103">
        <f>VALUE(IF(ISNUMBER(Transaction[[#This Row],[NetRevenue]]),Transaction[[#This Row],[NetRevenue]],IFERROR(IF(FIND("$",Transaction[[#This Row],[NetRevenue]])&gt;0,MID(Transaction[[#This Row],[NetRevenue]],2,10)),Transaction[[#This Row],[NetRevenue]])))</f>
        <v>4846.8</v>
      </c>
      <c r="AG103">
        <f>IF(Transaction[[#This Row],[NetRevenue_Check]]="Invalid",(Transaction[[#This Row],[Quantity]]*Transaction[[#This Row],[UnitPrice_Clean]]),Transaction[[#This Row],[NetRevenue_Clean]])</f>
        <v>4846.8</v>
      </c>
      <c r="AH103" t="str">
        <f>IF(Transaction[[#This Row],[Quantity]]*Transaction[[#This Row],[UnitPrice_Clean]]=Transaction[[#This Row],[NetRevenue_Clean]],"Valid","Invalid")</f>
        <v>Valid</v>
      </c>
      <c r="AI103" t="s">
        <v>23</v>
      </c>
      <c r="AJ103" t="s">
        <v>1287</v>
      </c>
      <c r="AK103" t="str">
        <f>IF(Transaction[[#This Row],[Salesperson]]="","Missing Value",TRIM(PROPER(Transaction[[#This Row],[Salesperson]])))</f>
        <v>Graham-Ap</v>
      </c>
      <c r="AL103" t="s">
        <v>42</v>
      </c>
      <c r="AM103" t="str">
        <f>IF(Transaction[[#This Row],[ContractType]]="","Missing Value",Transaction[[#This Row],[ContractType]])</f>
        <v>Standard PO</v>
      </c>
      <c r="AN103" t="s">
        <v>26</v>
      </c>
    </row>
    <row r="104" spans="1:40" x14ac:dyDescent="0.25">
      <c r="A104" t="s">
        <v>133</v>
      </c>
      <c r="B104" t="s">
        <v>134</v>
      </c>
      <c r="C10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10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10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4" s="2">
        <f>IFERROR(DATE(Transaction[[#This Row],[TransactionDateY]],Transaction[[#This Row],[TransactionDateM]],Transaction[[#This Row],[TransactionDateD]]),"Missing Value")</f>
        <v>45705</v>
      </c>
      <c r="G104" t="s">
        <v>135</v>
      </c>
      <c r="H104" t="str">
        <f>IFERROR(VLOOKUP(Transaction[[#This Row],[CustomerID]],Custumer[],1,0),IF(LEN(Transaction[[#This Row],[CustomerID]])=7,LEFT(Transaction[[#This Row],[CustomerID]],6),"Invalid ID"))</f>
        <v>C-1112</v>
      </c>
      <c r="I104" t="s">
        <v>111</v>
      </c>
      <c r="J104" t="str">
        <f>TRIM(UPPER(Transaction[[#This Row],[ProductID]]))</f>
        <v>P-SA-004</v>
      </c>
      <c r="K104" t="str">
        <f>IFERROR(VLOOKUP(Transaction[[#This Row],[ProductID_Clean]],Product[],1,FALSE),"Invalid ID")</f>
        <v>P-SA-004</v>
      </c>
      <c r="L104" t="str">
        <f>TRIM(SUBSTITUTE(SUBSTITUTE(SUBSTITUTE(SUBSTITUTE(UPPER(Transaction[[#This Row],[Region]]),"EMEA REGION","EMEA"),"APAC REGION","APAC"),"NORTH AMERICA","N. AMERICA"),"N .AMERICA","N.AMERICA"))</f>
        <v>N. AMERICA</v>
      </c>
      <c r="M104" t="s">
        <v>20</v>
      </c>
      <c r="N104" t="s">
        <v>31</v>
      </c>
      <c r="O10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4" t="s">
        <v>22</v>
      </c>
      <c r="Q104" t="str">
        <f>IF(TRIM(Transaction[[#This Row],[SalesChannel]])="","Missing Value",TRIM(Transaction[[#This Row],[SalesChannel]]))</f>
        <v>Direct</v>
      </c>
      <c r="R104" s="4">
        <v>1</v>
      </c>
      <c r="S104" s="4" t="str">
        <f>IF(Transaction[[#This Row],[Quantity]]&lt;0,"Negative-review","Valid")</f>
        <v>Valid</v>
      </c>
      <c r="T104">
        <v>1421.65</v>
      </c>
      <c r="U10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1421.65</v>
      </c>
      <c r="V104">
        <v>1650</v>
      </c>
      <c r="W104">
        <v>1650</v>
      </c>
      <c r="X10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04">
        <f>IF(Transaction[[#This Row],[GrossRevenue_Check]]="Invalid",Transaction[[#This Row],[ListPrice]]*Transaction[[#This Row],[Quantity]],Transaction[[#This Row],[GrossRevenue_Clean]])</f>
        <v>1650</v>
      </c>
      <c r="Z104" t="str">
        <f>IF(Transaction[[#This Row],[GrossRevenue_Clean]]=Transaction[[#This Row],[ListPrice]]*Transaction[[#This Row],[Quantity]],"Valid","Invalid")</f>
        <v>Valid</v>
      </c>
      <c r="AA104">
        <v>228.35</v>
      </c>
      <c r="AB10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228.35</v>
      </c>
      <c r="AC104">
        <f>IF(Transaction[[#This Row],[DiscountAmount_Check2]]="Invalid",Transaction[[#This Row],[GrossRevenue_Analytical]]-Transaction[[#This Row],[NetRevenue_Analytical]],Transaction[[#This Row],[DiscountAmount_Clean]])</f>
        <v>228.35</v>
      </c>
      <c r="AD104">
        <v>1421.65</v>
      </c>
      <c r="AE104" t="str">
        <f>IF(ROUND(Transaction[[#This Row],[GrossRevenue_Analytical]]-Transaction[[#This Row],[NetRevenue_Analytical]],2)=ROUND(Transaction[[#This Row],[DiscountAmount_Clean]],2),"Valid","Invalid")</f>
        <v>Valid</v>
      </c>
      <c r="AF10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1421.65</v>
      </c>
      <c r="AG104">
        <f>IF(Transaction[[#This Row],[NetRevenue_Check]]="Invalid",(Transaction[[#This Row],[Quantity]]*Transaction[[#This Row],[UnitPrice_Clean]]),Transaction[[#This Row],[NetRevenue_Clean]])</f>
        <v>1421.65</v>
      </c>
      <c r="AH104" t="str">
        <f>IF(Transaction[[#This Row],[Quantity]]*Transaction[[#This Row],[UnitPrice_Clean]]=Transaction[[#This Row],[NetRevenue_Clean]],"Valid","Invalid")</f>
        <v>Valid</v>
      </c>
      <c r="AI104" t="s">
        <v>23</v>
      </c>
      <c r="AJ104" t="s">
        <v>136</v>
      </c>
      <c r="AK104" t="str">
        <f>IF(Transaction[[#This Row],[Salesperson]]="","Missing Value",TRIM(PROPER(Transaction[[#This Row],[Salesperson]])))</f>
        <v>Morales</v>
      </c>
      <c r="AL104" t="s">
        <v>113</v>
      </c>
      <c r="AM104" t="str">
        <f>IF(Transaction[[#This Row],[ContractType]]="","Missing Value",Transaction[[#This Row],[ContractType]])</f>
        <v>Subscription</v>
      </c>
      <c r="AN104" t="s">
        <v>43</v>
      </c>
    </row>
    <row r="105" spans="1:40" x14ac:dyDescent="0.25">
      <c r="A105" t="s">
        <v>1594</v>
      </c>
      <c r="B105" s="1">
        <v>45666</v>
      </c>
      <c r="C10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0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10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5" s="2">
        <f>IFERROR(DATE(Transaction[[#This Row],[TransactionDateY]],Transaction[[#This Row],[TransactionDateM]],Transaction[[#This Row],[TransactionDateD]]),"Missing Value")</f>
        <v>45666</v>
      </c>
      <c r="G105" t="s">
        <v>1143</v>
      </c>
      <c r="H105" t="str">
        <f>IFERROR(VLOOKUP(Transaction[[#This Row],[CustomerID]],Custumer[],1,0),IF(LEN(Transaction[[#This Row],[CustomerID]])=7,LEFT(Transaction[[#This Row],[CustomerID]],6),"Invalid ID"))</f>
        <v>C-1114</v>
      </c>
      <c r="I105" t="s">
        <v>29</v>
      </c>
      <c r="J105" t="str">
        <f>TRIM(UPPER(Transaction[[#This Row],[ProductID]]))</f>
        <v>P-SA-001</v>
      </c>
      <c r="K105" t="str">
        <f>IFERROR(VLOOKUP(Transaction[[#This Row],[ProductID_Clean]],Product[],1,FALSE),"Invalid ID")</f>
        <v>P-SA-001</v>
      </c>
      <c r="L105" t="str">
        <f>TRIM(SUBSTITUTE(SUBSTITUTE(SUBSTITUTE(SUBSTITUTE(UPPER(Transaction[[#This Row],[Region]]),"EMEA REGION","EMEA"),"APAC REGION","APAC"),"NORTH AMERICA","N. AMERICA"),"N .AMERICA","N.AMERICA"))</f>
        <v>N. AMERICA</v>
      </c>
      <c r="M105" t="s">
        <v>20</v>
      </c>
      <c r="N105" t="s">
        <v>572</v>
      </c>
      <c r="O10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5" t="s">
        <v>22</v>
      </c>
      <c r="Q105" t="str">
        <f>IF(TRIM(Transaction[[#This Row],[SalesChannel]])="","Missing Value",TRIM(Transaction[[#This Row],[SalesChannel]]))</f>
        <v>Direct</v>
      </c>
      <c r="R105" s="4">
        <v>1</v>
      </c>
      <c r="S105" s="4" t="str">
        <f>IF(Transaction[[#This Row],[Quantity]]&lt;0,"Negative-review","Valid")</f>
        <v>Valid</v>
      </c>
      <c r="T105">
        <v>3975.21</v>
      </c>
      <c r="U10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3975.21</v>
      </c>
      <c r="V105">
        <v>4200</v>
      </c>
      <c r="W105">
        <v>4200</v>
      </c>
      <c r="X10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105">
        <f>IF(Transaction[[#This Row],[GrossRevenue_Check]]="Invalid",Transaction[[#This Row],[ListPrice]]*Transaction[[#This Row],[Quantity]],Transaction[[#This Row],[GrossRevenue_Clean]])</f>
        <v>4200</v>
      </c>
      <c r="Z105" t="str">
        <f>IF(Transaction[[#This Row],[GrossRevenue_Clean]]=Transaction[[#This Row],[ListPrice]]*Transaction[[#This Row],[Quantity]],"Valid","Invalid")</f>
        <v>Valid</v>
      </c>
      <c r="AB10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105">
        <f>IF(Transaction[[#This Row],[DiscountAmount_Check2]]="Invalid",Transaction[[#This Row],[GrossRevenue_Analytical]]-Transaction[[#This Row],[NetRevenue_Analytical]],Transaction[[#This Row],[DiscountAmount_Clean]])</f>
        <v>224.78999999999996</v>
      </c>
      <c r="AD105">
        <v>3975.21</v>
      </c>
      <c r="AE105" t="str">
        <f>IF(ROUND(Transaction[[#This Row],[GrossRevenue_Analytical]]-Transaction[[#This Row],[NetRevenue_Analytical]],2)=ROUND(Transaction[[#This Row],[DiscountAmount_Clean]],2),"Valid","Invalid")</f>
        <v>Invalid</v>
      </c>
      <c r="AF10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3975.21</v>
      </c>
      <c r="AG105">
        <f>IF(Transaction[[#This Row],[NetRevenue_Check]]="Invalid",(Transaction[[#This Row],[Quantity]]*Transaction[[#This Row],[UnitPrice_Clean]]),Transaction[[#This Row],[NetRevenue_Clean]])</f>
        <v>3975.21</v>
      </c>
      <c r="AH105" t="str">
        <f>IF(Transaction[[#This Row],[Quantity]]*Transaction[[#This Row],[UnitPrice_Clean]]=Transaction[[#This Row],[NetRevenue_Clean]],"Valid","Invalid")</f>
        <v>Valid</v>
      </c>
      <c r="AI105" t="s">
        <v>23</v>
      </c>
      <c r="AJ105" t="s">
        <v>1595</v>
      </c>
      <c r="AK105" t="str">
        <f>IF(Transaction[[#This Row],[Salesperson]]="","Missing Value",TRIM(PROPER(Transaction[[#This Row],[Salesperson]])))</f>
        <v>Sherman-Ap</v>
      </c>
      <c r="AL105" t="s">
        <v>34</v>
      </c>
      <c r="AM105" t="str">
        <f>IF(Transaction[[#This Row],[ContractType]]="","Missing Value",Transaction[[#This Row],[ContractType]])</f>
        <v>Annual License</v>
      </c>
      <c r="AN105" t="s">
        <v>35</v>
      </c>
    </row>
    <row r="106" spans="1:40" x14ac:dyDescent="0.25">
      <c r="A106" t="s">
        <v>2675</v>
      </c>
      <c r="C10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10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10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106" s="2" t="str">
        <f>IFERROR(DATE(Transaction[[#This Row],[TransactionDateY]],Transaction[[#This Row],[TransactionDateM]],Transaction[[#This Row],[TransactionDateD]]),"Missing Value")</f>
        <v>Missing Value</v>
      </c>
      <c r="G106" t="s">
        <v>402</v>
      </c>
      <c r="H106" t="str">
        <f>IFERROR(VLOOKUP(Transaction[[#This Row],[CustomerID]],Custumer[],1,0),IF(LEN(Transaction[[#This Row],[CustomerID]])=7,LEFT(Transaction[[#This Row],[CustomerID]],6),"Invalid ID"))</f>
        <v>C-1041</v>
      </c>
      <c r="I106" t="s">
        <v>46</v>
      </c>
      <c r="J106" t="str">
        <f>TRIM(UPPER(Transaction[[#This Row],[ProductID]]))</f>
        <v>P-SI-006</v>
      </c>
      <c r="K106" t="str">
        <f>IFERROR(VLOOKUP(Transaction[[#This Row],[ProductID_Clean]],Product[],1,FALSE),"Invalid ID")</f>
        <v>P-SI-006</v>
      </c>
      <c r="L106" t="str">
        <f>TRIM(SUBSTITUTE(SUBSTITUTE(SUBSTITUTE(SUBSTITUTE(UPPER(Transaction[[#This Row],[Region]]),"EMEA REGION","EMEA"),"APAC REGION","APAC"),"NORTH AMERICA","N. AMERICA"),"N .AMERICA","N.AMERICA"))</f>
        <v>N. AMERICA</v>
      </c>
      <c r="M106" t="s">
        <v>20</v>
      </c>
      <c r="N106" t="s">
        <v>53</v>
      </c>
      <c r="O10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6" t="s">
        <v>40</v>
      </c>
      <c r="Q106" t="str">
        <f>IF(TRIM(Transaction[[#This Row],[SalesChannel]])="","Missing Value",TRIM(Transaction[[#This Row],[SalesChannel]]))</f>
        <v>Distributor</v>
      </c>
      <c r="R106" s="4">
        <v>2</v>
      </c>
      <c r="S106" s="4" t="str">
        <f>IF(Transaction[[#This Row],[Quantity]]&lt;0,"Negative-review","Valid")</f>
        <v>Valid</v>
      </c>
      <c r="T106">
        <v>157.37</v>
      </c>
      <c r="U10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157.37</v>
      </c>
      <c r="V106">
        <v>215</v>
      </c>
      <c r="W106">
        <v>430</v>
      </c>
      <c r="X10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106">
        <f>IF(Transaction[[#This Row],[GrossRevenue_Check]]="Invalid",Transaction[[#This Row],[ListPrice]]*Transaction[[#This Row],[Quantity]],Transaction[[#This Row],[GrossRevenue_Clean]])</f>
        <v>430</v>
      </c>
      <c r="Z106" t="str">
        <f>IF(Transaction[[#This Row],[GrossRevenue_Clean]]=Transaction[[#This Row],[ListPrice]]*Transaction[[#This Row],[Quantity]],"Valid","Invalid")</f>
        <v>Valid</v>
      </c>
      <c r="AA106">
        <v>115.26</v>
      </c>
      <c r="AB10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115.26</v>
      </c>
      <c r="AC106">
        <f>IF(Transaction[[#This Row],[DiscountAmount_Check2]]="Invalid",Transaction[[#This Row],[GrossRevenue_Analytical]]-Transaction[[#This Row],[NetRevenue_Analytical]],Transaction[[#This Row],[DiscountAmount_Clean]])</f>
        <v>115.26</v>
      </c>
      <c r="AD106">
        <v>314.74</v>
      </c>
      <c r="AE106" t="str">
        <f>IF(ROUND(Transaction[[#This Row],[GrossRevenue_Analytical]]-Transaction[[#This Row],[NetRevenue_Analytical]],2)=ROUND(Transaction[[#This Row],[DiscountAmount_Clean]],2),"Valid","Invalid")</f>
        <v>Valid</v>
      </c>
      <c r="AF106">
        <f>VALUE(IF(ISNUMBER(Transaction[[#This Row],[NetRevenue]]),Transaction[[#This Row],[NetRevenue]],IFERROR(IF(FIND("$",Transaction[[#This Row],[NetRevenue]])&gt;0,MID(Transaction[[#This Row],[NetRevenue]],2,10)),Transaction[[#This Row],[NetRevenue]])))</f>
        <v>314.74</v>
      </c>
      <c r="AG106">
        <f>IF(Transaction[[#This Row],[NetRevenue_Check]]="Invalid",(Transaction[[#This Row],[Quantity]]*Transaction[[#This Row],[UnitPrice_Clean]]),Transaction[[#This Row],[NetRevenue_Clean]])</f>
        <v>314.74</v>
      </c>
      <c r="AH106" t="str">
        <f>IF(Transaction[[#This Row],[Quantity]]*Transaction[[#This Row],[UnitPrice_Clean]]=Transaction[[#This Row],[NetRevenue_Clean]],"Valid","Invalid")</f>
        <v>Valid</v>
      </c>
      <c r="AI106" t="s">
        <v>99</v>
      </c>
      <c r="AJ106" t="s">
        <v>2676</v>
      </c>
      <c r="AK106" t="str">
        <f>IF(Transaction[[#This Row],[Salesperson]]="","Missing Value",TRIM(PROPER(Transaction[[#This Row],[Salesperson]])))</f>
        <v>Harrell</v>
      </c>
      <c r="AL106" t="s">
        <v>42</v>
      </c>
      <c r="AM106" t="str">
        <f>IF(Transaction[[#This Row],[ContractType]]="","Missing Value",Transaction[[#This Row],[ContractType]])</f>
        <v>Standard PO</v>
      </c>
      <c r="AN106" t="s">
        <v>35</v>
      </c>
    </row>
    <row r="107" spans="1:40" x14ac:dyDescent="0.25">
      <c r="A107" t="s">
        <v>1702</v>
      </c>
      <c r="B107" s="1">
        <v>45808</v>
      </c>
      <c r="C10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0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31</v>
      </c>
      <c r="E10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7" s="2">
        <f>IFERROR(DATE(Transaction[[#This Row],[TransactionDateY]],Transaction[[#This Row],[TransactionDateM]],Transaction[[#This Row],[TransactionDateD]]),"Missing Value")</f>
        <v>45808</v>
      </c>
      <c r="G107" t="s">
        <v>1660</v>
      </c>
      <c r="H107" t="str">
        <f>IFERROR(VLOOKUP(Transaction[[#This Row],[CustomerID]],Custumer[],1,0),IF(LEN(Transaction[[#This Row],[CustomerID]])=7,LEFT(Transaction[[#This Row],[CustomerID]],6),"Invalid ID"))</f>
        <v>C-1117</v>
      </c>
      <c r="I107" t="s">
        <v>62</v>
      </c>
      <c r="J107" t="str">
        <f>TRIM(UPPER(Transaction[[#This Row],[ProductID]]))</f>
        <v>P-SI-004</v>
      </c>
      <c r="K107" t="str">
        <f>IFERROR(VLOOKUP(Transaction[[#This Row],[ProductID_Clean]],Product[],1,FALSE),"Invalid ID")</f>
        <v>P-SI-004</v>
      </c>
      <c r="L107" t="str">
        <f>TRIM(SUBSTITUTE(SUBSTITUTE(SUBSTITUTE(SUBSTITUTE(UPPER(Transaction[[#This Row],[Region]]),"EMEA REGION","EMEA"),"APAC REGION","APAC"),"NORTH AMERICA","N. AMERICA"),"N .AMERICA","N.AMERICA"))</f>
        <v>LATIN AMERICA</v>
      </c>
      <c r="M107" t="s">
        <v>82</v>
      </c>
      <c r="N107" t="s">
        <v>53</v>
      </c>
      <c r="O10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7" t="s">
        <v>40</v>
      </c>
      <c r="Q107" t="str">
        <f>IF(TRIM(Transaction[[#This Row],[SalesChannel]])="","Missing Value",TRIM(Transaction[[#This Row],[SalesChannel]]))</f>
        <v>Distributor</v>
      </c>
      <c r="R107" s="4">
        <v>5</v>
      </c>
      <c r="S107" s="4" t="str">
        <f>IF(Transaction[[#This Row],[Quantity]]&lt;0,"Negative-review","Valid")</f>
        <v>Valid</v>
      </c>
      <c r="T107">
        <v>1792.89</v>
      </c>
      <c r="U10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1792.89</v>
      </c>
      <c r="V107">
        <v>2450</v>
      </c>
      <c r="W107">
        <v>12250</v>
      </c>
      <c r="X10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12250</v>
      </c>
      <c r="Y107">
        <f>IF(Transaction[[#This Row],[GrossRevenue_Check]]="Invalid",Transaction[[#This Row],[ListPrice]]*Transaction[[#This Row],[Quantity]],Transaction[[#This Row],[GrossRevenue_Clean]])</f>
        <v>12250</v>
      </c>
      <c r="Z107" t="str">
        <f>IF(Transaction[[#This Row],[GrossRevenue_Clean]]=Transaction[[#This Row],[ListPrice]]*Transaction[[#This Row],[Quantity]],"Valid","Invalid")</f>
        <v>Valid</v>
      </c>
      <c r="AA107">
        <v>3285.55</v>
      </c>
      <c r="AB10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3285.55</v>
      </c>
      <c r="AC107">
        <f>IF(Transaction[[#This Row],[DiscountAmount_Check2]]="Invalid",Transaction[[#This Row],[GrossRevenue_Analytical]]-Transaction[[#This Row],[NetRevenue_Analytical]],Transaction[[#This Row],[DiscountAmount_Clean]])</f>
        <v>3285.55</v>
      </c>
      <c r="AD107">
        <v>8964.4500000000007</v>
      </c>
      <c r="AE107" t="str">
        <f>IF(ROUND(Transaction[[#This Row],[GrossRevenue_Analytical]]-Transaction[[#This Row],[NetRevenue_Analytical]],2)=ROUND(Transaction[[#This Row],[DiscountAmount_Clean]],2),"Valid","Invalid")</f>
        <v>Valid</v>
      </c>
      <c r="AF107">
        <f>VALUE(IF(ISNUMBER(Transaction[[#This Row],[NetRevenue]]),Transaction[[#This Row],[NetRevenue]],IFERROR(IF(FIND("$",Transaction[[#This Row],[NetRevenue]])&gt;0,MID(Transaction[[#This Row],[NetRevenue]],2,10)),Transaction[[#This Row],[NetRevenue]])))</f>
        <v>8964.4500000000007</v>
      </c>
      <c r="AG107">
        <f>IF(Transaction[[#This Row],[NetRevenue_Check]]="Invalid",(Transaction[[#This Row],[Quantity]]*Transaction[[#This Row],[UnitPrice_Clean]]),Transaction[[#This Row],[NetRevenue_Clean]])</f>
        <v>8964.4500000000007</v>
      </c>
      <c r="AH107" t="str">
        <f>IF(Transaction[[#This Row],[Quantity]]*Transaction[[#This Row],[UnitPrice_Clean]]=Transaction[[#This Row],[NetRevenue_Clean]],"Valid","Invalid")</f>
        <v>Valid</v>
      </c>
      <c r="AI107" t="s">
        <v>23</v>
      </c>
      <c r="AJ107" t="s">
        <v>1703</v>
      </c>
      <c r="AK107" t="str">
        <f>IF(Transaction[[#This Row],[Salesperson]]="","Missing Value",TRIM(PROPER(Transaction[[#This Row],[Salesperson]])))</f>
        <v>Reese-Em</v>
      </c>
      <c r="AL107" t="s">
        <v>42</v>
      </c>
      <c r="AM107" t="str">
        <f>IF(Transaction[[#This Row],[ContractType]]="","Missing Value",Transaction[[#This Row],[ContractType]])</f>
        <v>Standard PO</v>
      </c>
      <c r="AN107" t="s">
        <v>43</v>
      </c>
    </row>
    <row r="108" spans="1:40" x14ac:dyDescent="0.25">
      <c r="A108" t="s">
        <v>2407</v>
      </c>
      <c r="B108" s="1">
        <v>45810</v>
      </c>
      <c r="C10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0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10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8" s="2">
        <f>IFERROR(DATE(Transaction[[#This Row],[TransactionDateY]],Transaction[[#This Row],[TransactionDateM]],Transaction[[#This Row],[TransactionDateD]]),"Missing Value")</f>
        <v>45810</v>
      </c>
      <c r="G108" t="s">
        <v>494</v>
      </c>
      <c r="H108" t="str">
        <f>IFERROR(VLOOKUP(Transaction[[#This Row],[CustomerID]],Custumer[],1,0),IF(LEN(Transaction[[#This Row],[CustomerID]])=7,LEFT(Transaction[[#This Row],[CustomerID]],6),"Invalid ID"))</f>
        <v>C-1132</v>
      </c>
      <c r="I108" t="s">
        <v>111</v>
      </c>
      <c r="J108" t="str">
        <f>TRIM(UPPER(Transaction[[#This Row],[ProductID]]))</f>
        <v>P-SA-004</v>
      </c>
      <c r="K108" t="str">
        <f>IFERROR(VLOOKUP(Transaction[[#This Row],[ProductID_Clean]],Product[],1,FALSE),"Invalid ID")</f>
        <v>P-SA-004</v>
      </c>
      <c r="L108" t="str">
        <f>TRIM(SUBSTITUTE(SUBSTITUTE(SUBSTITUTE(SUBSTITUTE(UPPER(Transaction[[#This Row],[Region]]),"EMEA REGION","EMEA"),"APAC REGION","APAC"),"NORTH AMERICA","N. AMERICA"),"N .AMERICA","N.AMERICA"))</f>
        <v>N. AMERICA</v>
      </c>
      <c r="M108" t="s">
        <v>20</v>
      </c>
      <c r="N108" t="s">
        <v>31</v>
      </c>
      <c r="O10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8" t="s">
        <v>22</v>
      </c>
      <c r="Q108" t="str">
        <f>IF(TRIM(Transaction[[#This Row],[SalesChannel]])="","Missing Value",TRIM(Transaction[[#This Row],[SalesChannel]]))</f>
        <v>Direct</v>
      </c>
      <c r="R108" s="4">
        <v>1</v>
      </c>
      <c r="S108" s="4" t="str">
        <f>IF(Transaction[[#This Row],[Quantity]]&lt;0,"Negative-review","Valid")</f>
        <v>Valid</v>
      </c>
      <c r="T108">
        <v>1658.11</v>
      </c>
      <c r="U10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1658.11</v>
      </c>
      <c r="V108">
        <v>1650</v>
      </c>
      <c r="W108">
        <v>1650</v>
      </c>
      <c r="X10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08">
        <f>IF(Transaction[[#This Row],[GrossRevenue_Check]]="Invalid",Transaction[[#This Row],[ListPrice]]*Transaction[[#This Row],[Quantity]],Transaction[[#This Row],[GrossRevenue_Clean]])</f>
        <v>1650</v>
      </c>
      <c r="Z108" t="str">
        <f>IF(Transaction[[#This Row],[GrossRevenue_Clean]]=Transaction[[#This Row],[ListPrice]]*Transaction[[#This Row],[Quantity]],"Valid","Invalid")</f>
        <v>Valid</v>
      </c>
      <c r="AA108">
        <v>-8.11</v>
      </c>
      <c r="AB10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-8.11</v>
      </c>
      <c r="AC108">
        <f>IF(Transaction[[#This Row],[DiscountAmount_Check2]]="Invalid",Transaction[[#This Row],[GrossRevenue_Analytical]]-Transaction[[#This Row],[NetRevenue_Analytical]],Transaction[[#This Row],[DiscountAmount_Clean]])</f>
        <v>-8.11</v>
      </c>
      <c r="AD108">
        <v>1658.11</v>
      </c>
      <c r="AE108" t="str">
        <f>IF(ROUND(Transaction[[#This Row],[GrossRevenue_Analytical]]-Transaction[[#This Row],[NetRevenue_Analytical]],2)=ROUND(Transaction[[#This Row],[DiscountAmount_Clean]],2),"Valid","Invalid")</f>
        <v>Valid</v>
      </c>
      <c r="AF10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1658.11</v>
      </c>
      <c r="AG108">
        <f>IF(Transaction[[#This Row],[NetRevenue_Check]]="Invalid",(Transaction[[#This Row],[Quantity]]*Transaction[[#This Row],[UnitPrice_Clean]]),Transaction[[#This Row],[NetRevenue_Clean]])</f>
        <v>1658.11</v>
      </c>
      <c r="AH108" t="str">
        <f>IF(Transaction[[#This Row],[Quantity]]*Transaction[[#This Row],[UnitPrice_Clean]]=Transaction[[#This Row],[NetRevenue_Clean]],"Valid","Invalid")</f>
        <v>Valid</v>
      </c>
      <c r="AI108" t="s">
        <v>23</v>
      </c>
      <c r="AJ108" t="s">
        <v>980</v>
      </c>
      <c r="AK108" t="str">
        <f>IF(Transaction[[#This Row],[Salesperson]]="","Missing Value",TRIM(PROPER(Transaction[[#This Row],[Salesperson]])))</f>
        <v>Walker</v>
      </c>
      <c r="AL108" t="s">
        <v>113</v>
      </c>
      <c r="AM108" t="str">
        <f>IF(Transaction[[#This Row],[ContractType]]="","Missing Value",Transaction[[#This Row],[ContractType]])</f>
        <v>Subscription</v>
      </c>
      <c r="AN108" t="s">
        <v>49</v>
      </c>
    </row>
    <row r="109" spans="1:40" x14ac:dyDescent="0.25">
      <c r="A109" t="s">
        <v>1467</v>
      </c>
      <c r="B109" t="s">
        <v>1468</v>
      </c>
      <c r="C10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10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10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9" s="2">
        <f>IFERROR(DATE(Transaction[[#This Row],[TransactionDateY]],Transaction[[#This Row],[TransactionDateM]],Transaction[[#This Row],[TransactionDateD]]),"Missing Value")</f>
        <v>45683</v>
      </c>
      <c r="G109" t="s">
        <v>38</v>
      </c>
      <c r="H109" t="str">
        <f>IFERROR(VLOOKUP(Transaction[[#This Row],[CustomerID]],Custumer[],1,0),IF(LEN(Transaction[[#This Row],[CustomerID]])=7,LEFT(Transaction[[#This Row],[CustomerID]],6),"Invalid ID"))</f>
        <v>C-1027</v>
      </c>
      <c r="I109" t="s">
        <v>52</v>
      </c>
      <c r="J109" t="str">
        <f>TRIM(UPPER(Transaction[[#This Row],[ProductID]]))</f>
        <v>P-SI-002</v>
      </c>
      <c r="K109" t="str">
        <f>IFERROR(VLOOKUP(Transaction[[#This Row],[ProductID_Clean]],Product[],1,FALSE),"Invalid ID")</f>
        <v>P-SI-002</v>
      </c>
      <c r="L109" t="str">
        <f>TRIM(SUBSTITUTE(SUBSTITUTE(SUBSTITUTE(SUBSTITUTE(UPPER(Transaction[[#This Row],[Region]]),"EMEA REGION","EMEA"),"APAC REGION","APAC"),"NORTH AMERICA","N. AMERICA"),"N .AMERICA","N.AMERICA"))</f>
        <v>N. AMERICA</v>
      </c>
      <c r="M109" t="s">
        <v>204</v>
      </c>
      <c r="N109" t="s">
        <v>53</v>
      </c>
      <c r="O10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9" t="s">
        <v>22</v>
      </c>
      <c r="Q109" t="str">
        <f>IF(TRIM(Transaction[[#This Row],[SalesChannel]])="","Missing Value",TRIM(Transaction[[#This Row],[SalesChannel]]))</f>
        <v>Direct</v>
      </c>
      <c r="R109" s="4">
        <v>5</v>
      </c>
      <c r="S109" s="4" t="str">
        <f>IF(Transaction[[#This Row],[Quantity]]&lt;0,"Negative-review","Valid")</f>
        <v>Valid</v>
      </c>
      <c r="T109">
        <v>584.13</v>
      </c>
      <c r="U10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584.13</v>
      </c>
      <c r="V109">
        <v>725</v>
      </c>
      <c r="W109">
        <v>3625</v>
      </c>
      <c r="X10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3625</v>
      </c>
      <c r="Y109">
        <f>IF(Transaction[[#This Row],[GrossRevenue_Check]]="Invalid",Transaction[[#This Row],[ListPrice]]*Transaction[[#This Row],[Quantity]],Transaction[[#This Row],[GrossRevenue_Clean]])</f>
        <v>3625</v>
      </c>
      <c r="Z109" t="str">
        <f>IF(Transaction[[#This Row],[GrossRevenue_Clean]]=Transaction[[#This Row],[ListPrice]]*Transaction[[#This Row],[Quantity]],"Valid","Invalid")</f>
        <v>Valid</v>
      </c>
      <c r="AA109" t="s">
        <v>1469</v>
      </c>
      <c r="AB10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704.35</v>
      </c>
      <c r="AC109">
        <f>IF(Transaction[[#This Row],[DiscountAmount_Check2]]="Invalid",Transaction[[#This Row],[GrossRevenue_Analytical]]-Transaction[[#This Row],[NetRevenue_Analytical]],Transaction[[#This Row],[DiscountAmount_Clean]])</f>
        <v>704.35</v>
      </c>
      <c r="AD109">
        <v>2920.65</v>
      </c>
      <c r="AE109" t="str">
        <f>IF(ROUND(Transaction[[#This Row],[GrossRevenue_Analytical]]-Transaction[[#This Row],[NetRevenue_Analytical]],2)=ROUND(Transaction[[#This Row],[DiscountAmount_Clean]],2),"Valid","Invalid")</f>
        <v>Valid</v>
      </c>
      <c r="AF10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2920.65</v>
      </c>
      <c r="AG109">
        <f>IF(Transaction[[#This Row],[NetRevenue_Check]]="Invalid",(Transaction[[#This Row],[Quantity]]*Transaction[[#This Row],[UnitPrice_Clean]]),Transaction[[#This Row],[NetRevenue_Clean]])</f>
        <v>2920.65</v>
      </c>
      <c r="AH109" t="str">
        <f>IF(Transaction[[#This Row],[Quantity]]*Transaction[[#This Row],[UnitPrice_Clean]]=Transaction[[#This Row],[NetRevenue_Clean]],"Valid","Invalid")</f>
        <v>Valid</v>
      </c>
      <c r="AI109" t="s">
        <v>23</v>
      </c>
      <c r="AJ109" t="s">
        <v>1470</v>
      </c>
      <c r="AK109" t="str">
        <f>IF(Transaction[[#This Row],[Salesperson]]="","Missing Value",TRIM(PROPER(Transaction[[#This Row],[Salesperson]])))</f>
        <v>Maxwell</v>
      </c>
      <c r="AL109" t="s">
        <v>25</v>
      </c>
      <c r="AM109" t="str">
        <f>IF(Transaction[[#This Row],[ContractType]]="","Missing Value",Transaction[[#This Row],[ContractType]])</f>
        <v>Frame Agreement</v>
      </c>
      <c r="AN109" t="s">
        <v>43</v>
      </c>
    </row>
    <row r="110" spans="1:40" x14ac:dyDescent="0.25">
      <c r="A110" t="s">
        <v>654</v>
      </c>
      <c r="B110" s="1">
        <v>45716</v>
      </c>
      <c r="C11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1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11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0" s="2">
        <f>IFERROR(DATE(Transaction[[#This Row],[TransactionDateY]],Transaction[[#This Row],[TransactionDateM]],Transaction[[#This Row],[TransactionDateD]]),"Missing Value")</f>
        <v>45716</v>
      </c>
      <c r="G110" t="s">
        <v>172</v>
      </c>
      <c r="H110" t="str">
        <f>IFERROR(VLOOKUP(Transaction[[#This Row],[CustomerID]],Custumer[],1,0),IF(LEN(Transaction[[#This Row],[CustomerID]])=7,LEFT(Transaction[[#This Row],[CustomerID]],6),"Invalid ID"))</f>
        <v>C-1099</v>
      </c>
      <c r="I110" t="s">
        <v>92</v>
      </c>
      <c r="J110" t="str">
        <f>TRIM(UPPER(Transaction[[#This Row],[ProductID]]))</f>
        <v>P-SI-008</v>
      </c>
      <c r="K110" t="str">
        <f>IFERROR(VLOOKUP(Transaction[[#This Row],[ProductID_Clean]],Product[],1,FALSE),"Invalid ID")</f>
        <v>P-SI-008</v>
      </c>
      <c r="L110" t="str">
        <f>TRIM(SUBSTITUTE(SUBSTITUTE(SUBSTITUTE(SUBSTITUTE(UPPER(Transaction[[#This Row],[Region]]),"EMEA REGION","EMEA"),"APAC REGION","APAC"),"NORTH AMERICA","N. AMERICA"),"N .AMERICA","N.AMERICA"))</f>
        <v>EMEA</v>
      </c>
      <c r="M110" t="s">
        <v>76</v>
      </c>
      <c r="N110" t="s">
        <v>53</v>
      </c>
      <c r="O11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0" t="s">
        <v>40</v>
      </c>
      <c r="Q110" t="str">
        <f>IF(TRIM(Transaction[[#This Row],[SalesChannel]])="","Missing Value",TRIM(Transaction[[#This Row],[SalesChannel]]))</f>
        <v>Distributor</v>
      </c>
      <c r="R110" s="4">
        <v>3</v>
      </c>
      <c r="S110" s="4" t="str">
        <f>IF(Transaction[[#This Row],[Quantity]]&lt;0,"Negative-review","Valid")</f>
        <v>Valid</v>
      </c>
      <c r="T110">
        <v>792.58</v>
      </c>
      <c r="U11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792.58</v>
      </c>
      <c r="V110">
        <v>950</v>
      </c>
      <c r="W110">
        <v>2850</v>
      </c>
      <c r="X11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2850</v>
      </c>
      <c r="Y110">
        <f>IF(Transaction[[#This Row],[GrossRevenue_Check]]="Invalid",Transaction[[#This Row],[ListPrice]]*Transaction[[#This Row],[Quantity]],Transaction[[#This Row],[GrossRevenue_Clean]])</f>
        <v>2850</v>
      </c>
      <c r="Z110" t="str">
        <f>IF(Transaction[[#This Row],[GrossRevenue_Clean]]=Transaction[[#This Row],[ListPrice]]*Transaction[[#This Row],[Quantity]],"Valid","Invalid")</f>
        <v>Valid</v>
      </c>
      <c r="AA110">
        <v>472.26</v>
      </c>
      <c r="AB11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472.26</v>
      </c>
      <c r="AC110">
        <f>IF(Transaction[[#This Row],[DiscountAmount_Check2]]="Invalid",Transaction[[#This Row],[GrossRevenue_Analytical]]-Transaction[[#This Row],[NetRevenue_Analytical]],Transaction[[#This Row],[DiscountAmount_Clean]])</f>
        <v>472.26</v>
      </c>
      <c r="AD110">
        <v>2377.7399999999998</v>
      </c>
      <c r="AE110" t="str">
        <f>IF(ROUND(Transaction[[#This Row],[GrossRevenue_Analytical]]-Transaction[[#This Row],[NetRevenue_Analytical]],2)=ROUND(Transaction[[#This Row],[DiscountAmount_Clean]],2),"Valid","Invalid")</f>
        <v>Valid</v>
      </c>
      <c r="AF11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2377.7399999999998</v>
      </c>
      <c r="AG110">
        <f>IF(Transaction[[#This Row],[NetRevenue_Check]]="Invalid",(Transaction[[#This Row],[Quantity]]*Transaction[[#This Row],[UnitPrice_Clean]]),Transaction[[#This Row],[NetRevenue_Clean]])</f>
        <v>2377.7399999999998</v>
      </c>
      <c r="AH110" t="str">
        <f>IF(Transaction[[#This Row],[Quantity]]*Transaction[[#This Row],[UnitPrice_Clean]]=Transaction[[#This Row],[NetRevenue_Clean]],"Valid","Invalid")</f>
        <v>Valid</v>
      </c>
      <c r="AI110" t="s">
        <v>23</v>
      </c>
      <c r="AJ110" t="s">
        <v>655</v>
      </c>
      <c r="AK110" t="str">
        <f>IF(Transaction[[#This Row],[Salesperson]]="","Missing Value",TRIM(PROPER(Transaction[[#This Row],[Salesperson]])))</f>
        <v>Jones</v>
      </c>
      <c r="AL110" t="s">
        <v>25</v>
      </c>
      <c r="AM110" t="str">
        <f>IF(Transaction[[#This Row],[ContractType]]="","Missing Value",Transaction[[#This Row],[ContractType]])</f>
        <v>Frame Agreement</v>
      </c>
      <c r="AN110" t="s">
        <v>43</v>
      </c>
    </row>
    <row r="111" spans="1:40" x14ac:dyDescent="0.25">
      <c r="A111" t="s">
        <v>2009</v>
      </c>
      <c r="B111" s="1">
        <v>45661</v>
      </c>
      <c r="C11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1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11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1" s="2">
        <f>IFERROR(DATE(Transaction[[#This Row],[TransactionDateY]],Transaction[[#This Row],[TransactionDateM]],Transaction[[#This Row],[TransactionDateD]]),"Missing Value")</f>
        <v>45661</v>
      </c>
      <c r="G111" t="s">
        <v>38</v>
      </c>
      <c r="H111" t="str">
        <f>IFERROR(VLOOKUP(Transaction[[#This Row],[CustomerID]],Custumer[],1,0),IF(LEN(Transaction[[#This Row],[CustomerID]])=7,LEFT(Transaction[[#This Row],[CustomerID]],6),"Invalid ID"))</f>
        <v>C-1027</v>
      </c>
      <c r="I111" t="s">
        <v>46</v>
      </c>
      <c r="J111" t="str">
        <f>TRIM(UPPER(Transaction[[#This Row],[ProductID]]))</f>
        <v>P-SI-006</v>
      </c>
      <c r="K111" t="str">
        <f>IFERROR(VLOOKUP(Transaction[[#This Row],[ProductID_Clean]],Product[],1,FALSE),"Invalid ID")</f>
        <v>P-SI-006</v>
      </c>
      <c r="L111" t="str">
        <f>TRIM(SUBSTITUTE(SUBSTITUTE(SUBSTITUTE(SUBSTITUTE(UPPER(Transaction[[#This Row],[Region]]),"EMEA REGION","EMEA"),"APAC REGION","APAC"),"NORTH AMERICA","N. AMERICA"),"N .AMERICA","N.AMERICA"))</f>
        <v>N. AMERICA</v>
      </c>
      <c r="M111" t="s">
        <v>20</v>
      </c>
      <c r="N111" t="s">
        <v>53</v>
      </c>
      <c r="O11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1" t="s">
        <v>40</v>
      </c>
      <c r="Q111" t="str">
        <f>IF(TRIM(Transaction[[#This Row],[SalesChannel]])="","Missing Value",TRIM(Transaction[[#This Row],[SalesChannel]]))</f>
        <v>Distributor</v>
      </c>
      <c r="R111" s="4">
        <v>1</v>
      </c>
      <c r="S111" s="4" t="str">
        <f>IF(Transaction[[#This Row],[Quantity]]&lt;0,"Negative-review","Valid")</f>
        <v>Valid</v>
      </c>
      <c r="T111">
        <v>156.13999999999999</v>
      </c>
      <c r="U11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156.13999999999999</v>
      </c>
      <c r="V111">
        <v>215</v>
      </c>
      <c r="W111">
        <v>215</v>
      </c>
      <c r="X11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111">
        <f>IF(Transaction[[#This Row],[GrossRevenue_Check]]="Invalid",Transaction[[#This Row],[ListPrice]]*Transaction[[#This Row],[Quantity]],Transaction[[#This Row],[GrossRevenue_Clean]])</f>
        <v>215</v>
      </c>
      <c r="Z111" t="str">
        <f>IF(Transaction[[#This Row],[GrossRevenue_Clean]]=Transaction[[#This Row],[ListPrice]]*Transaction[[#This Row],[Quantity]],"Valid","Invalid")</f>
        <v>Valid</v>
      </c>
      <c r="AA111">
        <v>58.86</v>
      </c>
      <c r="AB11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58.86</v>
      </c>
      <c r="AC111">
        <f>IF(Transaction[[#This Row],[DiscountAmount_Check2]]="Invalid",Transaction[[#This Row],[GrossRevenue_Analytical]]-Transaction[[#This Row],[NetRevenue_Analytical]],Transaction[[#This Row],[DiscountAmount_Clean]])</f>
        <v>58.86</v>
      </c>
      <c r="AD111">
        <v>156.13999999999999</v>
      </c>
      <c r="AE111" t="str">
        <f>IF(ROUND(Transaction[[#This Row],[GrossRevenue_Analytical]]-Transaction[[#This Row],[NetRevenue_Analytical]],2)=ROUND(Transaction[[#This Row],[DiscountAmount_Clean]],2),"Valid","Invalid")</f>
        <v>Valid</v>
      </c>
      <c r="AF11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156.13999999999999</v>
      </c>
      <c r="AG111">
        <f>IF(Transaction[[#This Row],[NetRevenue_Check]]="Invalid",(Transaction[[#This Row],[Quantity]]*Transaction[[#This Row],[UnitPrice_Clean]]),Transaction[[#This Row],[NetRevenue_Clean]])</f>
        <v>156.13999999999999</v>
      </c>
      <c r="AH111" t="str">
        <f>IF(Transaction[[#This Row],[Quantity]]*Transaction[[#This Row],[UnitPrice_Clean]]=Transaction[[#This Row],[NetRevenue_Clean]],"Valid","Invalid")</f>
        <v>Valid</v>
      </c>
      <c r="AI111" t="s">
        <v>23</v>
      </c>
      <c r="AJ111" t="s">
        <v>2010</v>
      </c>
      <c r="AK111" t="str">
        <f>IF(Transaction[[#This Row],[Salesperson]]="","Missing Value",TRIM(PROPER(Transaction[[#This Row],[Salesperson]])))</f>
        <v>Schultz-Ap</v>
      </c>
      <c r="AL111" t="s">
        <v>25</v>
      </c>
      <c r="AM111" t="str">
        <f>IF(Transaction[[#This Row],[ContractType]]="","Missing Value",Transaction[[#This Row],[ContractType]])</f>
        <v>Frame Agreement</v>
      </c>
      <c r="AN111" t="s">
        <v>43</v>
      </c>
    </row>
    <row r="112" spans="1:40" x14ac:dyDescent="0.25">
      <c r="A112" t="s">
        <v>750</v>
      </c>
      <c r="B112" t="s">
        <v>751</v>
      </c>
      <c r="C11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11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11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2" s="2">
        <f>IFERROR(DATE(Transaction[[#This Row],[TransactionDateY]],Transaction[[#This Row],[TransactionDateM]],Transaction[[#This Row],[TransactionDateD]]),"Missing Value")</f>
        <v>45794</v>
      </c>
      <c r="G112" t="s">
        <v>110</v>
      </c>
      <c r="H112" t="str">
        <f>IFERROR(VLOOKUP(Transaction[[#This Row],[CustomerID]],Custumer[],1,0),IF(LEN(Transaction[[#This Row],[CustomerID]])=7,LEFT(Transaction[[#This Row],[CustomerID]],6),"Invalid ID"))</f>
        <v>C-1100</v>
      </c>
      <c r="I112" t="s">
        <v>258</v>
      </c>
      <c r="J112" t="str">
        <f>TRIM(UPPER(Transaction[[#This Row],[ProductID]]))</f>
        <v>P-SA-003</v>
      </c>
      <c r="K112" t="str">
        <f>IFERROR(VLOOKUP(Transaction[[#This Row],[ProductID_Clean]],Product[],1,FALSE),"Invalid ID")</f>
        <v>P-SA-003</v>
      </c>
      <c r="L112" t="str">
        <f>TRIM(SUBSTITUTE(SUBSTITUTE(SUBSTITUTE(SUBSTITUTE(UPPER(Transaction[[#This Row],[Region]]),"EMEA REGION","EMEA"),"APAC REGION","APAC"),"NORTH AMERICA","N. AMERICA"),"N .AMERICA","N.AMERICA"))</f>
        <v>EMEA</v>
      </c>
      <c r="M112" t="s">
        <v>76</v>
      </c>
      <c r="N112" t="s">
        <v>31</v>
      </c>
      <c r="O11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2" t="s">
        <v>22</v>
      </c>
      <c r="Q112" t="str">
        <f>IF(TRIM(Transaction[[#This Row],[SalesChannel]])="","Missing Value",TRIM(Transaction[[#This Row],[SalesChannel]]))</f>
        <v>Direct</v>
      </c>
      <c r="R112" s="4">
        <v>1</v>
      </c>
      <c r="S112" s="4" t="str">
        <f>IF(Transaction[[#This Row],[Quantity]]&lt;0,"Negative-review","Valid")</f>
        <v>Valid</v>
      </c>
      <c r="T112">
        <v>2485.5100000000002</v>
      </c>
      <c r="U11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2485.5100000000002</v>
      </c>
      <c r="V112">
        <v>2750</v>
      </c>
      <c r="W112">
        <v>2750</v>
      </c>
      <c r="X11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112">
        <f>IF(Transaction[[#This Row],[GrossRevenue_Check]]="Invalid",Transaction[[#This Row],[ListPrice]]*Transaction[[#This Row],[Quantity]],Transaction[[#This Row],[GrossRevenue_Clean]])</f>
        <v>2750</v>
      </c>
      <c r="Z112" t="str">
        <f>IF(Transaction[[#This Row],[GrossRevenue_Clean]]=Transaction[[#This Row],[ListPrice]]*Transaction[[#This Row],[Quantity]],"Valid","Invalid")</f>
        <v>Valid</v>
      </c>
      <c r="AA112" t="s">
        <v>752</v>
      </c>
      <c r="AB11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264.49</v>
      </c>
      <c r="AC112">
        <f>IF(Transaction[[#This Row],[DiscountAmount_Check2]]="Invalid",Transaction[[#This Row],[GrossRevenue_Analytical]]-Transaction[[#This Row],[NetRevenue_Analytical]],Transaction[[#This Row],[DiscountAmount_Clean]])</f>
        <v>264.49</v>
      </c>
      <c r="AD112">
        <v>2485.5100000000002</v>
      </c>
      <c r="AE112" t="str">
        <f>IF(ROUND(Transaction[[#This Row],[GrossRevenue_Analytical]]-Transaction[[#This Row],[NetRevenue_Analytical]],2)=ROUND(Transaction[[#This Row],[DiscountAmount_Clean]],2),"Valid","Invalid")</f>
        <v>Valid</v>
      </c>
      <c r="AF11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2485.5100000000002</v>
      </c>
      <c r="AG112">
        <f>IF(Transaction[[#This Row],[NetRevenue_Check]]="Invalid",(Transaction[[#This Row],[Quantity]]*Transaction[[#This Row],[UnitPrice_Clean]]),Transaction[[#This Row],[NetRevenue_Clean]])</f>
        <v>2485.5100000000002</v>
      </c>
      <c r="AH112" t="str">
        <f>IF(Transaction[[#This Row],[Quantity]]*Transaction[[#This Row],[UnitPrice_Clean]]=Transaction[[#This Row],[NetRevenue_Clean]],"Valid","Invalid")</f>
        <v>Valid</v>
      </c>
      <c r="AI112" t="s">
        <v>23</v>
      </c>
      <c r="AJ112" t="s">
        <v>753</v>
      </c>
      <c r="AK112" t="str">
        <f>IF(Transaction[[#This Row],[Salesperson]]="","Missing Value",TRIM(PROPER(Transaction[[#This Row],[Salesperson]])))</f>
        <v>Schmidt</v>
      </c>
      <c r="AL112" t="s">
        <v>210</v>
      </c>
      <c r="AM112" t="str">
        <f>IF(Transaction[[#This Row],[ContractType]]="","Missing Value",Transaction[[#This Row],[ContractType]])</f>
        <v>Perpetual</v>
      </c>
      <c r="AN112" t="s">
        <v>43</v>
      </c>
    </row>
    <row r="113" spans="1:40" x14ac:dyDescent="0.25">
      <c r="A113" t="s">
        <v>1539</v>
      </c>
      <c r="B113" s="1">
        <v>45728</v>
      </c>
      <c r="C11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1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11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3" s="2">
        <f>IFERROR(DATE(Transaction[[#This Row],[TransactionDateY]],Transaction[[#This Row],[TransactionDateM]],Transaction[[#This Row],[TransactionDateD]]),"Missing Value")</f>
        <v>45728</v>
      </c>
      <c r="G113" t="s">
        <v>1000</v>
      </c>
      <c r="H113" t="str">
        <f>IFERROR(VLOOKUP(Transaction[[#This Row],[CustomerID]],Custumer[],1,0),IF(LEN(Transaction[[#This Row],[CustomerID]])=7,LEFT(Transaction[[#This Row],[CustomerID]],6),"Invalid ID"))</f>
        <v>C-1137</v>
      </c>
      <c r="I113" t="s">
        <v>97</v>
      </c>
      <c r="J113" t="str">
        <f>TRIM(UPPER(Transaction[[#This Row],[ProductID]]))</f>
        <v>P-SI-001</v>
      </c>
      <c r="K113" t="str">
        <f>IFERROR(VLOOKUP(Transaction[[#This Row],[ProductID_Clean]],Product[],1,FALSE),"Invalid ID")</f>
        <v>P-SI-001</v>
      </c>
      <c r="L113" t="str">
        <f>TRIM(SUBSTITUTE(SUBSTITUTE(SUBSTITUTE(SUBSTITUTE(UPPER(Transaction[[#This Row],[Region]]),"EMEA REGION","EMEA"),"APAC REGION","APAC"),"NORTH AMERICA","N. AMERICA"),"N .AMERICA","N.AMERICA"))</f>
        <v>N. AMERICA</v>
      </c>
      <c r="M113" t="s">
        <v>20</v>
      </c>
      <c r="N113" t="s">
        <v>53</v>
      </c>
      <c r="O11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3" t="s">
        <v>181</v>
      </c>
      <c r="Q113" t="str">
        <f>IF(TRIM(Transaction[[#This Row],[SalesChannel]])="","Missing Value",TRIM(Transaction[[#This Row],[SalesChannel]]))</f>
        <v>Partner Portal</v>
      </c>
      <c r="R113" s="4">
        <v>5</v>
      </c>
      <c r="S113" s="4" t="str">
        <f>IF(Transaction[[#This Row],[Quantity]]&lt;0,"Negative-review","Valid")</f>
        <v>Valid</v>
      </c>
      <c r="T113">
        <v>429.31</v>
      </c>
      <c r="U11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429.31</v>
      </c>
      <c r="V113">
        <v>485</v>
      </c>
      <c r="W113">
        <v>2425</v>
      </c>
      <c r="X11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2425</v>
      </c>
      <c r="Y113">
        <f>IF(Transaction[[#This Row],[GrossRevenue_Check]]="Invalid",Transaction[[#This Row],[ListPrice]]*Transaction[[#This Row],[Quantity]],Transaction[[#This Row],[GrossRevenue_Clean]])</f>
        <v>2425</v>
      </c>
      <c r="Z113" t="str">
        <f>IF(Transaction[[#This Row],[GrossRevenue_Clean]]=Transaction[[#This Row],[ListPrice]]*Transaction[[#This Row],[Quantity]],"Valid","Invalid")</f>
        <v>Valid</v>
      </c>
      <c r="AA113" t="s">
        <v>1540</v>
      </c>
      <c r="AB11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278.45</v>
      </c>
      <c r="AC113">
        <f>IF(Transaction[[#This Row],[DiscountAmount_Check2]]="Invalid",Transaction[[#This Row],[GrossRevenue_Analytical]]-Transaction[[#This Row],[NetRevenue_Analytical]],Transaction[[#This Row],[DiscountAmount_Clean]])</f>
        <v>278.45</v>
      </c>
      <c r="AD113">
        <v>2146.5500000000002</v>
      </c>
      <c r="AE113" t="str">
        <f>IF(ROUND(Transaction[[#This Row],[GrossRevenue_Analytical]]-Transaction[[#This Row],[NetRevenue_Analytical]],2)=ROUND(Transaction[[#This Row],[DiscountAmount_Clean]],2),"Valid","Invalid")</f>
        <v>Valid</v>
      </c>
      <c r="AF113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2146.5500000000002</v>
      </c>
      <c r="AG113">
        <f>IF(Transaction[[#This Row],[NetRevenue_Check]]="Invalid",(Transaction[[#This Row],[Quantity]]*Transaction[[#This Row],[UnitPrice_Clean]]),Transaction[[#This Row],[NetRevenue_Clean]])</f>
        <v>2146.5500000000002</v>
      </c>
      <c r="AH113" t="str">
        <f>IF(Transaction[[#This Row],[Quantity]]*Transaction[[#This Row],[UnitPrice_Clean]]=Transaction[[#This Row],[NetRevenue_Clean]],"Valid","Invalid")</f>
        <v>Valid</v>
      </c>
      <c r="AI113" t="s">
        <v>23</v>
      </c>
      <c r="AJ113" t="s">
        <v>1541</v>
      </c>
      <c r="AK113" t="str">
        <f>IF(Transaction[[#This Row],[Salesperson]]="","Missing Value",TRIM(PROPER(Transaction[[#This Row],[Salesperson]])))</f>
        <v>Lee</v>
      </c>
      <c r="AL113" t="s">
        <v>42</v>
      </c>
      <c r="AM113" t="str">
        <f>IF(Transaction[[#This Row],[ContractType]]="","Missing Value",Transaction[[#This Row],[ContractType]])</f>
        <v>Standard PO</v>
      </c>
      <c r="AN113" t="s">
        <v>26</v>
      </c>
    </row>
    <row r="114" spans="1:40" x14ac:dyDescent="0.25">
      <c r="A114" t="s">
        <v>1251</v>
      </c>
      <c r="B114" s="1">
        <v>45671</v>
      </c>
      <c r="C11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1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11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4" s="2">
        <f>IFERROR(DATE(Transaction[[#This Row],[TransactionDateY]],Transaction[[#This Row],[TransactionDateM]],Transaction[[#This Row],[TransactionDateD]]),"Missing Value")</f>
        <v>45671</v>
      </c>
      <c r="G114" t="s">
        <v>153</v>
      </c>
      <c r="H114" t="str">
        <f>IFERROR(VLOOKUP(Transaction[[#This Row],[CustomerID]],Custumer[],1,0),IF(LEN(Transaction[[#This Row],[CustomerID]])=7,LEFT(Transaction[[#This Row],[CustomerID]],6),"Invalid ID"))</f>
        <v>C-1161</v>
      </c>
      <c r="I114" t="s">
        <v>39</v>
      </c>
      <c r="J114" t="str">
        <f>TRIM(UPPER(Transaction[[#This Row],[ProductID]]))</f>
        <v>P-FS-006</v>
      </c>
      <c r="K114" t="str">
        <f>IFERROR(VLOOKUP(Transaction[[#This Row],[ProductID_Clean]],Product[],1,FALSE),"Invalid ID")</f>
        <v>P-FS-006</v>
      </c>
      <c r="L114" t="str">
        <f>TRIM(SUBSTITUTE(SUBSTITUTE(SUBSTITUTE(SUBSTITUTE(UPPER(Transaction[[#This Row],[Region]]),"EMEA REGION","EMEA"),"APAC REGION","APAC"),"NORTH AMERICA","N. AMERICA"),"N .AMERICA","N.AMERICA"))</f>
        <v>N. AMERICA</v>
      </c>
      <c r="M114" t="s">
        <v>20</v>
      </c>
      <c r="N114" t="s">
        <v>21</v>
      </c>
      <c r="O11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14" t="s">
        <v>40</v>
      </c>
      <c r="Q114" t="str">
        <f>IF(TRIM(Transaction[[#This Row],[SalesChannel]])="","Missing Value",TRIM(Transaction[[#This Row],[SalesChannel]]))</f>
        <v>Distributor</v>
      </c>
      <c r="R114" s="4">
        <v>1</v>
      </c>
      <c r="S114" s="4" t="str">
        <f>IF(Transaction[[#This Row],[Quantity]]&lt;0,"Negative-review","Valid")</f>
        <v>Valid</v>
      </c>
      <c r="T114">
        <v>1240.1099999999999</v>
      </c>
      <c r="U11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1240.1099999999999</v>
      </c>
      <c r="V114">
        <v>1450</v>
      </c>
      <c r="W114">
        <v>1450</v>
      </c>
      <c r="X11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114">
        <f>IF(Transaction[[#This Row],[GrossRevenue_Check]]="Invalid",Transaction[[#This Row],[ListPrice]]*Transaction[[#This Row],[Quantity]],Transaction[[#This Row],[GrossRevenue_Clean]])</f>
        <v>1450</v>
      </c>
      <c r="Z114" t="str">
        <f>IF(Transaction[[#This Row],[GrossRevenue_Clean]]=Transaction[[#This Row],[ListPrice]]*Transaction[[#This Row],[Quantity]],"Valid","Invalid")</f>
        <v>Valid</v>
      </c>
      <c r="AA114">
        <v>209.89</v>
      </c>
      <c r="AB11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209.89</v>
      </c>
      <c r="AC114">
        <f>IF(Transaction[[#This Row],[DiscountAmount_Check2]]="Invalid",Transaction[[#This Row],[GrossRevenue_Analytical]]-Transaction[[#This Row],[NetRevenue_Analytical]],Transaction[[#This Row],[DiscountAmount_Clean]])</f>
        <v>209.89</v>
      </c>
      <c r="AD114">
        <v>1240.1099999999999</v>
      </c>
      <c r="AE114" t="str">
        <f>IF(ROUND(Transaction[[#This Row],[GrossRevenue_Analytical]]-Transaction[[#This Row],[NetRevenue_Analytical]],2)=ROUND(Transaction[[#This Row],[DiscountAmount_Clean]],2),"Valid","Invalid")</f>
        <v>Valid</v>
      </c>
      <c r="AF11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1240.1099999999999</v>
      </c>
      <c r="AG114">
        <f>IF(Transaction[[#This Row],[NetRevenue_Check]]="Invalid",(Transaction[[#This Row],[Quantity]]*Transaction[[#This Row],[UnitPrice_Clean]]),Transaction[[#This Row],[NetRevenue_Clean]])</f>
        <v>1240.1099999999999</v>
      </c>
      <c r="AH114" t="str">
        <f>IF(Transaction[[#This Row],[Quantity]]*Transaction[[#This Row],[UnitPrice_Clean]]=Transaction[[#This Row],[NetRevenue_Clean]],"Valid","Invalid")</f>
        <v>Valid</v>
      </c>
      <c r="AI114" t="s">
        <v>23</v>
      </c>
      <c r="AJ114" t="s">
        <v>1252</v>
      </c>
      <c r="AK114" t="str">
        <f>IF(Transaction[[#This Row],[Salesperson]]="","Missing Value",TRIM(PROPER(Transaction[[#This Row],[Salesperson]])))</f>
        <v>Parsons-Em</v>
      </c>
      <c r="AL114" t="s">
        <v>42</v>
      </c>
      <c r="AM114" t="str">
        <f>IF(Transaction[[#This Row],[ContractType]]="","Missing Value",Transaction[[#This Row],[ContractType]])</f>
        <v>Standard PO</v>
      </c>
      <c r="AN114" t="s">
        <v>35</v>
      </c>
    </row>
    <row r="115" spans="1:40" x14ac:dyDescent="0.25">
      <c r="A115" t="s">
        <v>2785</v>
      </c>
      <c r="B115" s="1">
        <v>45732</v>
      </c>
      <c r="C11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1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11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5" s="2">
        <f>IFERROR(DATE(Transaction[[#This Row],[TransactionDateY]],Transaction[[#This Row],[TransactionDateM]],Transaction[[#This Row],[TransactionDateD]]),"Missing Value")</f>
        <v>45732</v>
      </c>
      <c r="G115" t="s">
        <v>345</v>
      </c>
      <c r="H115" t="str">
        <f>IFERROR(VLOOKUP(Transaction[[#This Row],[CustomerID]],Custumer[],1,0),IF(LEN(Transaction[[#This Row],[CustomerID]])=7,LEFT(Transaction[[#This Row],[CustomerID]],6),"Invalid ID"))</f>
        <v>C-1125</v>
      </c>
      <c r="I115" t="s">
        <v>97</v>
      </c>
      <c r="J115" t="str">
        <f>TRIM(UPPER(Transaction[[#This Row],[ProductID]]))</f>
        <v>P-SI-001</v>
      </c>
      <c r="K115" t="str">
        <f>IFERROR(VLOOKUP(Transaction[[#This Row],[ProductID_Clean]],Product[],1,FALSE),"Invalid ID")</f>
        <v>P-SI-001</v>
      </c>
      <c r="L115" t="str">
        <f>TRIM(SUBSTITUTE(SUBSTITUTE(SUBSTITUTE(SUBSTITUTE(UPPER(Transaction[[#This Row],[Region]]),"EMEA REGION","EMEA"),"APAC REGION","APAC"),"NORTH AMERICA","N. AMERICA"),"N .AMERICA","N.AMERICA"))</f>
        <v>N. AMERICA</v>
      </c>
      <c r="M115" t="s">
        <v>168</v>
      </c>
      <c r="N115" t="s">
        <v>53</v>
      </c>
      <c r="O11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5" t="s">
        <v>40</v>
      </c>
      <c r="Q115" t="str">
        <f>IF(TRIM(Transaction[[#This Row],[SalesChannel]])="","Missing Value",TRIM(Transaction[[#This Row],[SalesChannel]]))</f>
        <v>Distributor</v>
      </c>
      <c r="R115" s="4">
        <v>4</v>
      </c>
      <c r="S115" s="4" t="str">
        <f>IF(Transaction[[#This Row],[Quantity]]&lt;0,"Negative-review","Valid")</f>
        <v>Valid</v>
      </c>
      <c r="T115">
        <v>445.37</v>
      </c>
      <c r="U11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445.37</v>
      </c>
      <c r="V115">
        <v>485</v>
      </c>
      <c r="W115">
        <v>1940</v>
      </c>
      <c r="X11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1940</v>
      </c>
      <c r="Y115">
        <f>IF(Transaction[[#This Row],[GrossRevenue_Check]]="Invalid",Transaction[[#This Row],[ListPrice]]*Transaction[[#This Row],[Quantity]],Transaction[[#This Row],[GrossRevenue_Clean]])</f>
        <v>1940</v>
      </c>
      <c r="Z115" t="str">
        <f>IF(Transaction[[#This Row],[GrossRevenue_Clean]]=Transaction[[#This Row],[ListPrice]]*Transaction[[#This Row],[Quantity]],"Valid","Invalid")</f>
        <v>Valid</v>
      </c>
      <c r="AA115">
        <v>158.52000000000001</v>
      </c>
      <c r="AB11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158.52000000000001</v>
      </c>
      <c r="AC115">
        <f>IF(Transaction[[#This Row],[DiscountAmount_Check2]]="Invalid",Transaction[[#This Row],[GrossRevenue_Analytical]]-Transaction[[#This Row],[NetRevenue_Analytical]],Transaction[[#This Row],[DiscountAmount_Clean]])</f>
        <v>158.52000000000001</v>
      </c>
      <c r="AD115">
        <v>1781.48</v>
      </c>
      <c r="AE115" t="str">
        <f>IF(ROUND(Transaction[[#This Row],[GrossRevenue_Analytical]]-Transaction[[#This Row],[NetRevenue_Analytical]],2)=ROUND(Transaction[[#This Row],[DiscountAmount_Clean]],2),"Valid","Invalid")</f>
        <v>Valid</v>
      </c>
      <c r="AF11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1781.48</v>
      </c>
      <c r="AG115">
        <f>IF(Transaction[[#This Row],[NetRevenue_Check]]="Invalid",(Transaction[[#This Row],[Quantity]]*Transaction[[#This Row],[UnitPrice_Clean]]),Transaction[[#This Row],[NetRevenue_Clean]])</f>
        <v>1781.48</v>
      </c>
      <c r="AH115" t="str">
        <f>IF(Transaction[[#This Row],[Quantity]]*Transaction[[#This Row],[UnitPrice_Clean]]=Transaction[[#This Row],[NetRevenue_Clean]],"Valid","Invalid")</f>
        <v>Valid</v>
      </c>
      <c r="AI115" t="s">
        <v>23</v>
      </c>
      <c r="AJ115" t="s">
        <v>2786</v>
      </c>
      <c r="AK115" t="str">
        <f>IF(Transaction[[#This Row],[Salesperson]]="","Missing Value",TRIM(PROPER(Transaction[[#This Row],[Salesperson]])))</f>
        <v>Bell-Ap</v>
      </c>
      <c r="AL115" t="s">
        <v>42</v>
      </c>
      <c r="AM115" t="str">
        <f>IF(Transaction[[#This Row],[ContractType]]="","Missing Value",Transaction[[#This Row],[ContractType]])</f>
        <v>Standard PO</v>
      </c>
      <c r="AN115" t="s">
        <v>49</v>
      </c>
    </row>
    <row r="116" spans="1:40" x14ac:dyDescent="0.25">
      <c r="A116" t="s">
        <v>1274</v>
      </c>
      <c r="B116" t="s">
        <v>1275</v>
      </c>
      <c r="C11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11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11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6" s="2">
        <f>IFERROR(DATE(Transaction[[#This Row],[TransactionDateY]],Transaction[[#This Row],[TransactionDateM]],Transaction[[#This Row],[TransactionDateD]]),"Missing Value")</f>
        <v>45670</v>
      </c>
      <c r="G116" t="s">
        <v>86</v>
      </c>
      <c r="H116" t="str">
        <f>IFERROR(VLOOKUP(Transaction[[#This Row],[CustomerID]],Custumer[],1,0),IF(LEN(Transaction[[#This Row],[CustomerID]])=7,LEFT(Transaction[[#This Row],[CustomerID]],6),"Invalid ID"))</f>
        <v>C-1177</v>
      </c>
      <c r="I116" t="s">
        <v>268</v>
      </c>
      <c r="J116" t="str">
        <f>TRIM(UPPER(Transaction[[#This Row],[ProductID]]))</f>
        <v>P-FS-002</v>
      </c>
      <c r="K116" t="str">
        <f>IFERROR(VLOOKUP(Transaction[[#This Row],[ProductID_Clean]],Product[],1,FALSE),"Invalid ID")</f>
        <v>P-FS-002</v>
      </c>
      <c r="L116" t="str">
        <f>TRIM(SUBSTITUTE(SUBSTITUTE(SUBSTITUTE(SUBSTITUTE(UPPER(Transaction[[#This Row],[Region]]),"EMEA REGION","EMEA"),"APAC REGION","APAC"),"NORTH AMERICA","N. AMERICA"),"N .AMERICA","N.AMERICA"))</f>
        <v>EMEA</v>
      </c>
      <c r="M116" t="s">
        <v>76</v>
      </c>
      <c r="N116" t="s">
        <v>318</v>
      </c>
      <c r="O11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16" t="s">
        <v>40</v>
      </c>
      <c r="Q116" t="str">
        <f>IF(TRIM(Transaction[[#This Row],[SalesChannel]])="","Missing Value",TRIM(Transaction[[#This Row],[SalesChannel]]))</f>
        <v>Distributor</v>
      </c>
      <c r="R116" s="4">
        <v>-1</v>
      </c>
      <c r="S116" s="4" t="str">
        <f>IF(Transaction[[#This Row],[Quantity]]&lt;0,"Negative-review","Valid")</f>
        <v>Negative-review</v>
      </c>
      <c r="T116">
        <v>1906.42</v>
      </c>
      <c r="U11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1906.42</v>
      </c>
      <c r="V116">
        <v>2400</v>
      </c>
      <c r="W116">
        <v>2400</v>
      </c>
      <c r="X11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116">
        <f>IF(Transaction[[#This Row],[GrossRevenue_Check]]="Invalid",Transaction[[#This Row],[ListPrice]]*Transaction[[#This Row],[Quantity]],Transaction[[#This Row],[GrossRevenue_Clean]])</f>
        <v>-2400</v>
      </c>
      <c r="Z116" t="str">
        <f>IF(Transaction[[#This Row],[GrossRevenue_Clean]]=Transaction[[#This Row],[ListPrice]]*Transaction[[#This Row],[Quantity]],"Valid","Invalid")</f>
        <v>Invalid</v>
      </c>
      <c r="AA116">
        <v>493.58</v>
      </c>
      <c r="AB11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493.58</v>
      </c>
      <c r="AC116">
        <f>IF(Transaction[[#This Row],[DiscountAmount_Check2]]="Invalid",Transaction[[#This Row],[GrossRevenue_Analytical]]-Transaction[[#This Row],[NetRevenue_Analytical]],Transaction[[#This Row],[DiscountAmount_Clean]])</f>
        <v>-493.57999999999993</v>
      </c>
      <c r="AD116">
        <v>1906.42</v>
      </c>
      <c r="AE116" t="str">
        <f>IF(ROUND(Transaction[[#This Row],[GrossRevenue_Analytical]]-Transaction[[#This Row],[NetRevenue_Analytical]],2)=ROUND(Transaction[[#This Row],[DiscountAmount_Clean]],2),"Valid","Invalid")</f>
        <v>Invalid</v>
      </c>
      <c r="AF11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1906.42</v>
      </c>
      <c r="AG116">
        <f>IF(Transaction[[#This Row],[NetRevenue_Check]]="Invalid",(Transaction[[#This Row],[Quantity]]*Transaction[[#This Row],[UnitPrice_Clean]]),Transaction[[#This Row],[NetRevenue_Clean]])</f>
        <v>-1906.42</v>
      </c>
      <c r="AH116" t="str">
        <f>IF(Transaction[[#This Row],[Quantity]]*Transaction[[#This Row],[UnitPrice_Clean]]=Transaction[[#This Row],[NetRevenue_Clean]],"Valid","Invalid")</f>
        <v>Invalid</v>
      </c>
      <c r="AI116" t="s">
        <v>23</v>
      </c>
      <c r="AJ116" t="s">
        <v>607</v>
      </c>
      <c r="AK116" t="str">
        <f>IF(Transaction[[#This Row],[Salesperson]]="","Missing Value",TRIM(PROPER(Transaction[[#This Row],[Salesperson]])))</f>
        <v>Hall</v>
      </c>
      <c r="AL116" t="s">
        <v>224</v>
      </c>
      <c r="AM116" t="str">
        <f>IF(Transaction[[#This Row],[ContractType]]="","Missing Value",Transaction[[#This Row],[ContractType]])</f>
        <v>Annual</v>
      </c>
      <c r="AN116" t="s">
        <v>49</v>
      </c>
    </row>
    <row r="117" spans="1:40" x14ac:dyDescent="0.25">
      <c r="A117" t="s">
        <v>2150</v>
      </c>
      <c r="B117" s="1">
        <v>45783</v>
      </c>
      <c r="C11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1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11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7" s="2">
        <f>IFERROR(DATE(Transaction[[#This Row],[TransactionDateY]],Transaction[[#This Row],[TransactionDateM]],Transaction[[#This Row],[TransactionDateD]]),"Missing Value")</f>
        <v>45783</v>
      </c>
      <c r="G117" t="s">
        <v>1154</v>
      </c>
      <c r="H117" t="str">
        <f>IFERROR(VLOOKUP(Transaction[[#This Row],[CustomerID]],Custumer[],1,0),IF(LEN(Transaction[[#This Row],[CustomerID]])=7,LEFT(Transaction[[#This Row],[CustomerID]],6),"Invalid ID"))</f>
        <v>C-1014</v>
      </c>
      <c r="I117" t="s">
        <v>97</v>
      </c>
      <c r="J117" t="str">
        <f>TRIM(UPPER(Transaction[[#This Row],[ProductID]]))</f>
        <v>P-SI-001</v>
      </c>
      <c r="K117" t="str">
        <f>IFERROR(VLOOKUP(Transaction[[#This Row],[ProductID_Clean]],Product[],1,FALSE),"Invalid ID")</f>
        <v>P-SI-001</v>
      </c>
      <c r="L117" t="str">
        <f>TRIM(SUBSTITUTE(SUBSTITUTE(SUBSTITUTE(SUBSTITUTE(UPPER(Transaction[[#This Row],[Region]]),"EMEA REGION","EMEA"),"APAC REGION","APAC"),"NORTH AMERICA","N. AMERICA"),"N .AMERICA","N.AMERICA"))</f>
        <v>N. AMERICA</v>
      </c>
      <c r="M117" t="s">
        <v>20</v>
      </c>
      <c r="N117" t="s">
        <v>53</v>
      </c>
      <c r="O11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7" t="s">
        <v>40</v>
      </c>
      <c r="Q117" t="str">
        <f>IF(TRIM(Transaction[[#This Row],[SalesChannel]])="","Missing Value",TRIM(Transaction[[#This Row],[SalesChannel]]))</f>
        <v>Distributor</v>
      </c>
      <c r="R117" s="4">
        <v>2</v>
      </c>
      <c r="S117" s="4" t="str">
        <f>IF(Transaction[[#This Row],[Quantity]]&lt;0,"Negative-review","Valid")</f>
        <v>Valid</v>
      </c>
      <c r="T117">
        <v>403.8</v>
      </c>
      <c r="U11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403.8</v>
      </c>
      <c r="V117">
        <v>485</v>
      </c>
      <c r="W117">
        <v>970</v>
      </c>
      <c r="X11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117">
        <f>IF(Transaction[[#This Row],[GrossRevenue_Check]]="Invalid",Transaction[[#This Row],[ListPrice]]*Transaction[[#This Row],[Quantity]],Transaction[[#This Row],[GrossRevenue_Clean]])</f>
        <v>970</v>
      </c>
      <c r="Z117" t="str">
        <f>IF(Transaction[[#This Row],[GrossRevenue_Clean]]=Transaction[[#This Row],[ListPrice]]*Transaction[[#This Row],[Quantity]],"Valid","Invalid")</f>
        <v>Valid</v>
      </c>
      <c r="AA117">
        <v>162.4</v>
      </c>
      <c r="AB11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162.4</v>
      </c>
      <c r="AC117">
        <f>IF(Transaction[[#This Row],[DiscountAmount_Check2]]="Invalid",Transaction[[#This Row],[GrossRevenue_Analytical]]-Transaction[[#This Row],[NetRevenue_Analytical]],Transaction[[#This Row],[DiscountAmount_Clean]])</f>
        <v>162.4</v>
      </c>
      <c r="AD117">
        <v>807.6</v>
      </c>
      <c r="AE117" t="str">
        <f>IF(ROUND(Transaction[[#This Row],[GrossRevenue_Analytical]]-Transaction[[#This Row],[NetRevenue_Analytical]],2)=ROUND(Transaction[[#This Row],[DiscountAmount_Clean]],2),"Valid","Invalid")</f>
        <v>Valid</v>
      </c>
      <c r="AF117">
        <f>VALUE(IF(ISNUMBER(Transaction[[#This Row],[NetRevenue]]),Transaction[[#This Row],[NetRevenue]],IFERROR(IF(FIND("$",Transaction[[#This Row],[NetRevenue]])&gt;0,MID(Transaction[[#This Row],[NetRevenue]],2,10)),Transaction[[#This Row],[NetRevenue]])))</f>
        <v>807.6</v>
      </c>
      <c r="AG117">
        <f>IF(Transaction[[#This Row],[NetRevenue_Check]]="Invalid",(Transaction[[#This Row],[Quantity]]*Transaction[[#This Row],[UnitPrice_Clean]]),Transaction[[#This Row],[NetRevenue_Clean]])</f>
        <v>807.6</v>
      </c>
      <c r="AH117" t="str">
        <f>IF(Transaction[[#This Row],[Quantity]]*Transaction[[#This Row],[UnitPrice_Clean]]=Transaction[[#This Row],[NetRevenue_Clean]],"Valid","Invalid")</f>
        <v>Valid</v>
      </c>
      <c r="AI117" t="s">
        <v>23</v>
      </c>
      <c r="AJ117" t="s">
        <v>2151</v>
      </c>
      <c r="AK117" t="str">
        <f>IF(Transaction[[#This Row],[Salesperson]]="","Missing Value",TRIM(PROPER(Transaction[[#This Row],[Salesperson]])))</f>
        <v>Brewer</v>
      </c>
      <c r="AL117" t="s">
        <v>42</v>
      </c>
      <c r="AM117" t="str">
        <f>IF(Transaction[[#This Row],[ContractType]]="","Missing Value",Transaction[[#This Row],[ContractType]])</f>
        <v>Standard PO</v>
      </c>
      <c r="AN117" t="s">
        <v>35</v>
      </c>
    </row>
    <row r="118" spans="1:40" x14ac:dyDescent="0.25">
      <c r="A118" t="s">
        <v>184</v>
      </c>
      <c r="B118" t="s">
        <v>185</v>
      </c>
      <c r="C11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11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04</v>
      </c>
      <c r="E11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8" s="2">
        <f>IFERROR(DATE(Transaction[[#This Row],[TransactionDateY]],Transaction[[#This Row],[TransactionDateM]],Transaction[[#This Row],[TransactionDateD]]),"Missing Value")</f>
        <v>45661</v>
      </c>
      <c r="G118" t="s">
        <v>186</v>
      </c>
      <c r="H118" t="str">
        <f>IFERROR(VLOOKUP(Transaction[[#This Row],[CustomerID]],Custumer[],1,0),IF(LEN(Transaction[[#This Row],[CustomerID]])=7,LEFT(Transaction[[#This Row],[CustomerID]],6),"Invalid ID"))</f>
        <v>C-1063</v>
      </c>
      <c r="I118" t="s">
        <v>46</v>
      </c>
      <c r="J118" t="str">
        <f>TRIM(UPPER(Transaction[[#This Row],[ProductID]]))</f>
        <v>P-SI-006</v>
      </c>
      <c r="K118" t="str">
        <f>IFERROR(VLOOKUP(Transaction[[#This Row],[ProductID_Clean]],Product[],1,FALSE),"Invalid ID")</f>
        <v>P-SI-006</v>
      </c>
      <c r="L118" t="str">
        <f>TRIM(SUBSTITUTE(SUBSTITUTE(SUBSTITUTE(SUBSTITUTE(UPPER(Transaction[[#This Row],[Region]]),"EMEA REGION","EMEA"),"APAC REGION","APAC"),"NORTH AMERICA","N. AMERICA"),"N .AMERICA","N.AMERICA"))</f>
        <v>N. AMERICA</v>
      </c>
      <c r="M118" t="s">
        <v>20</v>
      </c>
      <c r="N118" t="s">
        <v>53</v>
      </c>
      <c r="O11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8" t="s">
        <v>40</v>
      </c>
      <c r="Q118" t="str">
        <f>IF(TRIM(Transaction[[#This Row],[SalesChannel]])="","Missing Value",TRIM(Transaction[[#This Row],[SalesChannel]]))</f>
        <v>Distributor</v>
      </c>
      <c r="R118" s="4">
        <v>1</v>
      </c>
      <c r="S118" s="4" t="str">
        <f>IF(Transaction[[#This Row],[Quantity]]&lt;0,"Negative-review","Valid")</f>
        <v>Valid</v>
      </c>
      <c r="T118">
        <v>150.41999999999999</v>
      </c>
      <c r="U11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150.41999999999999</v>
      </c>
      <c r="V118">
        <v>215</v>
      </c>
      <c r="W118">
        <v>215</v>
      </c>
      <c r="X11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118">
        <f>IF(Transaction[[#This Row],[GrossRevenue_Check]]="Invalid",Transaction[[#This Row],[ListPrice]]*Transaction[[#This Row],[Quantity]],Transaction[[#This Row],[GrossRevenue_Clean]])</f>
        <v>215</v>
      </c>
      <c r="Z118" t="str">
        <f>IF(Transaction[[#This Row],[GrossRevenue_Clean]]=Transaction[[#This Row],[ListPrice]]*Transaction[[#This Row],[Quantity]],"Valid","Invalid")</f>
        <v>Valid</v>
      </c>
      <c r="AA118">
        <v>64.58</v>
      </c>
      <c r="AB11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64.58</v>
      </c>
      <c r="AC118">
        <f>IF(Transaction[[#This Row],[DiscountAmount_Check2]]="Invalid",Transaction[[#This Row],[GrossRevenue_Analytical]]-Transaction[[#This Row],[NetRevenue_Analytical]],Transaction[[#This Row],[DiscountAmount_Clean]])</f>
        <v>64.58</v>
      </c>
      <c r="AD118">
        <v>150.41999999999999</v>
      </c>
      <c r="AE118" t="str">
        <f>IF(ROUND(Transaction[[#This Row],[GrossRevenue_Analytical]]-Transaction[[#This Row],[NetRevenue_Analytical]],2)=ROUND(Transaction[[#This Row],[DiscountAmount_Clean]],2),"Valid","Invalid")</f>
        <v>Valid</v>
      </c>
      <c r="AF11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150.41999999999999</v>
      </c>
      <c r="AG118">
        <f>IF(Transaction[[#This Row],[NetRevenue_Check]]="Invalid",(Transaction[[#This Row],[Quantity]]*Transaction[[#This Row],[UnitPrice_Clean]]),Transaction[[#This Row],[NetRevenue_Clean]])</f>
        <v>150.41999999999999</v>
      </c>
      <c r="AH118" t="str">
        <f>IF(Transaction[[#This Row],[Quantity]]*Transaction[[#This Row],[UnitPrice_Clean]]=Transaction[[#This Row],[NetRevenue_Clean]],"Valid","Invalid")</f>
        <v>Valid</v>
      </c>
      <c r="AI118" t="s">
        <v>23</v>
      </c>
      <c r="AJ118" t="s">
        <v>187</v>
      </c>
      <c r="AK118" t="str">
        <f>IF(Transaction[[#This Row],[Salesperson]]="","Missing Value",TRIM(PROPER(Transaction[[#This Row],[Salesperson]])))</f>
        <v>Hernandez-Em</v>
      </c>
      <c r="AL118" t="s">
        <v>25</v>
      </c>
      <c r="AM118" t="str">
        <f>IF(Transaction[[#This Row],[ContractType]]="","Missing Value",Transaction[[#This Row],[ContractType]])</f>
        <v>Frame Agreement</v>
      </c>
      <c r="AN118" t="s">
        <v>43</v>
      </c>
    </row>
    <row r="119" spans="1:40" x14ac:dyDescent="0.25">
      <c r="A119" t="s">
        <v>2383</v>
      </c>
      <c r="B119" s="1">
        <v>45730</v>
      </c>
      <c r="C11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1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11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9" s="2">
        <f>IFERROR(DATE(Transaction[[#This Row],[TransactionDateY]],Transaction[[#This Row],[TransactionDateM]],Transaction[[#This Row],[TransactionDateD]]),"Missing Value")</f>
        <v>45730</v>
      </c>
      <c r="G119" t="s">
        <v>1143</v>
      </c>
      <c r="H119" t="str">
        <f>IFERROR(VLOOKUP(Transaction[[#This Row],[CustomerID]],Custumer[],1,0),IF(LEN(Transaction[[#This Row],[CustomerID]])=7,LEFT(Transaction[[#This Row],[CustomerID]],6),"Invalid ID"))</f>
        <v>C-1114</v>
      </c>
      <c r="I119" t="s">
        <v>2384</v>
      </c>
      <c r="J119" t="str">
        <f>TRIM(UPPER(Transaction[[#This Row],[ProductID]]))</f>
        <v>P-SA-004</v>
      </c>
      <c r="K119" t="str">
        <f>IFERROR(VLOOKUP(Transaction[[#This Row],[ProductID_Clean]],Product[],1,FALSE),"Invalid ID")</f>
        <v>P-SA-004</v>
      </c>
      <c r="L119" t="str">
        <f>TRIM(SUBSTITUTE(SUBSTITUTE(SUBSTITUTE(SUBSTITUTE(UPPER(Transaction[[#This Row],[Region]]),"EMEA REGION","EMEA"),"APAC REGION","APAC"),"NORTH AMERICA","N. AMERICA"),"N .AMERICA","N.AMERICA"))</f>
        <v>N. AMERICA</v>
      </c>
      <c r="M119" t="s">
        <v>20</v>
      </c>
      <c r="N119" t="s">
        <v>31</v>
      </c>
      <c r="O11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9" t="s">
        <v>40</v>
      </c>
      <c r="Q119" t="str">
        <f>IF(TRIM(Transaction[[#This Row],[SalesChannel]])="","Missing Value",TRIM(Transaction[[#This Row],[SalesChannel]]))</f>
        <v>Distributor</v>
      </c>
      <c r="R119" s="4">
        <v>1</v>
      </c>
      <c r="S119" s="4" t="str">
        <f>IF(Transaction[[#This Row],[Quantity]]&lt;0,"Negative-review","Valid")</f>
        <v>Valid</v>
      </c>
      <c r="T119">
        <v>1473.28</v>
      </c>
      <c r="U11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1473.28</v>
      </c>
      <c r="V119">
        <v>1650</v>
      </c>
      <c r="W119">
        <v>1650</v>
      </c>
      <c r="X11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19">
        <f>IF(Transaction[[#This Row],[GrossRevenue_Check]]="Invalid",Transaction[[#This Row],[ListPrice]]*Transaction[[#This Row],[Quantity]],Transaction[[#This Row],[GrossRevenue_Clean]])</f>
        <v>1650</v>
      </c>
      <c r="Z119" t="str">
        <f>IF(Transaction[[#This Row],[GrossRevenue_Clean]]=Transaction[[#This Row],[ListPrice]]*Transaction[[#This Row],[Quantity]],"Valid","Invalid")</f>
        <v>Valid</v>
      </c>
      <c r="AA119">
        <v>176.72</v>
      </c>
      <c r="AB11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176.72</v>
      </c>
      <c r="AC119">
        <f>IF(Transaction[[#This Row],[DiscountAmount_Check2]]="Invalid",Transaction[[#This Row],[GrossRevenue_Analytical]]-Transaction[[#This Row],[NetRevenue_Analytical]],Transaction[[#This Row],[DiscountAmount_Clean]])</f>
        <v>176.72</v>
      </c>
      <c r="AD119">
        <v>1473.28</v>
      </c>
      <c r="AE119" t="str">
        <f>IF(ROUND(Transaction[[#This Row],[GrossRevenue_Analytical]]-Transaction[[#This Row],[NetRevenue_Analytical]],2)=ROUND(Transaction[[#This Row],[DiscountAmount_Clean]],2),"Valid","Invalid")</f>
        <v>Valid</v>
      </c>
      <c r="AF11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1473.28</v>
      </c>
      <c r="AG119">
        <f>IF(Transaction[[#This Row],[NetRevenue_Check]]="Invalid",(Transaction[[#This Row],[Quantity]]*Transaction[[#This Row],[UnitPrice_Clean]]),Transaction[[#This Row],[NetRevenue_Clean]])</f>
        <v>1473.28</v>
      </c>
      <c r="AH119" t="str">
        <f>IF(Transaction[[#This Row],[Quantity]]*Transaction[[#This Row],[UnitPrice_Clean]]=Transaction[[#This Row],[NetRevenue_Clean]],"Valid","Invalid")</f>
        <v>Valid</v>
      </c>
      <c r="AI119" t="s">
        <v>23</v>
      </c>
      <c r="AJ119" t="s">
        <v>2385</v>
      </c>
      <c r="AK119" t="str">
        <f>IF(Transaction[[#This Row],[Salesperson]]="","Missing Value",TRIM(PROPER(Transaction[[#This Row],[Salesperson]])))</f>
        <v>Garcia-Na</v>
      </c>
      <c r="AL119" t="s">
        <v>210</v>
      </c>
      <c r="AM119" t="str">
        <f>IF(Transaction[[#This Row],[ContractType]]="","Missing Value",Transaction[[#This Row],[ContractType]])</f>
        <v>Perpetual</v>
      </c>
      <c r="AN119" t="s">
        <v>35</v>
      </c>
    </row>
    <row r="120" spans="1:40" x14ac:dyDescent="0.25">
      <c r="A120" t="s">
        <v>2353</v>
      </c>
      <c r="B120" s="1">
        <v>45780</v>
      </c>
      <c r="C12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2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12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0" s="2">
        <f>IFERROR(DATE(Transaction[[#This Row],[TransactionDateY]],Transaction[[#This Row],[TransactionDateM]],Transaction[[#This Row],[TransactionDateD]]),"Missing Value")</f>
        <v>45780</v>
      </c>
      <c r="G120" t="s">
        <v>360</v>
      </c>
      <c r="H120" t="str">
        <f>IFERROR(VLOOKUP(Transaction[[#This Row],[CustomerID]],Custumer[],1,0),IF(LEN(Transaction[[#This Row],[CustomerID]])=7,LEFT(Transaction[[#This Row],[CustomerID]],6),"Invalid ID"))</f>
        <v>C-1067</v>
      </c>
      <c r="I120" t="s">
        <v>1290</v>
      </c>
      <c r="J120" t="str">
        <f>TRIM(UPPER(Transaction[[#This Row],[ProductID]]))</f>
        <v>P-SI-005</v>
      </c>
      <c r="K120" t="str">
        <f>IFERROR(VLOOKUP(Transaction[[#This Row],[ProductID_Clean]],Product[],1,FALSE),"Invalid ID")</f>
        <v>P-SI-005</v>
      </c>
      <c r="L120" t="str">
        <f>TRIM(SUBSTITUTE(SUBSTITUTE(SUBSTITUTE(SUBSTITUTE(UPPER(Transaction[[#This Row],[Region]]),"EMEA REGION","EMEA"),"APAC REGION","APAC"),"NORTH AMERICA","N. AMERICA"),"N .AMERICA","N.AMERICA"))</f>
        <v>APAC</v>
      </c>
      <c r="M120" t="s">
        <v>30</v>
      </c>
      <c r="N120" t="s">
        <v>53</v>
      </c>
      <c r="O12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0" t="s">
        <v>173</v>
      </c>
      <c r="Q120" t="str">
        <f>IF(TRIM(Transaction[[#This Row],[SalesChannel]])="","Missing Value",TRIM(Transaction[[#This Row],[SalesChannel]]))</f>
        <v>Distributor</v>
      </c>
      <c r="R120" s="4">
        <v>1</v>
      </c>
      <c r="S120" s="4" t="str">
        <f>IF(Transaction[[#This Row],[Quantity]]&lt;0,"Negative-review","Valid")</f>
        <v>Valid</v>
      </c>
      <c r="T120">
        <v>884.8</v>
      </c>
      <c r="U12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884.8</v>
      </c>
      <c r="V120">
        <v>1120</v>
      </c>
      <c r="W120">
        <v>1120</v>
      </c>
      <c r="X12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1120</v>
      </c>
      <c r="Y120">
        <f>IF(Transaction[[#This Row],[GrossRevenue_Check]]="Invalid",Transaction[[#This Row],[ListPrice]]*Transaction[[#This Row],[Quantity]],Transaction[[#This Row],[GrossRevenue_Clean]])</f>
        <v>1120</v>
      </c>
      <c r="Z120" t="str">
        <f>IF(Transaction[[#This Row],[GrossRevenue_Clean]]=Transaction[[#This Row],[ListPrice]]*Transaction[[#This Row],[Quantity]],"Valid","Invalid")</f>
        <v>Valid</v>
      </c>
      <c r="AA120">
        <v>235.2</v>
      </c>
      <c r="AB12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235.2</v>
      </c>
      <c r="AC120">
        <f>IF(Transaction[[#This Row],[DiscountAmount_Check2]]="Invalid",Transaction[[#This Row],[GrossRevenue_Analytical]]-Transaction[[#This Row],[NetRevenue_Analytical]],Transaction[[#This Row],[DiscountAmount_Clean]])</f>
        <v>235.2</v>
      </c>
      <c r="AD120">
        <v>884.8</v>
      </c>
      <c r="AE120" t="str">
        <f>IF(ROUND(Transaction[[#This Row],[GrossRevenue_Analytical]]-Transaction[[#This Row],[NetRevenue_Analytical]],2)=ROUND(Transaction[[#This Row],[DiscountAmount_Clean]],2),"Valid","Invalid")</f>
        <v>Valid</v>
      </c>
      <c r="AF120">
        <f>VALUE(IF(ISNUMBER(Transaction[[#This Row],[NetRevenue]]),Transaction[[#This Row],[NetRevenue]],IFERROR(IF(FIND("$",Transaction[[#This Row],[NetRevenue]])&gt;0,MID(Transaction[[#This Row],[NetRevenue]],2,10)),Transaction[[#This Row],[NetRevenue]])))</f>
        <v>884.8</v>
      </c>
      <c r="AG120">
        <f>IF(Transaction[[#This Row],[NetRevenue_Check]]="Invalid",(Transaction[[#This Row],[Quantity]]*Transaction[[#This Row],[UnitPrice_Clean]]),Transaction[[#This Row],[NetRevenue_Clean]])</f>
        <v>884.8</v>
      </c>
      <c r="AH120" t="str">
        <f>IF(Transaction[[#This Row],[Quantity]]*Transaction[[#This Row],[UnitPrice_Clean]]=Transaction[[#This Row],[NetRevenue_Clean]],"Valid","Invalid")</f>
        <v>Valid</v>
      </c>
      <c r="AI120" t="s">
        <v>23</v>
      </c>
      <c r="AJ120" t="s">
        <v>2354</v>
      </c>
      <c r="AK120" t="str">
        <f>IF(Transaction[[#This Row],[Salesperson]]="","Missing Value",TRIM(PROPER(Transaction[[#This Row],[Salesperson]])))</f>
        <v>Scott-Na</v>
      </c>
      <c r="AL120" t="s">
        <v>55</v>
      </c>
      <c r="AM120" t="str">
        <f>IF(Transaction[[#This Row],[ContractType]]="","Missing Value",Transaction[[#This Row],[ContractType]])</f>
        <v>Spot</v>
      </c>
      <c r="AN120" t="s">
        <v>43</v>
      </c>
    </row>
    <row r="121" spans="1:40" x14ac:dyDescent="0.25">
      <c r="A121" t="s">
        <v>2401</v>
      </c>
      <c r="B121" s="1">
        <v>45722</v>
      </c>
      <c r="C12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2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12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1" s="2">
        <f>IFERROR(DATE(Transaction[[#This Row],[TransactionDateY]],Transaction[[#This Row],[TransactionDateM]],Transaction[[#This Row],[TransactionDateD]]),"Missing Value")</f>
        <v>45722</v>
      </c>
      <c r="G121" t="s">
        <v>494</v>
      </c>
      <c r="H121" t="str">
        <f>IFERROR(VLOOKUP(Transaction[[#This Row],[CustomerID]],Custumer[],1,0),IF(LEN(Transaction[[#This Row],[CustomerID]])=7,LEFT(Transaction[[#This Row],[CustomerID]],6),"Invalid ID"))</f>
        <v>C-1132</v>
      </c>
      <c r="I121" t="s">
        <v>117</v>
      </c>
      <c r="J121" t="str">
        <f>TRIM(UPPER(Transaction[[#This Row],[ProductID]]))</f>
        <v>P-SI-007</v>
      </c>
      <c r="K121" t="str">
        <f>IFERROR(VLOOKUP(Transaction[[#This Row],[ProductID_Clean]],Product[],1,FALSE),"Invalid ID")</f>
        <v>P-SI-007</v>
      </c>
      <c r="L121" t="str">
        <f>TRIM(SUBSTITUTE(SUBSTITUTE(SUBSTITUTE(SUBSTITUTE(UPPER(Transaction[[#This Row],[Region]]),"EMEA REGION","EMEA"),"APAC REGION","APAC"),"NORTH AMERICA","N. AMERICA"),"N .AMERICA","N.AMERICA"))</f>
        <v>N. AMERICA</v>
      </c>
      <c r="M121" t="s">
        <v>204</v>
      </c>
      <c r="N121" t="s">
        <v>53</v>
      </c>
      <c r="O12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1" t="s">
        <v>40</v>
      </c>
      <c r="Q121" t="str">
        <f>IF(TRIM(Transaction[[#This Row],[SalesChannel]])="","Missing Value",TRIM(Transaction[[#This Row],[SalesChannel]]))</f>
        <v>Distributor</v>
      </c>
      <c r="R121" s="4">
        <v>2</v>
      </c>
      <c r="S121" s="4" t="str">
        <f>IF(Transaction[[#This Row],[Quantity]]&lt;0,"Negative-review","Valid")</f>
        <v>Valid</v>
      </c>
      <c r="T121">
        <v>866.71</v>
      </c>
      <c r="U12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866.71</v>
      </c>
      <c r="V121">
        <v>980</v>
      </c>
      <c r="W121">
        <v>1960</v>
      </c>
      <c r="X12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</v>
      </c>
      <c r="Y121">
        <f>IF(Transaction[[#This Row],[GrossRevenue_Check]]="Invalid",Transaction[[#This Row],[ListPrice]]*Transaction[[#This Row],[Quantity]],Transaction[[#This Row],[GrossRevenue_Clean]])</f>
        <v>1960</v>
      </c>
      <c r="Z121" t="str">
        <f>IF(Transaction[[#This Row],[GrossRevenue_Clean]]=Transaction[[#This Row],[ListPrice]]*Transaction[[#This Row],[Quantity]],"Valid","Invalid")</f>
        <v>Valid</v>
      </c>
      <c r="AA121">
        <v>226.58</v>
      </c>
      <c r="AB12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226.58</v>
      </c>
      <c r="AC121">
        <f>IF(Transaction[[#This Row],[DiscountAmount_Check2]]="Invalid",Transaction[[#This Row],[GrossRevenue_Analytical]]-Transaction[[#This Row],[NetRevenue_Analytical]],Transaction[[#This Row],[DiscountAmount_Clean]])</f>
        <v>226.58</v>
      </c>
      <c r="AD121">
        <v>1733.42</v>
      </c>
      <c r="AE121" t="str">
        <f>IF(ROUND(Transaction[[#This Row],[GrossRevenue_Analytical]]-Transaction[[#This Row],[NetRevenue_Analytical]],2)=ROUND(Transaction[[#This Row],[DiscountAmount_Clean]],2),"Valid","Invalid")</f>
        <v>Valid</v>
      </c>
      <c r="AF12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1733.42</v>
      </c>
      <c r="AG121">
        <f>IF(Transaction[[#This Row],[NetRevenue_Check]]="Invalid",(Transaction[[#This Row],[Quantity]]*Transaction[[#This Row],[UnitPrice_Clean]]),Transaction[[#This Row],[NetRevenue_Clean]])</f>
        <v>1733.42</v>
      </c>
      <c r="AH121" t="str">
        <f>IF(Transaction[[#This Row],[Quantity]]*Transaction[[#This Row],[UnitPrice_Clean]]=Transaction[[#This Row],[NetRevenue_Clean]],"Valid","Invalid")</f>
        <v>Valid</v>
      </c>
      <c r="AI121" t="s">
        <v>23</v>
      </c>
      <c r="AJ121" t="s">
        <v>2035</v>
      </c>
      <c r="AK121" t="str">
        <f>IF(Transaction[[#This Row],[Salesperson]]="","Missing Value",TRIM(PROPER(Transaction[[#This Row],[Salesperson]])))</f>
        <v>Hernandez-Na</v>
      </c>
      <c r="AL121" t="s">
        <v>42</v>
      </c>
      <c r="AM121" t="str">
        <f>IF(Transaction[[#This Row],[ContractType]]="","Missing Value",Transaction[[#This Row],[ContractType]])</f>
        <v>Standard PO</v>
      </c>
      <c r="AN121" t="s">
        <v>49</v>
      </c>
    </row>
    <row r="122" spans="1:40" x14ac:dyDescent="0.25">
      <c r="A122" t="s">
        <v>1480</v>
      </c>
      <c r="B122" t="s">
        <v>1222</v>
      </c>
      <c r="C12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12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12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2" s="2">
        <f>IFERROR(DATE(Transaction[[#This Row],[TransactionDateY]],Transaction[[#This Row],[TransactionDateM]],Transaction[[#This Row],[TransactionDateD]]),"Missing Value")</f>
        <v>45687</v>
      </c>
      <c r="G122" t="s">
        <v>267</v>
      </c>
      <c r="H122" t="str">
        <f>IFERROR(VLOOKUP(Transaction[[#This Row],[CustomerID]],Custumer[],1,0),IF(LEN(Transaction[[#This Row],[CustomerID]])=7,LEFT(Transaction[[#This Row],[CustomerID]],6),"Invalid ID"))</f>
        <v>C-1119</v>
      </c>
      <c r="I122" t="s">
        <v>103</v>
      </c>
      <c r="J122" t="str">
        <f>TRIM(UPPER(Transaction[[#This Row],[ProductID]]))</f>
        <v>P-FS-005</v>
      </c>
      <c r="K122" t="str">
        <f>IFERROR(VLOOKUP(Transaction[[#This Row],[ProductID_Clean]],Product[],1,FALSE),"Invalid ID")</f>
        <v>P-FS-005</v>
      </c>
      <c r="L122" t="str">
        <f>TRIM(SUBSTITUTE(SUBSTITUTE(SUBSTITUTE(SUBSTITUTE(UPPER(Transaction[[#This Row],[Region]]),"EMEA REGION","EMEA"),"APAC REGION","APAC"),"NORTH AMERICA","N. AMERICA"),"N .AMERICA","N.AMERICA"))</f>
        <v>EMEA</v>
      </c>
      <c r="M122" t="s">
        <v>76</v>
      </c>
      <c r="N122" t="s">
        <v>21</v>
      </c>
      <c r="O122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22" t="s">
        <v>22</v>
      </c>
      <c r="Q122" t="str">
        <f>IF(TRIM(Transaction[[#This Row],[SalesChannel]])="","Missing Value",TRIM(Transaction[[#This Row],[SalesChannel]]))</f>
        <v>Direct</v>
      </c>
      <c r="R122" s="4">
        <v>1</v>
      </c>
      <c r="S122" s="4" t="str">
        <f>IF(Transaction[[#This Row],[Quantity]]&lt;0,"Negative-review","Valid")</f>
        <v>Valid</v>
      </c>
      <c r="T122">
        <v>842.56</v>
      </c>
      <c r="U12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842.56</v>
      </c>
      <c r="V122">
        <v>950</v>
      </c>
      <c r="W122">
        <v>950</v>
      </c>
      <c r="X12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122">
        <f>IF(Transaction[[#This Row],[GrossRevenue_Check]]="Invalid",Transaction[[#This Row],[ListPrice]]*Transaction[[#This Row],[Quantity]],Transaction[[#This Row],[GrossRevenue_Clean]])</f>
        <v>950</v>
      </c>
      <c r="Z122" t="str">
        <f>IF(Transaction[[#This Row],[GrossRevenue_Clean]]=Transaction[[#This Row],[ListPrice]]*Transaction[[#This Row],[Quantity]],"Valid","Invalid")</f>
        <v>Valid</v>
      </c>
      <c r="AA122">
        <v>107.44</v>
      </c>
      <c r="AB12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107.44</v>
      </c>
      <c r="AC122">
        <f>IF(Transaction[[#This Row],[DiscountAmount_Check2]]="Invalid",Transaction[[#This Row],[GrossRevenue_Analytical]]-Transaction[[#This Row],[NetRevenue_Analytical]],Transaction[[#This Row],[DiscountAmount_Clean]])</f>
        <v>107.44</v>
      </c>
      <c r="AD122">
        <v>842.56</v>
      </c>
      <c r="AE122" t="str">
        <f>IF(ROUND(Transaction[[#This Row],[GrossRevenue_Analytical]]-Transaction[[#This Row],[NetRevenue_Analytical]],2)=ROUND(Transaction[[#This Row],[DiscountAmount_Clean]],2),"Valid","Invalid")</f>
        <v>Valid</v>
      </c>
      <c r="AF122">
        <f>VALUE(IF(ISNUMBER(Transaction[[#This Row],[NetRevenue]]),Transaction[[#This Row],[NetRevenue]],IFERROR(IF(FIND("$",Transaction[[#This Row],[NetRevenue]])&gt;0,MID(Transaction[[#This Row],[NetRevenue]],2,10)),Transaction[[#This Row],[NetRevenue]])))</f>
        <v>842.56</v>
      </c>
      <c r="AG122">
        <f>IF(Transaction[[#This Row],[NetRevenue_Check]]="Invalid",(Transaction[[#This Row],[Quantity]]*Transaction[[#This Row],[UnitPrice_Clean]]),Transaction[[#This Row],[NetRevenue_Clean]])</f>
        <v>842.56</v>
      </c>
      <c r="AH122" t="str">
        <f>IF(Transaction[[#This Row],[Quantity]]*Transaction[[#This Row],[UnitPrice_Clean]]=Transaction[[#This Row],[NetRevenue_Clean]],"Valid","Invalid")</f>
        <v>Valid</v>
      </c>
      <c r="AI122" t="s">
        <v>23</v>
      </c>
      <c r="AJ122" t="s">
        <v>1481</v>
      </c>
      <c r="AK122" t="str">
        <f>IF(Transaction[[#This Row],[Salesperson]]="","Missing Value",TRIM(PROPER(Transaction[[#This Row],[Salesperson]])))</f>
        <v>Malone-Na</v>
      </c>
      <c r="AL122" t="s">
        <v>55</v>
      </c>
      <c r="AM122" t="str">
        <f>IF(Transaction[[#This Row],[ContractType]]="","Missing Value",Transaction[[#This Row],[ContractType]])</f>
        <v>Spot</v>
      </c>
      <c r="AN122" t="s">
        <v>49</v>
      </c>
    </row>
    <row r="123" spans="1:40" x14ac:dyDescent="0.25">
      <c r="A123" t="s">
        <v>3082</v>
      </c>
      <c r="B123" s="1">
        <v>45783</v>
      </c>
      <c r="C12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2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12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3" s="2">
        <f>IFERROR(DATE(Transaction[[#This Row],[TransactionDateY]],Transaction[[#This Row],[TransactionDateM]],Transaction[[#This Row],[TransactionDateD]]),"Missing Value")</f>
        <v>45783</v>
      </c>
      <c r="G123" t="s">
        <v>652</v>
      </c>
      <c r="H123" t="str">
        <f>IFERROR(VLOOKUP(Transaction[[#This Row],[CustomerID]],Custumer[],1,0),IF(LEN(Transaction[[#This Row],[CustomerID]])=7,LEFT(Transaction[[#This Row],[CustomerID]],6),"Invalid ID"))</f>
        <v>C-1049</v>
      </c>
      <c r="I123" t="s">
        <v>258</v>
      </c>
      <c r="J123" t="str">
        <f>TRIM(UPPER(Transaction[[#This Row],[ProductID]]))</f>
        <v>P-SA-003</v>
      </c>
      <c r="K123" t="str">
        <f>IFERROR(VLOOKUP(Transaction[[#This Row],[ProductID_Clean]],Product[],1,FALSE),"Invalid ID")</f>
        <v>P-SA-003</v>
      </c>
      <c r="L123" t="str">
        <f>TRIM(SUBSTITUTE(SUBSTITUTE(SUBSTITUTE(SUBSTITUTE(UPPER(Transaction[[#This Row],[Region]]),"EMEA REGION","EMEA"),"APAC REGION","APAC"),"NORTH AMERICA","N. AMERICA"),"N .AMERICA","N.AMERICA"))</f>
        <v>LATIN AMERICA</v>
      </c>
      <c r="M123" t="s">
        <v>82</v>
      </c>
      <c r="N123" t="s">
        <v>205</v>
      </c>
      <c r="O12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3" t="s">
        <v>22</v>
      </c>
      <c r="Q123" t="str">
        <f>IF(TRIM(Transaction[[#This Row],[SalesChannel]])="","Missing Value",TRIM(Transaction[[#This Row],[SalesChannel]]))</f>
        <v>Direct</v>
      </c>
      <c r="R123" s="4">
        <v>1</v>
      </c>
      <c r="S123" s="4" t="str">
        <f>IF(Transaction[[#This Row],[Quantity]]&lt;0,"Negative-review","Valid")</f>
        <v>Valid</v>
      </c>
      <c r="T123">
        <v>2398.09</v>
      </c>
      <c r="U12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2398.09</v>
      </c>
      <c r="V123">
        <v>2750</v>
      </c>
      <c r="W123">
        <v>2750</v>
      </c>
      <c r="X12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123">
        <f>IF(Transaction[[#This Row],[GrossRevenue_Check]]="Invalid",Transaction[[#This Row],[ListPrice]]*Transaction[[#This Row],[Quantity]],Transaction[[#This Row],[GrossRevenue_Clean]])</f>
        <v>2750</v>
      </c>
      <c r="Z123" t="str">
        <f>IF(Transaction[[#This Row],[GrossRevenue_Clean]]=Transaction[[#This Row],[ListPrice]]*Transaction[[#This Row],[Quantity]],"Valid","Invalid")</f>
        <v>Valid</v>
      </c>
      <c r="AA123">
        <v>351.91</v>
      </c>
      <c r="AB12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351.91</v>
      </c>
      <c r="AC123">
        <f>IF(Transaction[[#This Row],[DiscountAmount_Check2]]="Invalid",Transaction[[#This Row],[GrossRevenue_Analytical]]-Transaction[[#This Row],[NetRevenue_Analytical]],Transaction[[#This Row],[DiscountAmount_Clean]])</f>
        <v>351.91</v>
      </c>
      <c r="AD123">
        <v>2398.09</v>
      </c>
      <c r="AE123" t="str">
        <f>IF(ROUND(Transaction[[#This Row],[GrossRevenue_Analytical]]-Transaction[[#This Row],[NetRevenue_Analytical]],2)=ROUND(Transaction[[#This Row],[DiscountAmount_Clean]],2),"Valid","Invalid")</f>
        <v>Valid</v>
      </c>
      <c r="AF123">
        <f>VALUE(IF(ISNUMBER(Transaction[[#This Row],[NetRevenue]]),Transaction[[#This Row],[NetRevenue]],IFERROR(IF(FIND("$",Transaction[[#This Row],[NetRevenue]])&gt;0,MID(Transaction[[#This Row],[NetRevenue]],2,10)),Transaction[[#This Row],[NetRevenue]])))</f>
        <v>2398.09</v>
      </c>
      <c r="AG123">
        <f>IF(Transaction[[#This Row],[NetRevenue_Check]]="Invalid",(Transaction[[#This Row],[Quantity]]*Transaction[[#This Row],[UnitPrice_Clean]]),Transaction[[#This Row],[NetRevenue_Clean]])</f>
        <v>2398.09</v>
      </c>
      <c r="AH123" t="str">
        <f>IF(Transaction[[#This Row],[Quantity]]*Transaction[[#This Row],[UnitPrice_Clean]]=Transaction[[#This Row],[NetRevenue_Clean]],"Valid","Invalid")</f>
        <v>Valid</v>
      </c>
      <c r="AI123" t="s">
        <v>99</v>
      </c>
      <c r="AJ123" t="s">
        <v>655</v>
      </c>
      <c r="AK123" t="str">
        <f>IF(Transaction[[#This Row],[Salesperson]]="","Missing Value",TRIM(PROPER(Transaction[[#This Row],[Salesperson]])))</f>
        <v>Jones</v>
      </c>
      <c r="AL123" t="s">
        <v>34</v>
      </c>
      <c r="AM123" t="str">
        <f>IF(Transaction[[#This Row],[ContractType]]="","Missing Value",Transaction[[#This Row],[ContractType]])</f>
        <v>Annual License</v>
      </c>
      <c r="AN123" t="s">
        <v>65</v>
      </c>
    </row>
    <row r="124" spans="1:40" x14ac:dyDescent="0.25">
      <c r="A124" t="s">
        <v>2762</v>
      </c>
      <c r="B124" t="s">
        <v>2763</v>
      </c>
      <c r="C12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2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12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4" s="2">
        <f>IFERROR(DATE(Transaction[[#This Row],[TransactionDateY]],Transaction[[#This Row],[TransactionDateM]],Transaction[[#This Row],[TransactionDateD]]),"Missing Value")</f>
        <v>45805</v>
      </c>
      <c r="G124" t="s">
        <v>367</v>
      </c>
      <c r="H124" t="str">
        <f>IFERROR(VLOOKUP(Transaction[[#This Row],[CustomerID]],Custumer[],1,0),IF(LEN(Transaction[[#This Row],[CustomerID]])=7,LEFT(Transaction[[#This Row],[CustomerID]],6),"Invalid ID"))</f>
        <v>C-1024</v>
      </c>
      <c r="I124" t="s">
        <v>117</v>
      </c>
      <c r="J124" t="str">
        <f>TRIM(UPPER(Transaction[[#This Row],[ProductID]]))</f>
        <v>P-SI-007</v>
      </c>
      <c r="K124" t="str">
        <f>IFERROR(VLOOKUP(Transaction[[#This Row],[ProductID_Clean]],Product[],1,FALSE),"Invalid ID")</f>
        <v>P-SI-007</v>
      </c>
      <c r="L124" t="str">
        <f>TRIM(SUBSTITUTE(SUBSTITUTE(SUBSTITUTE(SUBSTITUTE(UPPER(Transaction[[#This Row],[Region]]),"EMEA REGION","EMEA"),"APAC REGION","APAC"),"NORTH AMERICA","N. AMERICA"),"N .AMERICA","N.AMERICA"))</f>
        <v>APAC</v>
      </c>
      <c r="M124" t="s">
        <v>30</v>
      </c>
      <c r="N124" t="s">
        <v>53</v>
      </c>
      <c r="O12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4" t="s">
        <v>181</v>
      </c>
      <c r="Q124" t="str">
        <f>IF(TRIM(Transaction[[#This Row],[SalesChannel]])="","Missing Value",TRIM(Transaction[[#This Row],[SalesChannel]]))</f>
        <v>Partner Portal</v>
      </c>
      <c r="R124" s="4">
        <v>2</v>
      </c>
      <c r="S124" s="4" t="str">
        <f>IF(Transaction[[#This Row],[Quantity]]&lt;0,"Negative-review","Valid")</f>
        <v>Valid</v>
      </c>
      <c r="T124">
        <v>832.82</v>
      </c>
      <c r="U12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832.82</v>
      </c>
      <c r="V124">
        <v>980</v>
      </c>
      <c r="W124">
        <v>1960</v>
      </c>
      <c r="X12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</v>
      </c>
      <c r="Y124">
        <f>IF(Transaction[[#This Row],[GrossRevenue_Check]]="Invalid",Transaction[[#This Row],[ListPrice]]*Transaction[[#This Row],[Quantity]],Transaction[[#This Row],[GrossRevenue_Clean]])</f>
        <v>1960</v>
      </c>
      <c r="Z124" t="str">
        <f>IF(Transaction[[#This Row],[GrossRevenue_Clean]]=Transaction[[#This Row],[ListPrice]]*Transaction[[#This Row],[Quantity]],"Valid","Invalid")</f>
        <v>Valid</v>
      </c>
      <c r="AA124">
        <v>294.36</v>
      </c>
      <c r="AB12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294.36</v>
      </c>
      <c r="AC124">
        <f>IF(Transaction[[#This Row],[DiscountAmount_Check2]]="Invalid",Transaction[[#This Row],[GrossRevenue_Analytical]]-Transaction[[#This Row],[NetRevenue_Analytical]],Transaction[[#This Row],[DiscountAmount_Clean]])</f>
        <v>294.36</v>
      </c>
      <c r="AD124">
        <v>1665.64</v>
      </c>
      <c r="AE124" t="str">
        <f>IF(ROUND(Transaction[[#This Row],[GrossRevenue_Analytical]]-Transaction[[#This Row],[NetRevenue_Analytical]],2)=ROUND(Transaction[[#This Row],[DiscountAmount_Clean]],2),"Valid","Invalid")</f>
        <v>Valid</v>
      </c>
      <c r="AF12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1665.64</v>
      </c>
      <c r="AG124">
        <f>IF(Transaction[[#This Row],[NetRevenue_Check]]="Invalid",(Transaction[[#This Row],[Quantity]]*Transaction[[#This Row],[UnitPrice_Clean]]),Transaction[[#This Row],[NetRevenue_Clean]])</f>
        <v>1665.64</v>
      </c>
      <c r="AH124" t="str">
        <f>IF(Transaction[[#This Row],[Quantity]]*Transaction[[#This Row],[UnitPrice_Clean]]=Transaction[[#This Row],[NetRevenue_Clean]],"Valid","Invalid")</f>
        <v>Valid</v>
      </c>
      <c r="AI124" t="s">
        <v>128</v>
      </c>
      <c r="AJ124" t="s">
        <v>2764</v>
      </c>
      <c r="AK124" t="str">
        <f>IF(Transaction[[#This Row],[Salesperson]]="","Missing Value",TRIM(PROPER(Transaction[[#This Row],[Salesperson]])))</f>
        <v>Bean</v>
      </c>
      <c r="AL124" t="s">
        <v>42</v>
      </c>
      <c r="AM124" t="str">
        <f>IF(Transaction[[#This Row],[ContractType]]="","Missing Value",Transaction[[#This Row],[ContractType]])</f>
        <v>Standard PO</v>
      </c>
      <c r="AN124" t="s">
        <v>65</v>
      </c>
    </row>
    <row r="125" spans="1:40" x14ac:dyDescent="0.25">
      <c r="A125" t="s">
        <v>509</v>
      </c>
      <c r="B125" s="1">
        <v>45696</v>
      </c>
      <c r="C12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2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12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5" s="2">
        <f>IFERROR(DATE(Transaction[[#This Row],[TransactionDateY]],Transaction[[#This Row],[TransactionDateM]],Transaction[[#This Row],[TransactionDateD]]),"Missing Value")</f>
        <v>45696</v>
      </c>
      <c r="G125" t="s">
        <v>429</v>
      </c>
      <c r="H125" t="str">
        <f>IFERROR(VLOOKUP(Transaction[[#This Row],[CustomerID]],Custumer[],1,0),IF(LEN(Transaction[[#This Row],[CustomerID]])=7,LEFT(Transaction[[#This Row],[CustomerID]],6),"Invalid ID"))</f>
        <v>C-1009</v>
      </c>
      <c r="I125" t="s">
        <v>46</v>
      </c>
      <c r="J125" t="str">
        <f>TRIM(UPPER(Transaction[[#This Row],[ProductID]]))</f>
        <v>P-SI-006</v>
      </c>
      <c r="K125" t="str">
        <f>IFERROR(VLOOKUP(Transaction[[#This Row],[ProductID_Clean]],Product[],1,FALSE),"Invalid ID")</f>
        <v>P-SI-006</v>
      </c>
      <c r="L125" t="str">
        <f>TRIM(SUBSTITUTE(SUBSTITUTE(SUBSTITUTE(SUBSTITUTE(UPPER(Transaction[[#This Row],[Region]]),"EMEA REGION","EMEA"),"APAC REGION","APAC"),"NORTH AMERICA","N. AMERICA"),"N .AMERICA","N.AMERICA"))</f>
        <v>EMEA</v>
      </c>
      <c r="M125" t="s">
        <v>76</v>
      </c>
      <c r="N125" t="s">
        <v>53</v>
      </c>
      <c r="O12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5" t="s">
        <v>181</v>
      </c>
      <c r="Q125" t="str">
        <f>IF(TRIM(Transaction[[#This Row],[SalesChannel]])="","Missing Value",TRIM(Transaction[[#This Row],[SalesChannel]]))</f>
        <v>Partner Portal</v>
      </c>
      <c r="R125" s="4">
        <v>2</v>
      </c>
      <c r="S125" s="4" t="str">
        <f>IF(Transaction[[#This Row],[Quantity]]&lt;0,"Negative-review","Valid")</f>
        <v>Valid</v>
      </c>
      <c r="T125" t="s">
        <v>510</v>
      </c>
      <c r="U12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150.61000000000001</v>
      </c>
      <c r="V125">
        <v>215</v>
      </c>
      <c r="W125">
        <v>430</v>
      </c>
      <c r="X12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125">
        <f>IF(Transaction[[#This Row],[GrossRevenue_Check]]="Invalid",Transaction[[#This Row],[ListPrice]]*Transaction[[#This Row],[Quantity]],Transaction[[#This Row],[GrossRevenue_Clean]])</f>
        <v>430</v>
      </c>
      <c r="Z125" t="str">
        <f>IF(Transaction[[#This Row],[GrossRevenue_Clean]]=Transaction[[#This Row],[ListPrice]]*Transaction[[#This Row],[Quantity]],"Valid","Invalid")</f>
        <v>Valid</v>
      </c>
      <c r="AA125">
        <v>128.78</v>
      </c>
      <c r="AB12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128.78</v>
      </c>
      <c r="AC125">
        <f>IF(Transaction[[#This Row],[DiscountAmount_Check2]]="Invalid",Transaction[[#This Row],[GrossRevenue_Analytical]]-Transaction[[#This Row],[NetRevenue_Analytical]],Transaction[[#This Row],[DiscountAmount_Clean]])</f>
        <v>128.78</v>
      </c>
      <c r="AD125">
        <v>301.22000000000003</v>
      </c>
      <c r="AE125" t="str">
        <f>IF(ROUND(Transaction[[#This Row],[GrossRevenue_Analytical]]-Transaction[[#This Row],[NetRevenue_Analytical]],2)=ROUND(Transaction[[#This Row],[DiscountAmount_Clean]],2),"Valid","Invalid")</f>
        <v>Valid</v>
      </c>
      <c r="AF12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301.22000000000003</v>
      </c>
      <c r="AG125">
        <f>IF(Transaction[[#This Row],[NetRevenue_Check]]="Invalid",(Transaction[[#This Row],[Quantity]]*Transaction[[#This Row],[UnitPrice_Clean]]),Transaction[[#This Row],[NetRevenue_Clean]])</f>
        <v>301.22000000000003</v>
      </c>
      <c r="AH125" t="str">
        <f>IF(Transaction[[#This Row],[Quantity]]*Transaction[[#This Row],[UnitPrice_Clean]]=Transaction[[#This Row],[NetRevenue_Clean]],"Valid","Invalid")</f>
        <v>Valid</v>
      </c>
      <c r="AI125" t="s">
        <v>23</v>
      </c>
      <c r="AJ125" t="s">
        <v>511</v>
      </c>
      <c r="AK125" t="str">
        <f>IF(Transaction[[#This Row],[Salesperson]]="","Missing Value",TRIM(PROPER(Transaction[[#This Row],[Salesperson]])))</f>
        <v>Burton</v>
      </c>
      <c r="AL125" t="s">
        <v>42</v>
      </c>
      <c r="AM125" t="str">
        <f>IF(Transaction[[#This Row],[ContractType]]="","Missing Value",Transaction[[#This Row],[ContractType]])</f>
        <v>Standard PO</v>
      </c>
      <c r="AN125" t="s">
        <v>49</v>
      </c>
    </row>
    <row r="126" spans="1:40" x14ac:dyDescent="0.25">
      <c r="A126" t="s">
        <v>2472</v>
      </c>
      <c r="B126" s="1">
        <v>45802</v>
      </c>
      <c r="C12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2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12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6" s="2">
        <f>IFERROR(DATE(Transaction[[#This Row],[TransactionDateY]],Transaction[[#This Row],[TransactionDateM]],Transaction[[#This Row],[TransactionDateD]]),"Missing Value")</f>
        <v>45802</v>
      </c>
      <c r="G126" t="s">
        <v>1152</v>
      </c>
      <c r="H126" t="str">
        <f>IFERROR(VLOOKUP(Transaction[[#This Row],[CustomerID]],Custumer[],1,0),IF(LEN(Transaction[[#This Row],[CustomerID]])=7,LEFT(Transaction[[#This Row],[CustomerID]],6),"Invalid ID"))</f>
        <v>C-1178</v>
      </c>
      <c r="I126" t="s">
        <v>29</v>
      </c>
      <c r="J126" t="str">
        <f>TRIM(UPPER(Transaction[[#This Row],[ProductID]]))</f>
        <v>P-SA-001</v>
      </c>
      <c r="K126" t="str">
        <f>IFERROR(VLOOKUP(Transaction[[#This Row],[ProductID_Clean]],Product[],1,FALSE),"Invalid ID")</f>
        <v>P-SA-001</v>
      </c>
      <c r="L126" t="str">
        <f>TRIM(SUBSTITUTE(SUBSTITUTE(SUBSTITUTE(SUBSTITUTE(UPPER(Transaction[[#This Row],[Region]]),"EMEA REGION","EMEA"),"APAC REGION","APAC"),"NORTH AMERICA","N. AMERICA"),"N .AMERICA","N.AMERICA"))</f>
        <v>EMEA</v>
      </c>
      <c r="M126" t="s">
        <v>76</v>
      </c>
      <c r="N126" t="s">
        <v>31</v>
      </c>
      <c r="O12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Q126" t="str">
        <f>IF(TRIM(Transaction[[#This Row],[SalesChannel]])="","Missing Value",TRIM(Transaction[[#This Row],[SalesChannel]]))</f>
        <v>Missing Value</v>
      </c>
      <c r="R126" s="4">
        <v>1</v>
      </c>
      <c r="S126" s="4" t="str">
        <f>IF(Transaction[[#This Row],[Quantity]]&lt;0,"Negative-review","Valid")</f>
        <v>Valid</v>
      </c>
      <c r="T126">
        <v>3898.77</v>
      </c>
      <c r="U12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3898.77</v>
      </c>
      <c r="V126">
        <v>4200</v>
      </c>
      <c r="W126">
        <v>4200</v>
      </c>
      <c r="X12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126">
        <f>IF(Transaction[[#This Row],[GrossRevenue_Check]]="Invalid",Transaction[[#This Row],[ListPrice]]*Transaction[[#This Row],[Quantity]],Transaction[[#This Row],[GrossRevenue_Clean]])</f>
        <v>4200</v>
      </c>
      <c r="Z126" t="str">
        <f>IF(Transaction[[#This Row],[GrossRevenue_Clean]]=Transaction[[#This Row],[ListPrice]]*Transaction[[#This Row],[Quantity]],"Valid","Invalid")</f>
        <v>Valid</v>
      </c>
      <c r="AA126">
        <v>301.23</v>
      </c>
      <c r="AB12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301.23</v>
      </c>
      <c r="AC126">
        <f>IF(Transaction[[#This Row],[DiscountAmount_Check2]]="Invalid",Transaction[[#This Row],[GrossRevenue_Analytical]]-Transaction[[#This Row],[NetRevenue_Analytical]],Transaction[[#This Row],[DiscountAmount_Clean]])</f>
        <v>301.23</v>
      </c>
      <c r="AD126">
        <v>3898.77</v>
      </c>
      <c r="AE126" t="str">
        <f>IF(ROUND(Transaction[[#This Row],[GrossRevenue_Analytical]]-Transaction[[#This Row],[NetRevenue_Analytical]],2)=ROUND(Transaction[[#This Row],[DiscountAmount_Clean]],2),"Valid","Invalid")</f>
        <v>Valid</v>
      </c>
      <c r="AF126">
        <f>VALUE(IF(ISNUMBER(Transaction[[#This Row],[NetRevenue]]),Transaction[[#This Row],[NetRevenue]],IFERROR(IF(FIND("$",Transaction[[#This Row],[NetRevenue]])&gt;0,MID(Transaction[[#This Row],[NetRevenue]],2,10)),Transaction[[#This Row],[NetRevenue]])))</f>
        <v>3898.77</v>
      </c>
      <c r="AG126">
        <f>IF(Transaction[[#This Row],[NetRevenue_Check]]="Invalid",(Transaction[[#This Row],[Quantity]]*Transaction[[#This Row],[UnitPrice_Clean]]),Transaction[[#This Row],[NetRevenue_Clean]])</f>
        <v>3898.77</v>
      </c>
      <c r="AH126" t="str">
        <f>IF(Transaction[[#This Row],[Quantity]]*Transaction[[#This Row],[UnitPrice_Clean]]=Transaction[[#This Row],[NetRevenue_Clean]],"Valid","Invalid")</f>
        <v>Valid</v>
      </c>
      <c r="AI126" t="s">
        <v>99</v>
      </c>
      <c r="AJ126" t="s">
        <v>2473</v>
      </c>
      <c r="AK126" t="str">
        <f>IF(Transaction[[#This Row],[Salesperson]]="","Missing Value",TRIM(PROPER(Transaction[[#This Row],[Salesperson]])))</f>
        <v>Marshall</v>
      </c>
      <c r="AL126" t="s">
        <v>34</v>
      </c>
      <c r="AM126" t="str">
        <f>IF(Transaction[[#This Row],[ContractType]]="","Missing Value",Transaction[[#This Row],[ContractType]])</f>
        <v>Annual License</v>
      </c>
      <c r="AN126" t="s">
        <v>49</v>
      </c>
    </row>
    <row r="127" spans="1:40" x14ac:dyDescent="0.25">
      <c r="A127" t="s">
        <v>1894</v>
      </c>
      <c r="B127" s="1">
        <v>45679</v>
      </c>
      <c r="C12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2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12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7" s="2">
        <f>IFERROR(DATE(Transaction[[#This Row],[TransactionDateY]],Transaction[[#This Row],[TransactionDateM]],Transaction[[#This Row],[TransactionDateD]]),"Missing Value")</f>
        <v>45679</v>
      </c>
      <c r="G127" t="s">
        <v>110</v>
      </c>
      <c r="H127" t="str">
        <f>IFERROR(VLOOKUP(Transaction[[#This Row],[CustomerID]],Custumer[],1,0),IF(LEN(Transaction[[#This Row],[CustomerID]])=7,LEFT(Transaction[[#This Row],[CustomerID]],6),"Invalid ID"))</f>
        <v>C-1100</v>
      </c>
      <c r="I127" t="s">
        <v>117</v>
      </c>
      <c r="J127" t="str">
        <f>TRIM(UPPER(Transaction[[#This Row],[ProductID]]))</f>
        <v>P-SI-007</v>
      </c>
      <c r="K127" t="str">
        <f>IFERROR(VLOOKUP(Transaction[[#This Row],[ProductID_Clean]],Product[],1,FALSE),"Invalid ID")</f>
        <v>P-SI-007</v>
      </c>
      <c r="L127" t="str">
        <f>TRIM(SUBSTITUTE(SUBSTITUTE(SUBSTITUTE(SUBSTITUTE(UPPER(Transaction[[#This Row],[Region]]),"EMEA REGION","EMEA"),"APAC REGION","APAC"),"NORTH AMERICA","N. AMERICA"),"N .AMERICA","N.AMERICA"))</f>
        <v>EMEA</v>
      </c>
      <c r="M127" t="s">
        <v>76</v>
      </c>
      <c r="N127" t="s">
        <v>53</v>
      </c>
      <c r="O12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7" t="s">
        <v>40</v>
      </c>
      <c r="Q127" t="str">
        <f>IF(TRIM(Transaction[[#This Row],[SalesChannel]])="","Missing Value",TRIM(Transaction[[#This Row],[SalesChannel]]))</f>
        <v>Distributor</v>
      </c>
      <c r="R127" s="4">
        <v>1</v>
      </c>
      <c r="S127" s="4" t="str">
        <f>IF(Transaction[[#This Row],[Quantity]]&lt;0,"Negative-review","Valid")</f>
        <v>Valid</v>
      </c>
      <c r="T127">
        <v>736.02</v>
      </c>
      <c r="U12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736.02</v>
      </c>
      <c r="V127">
        <v>980</v>
      </c>
      <c r="W127">
        <v>980</v>
      </c>
      <c r="X12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127">
        <f>IF(Transaction[[#This Row],[GrossRevenue_Check]]="Invalid",Transaction[[#This Row],[ListPrice]]*Transaction[[#This Row],[Quantity]],Transaction[[#This Row],[GrossRevenue_Clean]])</f>
        <v>980</v>
      </c>
      <c r="Z127" t="str">
        <f>IF(Transaction[[#This Row],[GrossRevenue_Clean]]=Transaction[[#This Row],[ListPrice]]*Transaction[[#This Row],[Quantity]],"Valid","Invalid")</f>
        <v>Valid</v>
      </c>
      <c r="AA127">
        <v>243.98</v>
      </c>
      <c r="AB12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243.98</v>
      </c>
      <c r="AC127">
        <f>IF(Transaction[[#This Row],[DiscountAmount_Check2]]="Invalid",Transaction[[#This Row],[GrossRevenue_Analytical]]-Transaction[[#This Row],[NetRevenue_Analytical]],Transaction[[#This Row],[DiscountAmount_Clean]])</f>
        <v>243.98</v>
      </c>
      <c r="AD127">
        <v>736.02</v>
      </c>
      <c r="AE127" t="str">
        <f>IF(ROUND(Transaction[[#This Row],[GrossRevenue_Analytical]]-Transaction[[#This Row],[NetRevenue_Analytical]],2)=ROUND(Transaction[[#This Row],[DiscountAmount_Clean]],2),"Valid","Invalid")</f>
        <v>Valid</v>
      </c>
      <c r="AF127">
        <f>VALUE(IF(ISNUMBER(Transaction[[#This Row],[NetRevenue]]),Transaction[[#This Row],[NetRevenue]],IFERROR(IF(FIND("$",Transaction[[#This Row],[NetRevenue]])&gt;0,MID(Transaction[[#This Row],[NetRevenue]],2,10)),Transaction[[#This Row],[NetRevenue]])))</f>
        <v>736.02</v>
      </c>
      <c r="AG127">
        <f>IF(Transaction[[#This Row],[NetRevenue_Check]]="Invalid",(Transaction[[#This Row],[Quantity]]*Transaction[[#This Row],[UnitPrice_Clean]]),Transaction[[#This Row],[NetRevenue_Clean]])</f>
        <v>736.02</v>
      </c>
      <c r="AH127" t="str">
        <f>IF(Transaction[[#This Row],[Quantity]]*Transaction[[#This Row],[UnitPrice_Clean]]=Transaction[[#This Row],[NetRevenue_Clean]],"Valid","Invalid")</f>
        <v>Valid</v>
      </c>
      <c r="AI127" t="s">
        <v>23</v>
      </c>
      <c r="AJ127" t="s">
        <v>1895</v>
      </c>
      <c r="AK127" t="str">
        <f>IF(Transaction[[#This Row],[Salesperson]]="","Missing Value",TRIM(PROPER(Transaction[[#This Row],[Salesperson]])))</f>
        <v>Elliott</v>
      </c>
      <c r="AL127" t="s">
        <v>42</v>
      </c>
      <c r="AM127" t="str">
        <f>IF(Transaction[[#This Row],[ContractType]]="","Missing Value",Transaction[[#This Row],[ContractType]])</f>
        <v>Standard PO</v>
      </c>
      <c r="AN127" t="s">
        <v>43</v>
      </c>
    </row>
    <row r="128" spans="1:40" x14ac:dyDescent="0.25">
      <c r="A128" t="s">
        <v>2377</v>
      </c>
      <c r="B128" s="1">
        <v>45688</v>
      </c>
      <c r="C12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2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31</v>
      </c>
      <c r="E12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8" s="2">
        <f>IFERROR(DATE(Transaction[[#This Row],[TransactionDateY]],Transaction[[#This Row],[TransactionDateM]],Transaction[[#This Row],[TransactionDateD]]),"Missing Value")</f>
        <v>45688</v>
      </c>
      <c r="G128" t="s">
        <v>190</v>
      </c>
      <c r="H128" t="str">
        <f>IFERROR(VLOOKUP(Transaction[[#This Row],[CustomerID]],Custumer[],1,0),IF(LEN(Transaction[[#This Row],[CustomerID]])=7,LEFT(Transaction[[#This Row],[CustomerID]],6),"Invalid ID"))</f>
        <v>C-1082</v>
      </c>
      <c r="I128" t="s">
        <v>117</v>
      </c>
      <c r="J128" t="str">
        <f>TRIM(UPPER(Transaction[[#This Row],[ProductID]]))</f>
        <v>P-SI-007</v>
      </c>
      <c r="K128" t="str">
        <f>IFERROR(VLOOKUP(Transaction[[#This Row],[ProductID_Clean]],Product[],1,FALSE),"Invalid ID")</f>
        <v>P-SI-007</v>
      </c>
      <c r="L128" t="str">
        <f>TRIM(SUBSTITUTE(SUBSTITUTE(SUBSTITUTE(SUBSTITUTE(UPPER(Transaction[[#This Row],[Region]]),"EMEA REGION","EMEA"),"APAC REGION","APAC"),"NORTH AMERICA","N. AMERICA"),"N .AMERICA","N.AMERICA"))</f>
        <v>N. AMERICA</v>
      </c>
      <c r="M128" t="s">
        <v>168</v>
      </c>
      <c r="N128" t="s">
        <v>47</v>
      </c>
      <c r="O12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8" t="s">
        <v>40</v>
      </c>
      <c r="Q128" t="str">
        <f>IF(TRIM(Transaction[[#This Row],[SalesChannel]])="","Missing Value",TRIM(Transaction[[#This Row],[SalesChannel]]))</f>
        <v>Distributor</v>
      </c>
      <c r="R128" s="4">
        <v>1</v>
      </c>
      <c r="S128" s="4" t="str">
        <f>IF(Transaction[[#This Row],[Quantity]]&lt;0,"Negative-review","Valid")</f>
        <v>Valid</v>
      </c>
      <c r="T128">
        <v>675.93</v>
      </c>
      <c r="U12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675.93</v>
      </c>
      <c r="V128">
        <v>980</v>
      </c>
      <c r="W128">
        <v>980</v>
      </c>
      <c r="X12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128">
        <f>IF(Transaction[[#This Row],[GrossRevenue_Check]]="Invalid",Transaction[[#This Row],[ListPrice]]*Transaction[[#This Row],[Quantity]],Transaction[[#This Row],[GrossRevenue_Clean]])</f>
        <v>980</v>
      </c>
      <c r="Z128" t="str">
        <f>IF(Transaction[[#This Row],[GrossRevenue_Clean]]=Transaction[[#This Row],[ListPrice]]*Transaction[[#This Row],[Quantity]],"Valid","Invalid")</f>
        <v>Valid</v>
      </c>
      <c r="AA128">
        <v>304.07</v>
      </c>
      <c r="AB12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304.07</v>
      </c>
      <c r="AC128">
        <f>IF(Transaction[[#This Row],[DiscountAmount_Check2]]="Invalid",Transaction[[#This Row],[GrossRevenue_Analytical]]-Transaction[[#This Row],[NetRevenue_Analytical]],Transaction[[#This Row],[DiscountAmount_Clean]])</f>
        <v>304.07</v>
      </c>
      <c r="AD128">
        <v>675.93</v>
      </c>
      <c r="AE128" t="str">
        <f>IF(ROUND(Transaction[[#This Row],[GrossRevenue_Analytical]]-Transaction[[#This Row],[NetRevenue_Analytical]],2)=ROUND(Transaction[[#This Row],[DiscountAmount_Clean]],2),"Valid","Invalid")</f>
        <v>Valid</v>
      </c>
      <c r="AF128">
        <f>VALUE(IF(ISNUMBER(Transaction[[#This Row],[NetRevenue]]),Transaction[[#This Row],[NetRevenue]],IFERROR(IF(FIND("$",Transaction[[#This Row],[NetRevenue]])&gt;0,MID(Transaction[[#This Row],[NetRevenue]],2,10)),Transaction[[#This Row],[NetRevenue]])))</f>
        <v>675.93</v>
      </c>
      <c r="AG128">
        <f>IF(Transaction[[#This Row],[NetRevenue_Check]]="Invalid",(Transaction[[#This Row],[Quantity]]*Transaction[[#This Row],[UnitPrice_Clean]]),Transaction[[#This Row],[NetRevenue_Clean]])</f>
        <v>675.93</v>
      </c>
      <c r="AH128" t="str">
        <f>IF(Transaction[[#This Row],[Quantity]]*Transaction[[#This Row],[UnitPrice_Clean]]=Transaction[[#This Row],[NetRevenue_Clean]],"Valid","Invalid")</f>
        <v>Valid</v>
      </c>
      <c r="AI128" t="s">
        <v>23</v>
      </c>
      <c r="AJ128" t="s">
        <v>2378</v>
      </c>
      <c r="AK128" t="str">
        <f>IF(Transaction[[#This Row],[Salesperson]]="","Missing Value",TRIM(PROPER(Transaction[[#This Row],[Salesperson]])))</f>
        <v>Riley-Na</v>
      </c>
      <c r="AL128" t="s">
        <v>42</v>
      </c>
      <c r="AM128" t="str">
        <f>IF(Transaction[[#This Row],[ContractType]]="","Missing Value",Transaction[[#This Row],[ContractType]])</f>
        <v>Standard PO</v>
      </c>
      <c r="AN128" t="s">
        <v>65</v>
      </c>
    </row>
    <row r="129" spans="1:40" x14ac:dyDescent="0.25">
      <c r="A129" t="s">
        <v>529</v>
      </c>
      <c r="B129" s="1">
        <v>45816</v>
      </c>
      <c r="C12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2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12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9" s="2">
        <f>IFERROR(DATE(Transaction[[#This Row],[TransactionDateY]],Transaction[[#This Row],[TransactionDateM]],Transaction[[#This Row],[TransactionDateD]]),"Missing Value")</f>
        <v>45816</v>
      </c>
      <c r="G129" t="s">
        <v>18</v>
      </c>
      <c r="H129" t="str">
        <f>IFERROR(VLOOKUP(Transaction[[#This Row],[CustomerID]],Custumer[],1,0),IF(LEN(Transaction[[#This Row],[CustomerID]])=7,LEFT(Transaction[[#This Row],[CustomerID]],6),"Invalid ID"))</f>
        <v>C-1048</v>
      </c>
      <c r="I129" t="s">
        <v>52</v>
      </c>
      <c r="J129" t="str">
        <f>TRIM(UPPER(Transaction[[#This Row],[ProductID]]))</f>
        <v>P-SI-002</v>
      </c>
      <c r="K129" t="str">
        <f>IFERROR(VLOOKUP(Transaction[[#This Row],[ProductID_Clean]],Product[],1,FALSE),"Invalid ID")</f>
        <v>P-SI-002</v>
      </c>
      <c r="L129" t="str">
        <f>TRIM(SUBSTITUTE(SUBSTITUTE(SUBSTITUTE(SUBSTITUTE(UPPER(Transaction[[#This Row],[Region]]),"EMEA REGION","EMEA"),"APAC REGION","APAC"),"NORTH AMERICA","N. AMERICA"),"N .AMERICA","N.AMERICA"))</f>
        <v>N. AMERICA</v>
      </c>
      <c r="M129" t="s">
        <v>204</v>
      </c>
      <c r="N129" t="s">
        <v>53</v>
      </c>
      <c r="O12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9" t="s">
        <v>22</v>
      </c>
      <c r="Q129" t="str">
        <f>IF(TRIM(Transaction[[#This Row],[SalesChannel]])="","Missing Value",TRIM(Transaction[[#This Row],[SalesChannel]]))</f>
        <v>Direct</v>
      </c>
      <c r="R129" s="4">
        <v>2</v>
      </c>
      <c r="S129" s="4" t="str">
        <f>IF(Transaction[[#This Row],[Quantity]]&lt;0,"Negative-review","Valid")</f>
        <v>Valid</v>
      </c>
      <c r="T129">
        <v>583.22</v>
      </c>
      <c r="U12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583.22</v>
      </c>
      <c r="V129">
        <v>725</v>
      </c>
      <c r="W129">
        <v>1450</v>
      </c>
      <c r="X12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129">
        <f>IF(Transaction[[#This Row],[GrossRevenue_Check]]="Invalid",Transaction[[#This Row],[ListPrice]]*Transaction[[#This Row],[Quantity]],Transaction[[#This Row],[GrossRevenue_Clean]])</f>
        <v>1450</v>
      </c>
      <c r="Z129" t="str">
        <f>IF(Transaction[[#This Row],[GrossRevenue_Clean]]=Transaction[[#This Row],[ListPrice]]*Transaction[[#This Row],[Quantity]],"Valid","Invalid")</f>
        <v>Valid</v>
      </c>
      <c r="AA129">
        <v>283.56</v>
      </c>
      <c r="AB12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283.56</v>
      </c>
      <c r="AC129">
        <f>IF(Transaction[[#This Row],[DiscountAmount_Check2]]="Invalid",Transaction[[#This Row],[GrossRevenue_Analytical]]-Transaction[[#This Row],[NetRevenue_Analytical]],Transaction[[#This Row],[DiscountAmount_Clean]])</f>
        <v>283.56</v>
      </c>
      <c r="AD129">
        <v>1166.44</v>
      </c>
      <c r="AE129" t="str">
        <f>IF(ROUND(Transaction[[#This Row],[GrossRevenue_Analytical]]-Transaction[[#This Row],[NetRevenue_Analytical]],2)=ROUND(Transaction[[#This Row],[DiscountAmount_Clean]],2),"Valid","Invalid")</f>
        <v>Valid</v>
      </c>
      <c r="AF12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1166.44</v>
      </c>
      <c r="AG129">
        <f>IF(Transaction[[#This Row],[NetRevenue_Check]]="Invalid",(Transaction[[#This Row],[Quantity]]*Transaction[[#This Row],[UnitPrice_Clean]]),Transaction[[#This Row],[NetRevenue_Clean]])</f>
        <v>1166.44</v>
      </c>
      <c r="AH129" t="str">
        <f>IF(Transaction[[#This Row],[Quantity]]*Transaction[[#This Row],[UnitPrice_Clean]]=Transaction[[#This Row],[NetRevenue_Clean]],"Valid","Invalid")</f>
        <v>Valid</v>
      </c>
      <c r="AI129" t="s">
        <v>99</v>
      </c>
      <c r="AJ129" t="s">
        <v>530</v>
      </c>
      <c r="AK129" t="str">
        <f>IF(Transaction[[#This Row],[Salesperson]]="","Missing Value",TRIM(PROPER(Transaction[[#This Row],[Salesperson]])))</f>
        <v>Macias</v>
      </c>
      <c r="AL129" t="s">
        <v>55</v>
      </c>
      <c r="AM129" t="str">
        <f>IF(Transaction[[#This Row],[ContractType]]="","Missing Value",Transaction[[#This Row],[ContractType]])</f>
        <v>Spot</v>
      </c>
      <c r="AN129" t="s">
        <v>26</v>
      </c>
    </row>
    <row r="130" spans="1:40" x14ac:dyDescent="0.25">
      <c r="A130" t="s">
        <v>1097</v>
      </c>
      <c r="B130" s="1">
        <v>45791</v>
      </c>
      <c r="C13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3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13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30" s="2">
        <f>IFERROR(DATE(Transaction[[#This Row],[TransactionDateY]],Transaction[[#This Row],[TransactionDateM]],Transaction[[#This Row],[TransactionDateD]]),"Missing Value")</f>
        <v>45791</v>
      </c>
      <c r="G130" t="s">
        <v>784</v>
      </c>
      <c r="H130" t="str">
        <f>IFERROR(VLOOKUP(Transaction[[#This Row],[CustomerID]],Custumer[],1,0),IF(LEN(Transaction[[#This Row],[CustomerID]])=7,LEFT(Transaction[[#This Row],[CustomerID]],6),"Invalid ID"))</f>
        <v>C-1159</v>
      </c>
      <c r="I130" t="s">
        <v>71</v>
      </c>
      <c r="J130" t="str">
        <f>TRIM(UPPER(Transaction[[#This Row],[ProductID]]))</f>
        <v>P-SI-003</v>
      </c>
      <c r="K130" t="str">
        <f>IFERROR(VLOOKUP(Transaction[[#This Row],[ProductID_Clean]],Product[],1,FALSE),"Invalid ID")</f>
        <v>P-SI-003</v>
      </c>
      <c r="L130" t="str">
        <f>TRIM(SUBSTITUTE(SUBSTITUTE(SUBSTITUTE(SUBSTITUTE(UPPER(Transaction[[#This Row],[Region]]),"EMEA REGION","EMEA"),"APAC REGION","APAC"),"NORTH AMERICA","N. AMERICA"),"N .AMERICA","N.AMERICA"))</f>
        <v>EMEA</v>
      </c>
      <c r="M130" t="s">
        <v>87</v>
      </c>
      <c r="N130" t="s">
        <v>272</v>
      </c>
      <c r="O13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30" t="s">
        <v>40</v>
      </c>
      <c r="Q130" t="str">
        <f>IF(TRIM(Transaction[[#This Row],[SalesChannel]])="","Missing Value",TRIM(Transaction[[#This Row],[SalesChannel]]))</f>
        <v>Distributor</v>
      </c>
      <c r="R130" s="4">
        <v>3</v>
      </c>
      <c r="S130" s="4" t="str">
        <f>IF(Transaction[[#This Row],[Quantity]]&lt;0,"Negative-review","Valid")</f>
        <v>Valid</v>
      </c>
      <c r="T130">
        <v>1614.4</v>
      </c>
      <c r="U13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1614.4</v>
      </c>
      <c r="V130">
        <v>1890</v>
      </c>
      <c r="W130">
        <v>5670</v>
      </c>
      <c r="X13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5670</v>
      </c>
      <c r="Y130">
        <f>IF(Transaction[[#This Row],[GrossRevenue_Check]]="Invalid",Transaction[[#This Row],[ListPrice]]*Transaction[[#This Row],[Quantity]],Transaction[[#This Row],[GrossRevenue_Clean]])</f>
        <v>5670</v>
      </c>
      <c r="Z130" t="str">
        <f>IF(Transaction[[#This Row],[GrossRevenue_Clean]]=Transaction[[#This Row],[ListPrice]]*Transaction[[#This Row],[Quantity]],"Valid","Invalid")</f>
        <v>Valid</v>
      </c>
      <c r="AA130">
        <v>826.8</v>
      </c>
      <c r="AB13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826.8</v>
      </c>
      <c r="AC130">
        <f>IF(Transaction[[#This Row],[DiscountAmount_Check2]]="Invalid",Transaction[[#This Row],[GrossRevenue_Analytical]]-Transaction[[#This Row],[NetRevenue_Analytical]],Transaction[[#This Row],[DiscountAmount_Clean]])</f>
        <v>826.8</v>
      </c>
      <c r="AD130">
        <v>4843.2</v>
      </c>
      <c r="AE130" t="str">
        <f>IF(ROUND(Transaction[[#This Row],[GrossRevenue_Analytical]]-Transaction[[#This Row],[NetRevenue_Analytical]],2)=ROUND(Transaction[[#This Row],[DiscountAmount_Clean]],2),"Valid","Invalid")</f>
        <v>Valid</v>
      </c>
      <c r="AF130">
        <f>VALUE(IF(ISNUMBER(Transaction[[#This Row],[NetRevenue]]),Transaction[[#This Row],[NetRevenue]],IFERROR(IF(FIND("$",Transaction[[#This Row],[NetRevenue]])&gt;0,MID(Transaction[[#This Row],[NetRevenue]],2,10)),Transaction[[#This Row],[NetRevenue]])))</f>
        <v>4843.2</v>
      </c>
      <c r="AG130">
        <f>IF(Transaction[[#This Row],[NetRevenue_Check]]="Invalid",(Transaction[[#This Row],[Quantity]]*Transaction[[#This Row],[UnitPrice_Clean]]),Transaction[[#This Row],[NetRevenue_Clean]])</f>
        <v>4843.2</v>
      </c>
      <c r="AH130" t="str">
        <f>IF(Transaction[[#This Row],[Quantity]]*Transaction[[#This Row],[UnitPrice_Clean]]=Transaction[[#This Row],[NetRevenue_Clean]],"Valid","Invalid")</f>
        <v>Valid</v>
      </c>
      <c r="AI130" t="s">
        <v>99</v>
      </c>
      <c r="AJ130" t="s">
        <v>1098</v>
      </c>
      <c r="AK130" t="str">
        <f>IF(Transaction[[#This Row],[Salesperson]]="","Missing Value",TRIM(PROPER(Transaction[[#This Row],[Salesperson]])))</f>
        <v>Day-Na</v>
      </c>
      <c r="AL130" t="s">
        <v>42</v>
      </c>
      <c r="AM130" t="str">
        <f>IF(Transaction[[#This Row],[ContractType]]="","Missing Value",Transaction[[#This Row],[ContractType]])</f>
        <v>Standard PO</v>
      </c>
      <c r="AN130" t="s">
        <v>49</v>
      </c>
    </row>
    <row r="131" spans="1:40" x14ac:dyDescent="0.25">
      <c r="A131" t="s">
        <v>3071</v>
      </c>
      <c r="C13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13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13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131" s="2" t="str">
        <f>IFERROR(DATE(Transaction[[#This Row],[TransactionDateY]],Transaction[[#This Row],[TransactionDateM]],Transaction[[#This Row],[TransactionDateD]]),"Missing Value")</f>
        <v>Missing Value</v>
      </c>
      <c r="G131" t="s">
        <v>218</v>
      </c>
      <c r="H131" t="str">
        <f>IFERROR(VLOOKUP(Transaction[[#This Row],[CustomerID]],Custumer[],1,0),IF(LEN(Transaction[[#This Row],[CustomerID]])=7,LEFT(Transaction[[#This Row],[CustomerID]],6),"Invalid ID"))</f>
        <v>C-1098</v>
      </c>
      <c r="I131" t="s">
        <v>117</v>
      </c>
      <c r="J131" t="str">
        <f>TRIM(UPPER(Transaction[[#This Row],[ProductID]]))</f>
        <v>P-SI-007</v>
      </c>
      <c r="K131" t="str">
        <f>IFERROR(VLOOKUP(Transaction[[#This Row],[ProductID_Clean]],Product[],1,FALSE),"Invalid ID")</f>
        <v>P-SI-007</v>
      </c>
      <c r="L131" t="str">
        <f>TRIM(SUBSTITUTE(SUBSTITUTE(SUBSTITUTE(SUBSTITUTE(UPPER(Transaction[[#This Row],[Region]]),"EMEA REGION","EMEA"),"APAC REGION","APAC"),"NORTH AMERICA","N. AMERICA"),"N .AMERICA","N.AMERICA"))</f>
        <v>N. AMERICA</v>
      </c>
      <c r="M131" t="s">
        <v>20</v>
      </c>
      <c r="N131" t="s">
        <v>272</v>
      </c>
      <c r="O13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31" t="s">
        <v>40</v>
      </c>
      <c r="Q131" t="str">
        <f>IF(TRIM(Transaction[[#This Row],[SalesChannel]])="","Missing Value",TRIM(Transaction[[#This Row],[SalesChannel]]))</f>
        <v>Distributor</v>
      </c>
      <c r="R131" s="4">
        <v>1</v>
      </c>
      <c r="S131" s="4" t="str">
        <f>IF(Transaction[[#This Row],[Quantity]]&lt;0,"Negative-review","Valid")</f>
        <v>Valid</v>
      </c>
      <c r="T131">
        <v>800.27</v>
      </c>
      <c r="U13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800.27</v>
      </c>
      <c r="V131">
        <v>980</v>
      </c>
      <c r="W131">
        <v>980</v>
      </c>
      <c r="X13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131">
        <f>IF(Transaction[[#This Row],[GrossRevenue_Check]]="Invalid",Transaction[[#This Row],[ListPrice]]*Transaction[[#This Row],[Quantity]],Transaction[[#This Row],[GrossRevenue_Clean]])</f>
        <v>980</v>
      </c>
      <c r="Z131" t="str">
        <f>IF(Transaction[[#This Row],[GrossRevenue_Clean]]=Transaction[[#This Row],[ListPrice]]*Transaction[[#This Row],[Quantity]],"Valid","Invalid")</f>
        <v>Valid</v>
      </c>
      <c r="AA131">
        <v>179.73</v>
      </c>
      <c r="AB13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179.73</v>
      </c>
      <c r="AC131">
        <f>IF(Transaction[[#This Row],[DiscountAmount_Check2]]="Invalid",Transaction[[#This Row],[GrossRevenue_Analytical]]-Transaction[[#This Row],[NetRevenue_Analytical]],Transaction[[#This Row],[DiscountAmount_Clean]])</f>
        <v>179.73</v>
      </c>
      <c r="AD131">
        <v>800.27</v>
      </c>
      <c r="AE131" t="str">
        <f>IF(ROUND(Transaction[[#This Row],[GrossRevenue_Analytical]]-Transaction[[#This Row],[NetRevenue_Analytical]],2)=ROUND(Transaction[[#This Row],[DiscountAmount_Clean]],2),"Valid","Invalid")</f>
        <v>Valid</v>
      </c>
      <c r="AF131">
        <f>VALUE(IF(ISNUMBER(Transaction[[#This Row],[NetRevenue]]),Transaction[[#This Row],[NetRevenue]],IFERROR(IF(FIND("$",Transaction[[#This Row],[NetRevenue]])&gt;0,MID(Transaction[[#This Row],[NetRevenue]],2,10)),Transaction[[#This Row],[NetRevenue]])))</f>
        <v>800.27</v>
      </c>
      <c r="AG131">
        <f>IF(Transaction[[#This Row],[NetRevenue_Check]]="Invalid",(Transaction[[#This Row],[Quantity]]*Transaction[[#This Row],[UnitPrice_Clean]]),Transaction[[#This Row],[NetRevenue_Clean]])</f>
        <v>800.27</v>
      </c>
      <c r="AH131" t="str">
        <f>IF(Transaction[[#This Row],[Quantity]]*Transaction[[#This Row],[UnitPrice_Clean]]=Transaction[[#This Row],[NetRevenue_Clean]],"Valid","Invalid")</f>
        <v>Valid</v>
      </c>
      <c r="AI131" t="s">
        <v>23</v>
      </c>
      <c r="AJ131" t="s">
        <v>525</v>
      </c>
      <c r="AK131" t="str">
        <f>IF(Transaction[[#This Row],[Salesperson]]="","Missing Value",TRIM(PROPER(Transaction[[#This Row],[Salesperson]])))</f>
        <v>Downs</v>
      </c>
      <c r="AL131" t="s">
        <v>55</v>
      </c>
      <c r="AM131" t="str">
        <f>IF(Transaction[[#This Row],[ContractType]]="","Missing Value",Transaction[[#This Row],[ContractType]])</f>
        <v>Spot</v>
      </c>
      <c r="AN131" t="s">
        <v>65</v>
      </c>
    </row>
    <row r="132" spans="1:40" x14ac:dyDescent="0.25">
      <c r="A132" t="s">
        <v>1917</v>
      </c>
      <c r="B132" s="1">
        <v>45808</v>
      </c>
      <c r="C13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3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31</v>
      </c>
      <c r="E13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32" s="2">
        <f>IFERROR(DATE(Transaction[[#This Row],[TransactionDateY]],Transaction[[#This Row],[TransactionDateM]],Transaction[[#This Row],[TransactionDateD]]),"Missing Value")</f>
        <v>45808</v>
      </c>
      <c r="G132" t="s">
        <v>146</v>
      </c>
      <c r="H132" t="str">
        <f>IFERROR(VLOOKUP(Transaction[[#This Row],[CustomerID]],Custumer[],1,0),IF(LEN(Transaction[[#This Row],[CustomerID]])=7,LEFT(Transaction[[#This Row],[CustomerID]],6),"Invalid ID"))</f>
        <v>C-1095</v>
      </c>
      <c r="I132" t="s">
        <v>62</v>
      </c>
      <c r="J132" t="str">
        <f>TRIM(UPPER(Transaction[[#This Row],[ProductID]]))</f>
        <v>P-SI-004</v>
      </c>
      <c r="K132" t="str">
        <f>IFERROR(VLOOKUP(Transaction[[#This Row],[ProductID_Clean]],Product[],1,FALSE),"Invalid ID")</f>
        <v>P-SI-004</v>
      </c>
      <c r="L132" t="str">
        <f>TRIM(SUBSTITUTE(SUBSTITUTE(SUBSTITUTE(SUBSTITUTE(UPPER(Transaction[[#This Row],[Region]]),"EMEA REGION","EMEA"),"APAC REGION","APAC"),"NORTH AMERICA","N. AMERICA"),"N .AMERICA","N.AMERICA"))</f>
        <v>LATIN AMERICA</v>
      </c>
      <c r="M132" t="s">
        <v>82</v>
      </c>
      <c r="N132" t="s">
        <v>98</v>
      </c>
      <c r="O13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32" t="s">
        <v>40</v>
      </c>
      <c r="Q132" t="str">
        <f>IF(TRIM(Transaction[[#This Row],[SalesChannel]])="","Missing Value",TRIM(Transaction[[#This Row],[SalesChannel]]))</f>
        <v>Distributor</v>
      </c>
      <c r="R132" s="4">
        <v>5</v>
      </c>
      <c r="S132" s="4" t="str">
        <f>IF(Transaction[[#This Row],[Quantity]]&lt;0,"Negative-review","Valid")</f>
        <v>Valid</v>
      </c>
      <c r="T132">
        <v>1717.38</v>
      </c>
      <c r="U13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1717.38</v>
      </c>
      <c r="V132">
        <v>2450</v>
      </c>
      <c r="W132" t="s">
        <v>1918</v>
      </c>
      <c r="X13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12250</v>
      </c>
      <c r="Y132">
        <f>IF(Transaction[[#This Row],[GrossRevenue_Check]]="Invalid",Transaction[[#This Row],[ListPrice]]*Transaction[[#This Row],[Quantity]],Transaction[[#This Row],[GrossRevenue_Clean]])</f>
        <v>12250</v>
      </c>
      <c r="Z132" t="str">
        <f>IF(Transaction[[#This Row],[GrossRevenue_Clean]]=Transaction[[#This Row],[ListPrice]]*Transaction[[#This Row],[Quantity]],"Valid","Invalid")</f>
        <v>Valid</v>
      </c>
      <c r="AA132" t="s">
        <v>1919</v>
      </c>
      <c r="AB13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3663.1</v>
      </c>
      <c r="AC132">
        <f>IF(Transaction[[#This Row],[DiscountAmount_Check2]]="Invalid",Transaction[[#This Row],[GrossRevenue_Analytical]]-Transaction[[#This Row],[NetRevenue_Analytical]],Transaction[[#This Row],[DiscountAmount_Clean]])</f>
        <v>3663.1</v>
      </c>
      <c r="AD132">
        <v>8586.9</v>
      </c>
      <c r="AE132" t="str">
        <f>IF(ROUND(Transaction[[#This Row],[GrossRevenue_Analytical]]-Transaction[[#This Row],[NetRevenue_Analytical]],2)=ROUND(Transaction[[#This Row],[DiscountAmount_Clean]],2),"Valid","Invalid")</f>
        <v>Valid</v>
      </c>
      <c r="AF132">
        <f>VALUE(IF(ISNUMBER(Transaction[[#This Row],[NetRevenue]]),Transaction[[#This Row],[NetRevenue]],IFERROR(IF(FIND("$",Transaction[[#This Row],[NetRevenue]])&gt;0,MID(Transaction[[#This Row],[NetRevenue]],2,10)),Transaction[[#This Row],[NetRevenue]])))</f>
        <v>8586.9</v>
      </c>
      <c r="AG132">
        <f>IF(Transaction[[#This Row],[NetRevenue_Check]]="Invalid",(Transaction[[#This Row],[Quantity]]*Transaction[[#This Row],[UnitPrice_Clean]]),Transaction[[#This Row],[NetRevenue_Clean]])</f>
        <v>8586.9</v>
      </c>
      <c r="AH132" t="str">
        <f>IF(Transaction[[#This Row],[Quantity]]*Transaction[[#This Row],[UnitPrice_Clean]]=Transaction[[#This Row],[NetRevenue_Clean]],"Valid","Invalid")</f>
        <v>Valid</v>
      </c>
      <c r="AI132" t="s">
        <v>23</v>
      </c>
      <c r="AJ132" t="s">
        <v>1920</v>
      </c>
      <c r="AK132" t="str">
        <f>IF(Transaction[[#This Row],[Salesperson]]="","Missing Value",TRIM(PROPER(Transaction[[#This Row],[Salesperson]])))</f>
        <v>Morris</v>
      </c>
      <c r="AL132" t="s">
        <v>42</v>
      </c>
      <c r="AM132" t="str">
        <f>IF(Transaction[[#This Row],[ContractType]]="","Missing Value",Transaction[[#This Row],[ContractType]])</f>
        <v>Standard PO</v>
      </c>
      <c r="AN132" t="s">
        <v>49</v>
      </c>
    </row>
    <row r="133" spans="1:40" x14ac:dyDescent="0.25">
      <c r="A133" t="s">
        <v>1994</v>
      </c>
      <c r="B133" s="1">
        <v>45803</v>
      </c>
      <c r="C13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3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13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33" s="2">
        <f>IFERROR(DATE(Transaction[[#This Row],[TransactionDateY]],Transaction[[#This Row],[TransactionDateM]],Transaction[[#This Row],[TransactionDateD]]),"Missing Value")</f>
        <v>45803</v>
      </c>
      <c r="G133" t="s">
        <v>345</v>
      </c>
      <c r="H133" t="str">
        <f>IFERROR(VLOOKUP(Transaction[[#This Row],[CustomerID]],Custumer[],1,0),IF(LEN(Transaction[[#This Row],[CustomerID]])=7,LEFT(Transaction[[#This Row],[CustomerID]],6),"Invalid ID"))</f>
        <v>C-1125</v>
      </c>
      <c r="I133" t="s">
        <v>111</v>
      </c>
      <c r="J133" t="str">
        <f>TRIM(UPPER(Transaction[[#This Row],[ProductID]]))</f>
        <v>P-SA-004</v>
      </c>
      <c r="K133" t="str">
        <f>IFERROR(VLOOKUP(Transaction[[#This Row],[ProductID_Clean]],Product[],1,FALSE),"Invalid ID")</f>
        <v>P-SA-004</v>
      </c>
      <c r="L133" t="str">
        <f>TRIM(SUBSTITUTE(SUBSTITUTE(SUBSTITUTE(SUBSTITUTE(UPPER(Transaction[[#This Row],[Region]]),"EMEA REGION","EMEA"),"APAC REGION","APAC"),"NORTH AMERICA","N. AMERICA"),"N .AMERICA","N.AMERICA"))</f>
        <v>N. AMERICA</v>
      </c>
      <c r="M133" t="s">
        <v>204</v>
      </c>
      <c r="N133" t="s">
        <v>205</v>
      </c>
      <c r="O13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33" t="s">
        <v>181</v>
      </c>
      <c r="Q133" t="str">
        <f>IF(TRIM(Transaction[[#This Row],[SalesChannel]])="","Missing Value",TRIM(Transaction[[#This Row],[SalesChannel]]))</f>
        <v>Partner Portal</v>
      </c>
      <c r="R133" s="4">
        <v>1</v>
      </c>
      <c r="S133" s="4" t="str">
        <f>IF(Transaction[[#This Row],[Quantity]]&lt;0,"Negative-review","Valid")</f>
        <v>Valid</v>
      </c>
      <c r="T133">
        <v>1509.65</v>
      </c>
      <c r="U13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1509.65</v>
      </c>
      <c r="V133">
        <v>1650</v>
      </c>
      <c r="W133" t="s">
        <v>1995</v>
      </c>
      <c r="X13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33">
        <f>IF(Transaction[[#This Row],[GrossRevenue_Check]]="Invalid",Transaction[[#This Row],[ListPrice]]*Transaction[[#This Row],[Quantity]],Transaction[[#This Row],[GrossRevenue_Clean]])</f>
        <v>1650</v>
      </c>
      <c r="Z133" t="str">
        <f>IF(Transaction[[#This Row],[GrossRevenue_Clean]]=Transaction[[#This Row],[ListPrice]]*Transaction[[#This Row],[Quantity]],"Valid","Invalid")</f>
        <v>Valid</v>
      </c>
      <c r="AA133">
        <v>140.35</v>
      </c>
      <c r="AB13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140.35</v>
      </c>
      <c r="AC133">
        <f>IF(Transaction[[#This Row],[DiscountAmount_Check2]]="Invalid",Transaction[[#This Row],[GrossRevenue_Analytical]]-Transaction[[#This Row],[NetRevenue_Analytical]],Transaction[[#This Row],[DiscountAmount_Clean]])</f>
        <v>140.35</v>
      </c>
      <c r="AD133">
        <v>1509.65</v>
      </c>
      <c r="AE133" t="str">
        <f>IF(ROUND(Transaction[[#This Row],[GrossRevenue_Analytical]]-Transaction[[#This Row],[NetRevenue_Analytical]],2)=ROUND(Transaction[[#This Row],[DiscountAmount_Clean]],2),"Valid","Invalid")</f>
        <v>Valid</v>
      </c>
      <c r="AF13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1509.65</v>
      </c>
      <c r="AG133">
        <f>IF(Transaction[[#This Row],[NetRevenue_Check]]="Invalid",(Transaction[[#This Row],[Quantity]]*Transaction[[#This Row],[UnitPrice_Clean]]),Transaction[[#This Row],[NetRevenue_Clean]])</f>
        <v>1509.65</v>
      </c>
      <c r="AH133" t="str">
        <f>IF(Transaction[[#This Row],[Quantity]]*Transaction[[#This Row],[UnitPrice_Clean]]=Transaction[[#This Row],[NetRevenue_Clean]],"Valid","Invalid")</f>
        <v>Valid</v>
      </c>
      <c r="AI133" t="s">
        <v>23</v>
      </c>
      <c r="AJ133" t="s">
        <v>1996</v>
      </c>
      <c r="AK133" t="str">
        <f>IF(Transaction[[#This Row],[Salesperson]]="","Missing Value",TRIM(PROPER(Transaction[[#This Row],[Salesperson]])))</f>
        <v>Maddox-Em</v>
      </c>
      <c r="AL133" t="s">
        <v>34</v>
      </c>
      <c r="AM133" t="str">
        <f>IF(Transaction[[#This Row],[ContractType]]="","Missing Value",Transaction[[#This Row],[ContractType]])</f>
        <v>Annual License</v>
      </c>
      <c r="AN133" t="s">
        <v>49</v>
      </c>
    </row>
    <row r="134" spans="1:40" x14ac:dyDescent="0.25">
      <c r="A134" t="s">
        <v>1857</v>
      </c>
      <c r="B134" t="s">
        <v>1468</v>
      </c>
      <c r="C13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13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13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34" s="2">
        <f>IFERROR(DATE(Transaction[[#This Row],[TransactionDateY]],Transaction[[#This Row],[TransactionDateM]],Transaction[[#This Row],[TransactionDateD]]),"Missing Value")</f>
        <v>45683</v>
      </c>
      <c r="G134" t="s">
        <v>1578</v>
      </c>
      <c r="H134" t="str">
        <f>IFERROR(VLOOKUP(Transaction[[#This Row],[CustomerID]],Custumer[],1,0),IF(LEN(Transaction[[#This Row],[CustomerID]])=7,LEFT(Transaction[[#This Row],[CustomerID]],6),"Invalid ID"))</f>
        <v>C-1031</v>
      </c>
      <c r="I134" t="s">
        <v>268</v>
      </c>
      <c r="J134" t="str">
        <f>TRIM(UPPER(Transaction[[#This Row],[ProductID]]))</f>
        <v>P-FS-002</v>
      </c>
      <c r="K134" t="str">
        <f>IFERROR(VLOOKUP(Transaction[[#This Row],[ProductID_Clean]],Product[],1,FALSE),"Invalid ID")</f>
        <v>P-FS-002</v>
      </c>
      <c r="L134" t="str">
        <f>TRIM(SUBSTITUTE(SUBSTITUTE(SUBSTITUTE(SUBSTITUTE(UPPER(Transaction[[#This Row],[Region]]),"EMEA REGION","EMEA"),"APAC REGION","APAC"),"NORTH AMERICA","N. AMERICA"),"N .AMERICA","N.AMERICA"))</f>
        <v>N. AMERICA</v>
      </c>
      <c r="M134" t="s">
        <v>168</v>
      </c>
      <c r="N134" t="s">
        <v>21</v>
      </c>
      <c r="O13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34" t="s">
        <v>22</v>
      </c>
      <c r="Q134" t="str">
        <f>IF(TRIM(Transaction[[#This Row],[SalesChannel]])="","Missing Value",TRIM(Transaction[[#This Row],[SalesChannel]]))</f>
        <v>Direct</v>
      </c>
      <c r="R134" s="4">
        <v>1</v>
      </c>
      <c r="S134" s="4" t="str">
        <f>IF(Transaction[[#This Row],[Quantity]]&lt;0,"Negative-review","Valid")</f>
        <v>Valid</v>
      </c>
      <c r="T134">
        <v>2253.84</v>
      </c>
      <c r="U13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2253.84</v>
      </c>
      <c r="V134">
        <v>2400</v>
      </c>
      <c r="W134">
        <v>2400</v>
      </c>
      <c r="X13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134">
        <f>IF(Transaction[[#This Row],[GrossRevenue_Check]]="Invalid",Transaction[[#This Row],[ListPrice]]*Transaction[[#This Row],[Quantity]],Transaction[[#This Row],[GrossRevenue_Clean]])</f>
        <v>2400</v>
      </c>
      <c r="Z134" t="str">
        <f>IF(Transaction[[#This Row],[GrossRevenue_Clean]]=Transaction[[#This Row],[ListPrice]]*Transaction[[#This Row],[Quantity]],"Valid","Invalid")</f>
        <v>Valid</v>
      </c>
      <c r="AA134">
        <v>146.16</v>
      </c>
      <c r="AB13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146.16</v>
      </c>
      <c r="AC134">
        <f>IF(Transaction[[#This Row],[DiscountAmount_Check2]]="Invalid",Transaction[[#This Row],[GrossRevenue_Analytical]]-Transaction[[#This Row],[NetRevenue_Analytical]],Transaction[[#This Row],[DiscountAmount_Clean]])</f>
        <v>146.16</v>
      </c>
      <c r="AD134">
        <v>2253.84</v>
      </c>
      <c r="AE134" t="str">
        <f>IF(ROUND(Transaction[[#This Row],[GrossRevenue_Analytical]]-Transaction[[#This Row],[NetRevenue_Analytical]],2)=ROUND(Transaction[[#This Row],[DiscountAmount_Clean]],2),"Valid","Invalid")</f>
        <v>Valid</v>
      </c>
      <c r="AF13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2253.84</v>
      </c>
      <c r="AG134">
        <f>IF(Transaction[[#This Row],[NetRevenue_Check]]="Invalid",(Transaction[[#This Row],[Quantity]]*Transaction[[#This Row],[UnitPrice_Clean]]),Transaction[[#This Row],[NetRevenue_Clean]])</f>
        <v>2253.84</v>
      </c>
      <c r="AH134" t="str">
        <f>IF(Transaction[[#This Row],[Quantity]]*Transaction[[#This Row],[UnitPrice_Clean]]=Transaction[[#This Row],[NetRevenue_Clean]],"Valid","Invalid")</f>
        <v>Valid</v>
      </c>
      <c r="AI134" t="s">
        <v>99</v>
      </c>
      <c r="AJ134" t="s">
        <v>871</v>
      </c>
      <c r="AK134" t="str">
        <f>IF(Transaction[[#This Row],[Salesperson]]="","Missing Value",TRIM(PROPER(Transaction[[#This Row],[Salesperson]])))</f>
        <v>Stewart</v>
      </c>
      <c r="AL134" t="s">
        <v>224</v>
      </c>
      <c r="AM134" t="str">
        <f>IF(Transaction[[#This Row],[ContractType]]="","Missing Value",Transaction[[#This Row],[ContractType]])</f>
        <v>Annual</v>
      </c>
      <c r="AN134" t="s">
        <v>65</v>
      </c>
    </row>
    <row r="135" spans="1:40" x14ac:dyDescent="0.25">
      <c r="A135" t="s">
        <v>2907</v>
      </c>
      <c r="B135" t="s">
        <v>2908</v>
      </c>
      <c r="C13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13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13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35" s="2">
        <f>IFERROR(DATE(Transaction[[#This Row],[TransactionDateY]],Transaction[[#This Row],[TransactionDateM]],Transaction[[#This Row],[TransactionDateD]]),"Missing Value")</f>
        <v>45818</v>
      </c>
      <c r="G135" t="s">
        <v>329</v>
      </c>
      <c r="H135" t="str">
        <f>IFERROR(VLOOKUP(Transaction[[#This Row],[CustomerID]],Custumer[],1,0),IF(LEN(Transaction[[#This Row],[CustomerID]])=7,LEFT(Transaction[[#This Row],[CustomerID]],6),"Invalid ID"))</f>
        <v>C-1145</v>
      </c>
      <c r="I135" t="s">
        <v>117</v>
      </c>
      <c r="J135" t="str">
        <f>TRIM(UPPER(Transaction[[#This Row],[ProductID]]))</f>
        <v>P-SI-007</v>
      </c>
      <c r="K135" t="str">
        <f>IFERROR(VLOOKUP(Transaction[[#This Row],[ProductID_Clean]],Product[],1,FALSE),"Invalid ID")</f>
        <v>P-SI-007</v>
      </c>
      <c r="L135" t="str">
        <f>TRIM(SUBSTITUTE(SUBSTITUTE(SUBSTITUTE(SUBSTITUTE(UPPER(Transaction[[#This Row],[Region]]),"EMEA REGION","EMEA"),"APAC REGION","APAC"),"NORTH AMERICA","N. AMERICA"),"N .AMERICA","N.AMERICA"))</f>
        <v>N. AMERICA</v>
      </c>
      <c r="M135" t="s">
        <v>20</v>
      </c>
      <c r="N135" t="s">
        <v>53</v>
      </c>
      <c r="O13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35" t="s">
        <v>181</v>
      </c>
      <c r="Q135" t="str">
        <f>IF(TRIM(Transaction[[#This Row],[SalesChannel]])="","Missing Value",TRIM(Transaction[[#This Row],[SalesChannel]]))</f>
        <v>Partner Portal</v>
      </c>
      <c r="R135" s="4">
        <v>12</v>
      </c>
      <c r="S135" s="4" t="str">
        <f>IF(Transaction[[#This Row],[Quantity]]&lt;0,"Negative-review","Valid")</f>
        <v>Valid</v>
      </c>
      <c r="T135">
        <v>796.22</v>
      </c>
      <c r="U13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796.22</v>
      </c>
      <c r="V135">
        <v>980</v>
      </c>
      <c r="W135">
        <v>11760</v>
      </c>
      <c r="X13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11760</v>
      </c>
      <c r="Y135">
        <f>IF(Transaction[[#This Row],[GrossRevenue_Check]]="Invalid",Transaction[[#This Row],[ListPrice]]*Transaction[[#This Row],[Quantity]],Transaction[[#This Row],[GrossRevenue_Clean]])</f>
        <v>11760</v>
      </c>
      <c r="Z135" t="str">
        <f>IF(Transaction[[#This Row],[GrossRevenue_Clean]]=Transaction[[#This Row],[ListPrice]]*Transaction[[#This Row],[Quantity]],"Valid","Invalid")</f>
        <v>Valid</v>
      </c>
      <c r="AA135">
        <v>2205.36</v>
      </c>
      <c r="AB13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2205.36</v>
      </c>
      <c r="AC135">
        <f>IF(Transaction[[#This Row],[DiscountAmount_Check2]]="Invalid",Transaction[[#This Row],[GrossRevenue_Analytical]]-Transaction[[#This Row],[NetRevenue_Analytical]],Transaction[[#This Row],[DiscountAmount_Clean]])</f>
        <v>2205.36</v>
      </c>
      <c r="AD135">
        <v>9554.64</v>
      </c>
      <c r="AE135" t="str">
        <f>IF(ROUND(Transaction[[#This Row],[GrossRevenue_Analytical]]-Transaction[[#This Row],[NetRevenue_Analytical]],2)=ROUND(Transaction[[#This Row],[DiscountAmount_Clean]],2),"Valid","Invalid")</f>
        <v>Valid</v>
      </c>
      <c r="AF135">
        <f>VALUE(IF(ISNUMBER(Transaction[[#This Row],[NetRevenue]]),Transaction[[#This Row],[NetRevenue]],IFERROR(IF(FIND("$",Transaction[[#This Row],[NetRevenue]])&gt;0,MID(Transaction[[#This Row],[NetRevenue]],2,10)),Transaction[[#This Row],[NetRevenue]])))</f>
        <v>9554.64</v>
      </c>
      <c r="AG135">
        <f>IF(Transaction[[#This Row],[NetRevenue_Check]]="Invalid",(Transaction[[#This Row],[Quantity]]*Transaction[[#This Row],[UnitPrice_Clean]]),Transaction[[#This Row],[NetRevenue_Clean]])</f>
        <v>9554.64</v>
      </c>
      <c r="AH135" t="str">
        <f>IF(Transaction[[#This Row],[Quantity]]*Transaction[[#This Row],[UnitPrice_Clean]]=Transaction[[#This Row],[NetRevenue_Clean]],"Valid","Invalid")</f>
        <v>Valid</v>
      </c>
      <c r="AI135" t="s">
        <v>99</v>
      </c>
      <c r="AJ135" t="s">
        <v>2251</v>
      </c>
      <c r="AK135" t="str">
        <f>IF(Transaction[[#This Row],[Salesperson]]="","Missing Value",TRIM(PROPER(Transaction[[#This Row],[Salesperson]])))</f>
        <v>Gonzales</v>
      </c>
      <c r="AL135" t="s">
        <v>42</v>
      </c>
      <c r="AM135" t="str">
        <f>IF(Transaction[[#This Row],[ContractType]]="","Missing Value",Transaction[[#This Row],[ContractType]])</f>
        <v>Standard PO</v>
      </c>
      <c r="AN135" t="s">
        <v>65</v>
      </c>
    </row>
    <row r="136" spans="1:40" x14ac:dyDescent="0.25">
      <c r="A136" t="s">
        <v>882</v>
      </c>
      <c r="B136" s="1">
        <v>45725</v>
      </c>
      <c r="C13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3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13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36" s="2">
        <f>IFERROR(DATE(Transaction[[#This Row],[TransactionDateY]],Transaction[[#This Row],[TransactionDateM]],Transaction[[#This Row],[TransactionDateD]]),"Missing Value")</f>
        <v>45725</v>
      </c>
      <c r="G136" t="s">
        <v>208</v>
      </c>
      <c r="H136" t="str">
        <f>IFERROR(VLOOKUP(Transaction[[#This Row],[CustomerID]],Custumer[],1,0),IF(LEN(Transaction[[#This Row],[CustomerID]])=7,LEFT(Transaction[[#This Row],[CustomerID]],6),"Invalid ID"))</f>
        <v>C-1076</v>
      </c>
      <c r="I136" t="s">
        <v>52</v>
      </c>
      <c r="J136" t="str">
        <f>TRIM(UPPER(Transaction[[#This Row],[ProductID]]))</f>
        <v>P-SI-002</v>
      </c>
      <c r="K136" t="str">
        <f>IFERROR(VLOOKUP(Transaction[[#This Row],[ProductID_Clean]],Product[],1,FALSE),"Invalid ID")</f>
        <v>P-SI-002</v>
      </c>
      <c r="L136" t="str">
        <f>TRIM(SUBSTITUTE(SUBSTITUTE(SUBSTITUTE(SUBSTITUTE(UPPER(Transaction[[#This Row],[Region]]),"EMEA REGION","EMEA"),"APAC REGION","APAC"),"NORTH AMERICA","N. AMERICA"),"N .AMERICA","N.AMERICA"))</f>
        <v>APAC</v>
      </c>
      <c r="M136" t="s">
        <v>30</v>
      </c>
      <c r="N136" t="s">
        <v>53</v>
      </c>
      <c r="O13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36" t="s">
        <v>22</v>
      </c>
      <c r="Q136" t="str">
        <f>IF(TRIM(Transaction[[#This Row],[SalesChannel]])="","Missing Value",TRIM(Transaction[[#This Row],[SalesChannel]]))</f>
        <v>Direct</v>
      </c>
      <c r="R136" s="4">
        <v>1</v>
      </c>
      <c r="S136" s="4" t="str">
        <f>IF(Transaction[[#This Row],[Quantity]]&lt;0,"Negative-review","Valid")</f>
        <v>Valid</v>
      </c>
      <c r="T136">
        <v>573.20000000000005</v>
      </c>
      <c r="U13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573.20000000000005</v>
      </c>
      <c r="V136">
        <v>725</v>
      </c>
      <c r="W136">
        <v>725</v>
      </c>
      <c r="X13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136">
        <f>IF(Transaction[[#This Row],[GrossRevenue_Check]]="Invalid",Transaction[[#This Row],[ListPrice]]*Transaction[[#This Row],[Quantity]],Transaction[[#This Row],[GrossRevenue_Clean]])</f>
        <v>725</v>
      </c>
      <c r="Z136" t="str">
        <f>IF(Transaction[[#This Row],[GrossRevenue_Clean]]=Transaction[[#This Row],[ListPrice]]*Transaction[[#This Row],[Quantity]],"Valid","Invalid")</f>
        <v>Valid</v>
      </c>
      <c r="AA136">
        <v>151.80000000000001</v>
      </c>
      <c r="AB13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151.80000000000001</v>
      </c>
      <c r="AC136">
        <f>IF(Transaction[[#This Row],[DiscountAmount_Check2]]="Invalid",Transaction[[#This Row],[GrossRevenue_Analytical]]-Transaction[[#This Row],[NetRevenue_Analytical]],Transaction[[#This Row],[DiscountAmount_Clean]])</f>
        <v>151.80000000000001</v>
      </c>
      <c r="AD136">
        <v>573.20000000000005</v>
      </c>
      <c r="AE136" t="str">
        <f>IF(ROUND(Transaction[[#This Row],[GrossRevenue_Analytical]]-Transaction[[#This Row],[NetRevenue_Analytical]],2)=ROUND(Transaction[[#This Row],[DiscountAmount_Clean]],2),"Valid","Invalid")</f>
        <v>Valid</v>
      </c>
      <c r="AF136">
        <f>VALUE(IF(ISNUMBER(Transaction[[#This Row],[NetRevenue]]),Transaction[[#This Row],[NetRevenue]],IFERROR(IF(FIND("$",Transaction[[#This Row],[NetRevenue]])&gt;0,MID(Transaction[[#This Row],[NetRevenue]],2,10)),Transaction[[#This Row],[NetRevenue]])))</f>
        <v>573.20000000000005</v>
      </c>
      <c r="AG136">
        <f>IF(Transaction[[#This Row],[NetRevenue_Check]]="Invalid",(Transaction[[#This Row],[Quantity]]*Transaction[[#This Row],[UnitPrice_Clean]]),Transaction[[#This Row],[NetRevenue_Clean]])</f>
        <v>573.20000000000005</v>
      </c>
      <c r="AH136" t="str">
        <f>IF(Transaction[[#This Row],[Quantity]]*Transaction[[#This Row],[UnitPrice_Clean]]=Transaction[[#This Row],[NetRevenue_Clean]],"Valid","Invalid")</f>
        <v>Valid</v>
      </c>
      <c r="AI136" t="s">
        <v>23</v>
      </c>
      <c r="AJ136" t="s">
        <v>883</v>
      </c>
      <c r="AK136" t="str">
        <f>IF(Transaction[[#This Row],[Salesperson]]="","Missing Value",TRIM(PROPER(Transaction[[#This Row],[Salesperson]])))</f>
        <v>Harrison-Ap</v>
      </c>
      <c r="AL136" t="s">
        <v>42</v>
      </c>
      <c r="AM136" t="str">
        <f>IF(Transaction[[#This Row],[ContractType]]="","Missing Value",Transaction[[#This Row],[ContractType]])</f>
        <v>Standard PO</v>
      </c>
      <c r="AN136" t="s">
        <v>49</v>
      </c>
    </row>
    <row r="137" spans="1:40" x14ac:dyDescent="0.25">
      <c r="A137" t="s">
        <v>1234</v>
      </c>
      <c r="B137" s="1">
        <v>45678</v>
      </c>
      <c r="C13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3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13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37" s="2">
        <f>IFERROR(DATE(Transaction[[#This Row],[TransactionDateY]],Transaction[[#This Row],[TransactionDateM]],Transaction[[#This Row],[TransactionDateD]]),"Missing Value")</f>
        <v>45678</v>
      </c>
      <c r="G137" t="s">
        <v>1235</v>
      </c>
      <c r="H137" t="str">
        <f>IFERROR(VLOOKUP(Transaction[[#This Row],[CustomerID]],Custumer[],1,0),IF(LEN(Transaction[[#This Row],[CustomerID]])=7,LEFT(Transaction[[#This Row],[CustomerID]],6),"Invalid ID"))</f>
        <v>C-1032</v>
      </c>
      <c r="I137" t="s">
        <v>121</v>
      </c>
      <c r="J137" t="str">
        <f>TRIM(UPPER(Transaction[[#This Row],[ProductID]]))</f>
        <v>P-FS-001</v>
      </c>
      <c r="K137" t="str">
        <f>IFERROR(VLOOKUP(Transaction[[#This Row],[ProductID_Clean]],Product[],1,FALSE),"Invalid ID")</f>
        <v>P-FS-001</v>
      </c>
      <c r="L137" t="str">
        <f>TRIM(SUBSTITUTE(SUBSTITUTE(SUBSTITUTE(SUBSTITUTE(UPPER(Transaction[[#This Row],[Region]]),"EMEA REGION","EMEA"),"APAC REGION","APAC"),"NORTH AMERICA","N. AMERICA"),"N .AMERICA","N.AMERICA"))</f>
        <v>EMEA</v>
      </c>
      <c r="M137" t="s">
        <v>76</v>
      </c>
      <c r="N137" t="s">
        <v>21</v>
      </c>
      <c r="O137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37" t="s">
        <v>40</v>
      </c>
      <c r="Q137" t="str">
        <f>IF(TRIM(Transaction[[#This Row],[SalesChannel]])="","Missing Value",TRIM(Transaction[[#This Row],[SalesChannel]]))</f>
        <v>Distributor</v>
      </c>
      <c r="R137" s="4">
        <v>1</v>
      </c>
      <c r="S137" s="4" t="str">
        <f>IF(Transaction[[#This Row],[Quantity]]&lt;0,"Negative-review","Valid")</f>
        <v>Valid</v>
      </c>
      <c r="T137">
        <v>1539.8</v>
      </c>
      <c r="U13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1539.8</v>
      </c>
      <c r="V137">
        <v>1850</v>
      </c>
      <c r="W137">
        <v>1850</v>
      </c>
      <c r="X13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137">
        <f>IF(Transaction[[#This Row],[GrossRevenue_Check]]="Invalid",Transaction[[#This Row],[ListPrice]]*Transaction[[#This Row],[Quantity]],Transaction[[#This Row],[GrossRevenue_Clean]])</f>
        <v>1850</v>
      </c>
      <c r="Z137" t="str">
        <f>IF(Transaction[[#This Row],[GrossRevenue_Clean]]=Transaction[[#This Row],[ListPrice]]*Transaction[[#This Row],[Quantity]],"Valid","Invalid")</f>
        <v>Valid</v>
      </c>
      <c r="AA137">
        <v>310.2</v>
      </c>
      <c r="AB13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310.2</v>
      </c>
      <c r="AC137">
        <f>IF(Transaction[[#This Row],[DiscountAmount_Check2]]="Invalid",Transaction[[#This Row],[GrossRevenue_Analytical]]-Transaction[[#This Row],[NetRevenue_Analytical]],Transaction[[#This Row],[DiscountAmount_Clean]])</f>
        <v>310.2</v>
      </c>
      <c r="AD137">
        <v>1539.8</v>
      </c>
      <c r="AE137" t="str">
        <f>IF(ROUND(Transaction[[#This Row],[GrossRevenue_Analytical]]-Transaction[[#This Row],[NetRevenue_Analytical]],2)=ROUND(Transaction[[#This Row],[DiscountAmount_Clean]],2),"Valid","Invalid")</f>
        <v>Valid</v>
      </c>
      <c r="AF13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1539.8</v>
      </c>
      <c r="AG137">
        <f>IF(Transaction[[#This Row],[NetRevenue_Check]]="Invalid",(Transaction[[#This Row],[Quantity]]*Transaction[[#This Row],[UnitPrice_Clean]]),Transaction[[#This Row],[NetRevenue_Clean]])</f>
        <v>1539.8</v>
      </c>
      <c r="AH137" t="str">
        <f>IF(Transaction[[#This Row],[Quantity]]*Transaction[[#This Row],[UnitPrice_Clean]]=Transaction[[#This Row],[NetRevenue_Clean]],"Valid","Invalid")</f>
        <v>Valid</v>
      </c>
      <c r="AI137" t="s">
        <v>23</v>
      </c>
      <c r="AJ137" t="s">
        <v>1236</v>
      </c>
      <c r="AK137" t="str">
        <f>IF(Transaction[[#This Row],[Salesperson]]="","Missing Value",TRIM(PROPER(Transaction[[#This Row],[Salesperson]])))</f>
        <v>Welch</v>
      </c>
      <c r="AL137" t="s">
        <v>42</v>
      </c>
      <c r="AM137" t="str">
        <f>IF(Transaction[[#This Row],[ContractType]]="","Missing Value",Transaction[[#This Row],[ContractType]])</f>
        <v>Standard PO</v>
      </c>
      <c r="AN137" t="s">
        <v>49</v>
      </c>
    </row>
    <row r="138" spans="1:40" x14ac:dyDescent="0.25">
      <c r="A138" t="s">
        <v>1568</v>
      </c>
      <c r="B138" s="1">
        <v>45719</v>
      </c>
      <c r="C13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3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13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38" s="2">
        <f>IFERROR(DATE(Transaction[[#This Row],[TransactionDateY]],Transaction[[#This Row],[TransactionDateM]],Transaction[[#This Row],[TransactionDateD]]),"Missing Value")</f>
        <v>45719</v>
      </c>
      <c r="G138" t="s">
        <v>300</v>
      </c>
      <c r="H138" t="str">
        <f>IFERROR(VLOOKUP(Transaction[[#This Row],[CustomerID]],Custumer[],1,0),IF(LEN(Transaction[[#This Row],[CustomerID]])=7,LEFT(Transaction[[#This Row],[CustomerID]],6),"Invalid ID"))</f>
        <v>C-1089</v>
      </c>
      <c r="I138" t="s">
        <v>1569</v>
      </c>
      <c r="J138" t="str">
        <f>TRIM(UPPER(Transaction[[#This Row],[ProductID]]))</f>
        <v>P-SA-005</v>
      </c>
      <c r="K138" t="str">
        <f>IFERROR(VLOOKUP(Transaction[[#This Row],[ProductID_Clean]],Product[],1,FALSE),"Invalid ID")</f>
        <v>P-SA-005</v>
      </c>
      <c r="L138" t="str">
        <f>TRIM(SUBSTITUTE(SUBSTITUTE(SUBSTITUTE(SUBSTITUTE(UPPER(Transaction[[#This Row],[Region]]),"EMEA REGION","EMEA"),"APAC REGION","APAC"),"NORTH AMERICA","N. AMERICA"),"N .AMERICA","N.AMERICA"))</f>
        <v>LATIN AMERICA</v>
      </c>
      <c r="M138" t="s">
        <v>82</v>
      </c>
      <c r="N138" t="s">
        <v>31</v>
      </c>
      <c r="O13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Q138" t="str">
        <f>IF(TRIM(Transaction[[#This Row],[SalesChannel]])="","Missing Value",TRIM(Transaction[[#This Row],[SalesChannel]]))</f>
        <v>Missing Value</v>
      </c>
      <c r="R138" s="4">
        <v>1</v>
      </c>
      <c r="S138" s="4" t="str">
        <f>IF(Transaction[[#This Row],[Quantity]]&lt;0,"Negative-review","Valid")</f>
        <v>Valid</v>
      </c>
      <c r="T138">
        <v>2698.8</v>
      </c>
      <c r="U13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2698.8</v>
      </c>
      <c r="V138">
        <v>3200</v>
      </c>
      <c r="W138">
        <v>3200</v>
      </c>
      <c r="X13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138">
        <f>IF(Transaction[[#This Row],[GrossRevenue_Check]]="Invalid",Transaction[[#This Row],[ListPrice]]*Transaction[[#This Row],[Quantity]],Transaction[[#This Row],[GrossRevenue_Clean]])</f>
        <v>3200</v>
      </c>
      <c r="Z138" t="str">
        <f>IF(Transaction[[#This Row],[GrossRevenue_Clean]]=Transaction[[#This Row],[ListPrice]]*Transaction[[#This Row],[Quantity]],"Valid","Invalid")</f>
        <v>Valid</v>
      </c>
      <c r="AA138">
        <v>501.2</v>
      </c>
      <c r="AB13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501.2</v>
      </c>
      <c r="AC138">
        <f>IF(Transaction[[#This Row],[DiscountAmount_Check2]]="Invalid",Transaction[[#This Row],[GrossRevenue_Analytical]]-Transaction[[#This Row],[NetRevenue_Analytical]],Transaction[[#This Row],[DiscountAmount_Clean]])</f>
        <v>501.2</v>
      </c>
      <c r="AD138">
        <v>2698.8</v>
      </c>
      <c r="AE138" t="str">
        <f>IF(ROUND(Transaction[[#This Row],[GrossRevenue_Analytical]]-Transaction[[#This Row],[NetRevenue_Analytical]],2)=ROUND(Transaction[[#This Row],[DiscountAmount_Clean]],2),"Valid","Invalid")</f>
        <v>Valid</v>
      </c>
      <c r="AF13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2698.8</v>
      </c>
      <c r="AG138">
        <f>IF(Transaction[[#This Row],[NetRevenue_Check]]="Invalid",(Transaction[[#This Row],[Quantity]]*Transaction[[#This Row],[UnitPrice_Clean]]),Transaction[[#This Row],[NetRevenue_Clean]])</f>
        <v>2698.8</v>
      </c>
      <c r="AH138" t="str">
        <f>IF(Transaction[[#This Row],[Quantity]]*Transaction[[#This Row],[UnitPrice_Clean]]=Transaction[[#This Row],[NetRevenue_Clean]],"Valid","Invalid")</f>
        <v>Valid</v>
      </c>
      <c r="AI138" t="s">
        <v>23</v>
      </c>
      <c r="AK138" t="str">
        <f>IF(Transaction[[#This Row],[Salesperson]]="","Missing Value",TRIM(PROPER(Transaction[[#This Row],[Salesperson]])))</f>
        <v>Missing Value</v>
      </c>
      <c r="AL138" t="s">
        <v>34</v>
      </c>
      <c r="AM138" t="str">
        <f>IF(Transaction[[#This Row],[ContractType]]="","Missing Value",Transaction[[#This Row],[ContractType]])</f>
        <v>Annual License</v>
      </c>
      <c r="AN138" t="s">
        <v>49</v>
      </c>
    </row>
    <row r="139" spans="1:40" x14ac:dyDescent="0.25">
      <c r="A139" t="s">
        <v>1122</v>
      </c>
      <c r="B139" s="1">
        <v>45799</v>
      </c>
      <c r="C13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3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13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39" s="2">
        <f>IFERROR(DATE(Transaction[[#This Row],[TransactionDateY]],Transaction[[#This Row],[TransactionDateM]],Transaction[[#This Row],[TransactionDateD]]),"Missing Value")</f>
        <v>45799</v>
      </c>
      <c r="G139" t="s">
        <v>190</v>
      </c>
      <c r="H139" t="str">
        <f>IFERROR(VLOOKUP(Transaction[[#This Row],[CustomerID]],Custumer[],1,0),IF(LEN(Transaction[[#This Row],[CustomerID]])=7,LEFT(Transaction[[#This Row],[CustomerID]],6),"Invalid ID"))</f>
        <v>C-1082</v>
      </c>
      <c r="I139" t="s">
        <v>1123</v>
      </c>
      <c r="J139" t="str">
        <f>TRIM(UPPER(Transaction[[#This Row],[ProductID]]))</f>
        <v>P-SA-003</v>
      </c>
      <c r="K139" t="str">
        <f>IFERROR(VLOOKUP(Transaction[[#This Row],[ProductID_Clean]],Product[],1,FALSE),"Invalid ID")</f>
        <v>P-SA-003</v>
      </c>
      <c r="L139" t="str">
        <f>TRIM(SUBSTITUTE(SUBSTITUTE(SUBSTITUTE(SUBSTITUTE(UPPER(Transaction[[#This Row],[Region]]),"EMEA REGION","EMEA"),"APAC REGION","APAC"),"NORTH AMERICA","N. AMERICA"),"N .AMERICA","N.AMERICA"))</f>
        <v>N. AMERICA</v>
      </c>
      <c r="M139" t="s">
        <v>204</v>
      </c>
      <c r="N139" t="s">
        <v>31</v>
      </c>
      <c r="O13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39" t="s">
        <v>93</v>
      </c>
      <c r="Q139" t="str">
        <f>IF(TRIM(Transaction[[#This Row],[SalesChannel]])="","Missing Value",TRIM(Transaction[[#This Row],[SalesChannel]]))</f>
        <v>direct</v>
      </c>
      <c r="R139" s="4">
        <v>1</v>
      </c>
      <c r="S139" s="4" t="str">
        <f>IF(Transaction[[#This Row],[Quantity]]&lt;0,"Negative-review","Valid")</f>
        <v>Valid</v>
      </c>
      <c r="T139">
        <v>2322.23</v>
      </c>
      <c r="U13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2322.23</v>
      </c>
      <c r="V139">
        <v>2750</v>
      </c>
      <c r="W139">
        <v>2750</v>
      </c>
      <c r="X13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139">
        <f>IF(Transaction[[#This Row],[GrossRevenue_Check]]="Invalid",Transaction[[#This Row],[ListPrice]]*Transaction[[#This Row],[Quantity]],Transaction[[#This Row],[GrossRevenue_Clean]])</f>
        <v>2750</v>
      </c>
      <c r="Z139" t="str">
        <f>IF(Transaction[[#This Row],[GrossRevenue_Clean]]=Transaction[[#This Row],[ListPrice]]*Transaction[[#This Row],[Quantity]],"Valid","Invalid")</f>
        <v>Valid</v>
      </c>
      <c r="AA139">
        <v>427.77</v>
      </c>
      <c r="AB13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427.77</v>
      </c>
      <c r="AC139">
        <f>IF(Transaction[[#This Row],[DiscountAmount_Check2]]="Invalid",Transaction[[#This Row],[GrossRevenue_Analytical]]-Transaction[[#This Row],[NetRevenue_Analytical]],Transaction[[#This Row],[DiscountAmount_Clean]])</f>
        <v>427.77</v>
      </c>
      <c r="AD139">
        <v>2322.23</v>
      </c>
      <c r="AE139" t="str">
        <f>IF(ROUND(Transaction[[#This Row],[GrossRevenue_Analytical]]-Transaction[[#This Row],[NetRevenue_Analytical]],2)=ROUND(Transaction[[#This Row],[DiscountAmount_Clean]],2),"Valid","Invalid")</f>
        <v>Valid</v>
      </c>
      <c r="AF13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2322.23</v>
      </c>
      <c r="AG139">
        <f>IF(Transaction[[#This Row],[NetRevenue_Check]]="Invalid",(Transaction[[#This Row],[Quantity]]*Transaction[[#This Row],[UnitPrice_Clean]]),Transaction[[#This Row],[NetRevenue_Clean]])</f>
        <v>2322.23</v>
      </c>
      <c r="AH139" t="str">
        <f>IF(Transaction[[#This Row],[Quantity]]*Transaction[[#This Row],[UnitPrice_Clean]]=Transaction[[#This Row],[NetRevenue_Clean]],"Valid","Invalid")</f>
        <v>Valid</v>
      </c>
      <c r="AI139" t="s">
        <v>23</v>
      </c>
      <c r="AJ139" t="s">
        <v>1124</v>
      </c>
      <c r="AK139" t="str">
        <f>IF(Transaction[[#This Row],[Salesperson]]="","Missing Value",TRIM(PROPER(Transaction[[#This Row],[Salesperson]])))</f>
        <v>Vargas</v>
      </c>
      <c r="AL139" t="s">
        <v>34</v>
      </c>
      <c r="AM139" t="str">
        <f>IF(Transaction[[#This Row],[ContractType]]="","Missing Value",Transaction[[#This Row],[ContractType]])</f>
        <v>Annual License</v>
      </c>
      <c r="AN139" t="s">
        <v>65</v>
      </c>
    </row>
    <row r="140" spans="1:40" x14ac:dyDescent="0.25">
      <c r="A140" t="s">
        <v>1142</v>
      </c>
      <c r="B140" s="1">
        <v>45698</v>
      </c>
      <c r="C14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4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14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40" s="2">
        <f>IFERROR(DATE(Transaction[[#This Row],[TransactionDateY]],Transaction[[#This Row],[TransactionDateM]],Transaction[[#This Row],[TransactionDateD]]),"Missing Value")</f>
        <v>45698</v>
      </c>
      <c r="G140" t="s">
        <v>1143</v>
      </c>
      <c r="H140" t="str">
        <f>IFERROR(VLOOKUP(Transaction[[#This Row],[CustomerID]],Custumer[],1,0),IF(LEN(Transaction[[#This Row],[CustomerID]])=7,LEFT(Transaction[[#This Row],[CustomerID]],6),"Invalid ID"))</f>
        <v>C-1114</v>
      </c>
      <c r="I140" t="s">
        <v>52</v>
      </c>
      <c r="J140" t="str">
        <f>TRIM(UPPER(Transaction[[#This Row],[ProductID]]))</f>
        <v>P-SI-002</v>
      </c>
      <c r="K140" t="str">
        <f>IFERROR(VLOOKUP(Transaction[[#This Row],[ProductID_Clean]],Product[],1,FALSE),"Invalid ID")</f>
        <v>P-SI-002</v>
      </c>
      <c r="L140" t="str">
        <f>TRIM(SUBSTITUTE(SUBSTITUTE(SUBSTITUTE(SUBSTITUTE(UPPER(Transaction[[#This Row],[Region]]),"EMEA REGION","EMEA"),"APAC REGION","APAC"),"NORTH AMERICA","N. AMERICA"),"N .AMERICA","N.AMERICA"))</f>
        <v>N. AMERICA</v>
      </c>
      <c r="M140" t="s">
        <v>20</v>
      </c>
      <c r="N140" t="s">
        <v>53</v>
      </c>
      <c r="O14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40" t="s">
        <v>77</v>
      </c>
      <c r="Q140" t="str">
        <f>IF(TRIM(Transaction[[#This Row],[SalesChannel]])="","Missing Value",TRIM(Transaction[[#This Row],[SalesChannel]]))</f>
        <v>distributor</v>
      </c>
      <c r="R140" s="4">
        <v>4</v>
      </c>
      <c r="S140" s="4" t="str">
        <f>IF(Transaction[[#This Row],[Quantity]]&lt;0,"Negative-review","Valid")</f>
        <v>Valid</v>
      </c>
      <c r="T140">
        <v>657.69</v>
      </c>
      <c r="U14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657.69</v>
      </c>
      <c r="V140">
        <v>725</v>
      </c>
      <c r="W140">
        <v>2900</v>
      </c>
      <c r="X14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2900</v>
      </c>
      <c r="Y140">
        <f>IF(Transaction[[#This Row],[GrossRevenue_Check]]="Invalid",Transaction[[#This Row],[ListPrice]]*Transaction[[#This Row],[Quantity]],Transaction[[#This Row],[GrossRevenue_Clean]])</f>
        <v>2900</v>
      </c>
      <c r="Z140" t="str">
        <f>IF(Transaction[[#This Row],[GrossRevenue_Clean]]=Transaction[[#This Row],[ListPrice]]*Transaction[[#This Row],[Quantity]],"Valid","Invalid")</f>
        <v>Valid</v>
      </c>
      <c r="AA140">
        <v>269.24</v>
      </c>
      <c r="AB14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269.24</v>
      </c>
      <c r="AC140">
        <f>IF(Transaction[[#This Row],[DiscountAmount_Check2]]="Invalid",Transaction[[#This Row],[GrossRevenue_Analytical]]-Transaction[[#This Row],[NetRevenue_Analytical]],Transaction[[#This Row],[DiscountAmount_Clean]])</f>
        <v>269.24</v>
      </c>
      <c r="AD140">
        <v>2630.76</v>
      </c>
      <c r="AE140" t="str">
        <f>IF(ROUND(Transaction[[#This Row],[GrossRevenue_Analytical]]-Transaction[[#This Row],[NetRevenue_Analytical]],2)=ROUND(Transaction[[#This Row],[DiscountAmount_Clean]],2),"Valid","Invalid")</f>
        <v>Valid</v>
      </c>
      <c r="AF14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2630.76</v>
      </c>
      <c r="AG140">
        <f>IF(Transaction[[#This Row],[NetRevenue_Check]]="Invalid",(Transaction[[#This Row],[Quantity]]*Transaction[[#This Row],[UnitPrice_Clean]]),Transaction[[#This Row],[NetRevenue_Clean]])</f>
        <v>2630.76</v>
      </c>
      <c r="AH140" t="str">
        <f>IF(Transaction[[#This Row],[Quantity]]*Transaction[[#This Row],[UnitPrice_Clean]]=Transaction[[#This Row],[NetRevenue_Clean]],"Valid","Invalid")</f>
        <v>Valid</v>
      </c>
      <c r="AI140" t="s">
        <v>23</v>
      </c>
      <c r="AJ140" t="s">
        <v>566</v>
      </c>
      <c r="AK140" t="str">
        <f>IF(Transaction[[#This Row],[Salesperson]]="","Missing Value",TRIM(PROPER(Transaction[[#This Row],[Salesperson]])))</f>
        <v>Bell</v>
      </c>
      <c r="AL140" t="s">
        <v>55</v>
      </c>
      <c r="AM140" t="str">
        <f>IF(Transaction[[#This Row],[ContractType]]="","Missing Value",Transaction[[#This Row],[ContractType]])</f>
        <v>Spot</v>
      </c>
      <c r="AN140" t="s">
        <v>35</v>
      </c>
    </row>
    <row r="141" spans="1:40" x14ac:dyDescent="0.25">
      <c r="A141" t="s">
        <v>843</v>
      </c>
      <c r="B141" s="1">
        <v>45762</v>
      </c>
      <c r="C14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4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14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41" s="2">
        <f>IFERROR(DATE(Transaction[[#This Row],[TransactionDateY]],Transaction[[#This Row],[TransactionDateM]],Transaction[[#This Row],[TransactionDateD]]),"Missing Value")</f>
        <v>45762</v>
      </c>
      <c r="G141" t="s">
        <v>460</v>
      </c>
      <c r="H141" t="str">
        <f>IFERROR(VLOOKUP(Transaction[[#This Row],[CustomerID]],Custumer[],1,0),IF(LEN(Transaction[[#This Row],[CustomerID]])=7,LEFT(Transaction[[#This Row],[CustomerID]],6),"Invalid ID"))</f>
        <v>C-1153</v>
      </c>
      <c r="I141" t="s">
        <v>62</v>
      </c>
      <c r="J141" t="str">
        <f>TRIM(UPPER(Transaction[[#This Row],[ProductID]]))</f>
        <v>P-SI-004</v>
      </c>
      <c r="K141" t="str">
        <f>IFERROR(VLOOKUP(Transaction[[#This Row],[ProductID_Clean]],Product[],1,FALSE),"Invalid ID")</f>
        <v>P-SI-004</v>
      </c>
      <c r="L141" t="str">
        <f>TRIM(SUBSTITUTE(SUBSTITUTE(SUBSTITUTE(SUBSTITUTE(UPPER(Transaction[[#This Row],[Region]]),"EMEA REGION","EMEA"),"APAC REGION","APAC"),"NORTH AMERICA","N. AMERICA"),"N .AMERICA","N.AMERICA"))</f>
        <v>N. AMERICA</v>
      </c>
      <c r="M141" t="s">
        <v>20</v>
      </c>
      <c r="N141" t="s">
        <v>53</v>
      </c>
      <c r="O14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41" t="s">
        <v>22</v>
      </c>
      <c r="Q141" t="str">
        <f>IF(TRIM(Transaction[[#This Row],[SalesChannel]])="","Missing Value",TRIM(Transaction[[#This Row],[SalesChannel]]))</f>
        <v>Direct</v>
      </c>
      <c r="R141" s="4">
        <v>4</v>
      </c>
      <c r="S141" s="4" t="str">
        <f>IF(Transaction[[#This Row],[Quantity]]&lt;0,"Negative-review","Valid")</f>
        <v>Valid</v>
      </c>
      <c r="T141">
        <v>2140.63</v>
      </c>
      <c r="U14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2140.63</v>
      </c>
      <c r="V141">
        <v>2450</v>
      </c>
      <c r="W141">
        <v>9800</v>
      </c>
      <c r="X14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141">
        <f>IF(Transaction[[#This Row],[GrossRevenue_Check]]="Invalid",Transaction[[#This Row],[ListPrice]]*Transaction[[#This Row],[Quantity]],Transaction[[#This Row],[GrossRevenue_Clean]])</f>
        <v>9800</v>
      </c>
      <c r="Z141" t="str">
        <f>IF(Transaction[[#This Row],[GrossRevenue_Clean]]=Transaction[[#This Row],[ListPrice]]*Transaction[[#This Row],[Quantity]],"Valid","Invalid")</f>
        <v>Valid</v>
      </c>
      <c r="AA141">
        <v>1237.48</v>
      </c>
      <c r="AB14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1237.48</v>
      </c>
      <c r="AC141">
        <f>IF(Transaction[[#This Row],[DiscountAmount_Check2]]="Invalid",Transaction[[#This Row],[GrossRevenue_Analytical]]-Transaction[[#This Row],[NetRevenue_Analytical]],Transaction[[#This Row],[DiscountAmount_Clean]])</f>
        <v>1237.48</v>
      </c>
      <c r="AD141">
        <v>8562.52</v>
      </c>
      <c r="AE141" t="str">
        <f>IF(ROUND(Transaction[[#This Row],[GrossRevenue_Analytical]]-Transaction[[#This Row],[NetRevenue_Analytical]],2)=ROUND(Transaction[[#This Row],[DiscountAmount_Clean]],2),"Valid","Invalid")</f>
        <v>Valid</v>
      </c>
      <c r="AF141">
        <f>VALUE(IF(ISNUMBER(Transaction[[#This Row],[NetRevenue]]),Transaction[[#This Row],[NetRevenue]],IFERROR(IF(FIND("$",Transaction[[#This Row],[NetRevenue]])&gt;0,MID(Transaction[[#This Row],[NetRevenue]],2,10)),Transaction[[#This Row],[NetRevenue]])))</f>
        <v>8562.52</v>
      </c>
      <c r="AG141">
        <f>IF(Transaction[[#This Row],[NetRevenue_Check]]="Invalid",(Transaction[[#This Row],[Quantity]]*Transaction[[#This Row],[UnitPrice_Clean]]),Transaction[[#This Row],[NetRevenue_Clean]])</f>
        <v>8562.52</v>
      </c>
      <c r="AH141" t="str">
        <f>IF(Transaction[[#This Row],[Quantity]]*Transaction[[#This Row],[UnitPrice_Clean]]=Transaction[[#This Row],[NetRevenue_Clean]],"Valid","Invalid")</f>
        <v>Valid</v>
      </c>
      <c r="AI141" t="s">
        <v>23</v>
      </c>
      <c r="AJ141" t="s">
        <v>844</v>
      </c>
      <c r="AK141" t="str">
        <f>IF(Transaction[[#This Row],[Salesperson]]="","Missing Value",TRIM(PROPER(Transaction[[#This Row],[Salesperson]])))</f>
        <v>Jones-Na</v>
      </c>
      <c r="AL141" t="s">
        <v>42</v>
      </c>
      <c r="AM141" t="str">
        <f>IF(Transaction[[#This Row],[ContractType]]="","Missing Value",Transaction[[#This Row],[ContractType]])</f>
        <v>Standard PO</v>
      </c>
      <c r="AN141" t="s">
        <v>49</v>
      </c>
    </row>
    <row r="142" spans="1:40" x14ac:dyDescent="0.25">
      <c r="A142" t="s">
        <v>1132</v>
      </c>
      <c r="B142" s="1">
        <v>45834</v>
      </c>
      <c r="C14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4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14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42" s="2">
        <f>IFERROR(DATE(Transaction[[#This Row],[TransactionDateY]],Transaction[[#This Row],[TransactionDateM]],Transaction[[#This Row],[TransactionDateD]]),"Missing Value")</f>
        <v>45834</v>
      </c>
      <c r="G142" t="s">
        <v>1133</v>
      </c>
      <c r="H142" t="str">
        <f>IFERROR(VLOOKUP(Transaction[[#This Row],[CustomerID]],Custumer[],1,0),IF(LEN(Transaction[[#This Row],[CustomerID]])=7,LEFT(Transaction[[#This Row],[CustomerID]],6),"Invalid ID"))</f>
        <v>C-1058</v>
      </c>
      <c r="I142" t="s">
        <v>29</v>
      </c>
      <c r="J142" t="str">
        <f>TRIM(UPPER(Transaction[[#This Row],[ProductID]]))</f>
        <v>P-SA-001</v>
      </c>
      <c r="K142" t="str">
        <f>IFERROR(VLOOKUP(Transaction[[#This Row],[ProductID_Clean]],Product[],1,FALSE),"Invalid ID")</f>
        <v>P-SA-001</v>
      </c>
      <c r="L142" t="str">
        <f>TRIM(SUBSTITUTE(SUBSTITUTE(SUBSTITUTE(SUBSTITUTE(UPPER(Transaction[[#This Row],[Region]]),"EMEA REGION","EMEA"),"APAC REGION","APAC"),"NORTH AMERICA","N. AMERICA"),"N .AMERICA","N.AMERICA"))</f>
        <v>EMEA</v>
      </c>
      <c r="M142" t="s">
        <v>76</v>
      </c>
      <c r="N142" t="s">
        <v>31</v>
      </c>
      <c r="O14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42" t="s">
        <v>40</v>
      </c>
      <c r="Q142" t="str">
        <f>IF(TRIM(Transaction[[#This Row],[SalesChannel]])="","Missing Value",TRIM(Transaction[[#This Row],[SalesChannel]]))</f>
        <v>Distributor</v>
      </c>
      <c r="R142" s="4">
        <v>3</v>
      </c>
      <c r="S142" s="4" t="str">
        <f>IF(Transaction[[#This Row],[Quantity]]&lt;0,"Negative-review","Valid")</f>
        <v>Valid</v>
      </c>
      <c r="T142">
        <v>3488.34</v>
      </c>
      <c r="U14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3488.34</v>
      </c>
      <c r="V142">
        <v>4200</v>
      </c>
      <c r="W142">
        <v>12600</v>
      </c>
      <c r="X14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12600</v>
      </c>
      <c r="Y142">
        <f>IF(Transaction[[#This Row],[GrossRevenue_Check]]="Invalid",Transaction[[#This Row],[ListPrice]]*Transaction[[#This Row],[Quantity]],Transaction[[#This Row],[GrossRevenue_Clean]])</f>
        <v>12600</v>
      </c>
      <c r="Z142" t="str">
        <f>IF(Transaction[[#This Row],[GrossRevenue_Clean]]=Transaction[[#This Row],[ListPrice]]*Transaction[[#This Row],[Quantity]],"Valid","Invalid")</f>
        <v>Valid</v>
      </c>
      <c r="AA142">
        <v>2134.98</v>
      </c>
      <c r="AB14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2134.98</v>
      </c>
      <c r="AC142">
        <f>IF(Transaction[[#This Row],[DiscountAmount_Check2]]="Invalid",Transaction[[#This Row],[GrossRevenue_Analytical]]-Transaction[[#This Row],[NetRevenue_Analytical]],Transaction[[#This Row],[DiscountAmount_Clean]])</f>
        <v>2134.98</v>
      </c>
      <c r="AD142">
        <v>10465.02</v>
      </c>
      <c r="AE142" t="str">
        <f>IF(ROUND(Transaction[[#This Row],[GrossRevenue_Analytical]]-Transaction[[#This Row],[NetRevenue_Analytical]],2)=ROUND(Transaction[[#This Row],[DiscountAmount_Clean]],2),"Valid","Invalid")</f>
        <v>Valid</v>
      </c>
      <c r="AF14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10465.02</v>
      </c>
      <c r="AG142">
        <f>IF(Transaction[[#This Row],[NetRevenue_Check]]="Invalid",(Transaction[[#This Row],[Quantity]]*Transaction[[#This Row],[UnitPrice_Clean]]),Transaction[[#This Row],[NetRevenue_Clean]])</f>
        <v>10465.02</v>
      </c>
      <c r="AH142" t="str">
        <f>IF(Transaction[[#This Row],[Quantity]]*Transaction[[#This Row],[UnitPrice_Clean]]=Transaction[[#This Row],[NetRevenue_Clean]],"Valid","Invalid")</f>
        <v>Valid</v>
      </c>
      <c r="AI142" t="s">
        <v>99</v>
      </c>
      <c r="AJ142" t="s">
        <v>191</v>
      </c>
      <c r="AK142" t="str">
        <f>IF(Transaction[[#This Row],[Salesperson]]="","Missing Value",TRIM(PROPER(Transaction[[#This Row],[Salesperson]])))</f>
        <v>Murray</v>
      </c>
      <c r="AL142" t="s">
        <v>34</v>
      </c>
      <c r="AM142" t="str">
        <f>IF(Transaction[[#This Row],[ContractType]]="","Missing Value",Transaction[[#This Row],[ContractType]])</f>
        <v>Annual License</v>
      </c>
      <c r="AN142" t="s">
        <v>49</v>
      </c>
    </row>
    <row r="143" spans="1:40" x14ac:dyDescent="0.25">
      <c r="A143" t="s">
        <v>2498</v>
      </c>
      <c r="B143" s="1">
        <v>45666</v>
      </c>
      <c r="C14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4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14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43" s="2">
        <f>IFERROR(DATE(Transaction[[#This Row],[TransactionDateY]],Transaction[[#This Row],[TransactionDateM]],Transaction[[#This Row],[TransactionDateD]]),"Missing Value")</f>
        <v>45666</v>
      </c>
      <c r="G143" t="s">
        <v>423</v>
      </c>
      <c r="H143" t="str">
        <f>IFERROR(VLOOKUP(Transaction[[#This Row],[CustomerID]],Custumer[],1,0),IF(LEN(Transaction[[#This Row],[CustomerID]])=7,LEFT(Transaction[[#This Row],[CustomerID]],6),"Invalid ID"))</f>
        <v>C-1121</v>
      </c>
      <c r="I143" t="s">
        <v>92</v>
      </c>
      <c r="J143" t="str">
        <f>TRIM(UPPER(Transaction[[#This Row],[ProductID]]))</f>
        <v>P-SI-008</v>
      </c>
      <c r="K143" t="str">
        <f>IFERROR(VLOOKUP(Transaction[[#This Row],[ProductID_Clean]],Product[],1,FALSE),"Invalid ID")</f>
        <v>P-SI-008</v>
      </c>
      <c r="L143" t="str">
        <f>TRIM(SUBSTITUTE(SUBSTITUTE(SUBSTITUTE(SUBSTITUTE(UPPER(Transaction[[#This Row],[Region]]),"EMEA REGION","EMEA"),"APAC REGION","APAC"),"NORTH AMERICA","N. AMERICA"),"N .AMERICA","N.AMERICA"))</f>
        <v>N. AMERICA</v>
      </c>
      <c r="M143" t="s">
        <v>204</v>
      </c>
      <c r="N143" t="s">
        <v>53</v>
      </c>
      <c r="O14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43" t="s">
        <v>22</v>
      </c>
      <c r="Q143" t="str">
        <f>IF(TRIM(Transaction[[#This Row],[SalesChannel]])="","Missing Value",TRIM(Transaction[[#This Row],[SalesChannel]]))</f>
        <v>Direct</v>
      </c>
      <c r="R143" s="4">
        <v>1</v>
      </c>
      <c r="S143" s="4" t="str">
        <f>IF(Transaction[[#This Row],[Quantity]]&lt;0,"Negative-review","Valid")</f>
        <v>Valid</v>
      </c>
      <c r="T143">
        <v>872.57</v>
      </c>
      <c r="U14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872.57</v>
      </c>
      <c r="V143">
        <v>950</v>
      </c>
      <c r="W143">
        <v>950</v>
      </c>
      <c r="X14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143">
        <f>IF(Transaction[[#This Row],[GrossRevenue_Check]]="Invalid",Transaction[[#This Row],[ListPrice]]*Transaction[[#This Row],[Quantity]],Transaction[[#This Row],[GrossRevenue_Clean]])</f>
        <v>950</v>
      </c>
      <c r="Z143" t="str">
        <f>IF(Transaction[[#This Row],[GrossRevenue_Clean]]=Transaction[[#This Row],[ListPrice]]*Transaction[[#This Row],[Quantity]],"Valid","Invalid")</f>
        <v>Valid</v>
      </c>
      <c r="AA143">
        <v>77.430000000000007</v>
      </c>
      <c r="AB14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77.430000000000007</v>
      </c>
      <c r="AC143">
        <f>IF(Transaction[[#This Row],[DiscountAmount_Check2]]="Invalid",Transaction[[#This Row],[GrossRevenue_Analytical]]-Transaction[[#This Row],[NetRevenue_Analytical]],Transaction[[#This Row],[DiscountAmount_Clean]])</f>
        <v>77.430000000000007</v>
      </c>
      <c r="AD143">
        <v>872.57</v>
      </c>
      <c r="AE143" t="str">
        <f>IF(ROUND(Transaction[[#This Row],[GrossRevenue_Analytical]]-Transaction[[#This Row],[NetRevenue_Analytical]],2)=ROUND(Transaction[[#This Row],[DiscountAmount_Clean]],2),"Valid","Invalid")</f>
        <v>Valid</v>
      </c>
      <c r="AF143">
        <f>VALUE(IF(ISNUMBER(Transaction[[#This Row],[NetRevenue]]),Transaction[[#This Row],[NetRevenue]],IFERROR(IF(FIND("$",Transaction[[#This Row],[NetRevenue]])&gt;0,MID(Transaction[[#This Row],[NetRevenue]],2,10)),Transaction[[#This Row],[NetRevenue]])))</f>
        <v>872.57</v>
      </c>
      <c r="AG143">
        <f>IF(Transaction[[#This Row],[NetRevenue_Check]]="Invalid",(Transaction[[#This Row],[Quantity]]*Transaction[[#This Row],[UnitPrice_Clean]]),Transaction[[#This Row],[NetRevenue_Clean]])</f>
        <v>872.57</v>
      </c>
      <c r="AH143" t="str">
        <f>IF(Transaction[[#This Row],[Quantity]]*Transaction[[#This Row],[UnitPrice_Clean]]=Transaction[[#This Row],[NetRevenue_Clean]],"Valid","Invalid")</f>
        <v>Valid</v>
      </c>
      <c r="AI143" t="s">
        <v>23</v>
      </c>
      <c r="AJ143" t="s">
        <v>54</v>
      </c>
      <c r="AK143" t="str">
        <f>IF(Transaction[[#This Row],[Salesperson]]="","Missing Value",TRIM(PROPER(Transaction[[#This Row],[Salesperson]])))</f>
        <v>Johnson</v>
      </c>
      <c r="AL143" t="s">
        <v>42</v>
      </c>
      <c r="AM143" t="str">
        <f>IF(Transaction[[#This Row],[ContractType]]="","Missing Value",Transaction[[#This Row],[ContractType]])</f>
        <v>Standard PO</v>
      </c>
      <c r="AN143" t="s">
        <v>49</v>
      </c>
    </row>
    <row r="144" spans="1:40" x14ac:dyDescent="0.25">
      <c r="A144" t="s">
        <v>2747</v>
      </c>
      <c r="B144" s="1">
        <v>45731</v>
      </c>
      <c r="C14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4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14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44" s="2">
        <f>IFERROR(DATE(Transaction[[#This Row],[TransactionDateY]],Transaction[[#This Row],[TransactionDateM]],Transaction[[#This Row],[TransactionDateD]]),"Missing Value")</f>
        <v>45731</v>
      </c>
      <c r="G144" t="s">
        <v>1515</v>
      </c>
      <c r="H144" t="str">
        <f>IFERROR(VLOOKUP(Transaction[[#This Row],[CustomerID]],Custumer[],1,0),IF(LEN(Transaction[[#This Row],[CustomerID]])=7,LEFT(Transaction[[#This Row],[CustomerID]],6),"Invalid ID"))</f>
        <v>C-1179</v>
      </c>
      <c r="I144" t="s">
        <v>52</v>
      </c>
      <c r="J144" t="str">
        <f>TRIM(UPPER(Transaction[[#This Row],[ProductID]]))</f>
        <v>P-SI-002</v>
      </c>
      <c r="K144" t="str">
        <f>IFERROR(VLOOKUP(Transaction[[#This Row],[ProductID_Clean]],Product[],1,FALSE),"Invalid ID")</f>
        <v>P-SI-002</v>
      </c>
      <c r="L144" t="str">
        <f>TRIM(SUBSTITUTE(SUBSTITUTE(SUBSTITUTE(SUBSTITUTE(UPPER(Transaction[[#This Row],[Region]]),"EMEA REGION","EMEA"),"APAC REGION","APAC"),"NORTH AMERICA","N. AMERICA"),"N .AMERICA","N.AMERICA"))</f>
        <v>APAC</v>
      </c>
      <c r="M144" t="s">
        <v>30</v>
      </c>
      <c r="N144" t="s">
        <v>47</v>
      </c>
      <c r="O14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44" t="s">
        <v>40</v>
      </c>
      <c r="Q144" t="str">
        <f>IF(TRIM(Transaction[[#This Row],[SalesChannel]])="","Missing Value",TRIM(Transaction[[#This Row],[SalesChannel]]))</f>
        <v>Distributor</v>
      </c>
      <c r="R144" s="4">
        <v>2</v>
      </c>
      <c r="S144" s="4" t="str">
        <f>IF(Transaction[[#This Row],[Quantity]]&lt;0,"Negative-review","Valid")</f>
        <v>Valid</v>
      </c>
      <c r="T144">
        <v>591.79</v>
      </c>
      <c r="U14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591.79</v>
      </c>
      <c r="V144">
        <v>725</v>
      </c>
      <c r="W144">
        <v>1450</v>
      </c>
      <c r="X14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144">
        <f>IF(Transaction[[#This Row],[GrossRevenue_Check]]="Invalid",Transaction[[#This Row],[ListPrice]]*Transaction[[#This Row],[Quantity]],Transaction[[#This Row],[GrossRevenue_Clean]])</f>
        <v>1450</v>
      </c>
      <c r="Z144" t="str">
        <f>IF(Transaction[[#This Row],[GrossRevenue_Clean]]=Transaction[[#This Row],[ListPrice]]*Transaction[[#This Row],[Quantity]],"Valid","Invalid")</f>
        <v>Valid</v>
      </c>
      <c r="AA144">
        <v>266.42</v>
      </c>
      <c r="AB14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266.42</v>
      </c>
      <c r="AC144">
        <f>IF(Transaction[[#This Row],[DiscountAmount_Check2]]="Invalid",Transaction[[#This Row],[GrossRevenue_Analytical]]-Transaction[[#This Row],[NetRevenue_Analytical]],Transaction[[#This Row],[DiscountAmount_Clean]])</f>
        <v>266.42</v>
      </c>
      <c r="AD144">
        <v>1183.58</v>
      </c>
      <c r="AE144" t="str">
        <f>IF(ROUND(Transaction[[#This Row],[GrossRevenue_Analytical]]-Transaction[[#This Row],[NetRevenue_Analytical]],2)=ROUND(Transaction[[#This Row],[DiscountAmount_Clean]],2),"Valid","Invalid")</f>
        <v>Valid</v>
      </c>
      <c r="AF14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1183.58</v>
      </c>
      <c r="AG144">
        <f>IF(Transaction[[#This Row],[NetRevenue_Check]]="Invalid",(Transaction[[#This Row],[Quantity]]*Transaction[[#This Row],[UnitPrice_Clean]]),Transaction[[#This Row],[NetRevenue_Clean]])</f>
        <v>1183.58</v>
      </c>
      <c r="AH144" t="str">
        <f>IF(Transaction[[#This Row],[Quantity]]*Transaction[[#This Row],[UnitPrice_Clean]]=Transaction[[#This Row],[NetRevenue_Clean]],"Valid","Invalid")</f>
        <v>Valid</v>
      </c>
      <c r="AI144" t="s">
        <v>99</v>
      </c>
      <c r="AJ144" t="s">
        <v>2748</v>
      </c>
      <c r="AK144" t="str">
        <f>IF(Transaction[[#This Row],[Salesperson]]="","Missing Value",TRIM(PROPER(Transaction[[#This Row],[Salesperson]])))</f>
        <v>Wood-Ap</v>
      </c>
      <c r="AL144" t="s">
        <v>42</v>
      </c>
      <c r="AM144" t="str">
        <f>IF(Transaction[[#This Row],[ContractType]]="","Missing Value",Transaction[[#This Row],[ContractType]])</f>
        <v>Standard PO</v>
      </c>
      <c r="AN144" t="s">
        <v>26</v>
      </c>
    </row>
    <row r="145" spans="1:40" x14ac:dyDescent="0.25">
      <c r="A145" t="s">
        <v>1759</v>
      </c>
      <c r="B145" s="1">
        <v>45730</v>
      </c>
      <c r="C14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4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14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45" s="2">
        <f>IFERROR(DATE(Transaction[[#This Row],[TransactionDateY]],Transaction[[#This Row],[TransactionDateM]],Transaction[[#This Row],[TransactionDateD]]),"Missing Value")</f>
        <v>45730</v>
      </c>
      <c r="G145" t="s">
        <v>550</v>
      </c>
      <c r="H145" t="str">
        <f>IFERROR(VLOOKUP(Transaction[[#This Row],[CustomerID]],Custumer[],1,0),IF(LEN(Transaction[[#This Row],[CustomerID]])=7,LEFT(Transaction[[#This Row],[CustomerID]],6),"Invalid ID"))</f>
        <v>C-1136</v>
      </c>
      <c r="I145" t="s">
        <v>75</v>
      </c>
      <c r="J145" t="str">
        <f>TRIM(UPPER(Transaction[[#This Row],[ProductID]]))</f>
        <v>P-SA-005</v>
      </c>
      <c r="K145" t="str">
        <f>IFERROR(VLOOKUP(Transaction[[#This Row],[ProductID_Clean]],Product[],1,FALSE),"Invalid ID")</f>
        <v>P-SA-005</v>
      </c>
      <c r="L145" t="str">
        <f>TRIM(SUBSTITUTE(SUBSTITUTE(SUBSTITUTE(SUBSTITUTE(UPPER(Transaction[[#This Row],[Region]]),"EMEA REGION","EMEA"),"APAC REGION","APAC"),"NORTH AMERICA","N. AMERICA"),"N .AMERICA","N.AMERICA"))</f>
        <v>N. AMERICA</v>
      </c>
      <c r="M145" t="s">
        <v>20</v>
      </c>
      <c r="N145" t="s">
        <v>31</v>
      </c>
      <c r="O14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45" t="s">
        <v>40</v>
      </c>
      <c r="Q145" t="str">
        <f>IF(TRIM(Transaction[[#This Row],[SalesChannel]])="","Missing Value",TRIM(Transaction[[#This Row],[SalesChannel]]))</f>
        <v>Distributor</v>
      </c>
      <c r="R145" s="4">
        <v>1</v>
      </c>
      <c r="S145" s="4" t="str">
        <f>IF(Transaction[[#This Row],[Quantity]]&lt;0,"Negative-review","Valid")</f>
        <v>Valid</v>
      </c>
      <c r="T145">
        <v>2761.16</v>
      </c>
      <c r="U14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2761.16</v>
      </c>
      <c r="V145">
        <v>3200</v>
      </c>
      <c r="W145">
        <v>3200</v>
      </c>
      <c r="X14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145">
        <f>IF(Transaction[[#This Row],[GrossRevenue_Check]]="Invalid",Transaction[[#This Row],[ListPrice]]*Transaction[[#This Row],[Quantity]],Transaction[[#This Row],[GrossRevenue_Clean]])</f>
        <v>3200</v>
      </c>
      <c r="Z145" t="str">
        <f>IF(Transaction[[#This Row],[GrossRevenue_Clean]]=Transaction[[#This Row],[ListPrice]]*Transaction[[#This Row],[Quantity]],"Valid","Invalid")</f>
        <v>Valid</v>
      </c>
      <c r="AA145">
        <v>438.84</v>
      </c>
      <c r="AB14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438.84</v>
      </c>
      <c r="AC145">
        <f>IF(Transaction[[#This Row],[DiscountAmount_Check2]]="Invalid",Transaction[[#This Row],[GrossRevenue_Analytical]]-Transaction[[#This Row],[NetRevenue_Analytical]],Transaction[[#This Row],[DiscountAmount_Clean]])</f>
        <v>438.84</v>
      </c>
      <c r="AD145">
        <v>2761.16</v>
      </c>
      <c r="AE145" t="str">
        <f>IF(ROUND(Transaction[[#This Row],[GrossRevenue_Analytical]]-Transaction[[#This Row],[NetRevenue_Analytical]],2)=ROUND(Transaction[[#This Row],[DiscountAmount_Clean]],2),"Valid","Invalid")</f>
        <v>Valid</v>
      </c>
      <c r="AF145">
        <f>VALUE(IF(ISNUMBER(Transaction[[#This Row],[NetRevenue]]),Transaction[[#This Row],[NetRevenue]],IFERROR(IF(FIND("$",Transaction[[#This Row],[NetRevenue]])&gt;0,MID(Transaction[[#This Row],[NetRevenue]],2,10)),Transaction[[#This Row],[NetRevenue]])))</f>
        <v>2761.16</v>
      </c>
      <c r="AG145">
        <f>IF(Transaction[[#This Row],[NetRevenue_Check]]="Invalid",(Transaction[[#This Row],[Quantity]]*Transaction[[#This Row],[UnitPrice_Clean]]),Transaction[[#This Row],[NetRevenue_Clean]])</f>
        <v>2761.16</v>
      </c>
      <c r="AH145" t="str">
        <f>IF(Transaction[[#This Row],[Quantity]]*Transaction[[#This Row],[UnitPrice_Clean]]=Transaction[[#This Row],[NetRevenue_Clean]],"Valid","Invalid")</f>
        <v>Valid</v>
      </c>
      <c r="AI145" t="s">
        <v>99</v>
      </c>
      <c r="AJ145" t="s">
        <v>1760</v>
      </c>
      <c r="AK145" t="str">
        <f>IF(Transaction[[#This Row],[Salesperson]]="","Missing Value",TRIM(PROPER(Transaction[[#This Row],[Salesperson]])))</f>
        <v>Mitchell-Ap</v>
      </c>
      <c r="AL145" t="s">
        <v>34</v>
      </c>
      <c r="AM145" t="str">
        <f>IF(Transaction[[#This Row],[ContractType]]="","Missing Value",Transaction[[#This Row],[ContractType]])</f>
        <v>Annual License</v>
      </c>
      <c r="AN145" t="s">
        <v>65</v>
      </c>
    </row>
    <row r="146" spans="1:40" x14ac:dyDescent="0.25">
      <c r="A146" t="s">
        <v>1722</v>
      </c>
      <c r="B146" s="1">
        <v>45774</v>
      </c>
      <c r="C14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4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14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46" s="2">
        <f>IFERROR(DATE(Transaction[[#This Row],[TransactionDateY]],Transaction[[#This Row],[TransactionDateM]],Transaction[[#This Row],[TransactionDateD]]),"Missing Value")</f>
        <v>45774</v>
      </c>
      <c r="G146" t="s">
        <v>339</v>
      </c>
      <c r="H146" t="str">
        <f>IFERROR(VLOOKUP(Transaction[[#This Row],[CustomerID]],Custumer[],1,0),IF(LEN(Transaction[[#This Row],[CustomerID]])=7,LEFT(Transaction[[#This Row],[CustomerID]],6),"Invalid ID"))</f>
        <v>C-1017</v>
      </c>
      <c r="I146" t="s">
        <v>226</v>
      </c>
      <c r="J146" t="str">
        <f>TRIM(UPPER(Transaction[[#This Row],[ProductID]]))</f>
        <v>P-SA-002</v>
      </c>
      <c r="K146" t="str">
        <f>IFERROR(VLOOKUP(Transaction[[#This Row],[ProductID_Clean]],Product[],1,FALSE),"Invalid ID")</f>
        <v>P-SA-002</v>
      </c>
      <c r="L146" t="str">
        <f>TRIM(SUBSTITUTE(SUBSTITUTE(SUBSTITUTE(SUBSTITUTE(UPPER(Transaction[[#This Row],[Region]]),"EMEA REGION","EMEA"),"APAC REGION","APAC"),"NORTH AMERICA","N. AMERICA"),"N .AMERICA","N.AMERICA"))</f>
        <v>EMEA</v>
      </c>
      <c r="M146" t="s">
        <v>87</v>
      </c>
      <c r="N146" t="s">
        <v>31</v>
      </c>
      <c r="O14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46" t="s">
        <v>22</v>
      </c>
      <c r="Q146" t="str">
        <f>IF(TRIM(Transaction[[#This Row],[SalesChannel]])="","Missing Value",TRIM(Transaction[[#This Row],[SalesChannel]]))</f>
        <v>Direct</v>
      </c>
      <c r="R146" s="4">
        <v>1</v>
      </c>
      <c r="S146" s="4" t="str">
        <f>IF(Transaction[[#This Row],[Quantity]]&lt;0,"Negative-review","Valid")</f>
        <v>Valid</v>
      </c>
      <c r="T146">
        <v>9035.66</v>
      </c>
      <c r="U14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9035.66</v>
      </c>
      <c r="V146">
        <v>9800</v>
      </c>
      <c r="W146">
        <v>9800</v>
      </c>
      <c r="X14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146">
        <f>IF(Transaction[[#This Row],[GrossRevenue_Check]]="Invalid",Transaction[[#This Row],[ListPrice]]*Transaction[[#This Row],[Quantity]],Transaction[[#This Row],[GrossRevenue_Clean]])</f>
        <v>9800</v>
      </c>
      <c r="Z146" t="str">
        <f>IF(Transaction[[#This Row],[GrossRevenue_Clean]]=Transaction[[#This Row],[ListPrice]]*Transaction[[#This Row],[Quantity]],"Valid","Invalid")</f>
        <v>Valid</v>
      </c>
      <c r="AA146">
        <v>764.34</v>
      </c>
      <c r="AB14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764.34</v>
      </c>
      <c r="AC146">
        <f>IF(Transaction[[#This Row],[DiscountAmount_Check2]]="Invalid",Transaction[[#This Row],[GrossRevenue_Analytical]]-Transaction[[#This Row],[NetRevenue_Analytical]],Transaction[[#This Row],[DiscountAmount_Clean]])</f>
        <v>764.34</v>
      </c>
      <c r="AD146">
        <v>9035.66</v>
      </c>
      <c r="AE146" t="str">
        <f>IF(ROUND(Transaction[[#This Row],[GrossRevenue_Analytical]]-Transaction[[#This Row],[NetRevenue_Analytical]],2)=ROUND(Transaction[[#This Row],[DiscountAmount_Clean]],2),"Valid","Invalid")</f>
        <v>Valid</v>
      </c>
      <c r="AF146">
        <f>VALUE(IF(ISNUMBER(Transaction[[#This Row],[NetRevenue]]),Transaction[[#This Row],[NetRevenue]],IFERROR(IF(FIND("$",Transaction[[#This Row],[NetRevenue]])&gt;0,MID(Transaction[[#This Row],[NetRevenue]],2,10)),Transaction[[#This Row],[NetRevenue]])))</f>
        <v>9035.66</v>
      </c>
      <c r="AG146">
        <f>IF(Transaction[[#This Row],[NetRevenue_Check]]="Invalid",(Transaction[[#This Row],[Quantity]]*Transaction[[#This Row],[UnitPrice_Clean]]),Transaction[[#This Row],[NetRevenue_Clean]])</f>
        <v>9035.66</v>
      </c>
      <c r="AH146" t="str">
        <f>IF(Transaction[[#This Row],[Quantity]]*Transaction[[#This Row],[UnitPrice_Clean]]=Transaction[[#This Row],[NetRevenue_Clean]],"Valid","Invalid")</f>
        <v>Valid</v>
      </c>
      <c r="AI146" t="s">
        <v>23</v>
      </c>
      <c r="AJ146" t="s">
        <v>1723</v>
      </c>
      <c r="AK146" t="str">
        <f>IF(Transaction[[#This Row],[Salesperson]]="","Missing Value",TRIM(PROPER(Transaction[[#This Row],[Salesperson]])))</f>
        <v>Newman</v>
      </c>
      <c r="AL146" t="s">
        <v>34</v>
      </c>
      <c r="AM146" t="str">
        <f>IF(Transaction[[#This Row],[ContractType]]="","Missing Value",Transaction[[#This Row],[ContractType]])</f>
        <v>Annual License</v>
      </c>
      <c r="AN146" t="s">
        <v>26</v>
      </c>
    </row>
    <row r="147" spans="1:40" x14ac:dyDescent="0.25">
      <c r="A147" t="s">
        <v>2728</v>
      </c>
      <c r="C14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14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14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147" s="2" t="str">
        <f>IFERROR(DATE(Transaction[[#This Row],[TransactionDateY]],Transaction[[#This Row],[TransactionDateM]],Transaction[[#This Row],[TransactionDateD]]),"Missing Value")</f>
        <v>Missing Value</v>
      </c>
      <c r="G147" t="s">
        <v>336</v>
      </c>
      <c r="H147" t="str">
        <f>IFERROR(VLOOKUP(Transaction[[#This Row],[CustomerID]],Custumer[],1,0),IF(LEN(Transaction[[#This Row],[CustomerID]])=7,LEFT(Transaction[[#This Row],[CustomerID]],6),"Invalid ID"))</f>
        <v>C-1109</v>
      </c>
      <c r="I147" t="s">
        <v>62</v>
      </c>
      <c r="J147" t="str">
        <f>TRIM(UPPER(Transaction[[#This Row],[ProductID]]))</f>
        <v>P-SI-004</v>
      </c>
      <c r="K147" t="str">
        <f>IFERROR(VLOOKUP(Transaction[[#This Row],[ProductID_Clean]],Product[],1,FALSE),"Invalid ID")</f>
        <v>P-SI-004</v>
      </c>
      <c r="L147" t="str">
        <f>TRIM(SUBSTITUTE(SUBSTITUTE(SUBSTITUTE(SUBSTITUTE(UPPER(Transaction[[#This Row],[Region]]),"EMEA REGION","EMEA"),"APAC REGION","APAC"),"NORTH AMERICA","N. AMERICA"),"N .AMERICA","N.AMERICA"))</f>
        <v>EMEA</v>
      </c>
      <c r="M147" t="s">
        <v>76</v>
      </c>
      <c r="N147" t="s">
        <v>53</v>
      </c>
      <c r="O14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47" t="s">
        <v>22</v>
      </c>
      <c r="Q147" t="str">
        <f>IF(TRIM(Transaction[[#This Row],[SalesChannel]])="","Missing Value",TRIM(Transaction[[#This Row],[SalesChannel]]))</f>
        <v>Direct</v>
      </c>
      <c r="R147" s="4">
        <v>2</v>
      </c>
      <c r="S147" s="4" t="str">
        <f>IF(Transaction[[#This Row],[Quantity]]&lt;0,"Negative-review","Valid")</f>
        <v>Valid</v>
      </c>
      <c r="T147" t="s">
        <v>2729</v>
      </c>
      <c r="U14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2179.9899999999998</v>
      </c>
      <c r="V147">
        <v>2450</v>
      </c>
      <c r="W147">
        <v>4900</v>
      </c>
      <c r="X14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</v>
      </c>
      <c r="Y147">
        <f>IF(Transaction[[#This Row],[GrossRevenue_Check]]="Invalid",Transaction[[#This Row],[ListPrice]]*Transaction[[#This Row],[Quantity]],Transaction[[#This Row],[GrossRevenue_Clean]])</f>
        <v>4900</v>
      </c>
      <c r="Z147" t="str">
        <f>IF(Transaction[[#This Row],[GrossRevenue_Clean]]=Transaction[[#This Row],[ListPrice]]*Transaction[[#This Row],[Quantity]],"Valid","Invalid")</f>
        <v>Valid</v>
      </c>
      <c r="AA147">
        <v>540.02</v>
      </c>
      <c r="AB14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540.02</v>
      </c>
      <c r="AC147">
        <f>IF(Transaction[[#This Row],[DiscountAmount_Check2]]="Invalid",Transaction[[#This Row],[GrossRevenue_Analytical]]-Transaction[[#This Row],[NetRevenue_Analytical]],Transaction[[#This Row],[DiscountAmount_Clean]])</f>
        <v>540.02</v>
      </c>
      <c r="AD147">
        <v>4359.9799999999996</v>
      </c>
      <c r="AE147" t="str">
        <f>IF(ROUND(Transaction[[#This Row],[GrossRevenue_Analytical]]-Transaction[[#This Row],[NetRevenue_Analytical]],2)=ROUND(Transaction[[#This Row],[DiscountAmount_Clean]],2),"Valid","Invalid")</f>
        <v>Valid</v>
      </c>
      <c r="AF147">
        <f>VALUE(IF(ISNUMBER(Transaction[[#This Row],[NetRevenue]]),Transaction[[#This Row],[NetRevenue]],IFERROR(IF(FIND("$",Transaction[[#This Row],[NetRevenue]])&gt;0,MID(Transaction[[#This Row],[NetRevenue]],2,10)),Transaction[[#This Row],[NetRevenue]])))</f>
        <v>4359.9799999999996</v>
      </c>
      <c r="AG147">
        <f>IF(Transaction[[#This Row],[NetRevenue_Check]]="Invalid",(Transaction[[#This Row],[Quantity]]*Transaction[[#This Row],[UnitPrice_Clean]]),Transaction[[#This Row],[NetRevenue_Clean]])</f>
        <v>4359.9799999999996</v>
      </c>
      <c r="AH147" t="str">
        <f>IF(Transaction[[#This Row],[Quantity]]*Transaction[[#This Row],[UnitPrice_Clean]]=Transaction[[#This Row],[NetRevenue_Clean]],"Valid","Invalid")</f>
        <v>Valid</v>
      </c>
      <c r="AI147" t="s">
        <v>23</v>
      </c>
      <c r="AJ147" t="s">
        <v>2730</v>
      </c>
      <c r="AK147" t="str">
        <f>IF(Transaction[[#This Row],[Salesperson]]="","Missing Value",TRIM(PROPER(Transaction[[#This Row],[Salesperson]])))</f>
        <v>Madden-Ap</v>
      </c>
      <c r="AL147" t="s">
        <v>55</v>
      </c>
      <c r="AM147" t="str">
        <f>IF(Transaction[[#This Row],[ContractType]]="","Missing Value",Transaction[[#This Row],[ContractType]])</f>
        <v>Spot</v>
      </c>
      <c r="AN147" t="s">
        <v>65</v>
      </c>
    </row>
    <row r="148" spans="1:40" x14ac:dyDescent="0.25">
      <c r="A148" t="s">
        <v>861</v>
      </c>
      <c r="B148" t="s">
        <v>862</v>
      </c>
      <c r="C14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14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31</v>
      </c>
      <c r="E14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48" s="2">
        <f>IFERROR(DATE(Transaction[[#This Row],[TransactionDateY]],Transaction[[#This Row],[TransactionDateM]],Transaction[[#This Row],[TransactionDateD]]),"Missing Value")</f>
        <v>45808</v>
      </c>
      <c r="G148" t="s">
        <v>61</v>
      </c>
      <c r="H148" t="str">
        <f>IFERROR(VLOOKUP(Transaction[[#This Row],[CustomerID]],Custumer[],1,0),IF(LEN(Transaction[[#This Row],[CustomerID]])=7,LEFT(Transaction[[#This Row],[CustomerID]],6),"Invalid ID"))</f>
        <v>C-1108</v>
      </c>
      <c r="I148" t="s">
        <v>268</v>
      </c>
      <c r="J148" t="str">
        <f>TRIM(UPPER(Transaction[[#This Row],[ProductID]]))</f>
        <v>P-FS-002</v>
      </c>
      <c r="K148" t="str">
        <f>IFERROR(VLOOKUP(Transaction[[#This Row],[ProductID_Clean]],Product[],1,FALSE),"Invalid ID")</f>
        <v>P-FS-002</v>
      </c>
      <c r="L148" t="str">
        <f>TRIM(SUBSTITUTE(SUBSTITUTE(SUBSTITUTE(SUBSTITUTE(UPPER(Transaction[[#This Row],[Region]]),"EMEA REGION","EMEA"),"APAC REGION","APAC"),"NORTH AMERICA","N. AMERICA"),"N .AMERICA","N.AMERICA"))</f>
        <v>APAC</v>
      </c>
      <c r="M148" t="s">
        <v>127</v>
      </c>
      <c r="N148" t="s">
        <v>21</v>
      </c>
      <c r="O148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48" t="s">
        <v>22</v>
      </c>
      <c r="Q148" t="str">
        <f>IF(TRIM(Transaction[[#This Row],[SalesChannel]])="","Missing Value",TRIM(Transaction[[#This Row],[SalesChannel]]))</f>
        <v>Direct</v>
      </c>
      <c r="R148" s="4">
        <v>1</v>
      </c>
      <c r="S148" s="4" t="str">
        <f>IF(Transaction[[#This Row],[Quantity]]&lt;0,"Negative-review","Valid")</f>
        <v>Valid</v>
      </c>
      <c r="T148">
        <v>2059.5700000000002</v>
      </c>
      <c r="U14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2059.5700000000002</v>
      </c>
      <c r="V148">
        <v>2400</v>
      </c>
      <c r="W148">
        <v>2400</v>
      </c>
      <c r="X14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148">
        <f>IF(Transaction[[#This Row],[GrossRevenue_Check]]="Invalid",Transaction[[#This Row],[ListPrice]]*Transaction[[#This Row],[Quantity]],Transaction[[#This Row],[GrossRevenue_Clean]])</f>
        <v>2400</v>
      </c>
      <c r="Z148" t="str">
        <f>IF(Transaction[[#This Row],[GrossRevenue_Clean]]=Transaction[[#This Row],[ListPrice]]*Transaction[[#This Row],[Quantity]],"Valid","Invalid")</f>
        <v>Valid</v>
      </c>
      <c r="AA148">
        <v>340.43</v>
      </c>
      <c r="AB14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340.43</v>
      </c>
      <c r="AC148">
        <f>IF(Transaction[[#This Row],[DiscountAmount_Check2]]="Invalid",Transaction[[#This Row],[GrossRevenue_Analytical]]-Transaction[[#This Row],[NetRevenue_Analytical]],Transaction[[#This Row],[DiscountAmount_Clean]])</f>
        <v>340.43</v>
      </c>
      <c r="AD148">
        <v>2059.5700000000002</v>
      </c>
      <c r="AE148" t="str">
        <f>IF(ROUND(Transaction[[#This Row],[GrossRevenue_Analytical]]-Transaction[[#This Row],[NetRevenue_Analytical]],2)=ROUND(Transaction[[#This Row],[DiscountAmount_Clean]],2),"Valid","Invalid")</f>
        <v>Valid</v>
      </c>
      <c r="AF14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2059.5700000000002</v>
      </c>
      <c r="AG148">
        <f>IF(Transaction[[#This Row],[NetRevenue_Check]]="Invalid",(Transaction[[#This Row],[Quantity]]*Transaction[[#This Row],[UnitPrice_Clean]]),Transaction[[#This Row],[NetRevenue_Clean]])</f>
        <v>2059.5700000000002</v>
      </c>
      <c r="AH148" t="str">
        <f>IF(Transaction[[#This Row],[Quantity]]*Transaction[[#This Row],[UnitPrice_Clean]]=Transaction[[#This Row],[NetRevenue_Clean]],"Valid","Invalid")</f>
        <v>Valid</v>
      </c>
      <c r="AI148" t="s">
        <v>23</v>
      </c>
      <c r="AJ148" t="s">
        <v>781</v>
      </c>
      <c r="AK148" t="str">
        <f>IF(Transaction[[#This Row],[Salesperson]]="","Missing Value",TRIM(PROPER(Transaction[[#This Row],[Salesperson]])))</f>
        <v>Davis</v>
      </c>
      <c r="AL148" t="s">
        <v>224</v>
      </c>
      <c r="AM148" t="str">
        <f>IF(Transaction[[#This Row],[ContractType]]="","Missing Value",Transaction[[#This Row],[ContractType]])</f>
        <v>Annual</v>
      </c>
      <c r="AN148" t="s">
        <v>65</v>
      </c>
    </row>
    <row r="149" spans="1:40" x14ac:dyDescent="0.25">
      <c r="A149" t="s">
        <v>1848</v>
      </c>
      <c r="B149" s="1">
        <v>45766</v>
      </c>
      <c r="C14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4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14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49" s="2">
        <f>IFERROR(DATE(Transaction[[#This Row],[TransactionDateY]],Transaction[[#This Row],[TransactionDateM]],Transaction[[#This Row],[TransactionDateD]]),"Missing Value")</f>
        <v>45766</v>
      </c>
      <c r="G149" t="s">
        <v>610</v>
      </c>
      <c r="H149" t="str">
        <f>IFERROR(VLOOKUP(Transaction[[#This Row],[CustomerID]],Custumer[],1,0),IF(LEN(Transaction[[#This Row],[CustomerID]])=7,LEFT(Transaction[[#This Row],[CustomerID]],6),"Invalid ID"))</f>
        <v>C-1156</v>
      </c>
      <c r="I149" t="s">
        <v>117</v>
      </c>
      <c r="J149" t="str">
        <f>TRIM(UPPER(Transaction[[#This Row],[ProductID]]))</f>
        <v>P-SI-007</v>
      </c>
      <c r="K149" t="str">
        <f>IFERROR(VLOOKUP(Transaction[[#This Row],[ProductID_Clean]],Product[],1,FALSE),"Invalid ID")</f>
        <v>P-SI-007</v>
      </c>
      <c r="L149" t="str">
        <f>TRIM(SUBSTITUTE(SUBSTITUTE(SUBSTITUTE(SUBSTITUTE(UPPER(Transaction[[#This Row],[Region]]),"EMEA REGION","EMEA"),"APAC REGION","APAC"),"NORTH AMERICA","N. AMERICA"),"N .AMERICA","N.AMERICA"))</f>
        <v>N. AMERICA</v>
      </c>
      <c r="M149" t="s">
        <v>20</v>
      </c>
      <c r="N149" t="s">
        <v>53</v>
      </c>
      <c r="O14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49" t="s">
        <v>40</v>
      </c>
      <c r="Q149" t="str">
        <f>IF(TRIM(Transaction[[#This Row],[SalesChannel]])="","Missing Value",TRIM(Transaction[[#This Row],[SalesChannel]]))</f>
        <v>Distributor</v>
      </c>
      <c r="R149" s="4">
        <v>1</v>
      </c>
      <c r="S149" s="4" t="str">
        <f>IF(Transaction[[#This Row],[Quantity]]&lt;0,"Negative-review","Valid")</f>
        <v>Valid</v>
      </c>
      <c r="T149">
        <v>844</v>
      </c>
      <c r="U14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844</v>
      </c>
      <c r="V149">
        <v>980</v>
      </c>
      <c r="W149">
        <v>980</v>
      </c>
      <c r="X14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149">
        <f>IF(Transaction[[#This Row],[GrossRevenue_Check]]="Invalid",Transaction[[#This Row],[ListPrice]]*Transaction[[#This Row],[Quantity]],Transaction[[#This Row],[GrossRevenue_Clean]])</f>
        <v>980</v>
      </c>
      <c r="Z149" t="str">
        <f>IF(Transaction[[#This Row],[GrossRevenue_Clean]]=Transaction[[#This Row],[ListPrice]]*Transaction[[#This Row],[Quantity]],"Valid","Invalid")</f>
        <v>Valid</v>
      </c>
      <c r="AA149">
        <v>136</v>
      </c>
      <c r="AB14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136</v>
      </c>
      <c r="AC149">
        <f>IF(Transaction[[#This Row],[DiscountAmount_Check2]]="Invalid",Transaction[[#This Row],[GrossRevenue_Analytical]]-Transaction[[#This Row],[NetRevenue_Analytical]],Transaction[[#This Row],[DiscountAmount_Clean]])</f>
        <v>136</v>
      </c>
      <c r="AD149">
        <v>844</v>
      </c>
      <c r="AE149" t="str">
        <f>IF(ROUND(Transaction[[#This Row],[GrossRevenue_Analytical]]-Transaction[[#This Row],[NetRevenue_Analytical]],2)=ROUND(Transaction[[#This Row],[DiscountAmount_Clean]],2),"Valid","Invalid")</f>
        <v>Valid</v>
      </c>
      <c r="AF149">
        <f>VALUE(IF(ISNUMBER(Transaction[[#This Row],[NetRevenue]]),Transaction[[#This Row],[NetRevenue]],IFERROR(IF(FIND("$",Transaction[[#This Row],[NetRevenue]])&gt;0,MID(Transaction[[#This Row],[NetRevenue]],2,10)),Transaction[[#This Row],[NetRevenue]])))</f>
        <v>844</v>
      </c>
      <c r="AG149">
        <f>IF(Transaction[[#This Row],[NetRevenue_Check]]="Invalid",(Transaction[[#This Row],[Quantity]]*Transaction[[#This Row],[UnitPrice_Clean]]),Transaction[[#This Row],[NetRevenue_Clean]])</f>
        <v>844</v>
      </c>
      <c r="AH149" t="str">
        <f>IF(Transaction[[#This Row],[Quantity]]*Transaction[[#This Row],[UnitPrice_Clean]]=Transaction[[#This Row],[NetRevenue_Clean]],"Valid","Invalid")</f>
        <v>Valid</v>
      </c>
      <c r="AI149" t="s">
        <v>23</v>
      </c>
      <c r="AJ149" t="s">
        <v>1450</v>
      </c>
      <c r="AK149" t="str">
        <f>IF(Transaction[[#This Row],[Salesperson]]="","Missing Value",TRIM(PROPER(Transaction[[#This Row],[Salesperson]])))</f>
        <v>Wheeler</v>
      </c>
      <c r="AL149" t="s">
        <v>55</v>
      </c>
      <c r="AM149" t="str">
        <f>IF(Transaction[[#This Row],[ContractType]]="","Missing Value",Transaction[[#This Row],[ContractType]])</f>
        <v>Spot</v>
      </c>
      <c r="AN149" t="s">
        <v>49</v>
      </c>
    </row>
    <row r="150" spans="1:40" x14ac:dyDescent="0.25">
      <c r="A150" t="s">
        <v>2470</v>
      </c>
      <c r="B150" s="1">
        <v>45797</v>
      </c>
      <c r="C15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5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15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50" s="2">
        <f>IFERROR(DATE(Transaction[[#This Row],[TransactionDateY]],Transaction[[#This Row],[TransactionDateM]],Transaction[[#This Row],[TransactionDateD]]),"Missing Value")</f>
        <v>45797</v>
      </c>
      <c r="G150" t="s">
        <v>470</v>
      </c>
      <c r="H150" t="str">
        <f>IFERROR(VLOOKUP(Transaction[[#This Row],[CustomerID]],Custumer[],1,0),IF(LEN(Transaction[[#This Row],[CustomerID]])=7,LEFT(Transaction[[#This Row],[CustomerID]],6),"Invalid ID"))</f>
        <v>C-1151</v>
      </c>
      <c r="I150" t="s">
        <v>268</v>
      </c>
      <c r="J150" t="str">
        <f>TRIM(UPPER(Transaction[[#This Row],[ProductID]]))</f>
        <v>P-FS-002</v>
      </c>
      <c r="K150" t="str">
        <f>IFERROR(VLOOKUP(Transaction[[#This Row],[ProductID_Clean]],Product[],1,FALSE),"Invalid ID")</f>
        <v>P-FS-002</v>
      </c>
      <c r="L150" t="str">
        <f>TRIM(SUBSTITUTE(SUBSTITUTE(SUBSTITUTE(SUBSTITUTE(UPPER(Transaction[[#This Row],[Region]]),"EMEA REGION","EMEA"),"APAC REGION","APAC"),"NORTH AMERICA","N. AMERICA"),"N .AMERICA","N.AMERICA"))</f>
        <v>LATIN AMERICA</v>
      </c>
      <c r="M150" t="s">
        <v>82</v>
      </c>
      <c r="N150" t="s">
        <v>21</v>
      </c>
      <c r="O150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50" t="s">
        <v>22</v>
      </c>
      <c r="Q150" t="str">
        <f>IF(TRIM(Transaction[[#This Row],[SalesChannel]])="","Missing Value",TRIM(Transaction[[#This Row],[SalesChannel]]))</f>
        <v>Direct</v>
      </c>
      <c r="R150" s="4">
        <v>1</v>
      </c>
      <c r="S150" s="4" t="str">
        <f>IF(Transaction[[#This Row],[Quantity]]&lt;0,"Negative-review","Valid")</f>
        <v>Valid</v>
      </c>
      <c r="T150">
        <v>2201.2399999999998</v>
      </c>
      <c r="U15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2201.2399999999998</v>
      </c>
      <c r="V150">
        <v>2400</v>
      </c>
      <c r="W150">
        <v>2400</v>
      </c>
      <c r="X15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150">
        <f>IF(Transaction[[#This Row],[GrossRevenue_Check]]="Invalid",Transaction[[#This Row],[ListPrice]]*Transaction[[#This Row],[Quantity]],Transaction[[#This Row],[GrossRevenue_Clean]])</f>
        <v>2400</v>
      </c>
      <c r="Z150" t="str">
        <f>IF(Transaction[[#This Row],[GrossRevenue_Clean]]=Transaction[[#This Row],[ListPrice]]*Transaction[[#This Row],[Quantity]],"Valid","Invalid")</f>
        <v>Valid</v>
      </c>
      <c r="AA150">
        <v>198.76</v>
      </c>
      <c r="AB15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198.76</v>
      </c>
      <c r="AC150">
        <f>IF(Transaction[[#This Row],[DiscountAmount_Check2]]="Invalid",Transaction[[#This Row],[GrossRevenue_Analytical]]-Transaction[[#This Row],[NetRevenue_Analytical]],Transaction[[#This Row],[DiscountAmount_Clean]])</f>
        <v>198.76</v>
      </c>
      <c r="AD150">
        <v>2201.2399999999998</v>
      </c>
      <c r="AE150" t="str">
        <f>IF(ROUND(Transaction[[#This Row],[GrossRevenue_Analytical]]-Transaction[[#This Row],[NetRevenue_Analytical]],2)=ROUND(Transaction[[#This Row],[DiscountAmount_Clean]],2),"Valid","Invalid")</f>
        <v>Valid</v>
      </c>
      <c r="AF15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2201.2399999999998</v>
      </c>
      <c r="AG150">
        <f>IF(Transaction[[#This Row],[NetRevenue_Check]]="Invalid",(Transaction[[#This Row],[Quantity]]*Transaction[[#This Row],[UnitPrice_Clean]]),Transaction[[#This Row],[NetRevenue_Clean]])</f>
        <v>2201.2399999999998</v>
      </c>
      <c r="AH150" t="str">
        <f>IF(Transaction[[#This Row],[Quantity]]*Transaction[[#This Row],[UnitPrice_Clean]]=Transaction[[#This Row],[NetRevenue_Clean]],"Valid","Invalid")</f>
        <v>Valid</v>
      </c>
      <c r="AI150" t="s">
        <v>23</v>
      </c>
      <c r="AJ150" t="s">
        <v>2471</v>
      </c>
      <c r="AK150" t="str">
        <f>IF(Transaction[[#This Row],[Salesperson]]="","Missing Value",TRIM(PROPER(Transaction[[#This Row],[Salesperson]])))</f>
        <v>Cruz</v>
      </c>
      <c r="AL150" t="s">
        <v>295</v>
      </c>
      <c r="AM150" t="str">
        <f>IF(Transaction[[#This Row],[ContractType]]="","Missing Value",Transaction[[#This Row],[ContractType]])</f>
        <v>Multi-Year</v>
      </c>
      <c r="AN150" t="s">
        <v>49</v>
      </c>
    </row>
    <row r="151" spans="1:40" x14ac:dyDescent="0.25">
      <c r="A151" t="s">
        <v>2715</v>
      </c>
      <c r="B151" t="s">
        <v>820</v>
      </c>
      <c r="C15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15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15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51" s="2">
        <f>IFERROR(DATE(Transaction[[#This Row],[TransactionDateY]],Transaction[[#This Row],[TransactionDateM]],Transaction[[#This Row],[TransactionDateD]]),"Missing Value")</f>
        <v>45823</v>
      </c>
      <c r="G151" t="s">
        <v>163</v>
      </c>
      <c r="H151" t="str">
        <f>IFERROR(VLOOKUP(Transaction[[#This Row],[CustomerID]],Custumer[],1,0),IF(LEN(Transaction[[#This Row],[CustomerID]])=7,LEFT(Transaction[[#This Row],[CustomerID]],6),"Invalid ID"))</f>
        <v>C-1164</v>
      </c>
      <c r="I151" t="s">
        <v>46</v>
      </c>
      <c r="J151" t="str">
        <f>TRIM(UPPER(Transaction[[#This Row],[ProductID]]))</f>
        <v>P-SI-006</v>
      </c>
      <c r="K151" t="str">
        <f>IFERROR(VLOOKUP(Transaction[[#This Row],[ProductID_Clean]],Product[],1,FALSE),"Invalid ID")</f>
        <v>P-SI-006</v>
      </c>
      <c r="L151" t="str">
        <f>TRIM(SUBSTITUTE(SUBSTITUTE(SUBSTITUTE(SUBSTITUTE(UPPER(Transaction[[#This Row],[Region]]),"EMEA REGION","EMEA"),"APAC REGION","APAC"),"NORTH AMERICA","N. AMERICA"),"N .AMERICA","N.AMERICA"))</f>
        <v>EMEA</v>
      </c>
      <c r="M151" t="s">
        <v>76</v>
      </c>
      <c r="N151" t="s">
        <v>53</v>
      </c>
      <c r="O15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51" t="s">
        <v>40</v>
      </c>
      <c r="Q151" t="str">
        <f>IF(TRIM(Transaction[[#This Row],[SalesChannel]])="","Missing Value",TRIM(Transaction[[#This Row],[SalesChannel]]))</f>
        <v>Distributor</v>
      </c>
      <c r="R151" s="4">
        <v>4</v>
      </c>
      <c r="S151" s="4" t="str">
        <f>IF(Transaction[[#This Row],[Quantity]]&lt;0,"Negative-review","Valid")</f>
        <v>Valid</v>
      </c>
      <c r="T151">
        <v>161.56</v>
      </c>
      <c r="U15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161.56</v>
      </c>
      <c r="V151">
        <v>215</v>
      </c>
      <c r="W151">
        <v>860</v>
      </c>
      <c r="X15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860</v>
      </c>
      <c r="Y151">
        <f>IF(Transaction[[#This Row],[GrossRevenue_Check]]="Invalid",Transaction[[#This Row],[ListPrice]]*Transaction[[#This Row],[Quantity]],Transaction[[#This Row],[GrossRevenue_Clean]])</f>
        <v>860</v>
      </c>
      <c r="Z151" t="str">
        <f>IF(Transaction[[#This Row],[GrossRevenue_Clean]]=Transaction[[#This Row],[ListPrice]]*Transaction[[#This Row],[Quantity]],"Valid","Invalid")</f>
        <v>Valid</v>
      </c>
      <c r="AA151">
        <v>213.76</v>
      </c>
      <c r="AB15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213.76</v>
      </c>
      <c r="AC151">
        <f>IF(Transaction[[#This Row],[DiscountAmount_Check2]]="Invalid",Transaction[[#This Row],[GrossRevenue_Analytical]]-Transaction[[#This Row],[NetRevenue_Analytical]],Transaction[[#This Row],[DiscountAmount_Clean]])</f>
        <v>213.76</v>
      </c>
      <c r="AD151">
        <v>646.24</v>
      </c>
      <c r="AE151" t="str">
        <f>IF(ROUND(Transaction[[#This Row],[GrossRevenue_Analytical]]-Transaction[[#This Row],[NetRevenue_Analytical]],2)=ROUND(Transaction[[#This Row],[DiscountAmount_Clean]],2),"Valid","Invalid")</f>
        <v>Valid</v>
      </c>
      <c r="AF151">
        <f>VALUE(IF(ISNUMBER(Transaction[[#This Row],[NetRevenue]]),Transaction[[#This Row],[NetRevenue]],IFERROR(IF(FIND("$",Transaction[[#This Row],[NetRevenue]])&gt;0,MID(Transaction[[#This Row],[NetRevenue]],2,10)),Transaction[[#This Row],[NetRevenue]])))</f>
        <v>646.24</v>
      </c>
      <c r="AG151">
        <f>IF(Transaction[[#This Row],[NetRevenue_Check]]="Invalid",(Transaction[[#This Row],[Quantity]]*Transaction[[#This Row],[UnitPrice_Clean]]),Transaction[[#This Row],[NetRevenue_Clean]])</f>
        <v>646.24</v>
      </c>
      <c r="AH151" t="str">
        <f>IF(Transaction[[#This Row],[Quantity]]*Transaction[[#This Row],[UnitPrice_Clean]]=Transaction[[#This Row],[NetRevenue_Clean]],"Valid","Invalid")</f>
        <v>Valid</v>
      </c>
      <c r="AI151" t="s">
        <v>23</v>
      </c>
      <c r="AJ151" t="s">
        <v>2716</v>
      </c>
      <c r="AK151" t="str">
        <f>IF(Transaction[[#This Row],[Salesperson]]="","Missing Value",TRIM(PROPER(Transaction[[#This Row],[Salesperson]])))</f>
        <v>Carpenter</v>
      </c>
      <c r="AL151" t="s">
        <v>42</v>
      </c>
      <c r="AM151" t="str">
        <f>IF(Transaction[[#This Row],[ContractType]]="","Missing Value",Transaction[[#This Row],[ContractType]])</f>
        <v>Standard PO</v>
      </c>
      <c r="AN151" t="s">
        <v>43</v>
      </c>
    </row>
    <row r="152" spans="1:40" x14ac:dyDescent="0.25">
      <c r="A152" t="s">
        <v>2682</v>
      </c>
      <c r="B152" s="1">
        <v>45726</v>
      </c>
      <c r="C15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5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15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52" s="2">
        <f>IFERROR(DATE(Transaction[[#This Row],[TransactionDateY]],Transaction[[#This Row],[TransactionDateM]],Transaction[[#This Row],[TransactionDateD]]),"Missing Value")</f>
        <v>45726</v>
      </c>
      <c r="G152" t="s">
        <v>568</v>
      </c>
      <c r="H152" t="str">
        <f>IFERROR(VLOOKUP(Transaction[[#This Row],[CustomerID]],Custumer[],1,0),IF(LEN(Transaction[[#This Row],[CustomerID]])=7,LEFT(Transaction[[#This Row],[CustomerID]],6),"Invalid ID"))</f>
        <v>C-1087</v>
      </c>
      <c r="I152" t="s">
        <v>29</v>
      </c>
      <c r="J152" t="str">
        <f>TRIM(UPPER(Transaction[[#This Row],[ProductID]]))</f>
        <v>P-SA-001</v>
      </c>
      <c r="K152" t="str">
        <f>IFERROR(VLOOKUP(Transaction[[#This Row],[ProductID_Clean]],Product[],1,FALSE),"Invalid ID")</f>
        <v>P-SA-001</v>
      </c>
      <c r="L152" t="str">
        <f>TRIM(SUBSTITUTE(SUBSTITUTE(SUBSTITUTE(SUBSTITUTE(UPPER(Transaction[[#This Row],[Region]]),"EMEA REGION","EMEA"),"APAC REGION","APAC"),"NORTH AMERICA","N. AMERICA"),"N .AMERICA","N.AMERICA"))</f>
        <v>APAC</v>
      </c>
      <c r="M152" t="s">
        <v>30</v>
      </c>
      <c r="N152" t="s">
        <v>31</v>
      </c>
      <c r="O15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52" t="s">
        <v>173</v>
      </c>
      <c r="Q152" t="str">
        <f>IF(TRIM(Transaction[[#This Row],[SalesChannel]])="","Missing Value",TRIM(Transaction[[#This Row],[SalesChannel]]))</f>
        <v>Distributor</v>
      </c>
      <c r="R152" s="4">
        <v>5</v>
      </c>
      <c r="S152" s="4" t="str">
        <f>IF(Transaction[[#This Row],[Quantity]]&lt;0,"Negative-review","Valid")</f>
        <v>Valid</v>
      </c>
      <c r="T152" t="s">
        <v>2683</v>
      </c>
      <c r="U15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3337.27</v>
      </c>
      <c r="V152">
        <v>4200</v>
      </c>
      <c r="W152" t="s">
        <v>1498</v>
      </c>
      <c r="X15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21000</v>
      </c>
      <c r="Y152">
        <f>IF(Transaction[[#This Row],[GrossRevenue_Check]]="Invalid",Transaction[[#This Row],[ListPrice]]*Transaction[[#This Row],[Quantity]],Transaction[[#This Row],[GrossRevenue_Clean]])</f>
        <v>21000</v>
      </c>
      <c r="Z152" t="str">
        <f>IF(Transaction[[#This Row],[GrossRevenue_Clean]]=Transaction[[#This Row],[ListPrice]]*Transaction[[#This Row],[Quantity]],"Valid","Invalid")</f>
        <v>Valid</v>
      </c>
      <c r="AA152">
        <v>4313.6499999999996</v>
      </c>
      <c r="AB15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4313.6499999999996</v>
      </c>
      <c r="AC152">
        <f>IF(Transaction[[#This Row],[DiscountAmount_Check2]]="Invalid",Transaction[[#This Row],[GrossRevenue_Analytical]]-Transaction[[#This Row],[NetRevenue_Analytical]],Transaction[[#This Row],[DiscountAmount_Clean]])</f>
        <v>4313.6499999999996</v>
      </c>
      <c r="AD152">
        <v>16686.349999999999</v>
      </c>
      <c r="AE152" t="str">
        <f>IF(ROUND(Transaction[[#This Row],[GrossRevenue_Analytical]]-Transaction[[#This Row],[NetRevenue_Analytical]],2)=ROUND(Transaction[[#This Row],[DiscountAmount_Clean]],2),"Valid","Invalid")</f>
        <v>Valid</v>
      </c>
      <c r="AF15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16686.349999999999</v>
      </c>
      <c r="AG152">
        <f>IF(Transaction[[#This Row],[NetRevenue_Check]]="Invalid",(Transaction[[#This Row],[Quantity]]*Transaction[[#This Row],[UnitPrice_Clean]]),Transaction[[#This Row],[NetRevenue_Clean]])</f>
        <v>16686.349999999999</v>
      </c>
      <c r="AH152" t="str">
        <f>IF(Transaction[[#This Row],[Quantity]]*Transaction[[#This Row],[UnitPrice_Clean]]=Transaction[[#This Row],[NetRevenue_Clean]],"Valid","Invalid")</f>
        <v>Valid</v>
      </c>
      <c r="AI152" t="s">
        <v>23</v>
      </c>
      <c r="AJ152" t="s">
        <v>2684</v>
      </c>
      <c r="AK152" t="str">
        <f>IF(Transaction[[#This Row],[Salesperson]]="","Missing Value",TRIM(PROPER(Transaction[[#This Row],[Salesperson]])))</f>
        <v>Best</v>
      </c>
      <c r="AL152" t="s">
        <v>34</v>
      </c>
      <c r="AM152" t="str">
        <f>IF(Transaction[[#This Row],[ContractType]]="","Missing Value",Transaction[[#This Row],[ContractType]])</f>
        <v>Annual License</v>
      </c>
      <c r="AN152" t="s">
        <v>49</v>
      </c>
    </row>
    <row r="153" spans="1:40" x14ac:dyDescent="0.25">
      <c r="A153" t="s">
        <v>2667</v>
      </c>
      <c r="B153" s="1">
        <v>45676</v>
      </c>
      <c r="C15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5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15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53" s="2">
        <f>IFERROR(DATE(Transaction[[#This Row],[TransactionDateY]],Transaction[[#This Row],[TransactionDateM]],Transaction[[#This Row],[TransactionDateD]]),"Missing Value")</f>
        <v>45676</v>
      </c>
      <c r="G153" t="s">
        <v>385</v>
      </c>
      <c r="H153" t="str">
        <f>IFERROR(VLOOKUP(Transaction[[#This Row],[CustomerID]],Custumer[],1,0),IF(LEN(Transaction[[#This Row],[CustomerID]])=7,LEFT(Transaction[[#This Row],[CustomerID]],6),"Invalid ID"))</f>
        <v>C-1084</v>
      </c>
      <c r="I153" t="s">
        <v>285</v>
      </c>
      <c r="J153" t="str">
        <f>TRIM(UPPER(Transaction[[#This Row],[ProductID]]))</f>
        <v>P-SI-001</v>
      </c>
      <c r="K153" t="str">
        <f>IFERROR(VLOOKUP(Transaction[[#This Row],[ProductID_Clean]],Product[],1,FALSE),"Invalid ID")</f>
        <v>P-SI-001</v>
      </c>
      <c r="L153" t="str">
        <f>TRIM(SUBSTITUTE(SUBSTITUTE(SUBSTITUTE(SUBSTITUTE(UPPER(Transaction[[#This Row],[Region]]),"EMEA REGION","EMEA"),"APAC REGION","APAC"),"NORTH AMERICA","N. AMERICA"),"N .AMERICA","N.AMERICA"))</f>
        <v>N. AMERICA</v>
      </c>
      <c r="M153" t="s">
        <v>204</v>
      </c>
      <c r="N153" t="s">
        <v>53</v>
      </c>
      <c r="O15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53" t="s">
        <v>181</v>
      </c>
      <c r="Q153" t="str">
        <f>IF(TRIM(Transaction[[#This Row],[SalesChannel]])="","Missing Value",TRIM(Transaction[[#This Row],[SalesChannel]]))</f>
        <v>Partner Portal</v>
      </c>
      <c r="R153" s="4">
        <v>1</v>
      </c>
      <c r="S153" s="4" t="str">
        <f>IF(Transaction[[#This Row],[Quantity]]&lt;0,"Negative-review","Valid")</f>
        <v>Valid</v>
      </c>
      <c r="T153">
        <v>429.28</v>
      </c>
      <c r="U15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429.28</v>
      </c>
      <c r="V153">
        <v>485</v>
      </c>
      <c r="W153">
        <v>485</v>
      </c>
      <c r="X15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153">
        <f>IF(Transaction[[#This Row],[GrossRevenue_Check]]="Invalid",Transaction[[#This Row],[ListPrice]]*Transaction[[#This Row],[Quantity]],Transaction[[#This Row],[GrossRevenue_Clean]])</f>
        <v>485</v>
      </c>
      <c r="Z153" t="str">
        <f>IF(Transaction[[#This Row],[GrossRevenue_Clean]]=Transaction[[#This Row],[ListPrice]]*Transaction[[#This Row],[Quantity]],"Valid","Invalid")</f>
        <v>Valid</v>
      </c>
      <c r="AA153">
        <v>55.72</v>
      </c>
      <c r="AB15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55.72</v>
      </c>
      <c r="AC153">
        <f>IF(Transaction[[#This Row],[DiscountAmount_Check2]]="Invalid",Transaction[[#This Row],[GrossRevenue_Analytical]]-Transaction[[#This Row],[NetRevenue_Analytical]],Transaction[[#This Row],[DiscountAmount_Clean]])</f>
        <v>55.72</v>
      </c>
      <c r="AD153">
        <v>429.28</v>
      </c>
      <c r="AE153" t="str">
        <f>IF(ROUND(Transaction[[#This Row],[GrossRevenue_Analytical]]-Transaction[[#This Row],[NetRevenue_Analytical]],2)=ROUND(Transaction[[#This Row],[DiscountAmount_Clean]],2),"Valid","Invalid")</f>
        <v>Valid</v>
      </c>
      <c r="AF153">
        <f>VALUE(IF(ISNUMBER(Transaction[[#This Row],[NetRevenue]]),Transaction[[#This Row],[NetRevenue]],IFERROR(IF(FIND("$",Transaction[[#This Row],[NetRevenue]])&gt;0,MID(Transaction[[#This Row],[NetRevenue]],2,10)),Transaction[[#This Row],[NetRevenue]])))</f>
        <v>429.28</v>
      </c>
      <c r="AG153">
        <f>IF(Transaction[[#This Row],[NetRevenue_Check]]="Invalid",(Transaction[[#This Row],[Quantity]]*Transaction[[#This Row],[UnitPrice_Clean]]),Transaction[[#This Row],[NetRevenue_Clean]])</f>
        <v>429.28</v>
      </c>
      <c r="AH153" t="str">
        <f>IF(Transaction[[#This Row],[Quantity]]*Transaction[[#This Row],[UnitPrice_Clean]]=Transaction[[#This Row],[NetRevenue_Clean]],"Valid","Invalid")</f>
        <v>Valid</v>
      </c>
      <c r="AI153" t="s">
        <v>23</v>
      </c>
      <c r="AJ153" t="s">
        <v>2668</v>
      </c>
      <c r="AK153" t="str">
        <f>IF(Transaction[[#This Row],[Salesperson]]="","Missing Value",TRIM(PROPER(Transaction[[#This Row],[Salesperson]])))</f>
        <v>Stevenson</v>
      </c>
      <c r="AL153" t="s">
        <v>42</v>
      </c>
      <c r="AM153" t="str">
        <f>IF(Transaction[[#This Row],[ContractType]]="","Missing Value",Transaction[[#This Row],[ContractType]])</f>
        <v>Standard PO</v>
      </c>
      <c r="AN153" t="s">
        <v>43</v>
      </c>
    </row>
    <row r="154" spans="1:40" x14ac:dyDescent="0.25">
      <c r="A154" t="s">
        <v>2322</v>
      </c>
      <c r="B154" s="1">
        <v>45700</v>
      </c>
      <c r="C15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5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15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54" s="2">
        <f>IFERROR(DATE(Transaction[[#This Row],[TransactionDateY]],Transaction[[#This Row],[TransactionDateM]],Transaction[[#This Row],[TransactionDateD]]),"Missing Value")</f>
        <v>45700</v>
      </c>
      <c r="G154" t="s">
        <v>580</v>
      </c>
      <c r="H154" t="str">
        <f>IFERROR(VLOOKUP(Transaction[[#This Row],[CustomerID]],Custumer[],1,0),IF(LEN(Transaction[[#This Row],[CustomerID]])=7,LEFT(Transaction[[#This Row],[CustomerID]],6),"Invalid ID"))</f>
        <v>C-1053</v>
      </c>
      <c r="I154" t="s">
        <v>71</v>
      </c>
      <c r="J154" t="str">
        <f>TRIM(UPPER(Transaction[[#This Row],[ProductID]]))</f>
        <v>P-SI-003</v>
      </c>
      <c r="K154" t="str">
        <f>IFERROR(VLOOKUP(Transaction[[#This Row],[ProductID_Clean]],Product[],1,FALSE),"Invalid ID")</f>
        <v>P-SI-003</v>
      </c>
      <c r="L154" t="str">
        <f>TRIM(SUBSTITUTE(SUBSTITUTE(SUBSTITUTE(SUBSTITUTE(UPPER(Transaction[[#This Row],[Region]]),"EMEA REGION","EMEA"),"APAC REGION","APAC"),"NORTH AMERICA","N. AMERICA"),"N .AMERICA","N.AMERICA"))</f>
        <v>LATIN AMERICA</v>
      </c>
      <c r="M154" t="s">
        <v>82</v>
      </c>
      <c r="N154" t="s">
        <v>816</v>
      </c>
      <c r="O15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54" t="s">
        <v>22</v>
      </c>
      <c r="Q154" t="str">
        <f>IF(TRIM(Transaction[[#This Row],[SalesChannel]])="","Missing Value",TRIM(Transaction[[#This Row],[SalesChannel]]))</f>
        <v>Direct</v>
      </c>
      <c r="R154" s="4">
        <v>3</v>
      </c>
      <c r="S154" s="4" t="str">
        <f>IF(Transaction[[#This Row],[Quantity]]&lt;0,"Negative-review","Valid")</f>
        <v>Valid</v>
      </c>
      <c r="T154">
        <v>1699.72</v>
      </c>
      <c r="U15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1699.72</v>
      </c>
      <c r="V154">
        <v>1890</v>
      </c>
      <c r="W154" t="s">
        <v>2323</v>
      </c>
      <c r="X15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5670</v>
      </c>
      <c r="Y154">
        <f>IF(Transaction[[#This Row],[GrossRevenue_Check]]="Invalid",Transaction[[#This Row],[ListPrice]]*Transaction[[#This Row],[Quantity]],Transaction[[#This Row],[GrossRevenue_Clean]])</f>
        <v>5670</v>
      </c>
      <c r="Z154" t="str">
        <f>IF(Transaction[[#This Row],[GrossRevenue_Clean]]=Transaction[[#This Row],[ListPrice]]*Transaction[[#This Row],[Quantity]],"Valid","Invalid")</f>
        <v>Valid</v>
      </c>
      <c r="AA154">
        <v>570.84</v>
      </c>
      <c r="AB15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570.84</v>
      </c>
      <c r="AC154">
        <f>IF(Transaction[[#This Row],[DiscountAmount_Check2]]="Invalid",Transaction[[#This Row],[GrossRevenue_Analytical]]-Transaction[[#This Row],[NetRevenue_Analytical]],Transaction[[#This Row],[DiscountAmount_Clean]])</f>
        <v>570.84</v>
      </c>
      <c r="AD154">
        <v>5099.16</v>
      </c>
      <c r="AE154" t="str">
        <f>IF(ROUND(Transaction[[#This Row],[GrossRevenue_Analytical]]-Transaction[[#This Row],[NetRevenue_Analytical]],2)=ROUND(Transaction[[#This Row],[DiscountAmount_Clean]],2),"Valid","Invalid")</f>
        <v>Valid</v>
      </c>
      <c r="AF154">
        <f>VALUE(IF(ISNUMBER(Transaction[[#This Row],[NetRevenue]]),Transaction[[#This Row],[NetRevenue]],IFERROR(IF(FIND("$",Transaction[[#This Row],[NetRevenue]])&gt;0,MID(Transaction[[#This Row],[NetRevenue]],2,10)),Transaction[[#This Row],[NetRevenue]])))</f>
        <v>5099.16</v>
      </c>
      <c r="AG154">
        <f>IF(Transaction[[#This Row],[NetRevenue_Check]]="Invalid",(Transaction[[#This Row],[Quantity]]*Transaction[[#This Row],[UnitPrice_Clean]]),Transaction[[#This Row],[NetRevenue_Clean]])</f>
        <v>5099.16</v>
      </c>
      <c r="AH154" t="str">
        <f>IF(Transaction[[#This Row],[Quantity]]*Transaction[[#This Row],[UnitPrice_Clean]]=Transaction[[#This Row],[NetRevenue_Clean]],"Valid","Invalid")</f>
        <v>Valid</v>
      </c>
      <c r="AI154" t="s">
        <v>23</v>
      </c>
      <c r="AJ154" t="s">
        <v>1165</v>
      </c>
      <c r="AK154" t="str">
        <f>IF(Transaction[[#This Row],[Salesperson]]="","Missing Value",TRIM(PROPER(Transaction[[#This Row],[Salesperson]])))</f>
        <v>Williams</v>
      </c>
      <c r="AL154" t="s">
        <v>42</v>
      </c>
      <c r="AM154" t="str">
        <f>IF(Transaction[[#This Row],[ContractType]]="","Missing Value",Transaction[[#This Row],[ContractType]])</f>
        <v>Standard PO</v>
      </c>
      <c r="AN154" t="s">
        <v>35</v>
      </c>
    </row>
    <row r="155" spans="1:40" x14ac:dyDescent="0.25">
      <c r="A155" t="s">
        <v>2552</v>
      </c>
      <c r="C15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15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15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155" s="2" t="str">
        <f>IFERROR(DATE(Transaction[[#This Row],[TransactionDateY]],Transaction[[#This Row],[TransactionDateM]],Transaction[[#This Row],[TransactionDateD]]),"Missing Value")</f>
        <v>Missing Value</v>
      </c>
      <c r="G155" t="s">
        <v>329</v>
      </c>
      <c r="H155" t="str">
        <f>IFERROR(VLOOKUP(Transaction[[#This Row],[CustomerID]],Custumer[],1,0),IF(LEN(Transaction[[#This Row],[CustomerID]])=7,LEFT(Transaction[[#This Row],[CustomerID]],6),"Invalid ID"))</f>
        <v>C-1145</v>
      </c>
      <c r="I155" t="s">
        <v>92</v>
      </c>
      <c r="J155" t="str">
        <f>TRIM(UPPER(Transaction[[#This Row],[ProductID]]))</f>
        <v>P-SI-008</v>
      </c>
      <c r="K155" t="str">
        <f>IFERROR(VLOOKUP(Transaction[[#This Row],[ProductID_Clean]],Product[],1,FALSE),"Invalid ID")</f>
        <v>P-SI-008</v>
      </c>
      <c r="L155" t="str">
        <f>TRIM(SUBSTITUTE(SUBSTITUTE(SUBSTITUTE(SUBSTITUTE(UPPER(Transaction[[#This Row],[Region]]),"EMEA REGION","EMEA"),"APAC REGION","APAC"),"NORTH AMERICA","N. AMERICA"),"N .AMERICA","N.AMERICA"))</f>
        <v>N. AMERICA</v>
      </c>
      <c r="M155" t="s">
        <v>20</v>
      </c>
      <c r="N155" t="s">
        <v>53</v>
      </c>
      <c r="O15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55" t="s">
        <v>181</v>
      </c>
      <c r="Q155" t="str">
        <f>IF(TRIM(Transaction[[#This Row],[SalesChannel]])="","Missing Value",TRIM(Transaction[[#This Row],[SalesChannel]]))</f>
        <v>Partner Portal</v>
      </c>
      <c r="R155" s="4">
        <v>3</v>
      </c>
      <c r="S155" s="4" t="str">
        <f>IF(Transaction[[#This Row],[Quantity]]&lt;0,"Negative-review","Valid")</f>
        <v>Valid</v>
      </c>
      <c r="T155">
        <v>783.94</v>
      </c>
      <c r="U15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783.94</v>
      </c>
      <c r="V155">
        <v>950</v>
      </c>
      <c r="W155">
        <v>2850</v>
      </c>
      <c r="X15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2850</v>
      </c>
      <c r="Y155">
        <f>IF(Transaction[[#This Row],[GrossRevenue_Check]]="Invalid",Transaction[[#This Row],[ListPrice]]*Transaction[[#This Row],[Quantity]],Transaction[[#This Row],[GrossRevenue_Clean]])</f>
        <v>2850</v>
      </c>
      <c r="Z155" t="str">
        <f>IF(Transaction[[#This Row],[GrossRevenue_Clean]]=Transaction[[#This Row],[ListPrice]]*Transaction[[#This Row],[Quantity]],"Valid","Invalid")</f>
        <v>Valid</v>
      </c>
      <c r="AA155">
        <v>498.18</v>
      </c>
      <c r="AB15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498.18</v>
      </c>
      <c r="AC155">
        <f>IF(Transaction[[#This Row],[DiscountAmount_Check2]]="Invalid",Transaction[[#This Row],[GrossRevenue_Analytical]]-Transaction[[#This Row],[NetRevenue_Analytical]],Transaction[[#This Row],[DiscountAmount_Clean]])</f>
        <v>498.18</v>
      </c>
      <c r="AD155">
        <v>2351.8200000000002</v>
      </c>
      <c r="AE155" t="str">
        <f>IF(ROUND(Transaction[[#This Row],[GrossRevenue_Analytical]]-Transaction[[#This Row],[NetRevenue_Analytical]],2)=ROUND(Transaction[[#This Row],[DiscountAmount_Clean]],2),"Valid","Invalid")</f>
        <v>Valid</v>
      </c>
      <c r="AF155">
        <f>VALUE(IF(ISNUMBER(Transaction[[#This Row],[NetRevenue]]),Transaction[[#This Row],[NetRevenue]],IFERROR(IF(FIND("$",Transaction[[#This Row],[NetRevenue]])&gt;0,MID(Transaction[[#This Row],[NetRevenue]],2,10)),Transaction[[#This Row],[NetRevenue]])))</f>
        <v>2351.8200000000002</v>
      </c>
      <c r="AG155">
        <f>IF(Transaction[[#This Row],[NetRevenue_Check]]="Invalid",(Transaction[[#This Row],[Quantity]]*Transaction[[#This Row],[UnitPrice_Clean]]),Transaction[[#This Row],[NetRevenue_Clean]])</f>
        <v>2351.8200000000002</v>
      </c>
      <c r="AH155" t="str">
        <f>IF(Transaction[[#This Row],[Quantity]]*Transaction[[#This Row],[UnitPrice_Clean]]=Transaction[[#This Row],[NetRevenue_Clean]],"Valid","Invalid")</f>
        <v>Valid</v>
      </c>
      <c r="AI155" t="s">
        <v>23</v>
      </c>
      <c r="AJ155" t="s">
        <v>2553</v>
      </c>
      <c r="AK155" t="str">
        <f>IF(Transaction[[#This Row],[Salesperson]]="","Missing Value",TRIM(PROPER(Transaction[[#This Row],[Salesperson]])))</f>
        <v>Stout-Ap</v>
      </c>
      <c r="AL155" t="s">
        <v>25</v>
      </c>
      <c r="AM155" t="str">
        <f>IF(Transaction[[#This Row],[ContractType]]="","Missing Value",Transaction[[#This Row],[ContractType]])</f>
        <v>Frame Agreement</v>
      </c>
      <c r="AN155" t="s">
        <v>65</v>
      </c>
    </row>
    <row r="156" spans="1:40" x14ac:dyDescent="0.25">
      <c r="A156" t="s">
        <v>620</v>
      </c>
      <c r="B156" s="1">
        <v>45803</v>
      </c>
      <c r="C15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5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15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56" s="2">
        <f>IFERROR(DATE(Transaction[[#This Row],[TransactionDateY]],Transaction[[#This Row],[TransactionDateM]],Transaction[[#This Row],[TransactionDateD]]),"Missing Value")</f>
        <v>45803</v>
      </c>
      <c r="G156" t="s">
        <v>621</v>
      </c>
      <c r="H156" t="str">
        <f>IFERROR(VLOOKUP(Transaction[[#This Row],[CustomerID]],Custumer[],1,0),IF(LEN(Transaction[[#This Row],[CustomerID]])=7,LEFT(Transaction[[#This Row],[CustomerID]],6),"Invalid ID"))</f>
        <v>C-1064</v>
      </c>
      <c r="I156" t="s">
        <v>117</v>
      </c>
      <c r="J156" t="str">
        <f>TRIM(UPPER(Transaction[[#This Row],[ProductID]]))</f>
        <v>P-SI-007</v>
      </c>
      <c r="K156" t="str">
        <f>IFERROR(VLOOKUP(Transaction[[#This Row],[ProductID_Clean]],Product[],1,FALSE),"Invalid ID")</f>
        <v>P-SI-007</v>
      </c>
      <c r="L156" t="str">
        <f>TRIM(SUBSTITUTE(SUBSTITUTE(SUBSTITUTE(SUBSTITUTE(UPPER(Transaction[[#This Row],[Region]]),"EMEA REGION","EMEA"),"APAC REGION","APAC"),"NORTH AMERICA","N. AMERICA"),"N .AMERICA","N.AMERICA"))</f>
        <v>N. AMERICA</v>
      </c>
      <c r="M156" t="s">
        <v>20</v>
      </c>
      <c r="N156" t="s">
        <v>53</v>
      </c>
      <c r="O15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56" t="s">
        <v>40</v>
      </c>
      <c r="Q156" t="str">
        <f>IF(TRIM(Transaction[[#This Row],[SalesChannel]])="","Missing Value",TRIM(Transaction[[#This Row],[SalesChannel]]))</f>
        <v>Distributor</v>
      </c>
      <c r="R156" s="4">
        <v>8</v>
      </c>
      <c r="S156" s="4" t="str">
        <f>IF(Transaction[[#This Row],[Quantity]]&lt;0,"Negative-review","Valid")</f>
        <v>Valid</v>
      </c>
      <c r="T156">
        <v>754.24</v>
      </c>
      <c r="U15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754.24</v>
      </c>
      <c r="V156">
        <v>980</v>
      </c>
      <c r="W156">
        <v>7840</v>
      </c>
      <c r="X15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7840</v>
      </c>
      <c r="Y156">
        <f>IF(Transaction[[#This Row],[GrossRevenue_Check]]="Invalid",Transaction[[#This Row],[ListPrice]]*Transaction[[#This Row],[Quantity]],Transaction[[#This Row],[GrossRevenue_Clean]])</f>
        <v>7840</v>
      </c>
      <c r="Z156" t="str">
        <f>IF(Transaction[[#This Row],[GrossRevenue_Clean]]=Transaction[[#This Row],[ListPrice]]*Transaction[[#This Row],[Quantity]],"Valid","Invalid")</f>
        <v>Valid</v>
      </c>
      <c r="AA156">
        <v>1806.08</v>
      </c>
      <c r="AB15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1806.08</v>
      </c>
      <c r="AC156">
        <f>IF(Transaction[[#This Row],[DiscountAmount_Check2]]="Invalid",Transaction[[#This Row],[GrossRevenue_Analytical]]-Transaction[[#This Row],[NetRevenue_Analytical]],Transaction[[#This Row],[DiscountAmount_Clean]])</f>
        <v>1806.08</v>
      </c>
      <c r="AD156">
        <v>6033.92</v>
      </c>
      <c r="AE156" t="str">
        <f>IF(ROUND(Transaction[[#This Row],[GrossRevenue_Analytical]]-Transaction[[#This Row],[NetRevenue_Analytical]],2)=ROUND(Transaction[[#This Row],[DiscountAmount_Clean]],2),"Valid","Invalid")</f>
        <v>Valid</v>
      </c>
      <c r="AF156">
        <f>VALUE(IF(ISNUMBER(Transaction[[#This Row],[NetRevenue]]),Transaction[[#This Row],[NetRevenue]],IFERROR(IF(FIND("$",Transaction[[#This Row],[NetRevenue]])&gt;0,MID(Transaction[[#This Row],[NetRevenue]],2,10)),Transaction[[#This Row],[NetRevenue]])))</f>
        <v>6033.92</v>
      </c>
      <c r="AG156">
        <f>IF(Transaction[[#This Row],[NetRevenue_Check]]="Invalid",(Transaction[[#This Row],[Quantity]]*Transaction[[#This Row],[UnitPrice_Clean]]),Transaction[[#This Row],[NetRevenue_Clean]])</f>
        <v>6033.92</v>
      </c>
      <c r="AH156" t="str">
        <f>IF(Transaction[[#This Row],[Quantity]]*Transaction[[#This Row],[UnitPrice_Clean]]=Transaction[[#This Row],[NetRevenue_Clean]],"Valid","Invalid")</f>
        <v>Valid</v>
      </c>
      <c r="AI156" t="s">
        <v>23</v>
      </c>
      <c r="AJ156" t="s">
        <v>622</v>
      </c>
      <c r="AK156" t="str">
        <f>IF(Transaction[[#This Row],[Salesperson]]="","Missing Value",TRIM(PROPER(Transaction[[#This Row],[Salesperson]])))</f>
        <v>Armstrong-Na</v>
      </c>
      <c r="AL156" t="s">
        <v>42</v>
      </c>
      <c r="AM156" t="str">
        <f>IF(Transaction[[#This Row],[ContractType]]="","Missing Value",Transaction[[#This Row],[ContractType]])</f>
        <v>Standard PO</v>
      </c>
      <c r="AN156" t="s">
        <v>35</v>
      </c>
    </row>
    <row r="157" spans="1:40" x14ac:dyDescent="0.25">
      <c r="A157" t="s">
        <v>931</v>
      </c>
      <c r="B157" s="1">
        <v>45689</v>
      </c>
      <c r="C15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5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15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57" s="2">
        <f>IFERROR(DATE(Transaction[[#This Row],[TransactionDateY]],Transaction[[#This Row],[TransactionDateM]],Transaction[[#This Row],[TransactionDateD]]),"Missing Value")</f>
        <v>45689</v>
      </c>
      <c r="G157" t="s">
        <v>208</v>
      </c>
      <c r="H157" t="str">
        <f>IFERROR(VLOOKUP(Transaction[[#This Row],[CustomerID]],Custumer[],1,0),IF(LEN(Transaction[[#This Row],[CustomerID]])=7,LEFT(Transaction[[#This Row],[CustomerID]],6),"Invalid ID"))</f>
        <v>C-1076</v>
      </c>
      <c r="I157" t="s">
        <v>46</v>
      </c>
      <c r="J157" t="str">
        <f>TRIM(UPPER(Transaction[[#This Row],[ProductID]]))</f>
        <v>P-SI-006</v>
      </c>
      <c r="K157" t="str">
        <f>IFERROR(VLOOKUP(Transaction[[#This Row],[ProductID_Clean]],Product[],1,FALSE),"Invalid ID")</f>
        <v>P-SI-006</v>
      </c>
      <c r="L157" t="str">
        <f>TRIM(SUBSTITUTE(SUBSTITUTE(SUBSTITUTE(SUBSTITUTE(UPPER(Transaction[[#This Row],[Region]]),"EMEA REGION","EMEA"),"APAC REGION","APAC"),"NORTH AMERICA","N. AMERICA"),"N .AMERICA","N.AMERICA"))</f>
        <v>APAC</v>
      </c>
      <c r="M157" t="s">
        <v>30</v>
      </c>
      <c r="N157" t="s">
        <v>53</v>
      </c>
      <c r="O15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57" t="s">
        <v>40</v>
      </c>
      <c r="Q157" t="str">
        <f>IF(TRIM(Transaction[[#This Row],[SalesChannel]])="","Missing Value",TRIM(Transaction[[#This Row],[SalesChannel]]))</f>
        <v>Distributor</v>
      </c>
      <c r="R157" s="4">
        <v>10</v>
      </c>
      <c r="S157" s="4" t="str">
        <f>IF(Transaction[[#This Row],[Quantity]]&lt;0,"Negative-review","Valid")</f>
        <v>Valid</v>
      </c>
      <c r="T157">
        <v>141.55000000000001</v>
      </c>
      <c r="U15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141.55000000000001</v>
      </c>
      <c r="V157">
        <v>215</v>
      </c>
      <c r="W157">
        <v>2150</v>
      </c>
      <c r="X15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2150</v>
      </c>
      <c r="Y157">
        <f>IF(Transaction[[#This Row],[GrossRevenue_Check]]="Invalid",Transaction[[#This Row],[ListPrice]]*Transaction[[#This Row],[Quantity]],Transaction[[#This Row],[GrossRevenue_Clean]])</f>
        <v>2150</v>
      </c>
      <c r="Z157" t="str">
        <f>IF(Transaction[[#This Row],[GrossRevenue_Clean]]=Transaction[[#This Row],[ListPrice]]*Transaction[[#This Row],[Quantity]],"Valid","Invalid")</f>
        <v>Valid</v>
      </c>
      <c r="AA157">
        <v>734.5</v>
      </c>
      <c r="AB15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734.5</v>
      </c>
      <c r="AC157">
        <f>IF(Transaction[[#This Row],[DiscountAmount_Check2]]="Invalid",Transaction[[#This Row],[GrossRevenue_Analytical]]-Transaction[[#This Row],[NetRevenue_Analytical]],Transaction[[#This Row],[DiscountAmount_Clean]])</f>
        <v>734.5</v>
      </c>
      <c r="AD157">
        <v>1415.5</v>
      </c>
      <c r="AE157" t="str">
        <f>IF(ROUND(Transaction[[#This Row],[GrossRevenue_Analytical]]-Transaction[[#This Row],[NetRevenue_Analytical]],2)=ROUND(Transaction[[#This Row],[DiscountAmount_Clean]],2),"Valid","Invalid")</f>
        <v>Valid</v>
      </c>
      <c r="AF15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1415.5</v>
      </c>
      <c r="AG157">
        <f>IF(Transaction[[#This Row],[NetRevenue_Check]]="Invalid",(Transaction[[#This Row],[Quantity]]*Transaction[[#This Row],[UnitPrice_Clean]]),Transaction[[#This Row],[NetRevenue_Clean]])</f>
        <v>1415.5</v>
      </c>
      <c r="AH157" t="str">
        <f>IF(Transaction[[#This Row],[Quantity]]*Transaction[[#This Row],[UnitPrice_Clean]]=Transaction[[#This Row],[NetRevenue_Clean]],"Valid","Invalid")</f>
        <v>Valid</v>
      </c>
      <c r="AI157" t="s">
        <v>23</v>
      </c>
      <c r="AJ157" t="s">
        <v>932</v>
      </c>
      <c r="AK157" t="str">
        <f>IF(Transaction[[#This Row],[Salesperson]]="","Missing Value",TRIM(PROPER(Transaction[[#This Row],[Salesperson]])))</f>
        <v>Lopez-Na</v>
      </c>
      <c r="AL157" t="s">
        <v>42</v>
      </c>
      <c r="AM157" t="str">
        <f>IF(Transaction[[#This Row],[ContractType]]="","Missing Value",Transaction[[#This Row],[ContractType]])</f>
        <v>Standard PO</v>
      </c>
      <c r="AN157" t="s">
        <v>49</v>
      </c>
    </row>
    <row r="158" spans="1:40" x14ac:dyDescent="0.25">
      <c r="A158" t="s">
        <v>2594</v>
      </c>
      <c r="C15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15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15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158" s="2" t="str">
        <f>IFERROR(DATE(Transaction[[#This Row],[TransactionDateY]],Transaction[[#This Row],[TransactionDateM]],Transaction[[#This Row],[TransactionDateD]]),"Missing Value")</f>
        <v>Missing Value</v>
      </c>
      <c r="G158" t="s">
        <v>429</v>
      </c>
      <c r="H158" t="str">
        <f>IFERROR(VLOOKUP(Transaction[[#This Row],[CustomerID]],Custumer[],1,0),IF(LEN(Transaction[[#This Row],[CustomerID]])=7,LEFT(Transaction[[#This Row],[CustomerID]],6),"Invalid ID"))</f>
        <v>C-1009</v>
      </c>
      <c r="I158" t="s">
        <v>62</v>
      </c>
      <c r="J158" t="str">
        <f>TRIM(UPPER(Transaction[[#This Row],[ProductID]]))</f>
        <v>P-SI-004</v>
      </c>
      <c r="K158" t="str">
        <f>IFERROR(VLOOKUP(Transaction[[#This Row],[ProductID_Clean]],Product[],1,FALSE),"Invalid ID")</f>
        <v>P-SI-004</v>
      </c>
      <c r="L158" t="str">
        <f>TRIM(SUBSTITUTE(SUBSTITUTE(SUBSTITUTE(SUBSTITUTE(UPPER(Transaction[[#This Row],[Region]]),"EMEA REGION","EMEA"),"APAC REGION","APAC"),"NORTH AMERICA","N. AMERICA"),"N .AMERICA","N.AMERICA"))</f>
        <v>EMEA</v>
      </c>
      <c r="M158" t="s">
        <v>76</v>
      </c>
      <c r="N158" t="s">
        <v>53</v>
      </c>
      <c r="O15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58" t="s">
        <v>40</v>
      </c>
      <c r="Q158" t="str">
        <f>IF(TRIM(Transaction[[#This Row],[SalesChannel]])="","Missing Value",TRIM(Transaction[[#This Row],[SalesChannel]]))</f>
        <v>Distributor</v>
      </c>
      <c r="R158" s="4">
        <v>1</v>
      </c>
      <c r="S158" s="4" t="str">
        <f>IF(Transaction[[#This Row],[Quantity]]&lt;0,"Negative-review","Valid")</f>
        <v>Valid</v>
      </c>
      <c r="T158">
        <v>1895.91</v>
      </c>
      <c r="U15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1895.91</v>
      </c>
      <c r="V158">
        <v>2450</v>
      </c>
      <c r="W158">
        <v>2450</v>
      </c>
      <c r="X15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158">
        <f>IF(Transaction[[#This Row],[GrossRevenue_Check]]="Invalid",Transaction[[#This Row],[ListPrice]]*Transaction[[#This Row],[Quantity]],Transaction[[#This Row],[GrossRevenue_Clean]])</f>
        <v>2450</v>
      </c>
      <c r="Z158" t="str">
        <f>IF(Transaction[[#This Row],[GrossRevenue_Clean]]=Transaction[[#This Row],[ListPrice]]*Transaction[[#This Row],[Quantity]],"Valid","Invalid")</f>
        <v>Valid</v>
      </c>
      <c r="AA158" t="s">
        <v>2595</v>
      </c>
      <c r="AB15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554.09</v>
      </c>
      <c r="AC158">
        <f>IF(Transaction[[#This Row],[DiscountAmount_Check2]]="Invalid",Transaction[[#This Row],[GrossRevenue_Analytical]]-Transaction[[#This Row],[NetRevenue_Analytical]],Transaction[[#This Row],[DiscountAmount_Clean]])</f>
        <v>554.09</v>
      </c>
      <c r="AD158">
        <v>1895.91</v>
      </c>
      <c r="AE158" t="str">
        <f>IF(ROUND(Transaction[[#This Row],[GrossRevenue_Analytical]]-Transaction[[#This Row],[NetRevenue_Analytical]],2)=ROUND(Transaction[[#This Row],[DiscountAmount_Clean]],2),"Valid","Invalid")</f>
        <v>Valid</v>
      </c>
      <c r="AF15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1895.91</v>
      </c>
      <c r="AG158">
        <f>IF(Transaction[[#This Row],[NetRevenue_Check]]="Invalid",(Transaction[[#This Row],[Quantity]]*Transaction[[#This Row],[UnitPrice_Clean]]),Transaction[[#This Row],[NetRevenue_Clean]])</f>
        <v>1895.91</v>
      </c>
      <c r="AH158" t="str">
        <f>IF(Transaction[[#This Row],[Quantity]]*Transaction[[#This Row],[UnitPrice_Clean]]=Transaction[[#This Row],[NetRevenue_Clean]],"Valid","Invalid")</f>
        <v>Valid</v>
      </c>
      <c r="AI158" t="s">
        <v>23</v>
      </c>
      <c r="AJ158" t="s">
        <v>2596</v>
      </c>
      <c r="AK158" t="str">
        <f>IF(Transaction[[#This Row],[Salesperson]]="","Missing Value",TRIM(PROPER(Transaction[[#This Row],[Salesperson]])))</f>
        <v>Jacobs-Na</v>
      </c>
      <c r="AL158" t="s">
        <v>42</v>
      </c>
      <c r="AM158" t="str">
        <f>IF(Transaction[[#This Row],[ContractType]]="","Missing Value",Transaction[[#This Row],[ContractType]])</f>
        <v>Standard PO</v>
      </c>
      <c r="AN158" t="s">
        <v>49</v>
      </c>
    </row>
    <row r="159" spans="1:40" x14ac:dyDescent="0.25">
      <c r="A159" t="s">
        <v>900</v>
      </c>
      <c r="B159" s="1">
        <v>45727</v>
      </c>
      <c r="C15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5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15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59" s="2">
        <f>IFERROR(DATE(Transaction[[#This Row],[TransactionDateY]],Transaction[[#This Row],[TransactionDateM]],Transaction[[#This Row],[TransactionDateD]]),"Missing Value")</f>
        <v>45727</v>
      </c>
      <c r="G159" t="s">
        <v>456</v>
      </c>
      <c r="H159" t="str">
        <f>IFERROR(VLOOKUP(Transaction[[#This Row],[CustomerID]],Custumer[],1,0),IF(LEN(Transaction[[#This Row],[CustomerID]])=7,LEFT(Transaction[[#This Row],[CustomerID]],6),"Invalid ID"))</f>
        <v>C-1020</v>
      </c>
      <c r="I159" t="s">
        <v>46</v>
      </c>
      <c r="J159" t="str">
        <f>TRIM(UPPER(Transaction[[#This Row],[ProductID]]))</f>
        <v>P-SI-006</v>
      </c>
      <c r="K159" t="str">
        <f>IFERROR(VLOOKUP(Transaction[[#This Row],[ProductID_Clean]],Product[],1,FALSE),"Invalid ID")</f>
        <v>P-SI-006</v>
      </c>
      <c r="L159" t="str">
        <f>TRIM(SUBSTITUTE(SUBSTITUTE(SUBSTITUTE(SUBSTITUTE(UPPER(Transaction[[#This Row],[Region]]),"EMEA REGION","EMEA"),"APAC REGION","APAC"),"NORTH AMERICA","N. AMERICA"),"N .AMERICA","N.AMERICA"))</f>
        <v>EMEA</v>
      </c>
      <c r="M159" t="s">
        <v>76</v>
      </c>
      <c r="N159" t="s">
        <v>53</v>
      </c>
      <c r="O15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59" t="s">
        <v>22</v>
      </c>
      <c r="Q159" t="str">
        <f>IF(TRIM(Transaction[[#This Row],[SalesChannel]])="","Missing Value",TRIM(Transaction[[#This Row],[SalesChannel]]))</f>
        <v>Direct</v>
      </c>
      <c r="R159" s="4">
        <v>5</v>
      </c>
      <c r="S159" s="4" t="str">
        <f>IF(Transaction[[#This Row],[Quantity]]&lt;0,"Negative-review","Valid")</f>
        <v>Valid</v>
      </c>
      <c r="T159">
        <v>196.5</v>
      </c>
      <c r="U15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196.5</v>
      </c>
      <c r="V159">
        <v>215</v>
      </c>
      <c r="W159">
        <v>1075</v>
      </c>
      <c r="X15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1075</v>
      </c>
      <c r="Y159">
        <f>IF(Transaction[[#This Row],[GrossRevenue_Check]]="Invalid",Transaction[[#This Row],[ListPrice]]*Transaction[[#This Row],[Quantity]],Transaction[[#This Row],[GrossRevenue_Clean]])</f>
        <v>1075</v>
      </c>
      <c r="Z159" t="str">
        <f>IF(Transaction[[#This Row],[GrossRevenue_Clean]]=Transaction[[#This Row],[ListPrice]]*Transaction[[#This Row],[Quantity]],"Valid","Invalid")</f>
        <v>Valid</v>
      </c>
      <c r="AA159">
        <v>92.5</v>
      </c>
      <c r="AB15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92.5</v>
      </c>
      <c r="AC159">
        <f>IF(Transaction[[#This Row],[DiscountAmount_Check2]]="Invalid",Transaction[[#This Row],[GrossRevenue_Analytical]]-Transaction[[#This Row],[NetRevenue_Analytical]],Transaction[[#This Row],[DiscountAmount_Clean]])</f>
        <v>92.5</v>
      </c>
      <c r="AD159">
        <v>982.5</v>
      </c>
      <c r="AE159" t="str">
        <f>IF(ROUND(Transaction[[#This Row],[GrossRevenue_Analytical]]-Transaction[[#This Row],[NetRevenue_Analytical]],2)=ROUND(Transaction[[#This Row],[DiscountAmount_Clean]],2),"Valid","Invalid")</f>
        <v>Valid</v>
      </c>
      <c r="AF159">
        <f>VALUE(IF(ISNUMBER(Transaction[[#This Row],[NetRevenue]]),Transaction[[#This Row],[NetRevenue]],IFERROR(IF(FIND("$",Transaction[[#This Row],[NetRevenue]])&gt;0,MID(Transaction[[#This Row],[NetRevenue]],2,10)),Transaction[[#This Row],[NetRevenue]])))</f>
        <v>982.5</v>
      </c>
      <c r="AG159">
        <f>IF(Transaction[[#This Row],[NetRevenue_Check]]="Invalid",(Transaction[[#This Row],[Quantity]]*Transaction[[#This Row],[UnitPrice_Clean]]),Transaction[[#This Row],[NetRevenue_Clean]])</f>
        <v>982.5</v>
      </c>
      <c r="AH159" t="str">
        <f>IF(Transaction[[#This Row],[Quantity]]*Transaction[[#This Row],[UnitPrice_Clean]]=Transaction[[#This Row],[NetRevenue_Clean]],"Valid","Invalid")</f>
        <v>Valid</v>
      </c>
      <c r="AI159" t="s">
        <v>23</v>
      </c>
      <c r="AJ159" t="s">
        <v>901</v>
      </c>
      <c r="AK159" t="str">
        <f>IF(Transaction[[#This Row],[Salesperson]]="","Missing Value",TRIM(PROPER(Transaction[[#This Row],[Salesperson]])))</f>
        <v>Mason-Em</v>
      </c>
      <c r="AL159" t="s">
        <v>25</v>
      </c>
      <c r="AM159" t="str">
        <f>IF(Transaction[[#This Row],[ContractType]]="","Missing Value",Transaction[[#This Row],[ContractType]])</f>
        <v>Frame Agreement</v>
      </c>
      <c r="AN159" t="s">
        <v>43</v>
      </c>
    </row>
    <row r="160" spans="1:40" x14ac:dyDescent="0.25">
      <c r="A160" t="s">
        <v>2225</v>
      </c>
      <c r="B160" s="1">
        <v>45796</v>
      </c>
      <c r="C16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6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16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60" s="2">
        <f>IFERROR(DATE(Transaction[[#This Row],[TransactionDateY]],Transaction[[#This Row],[TransactionDateM]],Transaction[[#This Row],[TransactionDateD]]),"Missing Value")</f>
        <v>45796</v>
      </c>
      <c r="G160" t="s">
        <v>360</v>
      </c>
      <c r="H160" t="str">
        <f>IFERROR(VLOOKUP(Transaction[[#This Row],[CustomerID]],Custumer[],1,0),IF(LEN(Transaction[[#This Row],[CustomerID]])=7,LEFT(Transaction[[#This Row],[CustomerID]],6),"Invalid ID"))</f>
        <v>C-1067</v>
      </c>
      <c r="I160" t="s">
        <v>1764</v>
      </c>
      <c r="J160" t="str">
        <f>TRIM(UPPER(Transaction[[#This Row],[ProductID]]))</f>
        <v>P-SI-008</v>
      </c>
      <c r="K160" t="str">
        <f>IFERROR(VLOOKUP(Transaction[[#This Row],[ProductID_Clean]],Product[],1,FALSE),"Invalid ID")</f>
        <v>P-SI-008</v>
      </c>
      <c r="L160" t="str">
        <f>TRIM(SUBSTITUTE(SUBSTITUTE(SUBSTITUTE(SUBSTITUTE(UPPER(Transaction[[#This Row],[Region]]),"EMEA REGION","EMEA"),"APAC REGION","APAC"),"NORTH AMERICA","N. AMERICA"),"N .AMERICA","N.AMERICA"))</f>
        <v>APAC</v>
      </c>
      <c r="M160" t="s">
        <v>127</v>
      </c>
      <c r="N160" t="s">
        <v>53</v>
      </c>
      <c r="O16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60" t="s">
        <v>181</v>
      </c>
      <c r="Q160" t="str">
        <f>IF(TRIM(Transaction[[#This Row],[SalesChannel]])="","Missing Value",TRIM(Transaction[[#This Row],[SalesChannel]]))</f>
        <v>Partner Portal</v>
      </c>
      <c r="R160" s="4">
        <v>1</v>
      </c>
      <c r="S160" s="4" t="str">
        <f>IF(Transaction[[#This Row],[Quantity]]&lt;0,"Negative-review","Valid")</f>
        <v>Valid</v>
      </c>
      <c r="T160">
        <v>678.53</v>
      </c>
      <c r="U16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678.53</v>
      </c>
      <c r="V160">
        <v>950</v>
      </c>
      <c r="W160">
        <v>950</v>
      </c>
      <c r="X16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160">
        <f>IF(Transaction[[#This Row],[GrossRevenue_Check]]="Invalid",Transaction[[#This Row],[ListPrice]]*Transaction[[#This Row],[Quantity]],Transaction[[#This Row],[GrossRevenue_Clean]])</f>
        <v>950</v>
      </c>
      <c r="Z160" t="str">
        <f>IF(Transaction[[#This Row],[GrossRevenue_Clean]]=Transaction[[#This Row],[ListPrice]]*Transaction[[#This Row],[Quantity]],"Valid","Invalid")</f>
        <v>Valid</v>
      </c>
      <c r="AA160">
        <v>271.47000000000003</v>
      </c>
      <c r="AB16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271.47000000000003</v>
      </c>
      <c r="AC160">
        <f>IF(Transaction[[#This Row],[DiscountAmount_Check2]]="Invalid",Transaction[[#This Row],[GrossRevenue_Analytical]]-Transaction[[#This Row],[NetRevenue_Analytical]],Transaction[[#This Row],[DiscountAmount_Clean]])</f>
        <v>271.47000000000003</v>
      </c>
      <c r="AD160">
        <v>678.53</v>
      </c>
      <c r="AE160" t="str">
        <f>IF(ROUND(Transaction[[#This Row],[GrossRevenue_Analytical]]-Transaction[[#This Row],[NetRevenue_Analytical]],2)=ROUND(Transaction[[#This Row],[DiscountAmount_Clean]],2),"Valid","Invalid")</f>
        <v>Valid</v>
      </c>
      <c r="AF160">
        <f>VALUE(IF(ISNUMBER(Transaction[[#This Row],[NetRevenue]]),Transaction[[#This Row],[NetRevenue]],IFERROR(IF(FIND("$",Transaction[[#This Row],[NetRevenue]])&gt;0,MID(Transaction[[#This Row],[NetRevenue]],2,10)),Transaction[[#This Row],[NetRevenue]])))</f>
        <v>678.53</v>
      </c>
      <c r="AG160">
        <f>IF(Transaction[[#This Row],[NetRevenue_Check]]="Invalid",(Transaction[[#This Row],[Quantity]]*Transaction[[#This Row],[UnitPrice_Clean]]),Transaction[[#This Row],[NetRevenue_Clean]])</f>
        <v>678.53</v>
      </c>
      <c r="AH160" t="str">
        <f>IF(Transaction[[#This Row],[Quantity]]*Transaction[[#This Row],[UnitPrice_Clean]]=Transaction[[#This Row],[NetRevenue_Clean]],"Valid","Invalid")</f>
        <v>Valid</v>
      </c>
      <c r="AI160" t="s">
        <v>99</v>
      </c>
      <c r="AJ160" t="s">
        <v>2226</v>
      </c>
      <c r="AK160" t="str">
        <f>IF(Transaction[[#This Row],[Salesperson]]="","Missing Value",TRIM(PROPER(Transaction[[#This Row],[Salesperson]])))</f>
        <v>Rosario-Na</v>
      </c>
      <c r="AL160" t="s">
        <v>42</v>
      </c>
      <c r="AM160" t="str">
        <f>IF(Transaction[[#This Row],[ContractType]]="","Missing Value",Transaction[[#This Row],[ContractType]])</f>
        <v>Standard PO</v>
      </c>
      <c r="AN160" t="s">
        <v>43</v>
      </c>
    </row>
    <row r="161" spans="1:40" x14ac:dyDescent="0.25">
      <c r="A161" t="s">
        <v>2654</v>
      </c>
      <c r="B161" s="1">
        <v>45770</v>
      </c>
      <c r="C16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6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16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61" s="2">
        <f>IFERROR(DATE(Transaction[[#This Row],[TransactionDateY]],Transaction[[#This Row],[TransactionDateM]],Transaction[[#This Row],[TransactionDateD]]),"Missing Value")</f>
        <v>45770</v>
      </c>
      <c r="G161" t="s">
        <v>1015</v>
      </c>
      <c r="H161" t="str">
        <f>IFERROR(VLOOKUP(Transaction[[#This Row],[CustomerID]],Custumer[],1,0),IF(LEN(Transaction[[#This Row],[CustomerID]])=7,LEFT(Transaction[[#This Row],[CustomerID]],6),"Invalid ID"))</f>
        <v>C-1012</v>
      </c>
      <c r="I161" t="s">
        <v>117</v>
      </c>
      <c r="J161" t="str">
        <f>TRIM(UPPER(Transaction[[#This Row],[ProductID]]))</f>
        <v>P-SI-007</v>
      </c>
      <c r="K161" t="str">
        <f>IFERROR(VLOOKUP(Transaction[[#This Row],[ProductID_Clean]],Product[],1,FALSE),"Invalid ID")</f>
        <v>P-SI-007</v>
      </c>
      <c r="L161" t="str">
        <f>TRIM(SUBSTITUTE(SUBSTITUTE(SUBSTITUTE(SUBSTITUTE(UPPER(Transaction[[#This Row],[Region]]),"EMEA REGION","EMEA"),"APAC REGION","APAC"),"NORTH AMERICA","N. AMERICA"),"N .AMERICA","N.AMERICA"))</f>
        <v>N. AMERICA</v>
      </c>
      <c r="M161" t="s">
        <v>20</v>
      </c>
      <c r="N161" t="s">
        <v>53</v>
      </c>
      <c r="O16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61" t="s">
        <v>22</v>
      </c>
      <c r="Q161" t="str">
        <f>IF(TRIM(Transaction[[#This Row],[SalesChannel]])="","Missing Value",TRIM(Transaction[[#This Row],[SalesChannel]]))</f>
        <v>Direct</v>
      </c>
      <c r="R161" s="4">
        <v>1</v>
      </c>
      <c r="S161" s="4" t="str">
        <f>IF(Transaction[[#This Row],[Quantity]]&lt;0,"Negative-review","Valid")</f>
        <v>Valid</v>
      </c>
      <c r="T161">
        <v>922.23</v>
      </c>
      <c r="U16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922.23</v>
      </c>
      <c r="V161">
        <v>980</v>
      </c>
      <c r="W161">
        <v>980</v>
      </c>
      <c r="X16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161">
        <f>IF(Transaction[[#This Row],[GrossRevenue_Check]]="Invalid",Transaction[[#This Row],[ListPrice]]*Transaction[[#This Row],[Quantity]],Transaction[[#This Row],[GrossRevenue_Clean]])</f>
        <v>980</v>
      </c>
      <c r="Z161" t="str">
        <f>IF(Transaction[[#This Row],[GrossRevenue_Clean]]=Transaction[[#This Row],[ListPrice]]*Transaction[[#This Row],[Quantity]],"Valid","Invalid")</f>
        <v>Valid</v>
      </c>
      <c r="AA161">
        <v>57.77</v>
      </c>
      <c r="AB16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57.77</v>
      </c>
      <c r="AC161">
        <f>IF(Transaction[[#This Row],[DiscountAmount_Check2]]="Invalid",Transaction[[#This Row],[GrossRevenue_Analytical]]-Transaction[[#This Row],[NetRevenue_Analytical]],Transaction[[#This Row],[DiscountAmount_Clean]])</f>
        <v>57.77</v>
      </c>
      <c r="AD161">
        <v>922.23</v>
      </c>
      <c r="AE161" t="str">
        <f>IF(ROUND(Transaction[[#This Row],[GrossRevenue_Analytical]]-Transaction[[#This Row],[NetRevenue_Analytical]],2)=ROUND(Transaction[[#This Row],[DiscountAmount_Clean]],2),"Valid","Invalid")</f>
        <v>Valid</v>
      </c>
      <c r="AF161">
        <f>VALUE(IF(ISNUMBER(Transaction[[#This Row],[NetRevenue]]),Transaction[[#This Row],[NetRevenue]],IFERROR(IF(FIND("$",Transaction[[#This Row],[NetRevenue]])&gt;0,MID(Transaction[[#This Row],[NetRevenue]],2,10)),Transaction[[#This Row],[NetRevenue]])))</f>
        <v>922.23</v>
      </c>
      <c r="AG161">
        <f>IF(Transaction[[#This Row],[NetRevenue_Check]]="Invalid",(Transaction[[#This Row],[Quantity]]*Transaction[[#This Row],[UnitPrice_Clean]]),Transaction[[#This Row],[NetRevenue_Clean]])</f>
        <v>922.23</v>
      </c>
      <c r="AH161" t="str">
        <f>IF(Transaction[[#This Row],[Quantity]]*Transaction[[#This Row],[UnitPrice_Clean]]=Transaction[[#This Row],[NetRevenue_Clean]],"Valid","Invalid")</f>
        <v>Valid</v>
      </c>
      <c r="AI161" t="s">
        <v>23</v>
      </c>
      <c r="AJ161" t="s">
        <v>2655</v>
      </c>
      <c r="AK161" t="str">
        <f>IF(Transaction[[#This Row],[Salesperson]]="","Missing Value",TRIM(PROPER(Transaction[[#This Row],[Salesperson]])))</f>
        <v>Hayes</v>
      </c>
      <c r="AL161" t="s">
        <v>42</v>
      </c>
      <c r="AM161" t="str">
        <f>IF(Transaction[[#This Row],[ContractType]]="","Missing Value",Transaction[[#This Row],[ContractType]])</f>
        <v>Standard PO</v>
      </c>
      <c r="AN161" t="s">
        <v>65</v>
      </c>
    </row>
    <row r="162" spans="1:40" x14ac:dyDescent="0.25">
      <c r="A162" t="s">
        <v>2973</v>
      </c>
      <c r="B162" t="s">
        <v>2974</v>
      </c>
      <c r="C16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16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03</v>
      </c>
      <c r="E16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62" s="2">
        <f>IFERROR(DATE(Transaction[[#This Row],[TransactionDateY]],Transaction[[#This Row],[TransactionDateM]],Transaction[[#This Row],[TransactionDateD]]),"Missing Value")</f>
        <v>45811</v>
      </c>
      <c r="G162" t="s">
        <v>167</v>
      </c>
      <c r="H162" t="str">
        <f>IFERROR(VLOOKUP(Transaction[[#This Row],[CustomerID]],Custumer[],1,0),IF(LEN(Transaction[[#This Row],[CustomerID]])=7,LEFT(Transaction[[#This Row],[CustomerID]],6),"Invalid ID"))</f>
        <v>C-1008</v>
      </c>
      <c r="I162" t="s">
        <v>52</v>
      </c>
      <c r="J162" t="str">
        <f>TRIM(UPPER(Transaction[[#This Row],[ProductID]]))</f>
        <v>P-SI-002</v>
      </c>
      <c r="K162" t="str">
        <f>IFERROR(VLOOKUP(Transaction[[#This Row],[ProductID_Clean]],Product[],1,FALSE),"Invalid ID")</f>
        <v>P-SI-002</v>
      </c>
      <c r="L162" t="str">
        <f>TRIM(SUBSTITUTE(SUBSTITUTE(SUBSTITUTE(SUBSTITUTE(UPPER(Transaction[[#This Row],[Region]]),"EMEA REGION","EMEA"),"APAC REGION","APAC"),"NORTH AMERICA","N. AMERICA"),"N .AMERICA","N.AMERICA"))</f>
        <v>N. AMERICA</v>
      </c>
      <c r="M162" t="s">
        <v>495</v>
      </c>
      <c r="N162" t="s">
        <v>53</v>
      </c>
      <c r="O16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62" t="s">
        <v>173</v>
      </c>
      <c r="Q162" t="str">
        <f>IF(TRIM(Transaction[[#This Row],[SalesChannel]])="","Missing Value",TRIM(Transaction[[#This Row],[SalesChannel]]))</f>
        <v>Distributor</v>
      </c>
      <c r="R162" s="4">
        <v>3</v>
      </c>
      <c r="S162" s="4" t="str">
        <f>IF(Transaction[[#This Row],[Quantity]]&lt;0,"Negative-review","Valid")</f>
        <v>Valid</v>
      </c>
      <c r="T162">
        <v>570.6</v>
      </c>
      <c r="U16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570.6</v>
      </c>
      <c r="V162">
        <v>725</v>
      </c>
      <c r="W162">
        <v>2175</v>
      </c>
      <c r="X16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2175</v>
      </c>
      <c r="Y162">
        <f>IF(Transaction[[#This Row],[GrossRevenue_Check]]="Invalid",Transaction[[#This Row],[ListPrice]]*Transaction[[#This Row],[Quantity]],Transaction[[#This Row],[GrossRevenue_Clean]])</f>
        <v>2175</v>
      </c>
      <c r="Z162" t="str">
        <f>IF(Transaction[[#This Row],[GrossRevenue_Clean]]=Transaction[[#This Row],[ListPrice]]*Transaction[[#This Row],[Quantity]],"Valid","Invalid")</f>
        <v>Valid</v>
      </c>
      <c r="AA162">
        <v>463.2</v>
      </c>
      <c r="AB16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463.2</v>
      </c>
      <c r="AC162">
        <f>IF(Transaction[[#This Row],[DiscountAmount_Check2]]="Invalid",Transaction[[#This Row],[GrossRevenue_Analytical]]-Transaction[[#This Row],[NetRevenue_Analytical]],Transaction[[#This Row],[DiscountAmount_Clean]])</f>
        <v>463.2</v>
      </c>
      <c r="AD162">
        <v>1711.8</v>
      </c>
      <c r="AE162" t="str">
        <f>IF(ROUND(Transaction[[#This Row],[GrossRevenue_Analytical]]-Transaction[[#This Row],[NetRevenue_Analytical]],2)=ROUND(Transaction[[#This Row],[DiscountAmount_Clean]],2),"Valid","Invalid")</f>
        <v>Valid</v>
      </c>
      <c r="AF16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1711.8</v>
      </c>
      <c r="AG162">
        <f>IF(Transaction[[#This Row],[NetRevenue_Check]]="Invalid",(Transaction[[#This Row],[Quantity]]*Transaction[[#This Row],[UnitPrice_Clean]]),Transaction[[#This Row],[NetRevenue_Clean]])</f>
        <v>1711.8</v>
      </c>
      <c r="AH162" t="str">
        <f>IF(Transaction[[#This Row],[Quantity]]*Transaction[[#This Row],[UnitPrice_Clean]]=Transaction[[#This Row],[NetRevenue_Clean]],"Valid","Invalid")</f>
        <v>Valid</v>
      </c>
      <c r="AI162" t="s">
        <v>23</v>
      </c>
      <c r="AJ162" t="s">
        <v>2975</v>
      </c>
      <c r="AK162" t="str">
        <f>IF(Transaction[[#This Row],[Salesperson]]="","Missing Value",TRIM(PROPER(Transaction[[#This Row],[Salesperson]])))</f>
        <v>Shepherd</v>
      </c>
      <c r="AL162" t="s">
        <v>25</v>
      </c>
      <c r="AM162" t="str">
        <f>IF(Transaction[[#This Row],[ContractType]]="","Missing Value",Transaction[[#This Row],[ContractType]])</f>
        <v>Frame Agreement</v>
      </c>
      <c r="AN162" t="s">
        <v>26</v>
      </c>
    </row>
    <row r="163" spans="1:40" x14ac:dyDescent="0.25">
      <c r="A163" t="s">
        <v>1992</v>
      </c>
      <c r="B163" s="1">
        <v>45768</v>
      </c>
      <c r="C16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6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16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63" s="2">
        <f>IFERROR(DATE(Transaction[[#This Row],[TransactionDateY]],Transaction[[#This Row],[TransactionDateM]],Transaction[[#This Row],[TransactionDateD]]),"Missing Value")</f>
        <v>45768</v>
      </c>
      <c r="G163" t="s">
        <v>423</v>
      </c>
      <c r="H163" t="str">
        <f>IFERROR(VLOOKUP(Transaction[[#This Row],[CustomerID]],Custumer[],1,0),IF(LEN(Transaction[[#This Row],[CustomerID]])=7,LEFT(Transaction[[#This Row],[CustomerID]],6),"Invalid ID"))</f>
        <v>C-1121</v>
      </c>
      <c r="I163" t="s">
        <v>62</v>
      </c>
      <c r="J163" t="str">
        <f>TRIM(UPPER(Transaction[[#This Row],[ProductID]]))</f>
        <v>P-SI-004</v>
      </c>
      <c r="K163" t="str">
        <f>IFERROR(VLOOKUP(Transaction[[#This Row],[ProductID_Clean]],Product[],1,FALSE),"Invalid ID")</f>
        <v>P-SI-004</v>
      </c>
      <c r="L163" t="str">
        <f>TRIM(SUBSTITUTE(SUBSTITUTE(SUBSTITUTE(SUBSTITUTE(UPPER(Transaction[[#This Row],[Region]]),"EMEA REGION","EMEA"),"APAC REGION","APAC"),"NORTH AMERICA","N. AMERICA"),"N .AMERICA","N.AMERICA"))</f>
        <v>N. AMERICA</v>
      </c>
      <c r="M163" t="s">
        <v>20</v>
      </c>
      <c r="N163" t="s">
        <v>98</v>
      </c>
      <c r="O16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63" t="s">
        <v>22</v>
      </c>
      <c r="Q163" t="str">
        <f>IF(TRIM(Transaction[[#This Row],[SalesChannel]])="","Missing Value",TRIM(Transaction[[#This Row],[SalesChannel]]))</f>
        <v>Direct</v>
      </c>
      <c r="R163" s="4">
        <v>2</v>
      </c>
      <c r="S163" s="4" t="str">
        <f>IF(Transaction[[#This Row],[Quantity]]&lt;0,"Negative-review","Valid")</f>
        <v>Valid</v>
      </c>
      <c r="T163">
        <v>2159.67</v>
      </c>
      <c r="U16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2159.67</v>
      </c>
      <c r="V163">
        <v>2450</v>
      </c>
      <c r="W163">
        <v>4900</v>
      </c>
      <c r="X16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</v>
      </c>
      <c r="Y163">
        <f>IF(Transaction[[#This Row],[GrossRevenue_Check]]="Invalid",Transaction[[#This Row],[ListPrice]]*Transaction[[#This Row],[Quantity]],Transaction[[#This Row],[GrossRevenue_Clean]])</f>
        <v>4900</v>
      </c>
      <c r="Z163" t="str">
        <f>IF(Transaction[[#This Row],[GrossRevenue_Clean]]=Transaction[[#This Row],[ListPrice]]*Transaction[[#This Row],[Quantity]],"Valid","Invalid")</f>
        <v>Valid</v>
      </c>
      <c r="AA163">
        <v>580.66</v>
      </c>
      <c r="AB16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580.66</v>
      </c>
      <c r="AC163">
        <f>IF(Transaction[[#This Row],[DiscountAmount_Check2]]="Invalid",Transaction[[#This Row],[GrossRevenue_Analytical]]-Transaction[[#This Row],[NetRevenue_Analytical]],Transaction[[#This Row],[DiscountAmount_Clean]])</f>
        <v>580.66</v>
      </c>
      <c r="AD163">
        <v>4319.34</v>
      </c>
      <c r="AE163" t="str">
        <f>IF(ROUND(Transaction[[#This Row],[GrossRevenue_Analytical]]-Transaction[[#This Row],[NetRevenue_Analytical]],2)=ROUND(Transaction[[#This Row],[DiscountAmount_Clean]],2),"Valid","Invalid")</f>
        <v>Valid</v>
      </c>
      <c r="AF163">
        <f>VALUE(IF(ISNUMBER(Transaction[[#This Row],[NetRevenue]]),Transaction[[#This Row],[NetRevenue]],IFERROR(IF(FIND("$",Transaction[[#This Row],[NetRevenue]])&gt;0,MID(Transaction[[#This Row],[NetRevenue]],2,10)),Transaction[[#This Row],[NetRevenue]])))</f>
        <v>4319.34</v>
      </c>
      <c r="AG163">
        <f>IF(Transaction[[#This Row],[NetRevenue_Check]]="Invalid",(Transaction[[#This Row],[Quantity]]*Transaction[[#This Row],[UnitPrice_Clean]]),Transaction[[#This Row],[NetRevenue_Clean]])</f>
        <v>4319.34</v>
      </c>
      <c r="AH163" t="str">
        <f>IF(Transaction[[#This Row],[Quantity]]*Transaction[[#This Row],[UnitPrice_Clean]]=Transaction[[#This Row],[NetRevenue_Clean]],"Valid","Invalid")</f>
        <v>Valid</v>
      </c>
      <c r="AI163" t="s">
        <v>99</v>
      </c>
      <c r="AJ163" t="s">
        <v>1993</v>
      </c>
      <c r="AK163" t="str">
        <f>IF(Transaction[[#This Row],[Salesperson]]="","Missing Value",TRIM(PROPER(Transaction[[#This Row],[Salesperson]])))</f>
        <v>Monroe-Ap</v>
      </c>
      <c r="AM163" t="str">
        <f>IF(Transaction[[#This Row],[ContractType]]="","Missing Value",Transaction[[#This Row],[ContractType]])</f>
        <v>Missing Value</v>
      </c>
      <c r="AN163" t="s">
        <v>49</v>
      </c>
    </row>
    <row r="164" spans="1:40" x14ac:dyDescent="0.25">
      <c r="A164" t="s">
        <v>748</v>
      </c>
      <c r="B164" s="1">
        <v>45740</v>
      </c>
      <c r="C16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6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16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64" s="2">
        <f>IFERROR(DATE(Transaction[[#This Row],[TransactionDateY]],Transaction[[#This Row],[TransactionDateM]],Transaction[[#This Row],[TransactionDateD]]),"Missing Value")</f>
        <v>45740</v>
      </c>
      <c r="G164" t="s">
        <v>214</v>
      </c>
      <c r="H164" t="str">
        <f>IFERROR(VLOOKUP(Transaction[[#This Row],[CustomerID]],Custumer[],1,0),IF(LEN(Transaction[[#This Row],[CustomerID]])=7,LEFT(Transaction[[#This Row],[CustomerID]],6),"Invalid ID"))</f>
        <v>C-1169</v>
      </c>
      <c r="I164" t="s">
        <v>46</v>
      </c>
      <c r="J164" t="str">
        <f>TRIM(UPPER(Transaction[[#This Row],[ProductID]]))</f>
        <v>P-SI-006</v>
      </c>
      <c r="K164" t="str">
        <f>IFERROR(VLOOKUP(Transaction[[#This Row],[ProductID_Clean]],Product[],1,FALSE),"Invalid ID")</f>
        <v>P-SI-006</v>
      </c>
      <c r="L164" t="str">
        <f>TRIM(SUBSTITUTE(SUBSTITUTE(SUBSTITUTE(SUBSTITUTE(UPPER(Transaction[[#This Row],[Region]]),"EMEA REGION","EMEA"),"APAC REGION","APAC"),"NORTH AMERICA","N. AMERICA"),"N .AMERICA","N.AMERICA"))</f>
        <v>EMEA</v>
      </c>
      <c r="M164" t="s">
        <v>76</v>
      </c>
      <c r="N164" t="s">
        <v>47</v>
      </c>
      <c r="O16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64" t="s">
        <v>22</v>
      </c>
      <c r="Q164" t="str">
        <f>IF(TRIM(Transaction[[#This Row],[SalesChannel]])="","Missing Value",TRIM(Transaction[[#This Row],[SalesChannel]]))</f>
        <v>Direct</v>
      </c>
      <c r="R164" s="4">
        <v>2</v>
      </c>
      <c r="S164" s="4" t="str">
        <f>IF(Transaction[[#This Row],[Quantity]]&lt;0,"Negative-review","Valid")</f>
        <v>Valid</v>
      </c>
      <c r="T164">
        <v>177.69</v>
      </c>
      <c r="U16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177.69</v>
      </c>
      <c r="V164">
        <v>215</v>
      </c>
      <c r="W164">
        <v>430</v>
      </c>
      <c r="X16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164">
        <f>IF(Transaction[[#This Row],[GrossRevenue_Check]]="Invalid",Transaction[[#This Row],[ListPrice]]*Transaction[[#This Row],[Quantity]],Transaction[[#This Row],[GrossRevenue_Clean]])</f>
        <v>430</v>
      </c>
      <c r="Z164" t="str">
        <f>IF(Transaction[[#This Row],[GrossRevenue_Clean]]=Transaction[[#This Row],[ListPrice]]*Transaction[[#This Row],[Quantity]],"Valid","Invalid")</f>
        <v>Valid</v>
      </c>
      <c r="AA164">
        <v>74.62</v>
      </c>
      <c r="AB16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74.62</v>
      </c>
      <c r="AC164">
        <f>IF(Transaction[[#This Row],[DiscountAmount_Check2]]="Invalid",Transaction[[#This Row],[GrossRevenue_Analytical]]-Transaction[[#This Row],[NetRevenue_Analytical]],Transaction[[#This Row],[DiscountAmount_Clean]])</f>
        <v>74.62</v>
      </c>
      <c r="AD164">
        <v>355.38</v>
      </c>
      <c r="AE164" t="str">
        <f>IF(ROUND(Transaction[[#This Row],[GrossRevenue_Analytical]]-Transaction[[#This Row],[NetRevenue_Analytical]],2)=ROUND(Transaction[[#This Row],[DiscountAmount_Clean]],2),"Valid","Invalid")</f>
        <v>Valid</v>
      </c>
      <c r="AF164">
        <f>VALUE(IF(ISNUMBER(Transaction[[#This Row],[NetRevenue]]),Transaction[[#This Row],[NetRevenue]],IFERROR(IF(FIND("$",Transaction[[#This Row],[NetRevenue]])&gt;0,MID(Transaction[[#This Row],[NetRevenue]],2,10)),Transaction[[#This Row],[NetRevenue]])))</f>
        <v>355.38</v>
      </c>
      <c r="AG164">
        <f>IF(Transaction[[#This Row],[NetRevenue_Check]]="Invalid",(Transaction[[#This Row],[Quantity]]*Transaction[[#This Row],[UnitPrice_Clean]]),Transaction[[#This Row],[NetRevenue_Clean]])</f>
        <v>355.38</v>
      </c>
      <c r="AH164" t="str">
        <f>IF(Transaction[[#This Row],[Quantity]]*Transaction[[#This Row],[UnitPrice_Clean]]=Transaction[[#This Row],[NetRevenue_Clean]],"Valid","Invalid")</f>
        <v>Valid</v>
      </c>
      <c r="AI164" t="s">
        <v>23</v>
      </c>
      <c r="AJ164" t="s">
        <v>749</v>
      </c>
      <c r="AK164" t="str">
        <f>IF(Transaction[[#This Row],[Salesperson]]="","Missing Value",TRIM(PROPER(Transaction[[#This Row],[Salesperson]])))</f>
        <v>Haas-Em</v>
      </c>
      <c r="AL164" t="s">
        <v>25</v>
      </c>
      <c r="AM164" t="str">
        <f>IF(Transaction[[#This Row],[ContractType]]="","Missing Value",Transaction[[#This Row],[ContractType]])</f>
        <v>Frame Agreement</v>
      </c>
      <c r="AN164" t="s">
        <v>49</v>
      </c>
    </row>
    <row r="165" spans="1:40" x14ac:dyDescent="0.25">
      <c r="A165" t="s">
        <v>233</v>
      </c>
      <c r="B165" s="1">
        <v>45722</v>
      </c>
      <c r="C16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6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16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65" s="2">
        <f>IFERROR(DATE(Transaction[[#This Row],[TransactionDateY]],Transaction[[#This Row],[TransactionDateM]],Transaction[[#This Row],[TransactionDateD]]),"Missing Value")</f>
        <v>45722</v>
      </c>
      <c r="G165" t="s">
        <v>38</v>
      </c>
      <c r="H165" t="str">
        <f>IFERROR(VLOOKUP(Transaction[[#This Row],[CustomerID]],Custumer[],1,0),IF(LEN(Transaction[[#This Row],[CustomerID]])=7,LEFT(Transaction[[#This Row],[CustomerID]],6),"Invalid ID"))</f>
        <v>C-1027</v>
      </c>
      <c r="I165" t="s">
        <v>46</v>
      </c>
      <c r="J165" t="str">
        <f>TRIM(UPPER(Transaction[[#This Row],[ProductID]]))</f>
        <v>P-SI-006</v>
      </c>
      <c r="K165" t="str">
        <f>IFERROR(VLOOKUP(Transaction[[#This Row],[ProductID_Clean]],Product[],1,FALSE),"Invalid ID")</f>
        <v>P-SI-006</v>
      </c>
      <c r="L165" t="str">
        <f>TRIM(SUBSTITUTE(SUBSTITUTE(SUBSTITUTE(SUBSTITUTE(UPPER(Transaction[[#This Row],[Region]]),"EMEA REGION","EMEA"),"APAC REGION","APAC"),"NORTH AMERICA","N. AMERICA"),"N .AMERICA","N.AMERICA"))</f>
        <v>N. AMERICA</v>
      </c>
      <c r="M165" t="s">
        <v>168</v>
      </c>
      <c r="N165" t="s">
        <v>53</v>
      </c>
      <c r="O16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65" t="s">
        <v>22</v>
      </c>
      <c r="Q165" t="str">
        <f>IF(TRIM(Transaction[[#This Row],[SalesChannel]])="","Missing Value",TRIM(Transaction[[#This Row],[SalesChannel]]))</f>
        <v>Direct</v>
      </c>
      <c r="R165" s="4">
        <v>1</v>
      </c>
      <c r="S165" s="4" t="str">
        <f>IF(Transaction[[#This Row],[Quantity]]&lt;0,"Negative-review","Valid")</f>
        <v>Valid</v>
      </c>
      <c r="T165">
        <v>159.15</v>
      </c>
      <c r="U16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159.15</v>
      </c>
      <c r="V165">
        <v>215</v>
      </c>
      <c r="W165">
        <v>215</v>
      </c>
      <c r="X16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165">
        <f>IF(Transaction[[#This Row],[GrossRevenue_Check]]="Invalid",Transaction[[#This Row],[ListPrice]]*Transaction[[#This Row],[Quantity]],Transaction[[#This Row],[GrossRevenue_Clean]])</f>
        <v>215</v>
      </c>
      <c r="Z165" t="str">
        <f>IF(Transaction[[#This Row],[GrossRevenue_Clean]]=Transaction[[#This Row],[ListPrice]]*Transaction[[#This Row],[Quantity]],"Valid","Invalid")</f>
        <v>Valid</v>
      </c>
      <c r="AA165">
        <v>55.85</v>
      </c>
      <c r="AB16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55.85</v>
      </c>
      <c r="AC165">
        <f>IF(Transaction[[#This Row],[DiscountAmount_Check2]]="Invalid",Transaction[[#This Row],[GrossRevenue_Analytical]]-Transaction[[#This Row],[NetRevenue_Analytical]],Transaction[[#This Row],[DiscountAmount_Clean]])</f>
        <v>55.85</v>
      </c>
      <c r="AD165">
        <v>159.15</v>
      </c>
      <c r="AE165" t="str">
        <f>IF(ROUND(Transaction[[#This Row],[GrossRevenue_Analytical]]-Transaction[[#This Row],[NetRevenue_Analytical]],2)=ROUND(Transaction[[#This Row],[DiscountAmount_Clean]],2),"Valid","Invalid")</f>
        <v>Valid</v>
      </c>
      <c r="AF16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159.15</v>
      </c>
      <c r="AG165">
        <f>IF(Transaction[[#This Row],[NetRevenue_Check]]="Invalid",(Transaction[[#This Row],[Quantity]]*Transaction[[#This Row],[UnitPrice_Clean]]),Transaction[[#This Row],[NetRevenue_Clean]])</f>
        <v>159.15</v>
      </c>
      <c r="AH165" t="str">
        <f>IF(Transaction[[#This Row],[Quantity]]*Transaction[[#This Row],[UnitPrice_Clean]]=Transaction[[#This Row],[NetRevenue_Clean]],"Valid","Invalid")</f>
        <v>Valid</v>
      </c>
      <c r="AI165" t="s">
        <v>23</v>
      </c>
      <c r="AJ165" t="s">
        <v>178</v>
      </c>
      <c r="AK165" t="str">
        <f>IF(Transaction[[#This Row],[Salesperson]]="","Missing Value",TRIM(PROPER(Transaction[[#This Row],[Salesperson]])))</f>
        <v>Miller</v>
      </c>
      <c r="AL165" t="s">
        <v>25</v>
      </c>
      <c r="AM165" t="str">
        <f>IF(Transaction[[#This Row],[ContractType]]="","Missing Value",Transaction[[#This Row],[ContractType]])</f>
        <v>Frame Agreement</v>
      </c>
      <c r="AN165" t="s">
        <v>43</v>
      </c>
    </row>
    <row r="166" spans="1:40" x14ac:dyDescent="0.25">
      <c r="A166" t="s">
        <v>1584</v>
      </c>
      <c r="B166" s="1">
        <v>45681</v>
      </c>
      <c r="C16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6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16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66" s="2">
        <f>IFERROR(DATE(Transaction[[#This Row],[TransactionDateY]],Transaction[[#This Row],[TransactionDateM]],Transaction[[#This Row],[TransactionDateD]]),"Missing Value")</f>
        <v>45681</v>
      </c>
      <c r="G166" t="s">
        <v>621</v>
      </c>
      <c r="H166" t="str">
        <f>IFERROR(VLOOKUP(Transaction[[#This Row],[CustomerID]],Custumer[],1,0),IF(LEN(Transaction[[#This Row],[CustomerID]])=7,LEFT(Transaction[[#This Row],[CustomerID]],6),"Invalid ID"))</f>
        <v>C-1064</v>
      </c>
      <c r="I166" t="s">
        <v>285</v>
      </c>
      <c r="J166" t="str">
        <f>TRIM(UPPER(Transaction[[#This Row],[ProductID]]))</f>
        <v>P-SI-001</v>
      </c>
      <c r="K166" t="str">
        <f>IFERROR(VLOOKUP(Transaction[[#This Row],[ProductID_Clean]],Product[],1,FALSE),"Invalid ID")</f>
        <v>P-SI-001</v>
      </c>
      <c r="L166" t="str">
        <f>TRIM(SUBSTITUTE(SUBSTITUTE(SUBSTITUTE(SUBSTITUTE(UPPER(Transaction[[#This Row],[Region]]),"EMEA REGION","EMEA"),"APAC REGION","APAC"),"NORTH AMERICA","N. AMERICA"),"N .AMERICA","N.AMERICA"))</f>
        <v>N. AMERICA</v>
      </c>
      <c r="M166" t="s">
        <v>20</v>
      </c>
      <c r="N166" t="s">
        <v>53</v>
      </c>
      <c r="O16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66" t="s">
        <v>77</v>
      </c>
      <c r="Q166" t="str">
        <f>IF(TRIM(Transaction[[#This Row],[SalesChannel]])="","Missing Value",TRIM(Transaction[[#This Row],[SalesChannel]]))</f>
        <v>distributor</v>
      </c>
      <c r="R166" s="4">
        <v>2</v>
      </c>
      <c r="S166" s="4" t="str">
        <f>IF(Transaction[[#This Row],[Quantity]]&lt;0,"Negative-review","Valid")</f>
        <v>Valid</v>
      </c>
      <c r="T166">
        <v>398.67</v>
      </c>
      <c r="U16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398.67</v>
      </c>
      <c r="V166">
        <v>485</v>
      </c>
      <c r="W166">
        <v>970</v>
      </c>
      <c r="X16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166">
        <f>IF(Transaction[[#This Row],[GrossRevenue_Check]]="Invalid",Transaction[[#This Row],[ListPrice]]*Transaction[[#This Row],[Quantity]],Transaction[[#This Row],[GrossRevenue_Clean]])</f>
        <v>970</v>
      </c>
      <c r="Z166" t="str">
        <f>IF(Transaction[[#This Row],[GrossRevenue_Clean]]=Transaction[[#This Row],[ListPrice]]*Transaction[[#This Row],[Quantity]],"Valid","Invalid")</f>
        <v>Valid</v>
      </c>
      <c r="AA166">
        <v>172.66</v>
      </c>
      <c r="AB16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172.66</v>
      </c>
      <c r="AC166">
        <f>IF(Transaction[[#This Row],[DiscountAmount_Check2]]="Invalid",Transaction[[#This Row],[GrossRevenue_Analytical]]-Transaction[[#This Row],[NetRevenue_Analytical]],Transaction[[#This Row],[DiscountAmount_Clean]])</f>
        <v>172.66</v>
      </c>
      <c r="AD166">
        <v>797.34</v>
      </c>
      <c r="AE166" t="str">
        <f>IF(ROUND(Transaction[[#This Row],[GrossRevenue_Analytical]]-Transaction[[#This Row],[NetRevenue_Analytical]],2)=ROUND(Transaction[[#This Row],[DiscountAmount_Clean]],2),"Valid","Invalid")</f>
        <v>Valid</v>
      </c>
      <c r="AF166">
        <f>VALUE(IF(ISNUMBER(Transaction[[#This Row],[NetRevenue]]),Transaction[[#This Row],[NetRevenue]],IFERROR(IF(FIND("$",Transaction[[#This Row],[NetRevenue]])&gt;0,MID(Transaction[[#This Row],[NetRevenue]],2,10)),Transaction[[#This Row],[NetRevenue]])))</f>
        <v>797.34</v>
      </c>
      <c r="AG166">
        <f>IF(Transaction[[#This Row],[NetRevenue_Check]]="Invalid",(Transaction[[#This Row],[Quantity]]*Transaction[[#This Row],[UnitPrice_Clean]]),Transaction[[#This Row],[NetRevenue_Clean]])</f>
        <v>797.34</v>
      </c>
      <c r="AH166" t="str">
        <f>IF(Transaction[[#This Row],[Quantity]]*Transaction[[#This Row],[UnitPrice_Clean]]=Transaction[[#This Row],[NetRevenue_Clean]],"Valid","Invalid")</f>
        <v>Valid</v>
      </c>
      <c r="AI166" t="s">
        <v>23</v>
      </c>
      <c r="AJ166" t="s">
        <v>1585</v>
      </c>
      <c r="AK166" t="str">
        <f>IF(Transaction[[#This Row],[Salesperson]]="","Missing Value",TRIM(PROPER(Transaction[[#This Row],[Salesperson]])))</f>
        <v>Lucas</v>
      </c>
      <c r="AL166" t="s">
        <v>42</v>
      </c>
      <c r="AM166" t="str">
        <f>IF(Transaction[[#This Row],[ContractType]]="","Missing Value",Transaction[[#This Row],[ContractType]])</f>
        <v>Standard PO</v>
      </c>
      <c r="AN166" t="s">
        <v>35</v>
      </c>
    </row>
    <row r="167" spans="1:40" x14ac:dyDescent="0.25">
      <c r="A167" t="s">
        <v>3016</v>
      </c>
      <c r="B167" s="1">
        <v>45830</v>
      </c>
      <c r="C16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6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16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67" s="2">
        <f>IFERROR(DATE(Transaction[[#This Row],[TransactionDateY]],Transaction[[#This Row],[TransactionDateM]],Transaction[[#This Row],[TransactionDateD]]),"Missing Value")</f>
        <v>45830</v>
      </c>
      <c r="G167" t="s">
        <v>190</v>
      </c>
      <c r="H167" t="str">
        <f>IFERROR(VLOOKUP(Transaction[[#This Row],[CustomerID]],Custumer[],1,0),IF(LEN(Transaction[[#This Row],[CustomerID]])=7,LEFT(Transaction[[#This Row],[CustomerID]],6),"Invalid ID"))</f>
        <v>C-1082</v>
      </c>
      <c r="I167" t="s">
        <v>226</v>
      </c>
      <c r="J167" t="str">
        <f>TRIM(UPPER(Transaction[[#This Row],[ProductID]]))</f>
        <v>P-SA-002</v>
      </c>
      <c r="K167" t="str">
        <f>IFERROR(VLOOKUP(Transaction[[#This Row],[ProductID_Clean]],Product[],1,FALSE),"Invalid ID")</f>
        <v>P-SA-002</v>
      </c>
      <c r="L167" t="str">
        <f>TRIM(SUBSTITUTE(SUBSTITUTE(SUBSTITUTE(SUBSTITUTE(UPPER(Transaction[[#This Row],[Region]]),"EMEA REGION","EMEA"),"APAC REGION","APAC"),"NORTH AMERICA","N. AMERICA"),"N .AMERICA","N.AMERICA"))</f>
        <v>N. AMERICA</v>
      </c>
      <c r="M167" t="s">
        <v>20</v>
      </c>
      <c r="N167" t="s">
        <v>31</v>
      </c>
      <c r="O16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67" t="s">
        <v>22</v>
      </c>
      <c r="Q167" t="str">
        <f>IF(TRIM(Transaction[[#This Row],[SalesChannel]])="","Missing Value",TRIM(Transaction[[#This Row],[SalesChannel]]))</f>
        <v>Direct</v>
      </c>
      <c r="R167" s="4">
        <v>1</v>
      </c>
      <c r="S167" s="4" t="str">
        <f>IF(Transaction[[#This Row],[Quantity]]&lt;0,"Negative-review","Valid")</f>
        <v>Valid</v>
      </c>
      <c r="T167">
        <v>8351.59</v>
      </c>
      <c r="U16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8351.59</v>
      </c>
      <c r="V167">
        <v>9800</v>
      </c>
      <c r="W167">
        <v>9800</v>
      </c>
      <c r="X16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167">
        <f>IF(Transaction[[#This Row],[GrossRevenue_Check]]="Invalid",Transaction[[#This Row],[ListPrice]]*Transaction[[#This Row],[Quantity]],Transaction[[#This Row],[GrossRevenue_Clean]])</f>
        <v>9800</v>
      </c>
      <c r="Z167" t="str">
        <f>IF(Transaction[[#This Row],[GrossRevenue_Clean]]=Transaction[[#This Row],[ListPrice]]*Transaction[[#This Row],[Quantity]],"Valid","Invalid")</f>
        <v>Valid</v>
      </c>
      <c r="AA167">
        <v>1448.41</v>
      </c>
      <c r="AB16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1448.41</v>
      </c>
      <c r="AC167">
        <f>IF(Transaction[[#This Row],[DiscountAmount_Check2]]="Invalid",Transaction[[#This Row],[GrossRevenue_Analytical]]-Transaction[[#This Row],[NetRevenue_Analytical]],Transaction[[#This Row],[DiscountAmount_Clean]])</f>
        <v>1448.41</v>
      </c>
      <c r="AD167">
        <v>8351.59</v>
      </c>
      <c r="AE167" t="str">
        <f>IF(ROUND(Transaction[[#This Row],[GrossRevenue_Analytical]]-Transaction[[#This Row],[NetRevenue_Analytical]],2)=ROUND(Transaction[[#This Row],[DiscountAmount_Clean]],2),"Valid","Invalid")</f>
        <v>Valid</v>
      </c>
      <c r="AF167">
        <f>VALUE(IF(ISNUMBER(Transaction[[#This Row],[NetRevenue]]),Transaction[[#This Row],[NetRevenue]],IFERROR(IF(FIND("$",Transaction[[#This Row],[NetRevenue]])&gt;0,MID(Transaction[[#This Row],[NetRevenue]],2,10)),Transaction[[#This Row],[NetRevenue]])))</f>
        <v>8351.59</v>
      </c>
      <c r="AG167">
        <f>IF(Transaction[[#This Row],[NetRevenue_Check]]="Invalid",(Transaction[[#This Row],[Quantity]]*Transaction[[#This Row],[UnitPrice_Clean]]),Transaction[[#This Row],[NetRevenue_Clean]])</f>
        <v>8351.59</v>
      </c>
      <c r="AH167" t="str">
        <f>IF(Transaction[[#This Row],[Quantity]]*Transaction[[#This Row],[UnitPrice_Clean]]=Transaction[[#This Row],[NetRevenue_Clean]],"Valid","Invalid")</f>
        <v>Valid</v>
      </c>
      <c r="AI167" t="s">
        <v>23</v>
      </c>
      <c r="AK167" t="str">
        <f>IF(Transaction[[#This Row],[Salesperson]]="","Missing Value",TRIM(PROPER(Transaction[[#This Row],[Salesperson]])))</f>
        <v>Missing Value</v>
      </c>
      <c r="AL167" t="s">
        <v>113</v>
      </c>
      <c r="AM167" t="str">
        <f>IF(Transaction[[#This Row],[ContractType]]="","Missing Value",Transaction[[#This Row],[ContractType]])</f>
        <v>Subscription</v>
      </c>
      <c r="AN167" t="s">
        <v>65</v>
      </c>
    </row>
    <row r="168" spans="1:40" x14ac:dyDescent="0.25">
      <c r="A168" t="s">
        <v>2192</v>
      </c>
      <c r="B168" s="1">
        <v>45808</v>
      </c>
      <c r="C16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6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31</v>
      </c>
      <c r="E16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68" s="2">
        <f>IFERROR(DATE(Transaction[[#This Row],[TransactionDateY]],Transaction[[#This Row],[TransactionDateM]],Transaction[[#This Row],[TransactionDateD]]),"Missing Value")</f>
        <v>45808</v>
      </c>
      <c r="G168" t="s">
        <v>167</v>
      </c>
      <c r="H168" t="str">
        <f>IFERROR(VLOOKUP(Transaction[[#This Row],[CustomerID]],Custumer[],1,0),IF(LEN(Transaction[[#This Row],[CustomerID]])=7,LEFT(Transaction[[#This Row],[CustomerID]],6),"Invalid ID"))</f>
        <v>C-1008</v>
      </c>
      <c r="I168" t="s">
        <v>97</v>
      </c>
      <c r="J168" t="str">
        <f>TRIM(UPPER(Transaction[[#This Row],[ProductID]]))</f>
        <v>P-SI-001</v>
      </c>
      <c r="K168" t="str">
        <f>IFERROR(VLOOKUP(Transaction[[#This Row],[ProductID_Clean]],Product[],1,FALSE),"Invalid ID")</f>
        <v>P-SI-001</v>
      </c>
      <c r="L168" t="str">
        <f>TRIM(SUBSTITUTE(SUBSTITUTE(SUBSTITUTE(SUBSTITUTE(UPPER(Transaction[[#This Row],[Region]]),"EMEA REGION","EMEA"),"APAC REGION","APAC"),"NORTH AMERICA","N. AMERICA"),"N .AMERICA","N.AMERICA"))</f>
        <v>N. AMERICA</v>
      </c>
      <c r="M168" t="s">
        <v>20</v>
      </c>
      <c r="N168" t="s">
        <v>53</v>
      </c>
      <c r="O16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68" t="s">
        <v>93</v>
      </c>
      <c r="Q168" t="str">
        <f>IF(TRIM(Transaction[[#This Row],[SalesChannel]])="","Missing Value",TRIM(Transaction[[#This Row],[SalesChannel]]))</f>
        <v>direct</v>
      </c>
      <c r="R168" s="4">
        <v>2</v>
      </c>
      <c r="S168" s="4" t="str">
        <f>IF(Transaction[[#This Row],[Quantity]]&lt;0,"Negative-review","Valid")</f>
        <v>Valid</v>
      </c>
      <c r="T168">
        <v>439.8</v>
      </c>
      <c r="U16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439.8</v>
      </c>
      <c r="V168">
        <v>485</v>
      </c>
      <c r="W168">
        <v>970</v>
      </c>
      <c r="X16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168">
        <f>IF(Transaction[[#This Row],[GrossRevenue_Check]]="Invalid",Transaction[[#This Row],[ListPrice]]*Transaction[[#This Row],[Quantity]],Transaction[[#This Row],[GrossRevenue_Clean]])</f>
        <v>970</v>
      </c>
      <c r="Z168" t="str">
        <f>IF(Transaction[[#This Row],[GrossRevenue_Clean]]=Transaction[[#This Row],[ListPrice]]*Transaction[[#This Row],[Quantity]],"Valid","Invalid")</f>
        <v>Valid</v>
      </c>
      <c r="AA168">
        <v>90.4</v>
      </c>
      <c r="AB16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90.4</v>
      </c>
      <c r="AC168">
        <f>IF(Transaction[[#This Row],[DiscountAmount_Check2]]="Invalid",Transaction[[#This Row],[GrossRevenue_Analytical]]-Transaction[[#This Row],[NetRevenue_Analytical]],Transaction[[#This Row],[DiscountAmount_Clean]])</f>
        <v>90.4</v>
      </c>
      <c r="AD168">
        <v>879.6</v>
      </c>
      <c r="AE168" t="str">
        <f>IF(ROUND(Transaction[[#This Row],[GrossRevenue_Analytical]]-Transaction[[#This Row],[NetRevenue_Analytical]],2)=ROUND(Transaction[[#This Row],[DiscountAmount_Clean]],2),"Valid","Invalid")</f>
        <v>Valid</v>
      </c>
      <c r="AF168">
        <f>VALUE(IF(ISNUMBER(Transaction[[#This Row],[NetRevenue]]),Transaction[[#This Row],[NetRevenue]],IFERROR(IF(FIND("$",Transaction[[#This Row],[NetRevenue]])&gt;0,MID(Transaction[[#This Row],[NetRevenue]],2,10)),Transaction[[#This Row],[NetRevenue]])))</f>
        <v>879.6</v>
      </c>
      <c r="AG168">
        <f>IF(Transaction[[#This Row],[NetRevenue_Check]]="Invalid",(Transaction[[#This Row],[Quantity]]*Transaction[[#This Row],[UnitPrice_Clean]]),Transaction[[#This Row],[NetRevenue_Clean]])</f>
        <v>879.6</v>
      </c>
      <c r="AH168" t="str">
        <f>IF(Transaction[[#This Row],[Quantity]]*Transaction[[#This Row],[UnitPrice_Clean]]=Transaction[[#This Row],[NetRevenue_Clean]],"Valid","Invalid")</f>
        <v>Valid</v>
      </c>
      <c r="AI168" t="s">
        <v>23</v>
      </c>
      <c r="AJ168" t="s">
        <v>2193</v>
      </c>
      <c r="AK168" t="str">
        <f>IF(Transaction[[#This Row],[Salesperson]]="","Missing Value",TRIM(PROPER(Transaction[[#This Row],[Salesperson]])))</f>
        <v>Zimmerman-Ap</v>
      </c>
      <c r="AL168" t="s">
        <v>42</v>
      </c>
      <c r="AM168" t="str">
        <f>IF(Transaction[[#This Row],[ContractType]]="","Missing Value",Transaction[[#This Row],[ContractType]])</f>
        <v>Standard PO</v>
      </c>
      <c r="AN168" t="s">
        <v>26</v>
      </c>
    </row>
    <row r="169" spans="1:40" x14ac:dyDescent="0.25">
      <c r="A169" t="s">
        <v>693</v>
      </c>
      <c r="B169" s="1">
        <v>45726</v>
      </c>
      <c r="C16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6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16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69" s="2">
        <f>IFERROR(DATE(Transaction[[#This Row],[TransactionDateY]],Transaction[[#This Row],[TransactionDateM]],Transaction[[#This Row],[TransactionDateD]]),"Missing Value")</f>
        <v>45726</v>
      </c>
      <c r="G169" t="s">
        <v>694</v>
      </c>
      <c r="H169" t="str">
        <f>IFERROR(VLOOKUP(Transaction[[#This Row],[CustomerID]],Custumer[],1,0),IF(LEN(Transaction[[#This Row],[CustomerID]])=7,LEFT(Transaction[[#This Row],[CustomerID]],6),"Invalid ID"))</f>
        <v>C-1165</v>
      </c>
      <c r="I169" t="s">
        <v>695</v>
      </c>
      <c r="J169" t="str">
        <f>TRIM(UPPER(Transaction[[#This Row],[ProductID]]))</f>
        <v>P-SI-002</v>
      </c>
      <c r="K169" t="str">
        <f>IFERROR(VLOOKUP(Transaction[[#This Row],[ProductID_Clean]],Product[],1,FALSE),"Invalid ID")</f>
        <v>P-SI-002</v>
      </c>
      <c r="L169" t="str">
        <f>TRIM(SUBSTITUTE(SUBSTITUTE(SUBSTITUTE(SUBSTITUTE(UPPER(Transaction[[#This Row],[Region]]),"EMEA REGION","EMEA"),"APAC REGION","APAC"),"NORTH AMERICA","N. AMERICA"),"N .AMERICA","N.AMERICA"))</f>
        <v>N. AMERICA</v>
      </c>
      <c r="M169" t="s">
        <v>168</v>
      </c>
      <c r="N169" t="s">
        <v>47</v>
      </c>
      <c r="O16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69" t="s">
        <v>181</v>
      </c>
      <c r="Q169" t="str">
        <f>IF(TRIM(Transaction[[#This Row],[SalesChannel]])="","Missing Value",TRIM(Transaction[[#This Row],[SalesChannel]]))</f>
        <v>Partner Portal</v>
      </c>
      <c r="R169" s="4">
        <v>12</v>
      </c>
      <c r="S169" s="4" t="str">
        <f>IF(Transaction[[#This Row],[Quantity]]&lt;0,"Negative-review","Valid")</f>
        <v>Valid</v>
      </c>
      <c r="T169">
        <v>637.86</v>
      </c>
      <c r="U16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637.86</v>
      </c>
      <c r="V169">
        <v>725</v>
      </c>
      <c r="W169">
        <v>8700</v>
      </c>
      <c r="X16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8700</v>
      </c>
      <c r="Y169">
        <f>IF(Transaction[[#This Row],[GrossRevenue_Check]]="Invalid",Transaction[[#This Row],[ListPrice]]*Transaction[[#This Row],[Quantity]],Transaction[[#This Row],[GrossRevenue_Clean]])</f>
        <v>8700</v>
      </c>
      <c r="Z169" t="str">
        <f>IF(Transaction[[#This Row],[GrossRevenue_Clean]]=Transaction[[#This Row],[ListPrice]]*Transaction[[#This Row],[Quantity]],"Valid","Invalid")</f>
        <v>Valid</v>
      </c>
      <c r="AA169">
        <v>1045.68</v>
      </c>
      <c r="AB16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1045.68</v>
      </c>
      <c r="AC169">
        <f>IF(Transaction[[#This Row],[DiscountAmount_Check2]]="Invalid",Transaction[[#This Row],[GrossRevenue_Analytical]]-Transaction[[#This Row],[NetRevenue_Analytical]],Transaction[[#This Row],[DiscountAmount_Clean]])</f>
        <v>1045.68</v>
      </c>
      <c r="AD169">
        <v>7654.32</v>
      </c>
      <c r="AE169" t="str">
        <f>IF(ROUND(Transaction[[#This Row],[GrossRevenue_Analytical]]-Transaction[[#This Row],[NetRevenue_Analytical]],2)=ROUND(Transaction[[#This Row],[DiscountAmount_Clean]],2),"Valid","Invalid")</f>
        <v>Valid</v>
      </c>
      <c r="AF169">
        <f>VALUE(IF(ISNUMBER(Transaction[[#This Row],[NetRevenue]]),Transaction[[#This Row],[NetRevenue]],IFERROR(IF(FIND("$",Transaction[[#This Row],[NetRevenue]])&gt;0,MID(Transaction[[#This Row],[NetRevenue]],2,10)),Transaction[[#This Row],[NetRevenue]])))</f>
        <v>7654.32</v>
      </c>
      <c r="AG169">
        <f>IF(Transaction[[#This Row],[NetRevenue_Check]]="Invalid",(Transaction[[#This Row],[Quantity]]*Transaction[[#This Row],[UnitPrice_Clean]]),Transaction[[#This Row],[NetRevenue_Clean]])</f>
        <v>7654.32</v>
      </c>
      <c r="AH169" t="str">
        <f>IF(Transaction[[#This Row],[Quantity]]*Transaction[[#This Row],[UnitPrice_Clean]]=Transaction[[#This Row],[NetRevenue_Clean]],"Valid","Invalid")</f>
        <v>Valid</v>
      </c>
      <c r="AI169" t="s">
        <v>23</v>
      </c>
      <c r="AJ169" t="s">
        <v>696</v>
      </c>
      <c r="AK169" t="str">
        <f>IF(Transaction[[#This Row],[Salesperson]]="","Missing Value",TRIM(PROPER(Transaction[[#This Row],[Salesperson]])))</f>
        <v>Ritter-Em</v>
      </c>
      <c r="AL169" t="s">
        <v>55</v>
      </c>
      <c r="AM169" t="str">
        <f>IF(Transaction[[#This Row],[ContractType]]="","Missing Value",Transaction[[#This Row],[ContractType]])</f>
        <v>Spot</v>
      </c>
      <c r="AN169" t="s">
        <v>26</v>
      </c>
    </row>
    <row r="170" spans="1:40" x14ac:dyDescent="0.25">
      <c r="A170" t="s">
        <v>1959</v>
      </c>
      <c r="C17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17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17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170" s="2" t="str">
        <f>IFERROR(DATE(Transaction[[#This Row],[TransactionDateY]],Transaction[[#This Row],[TransactionDateM]],Transaction[[#This Row],[TransactionDateD]]),"Missing Value")</f>
        <v>Missing Value</v>
      </c>
      <c r="G170" t="s">
        <v>86</v>
      </c>
      <c r="H170" t="str">
        <f>IFERROR(VLOOKUP(Transaction[[#This Row],[CustomerID]],Custumer[],1,0),IF(LEN(Transaction[[#This Row],[CustomerID]])=7,LEFT(Transaction[[#This Row],[CustomerID]],6),"Invalid ID"))</f>
        <v>C-1177</v>
      </c>
      <c r="I170" t="s">
        <v>46</v>
      </c>
      <c r="J170" t="str">
        <f>TRIM(UPPER(Transaction[[#This Row],[ProductID]]))</f>
        <v>P-SI-006</v>
      </c>
      <c r="K170" t="str">
        <f>IFERROR(VLOOKUP(Transaction[[#This Row],[ProductID_Clean]],Product[],1,FALSE),"Invalid ID")</f>
        <v>P-SI-006</v>
      </c>
      <c r="L170" t="str">
        <f>TRIM(SUBSTITUTE(SUBSTITUTE(SUBSTITUTE(SUBSTITUTE(UPPER(Transaction[[#This Row],[Region]]),"EMEA REGION","EMEA"),"APAC REGION","APAC"),"NORTH AMERICA","N. AMERICA"),"N .AMERICA","N.AMERICA"))</f>
        <v>EMEA</v>
      </c>
      <c r="M170" t="s">
        <v>76</v>
      </c>
      <c r="N170" t="s">
        <v>53</v>
      </c>
      <c r="O17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70" t="s">
        <v>22</v>
      </c>
      <c r="Q170" t="str">
        <f>IF(TRIM(Transaction[[#This Row],[SalesChannel]])="","Missing Value",TRIM(Transaction[[#This Row],[SalesChannel]]))</f>
        <v>Direct</v>
      </c>
      <c r="R170" s="4">
        <v>2</v>
      </c>
      <c r="S170" s="4" t="str">
        <f>IF(Transaction[[#This Row],[Quantity]]&lt;0,"Negative-review","Valid")</f>
        <v>Valid</v>
      </c>
      <c r="T170">
        <v>179.17</v>
      </c>
      <c r="U17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179.17</v>
      </c>
      <c r="V170">
        <v>215</v>
      </c>
      <c r="W170">
        <v>430</v>
      </c>
      <c r="X17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170">
        <f>IF(Transaction[[#This Row],[GrossRevenue_Check]]="Invalid",Transaction[[#This Row],[ListPrice]]*Transaction[[#This Row],[Quantity]],Transaction[[#This Row],[GrossRevenue_Clean]])</f>
        <v>430</v>
      </c>
      <c r="Z170" t="str">
        <f>IF(Transaction[[#This Row],[GrossRevenue_Clean]]=Transaction[[#This Row],[ListPrice]]*Transaction[[#This Row],[Quantity]],"Valid","Invalid")</f>
        <v>Valid</v>
      </c>
      <c r="AA170">
        <v>71.66</v>
      </c>
      <c r="AB17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71.66</v>
      </c>
      <c r="AC170">
        <f>IF(Transaction[[#This Row],[DiscountAmount_Check2]]="Invalid",Transaction[[#This Row],[GrossRevenue_Analytical]]-Transaction[[#This Row],[NetRevenue_Analytical]],Transaction[[#This Row],[DiscountAmount_Clean]])</f>
        <v>71.66</v>
      </c>
      <c r="AD170">
        <v>358.34</v>
      </c>
      <c r="AE170" t="str">
        <f>IF(ROUND(Transaction[[#This Row],[GrossRevenue_Analytical]]-Transaction[[#This Row],[NetRevenue_Analytical]],2)=ROUND(Transaction[[#This Row],[DiscountAmount_Clean]],2),"Valid","Invalid")</f>
        <v>Valid</v>
      </c>
      <c r="AF170">
        <f>VALUE(IF(ISNUMBER(Transaction[[#This Row],[NetRevenue]]),Transaction[[#This Row],[NetRevenue]],IFERROR(IF(FIND("$",Transaction[[#This Row],[NetRevenue]])&gt;0,MID(Transaction[[#This Row],[NetRevenue]],2,10)),Transaction[[#This Row],[NetRevenue]])))</f>
        <v>358.34</v>
      </c>
      <c r="AG170">
        <f>IF(Transaction[[#This Row],[NetRevenue_Check]]="Invalid",(Transaction[[#This Row],[Quantity]]*Transaction[[#This Row],[UnitPrice_Clean]]),Transaction[[#This Row],[NetRevenue_Clean]])</f>
        <v>358.34</v>
      </c>
      <c r="AH170" t="str">
        <f>IF(Transaction[[#This Row],[Quantity]]*Transaction[[#This Row],[UnitPrice_Clean]]=Transaction[[#This Row],[NetRevenue_Clean]],"Valid","Invalid")</f>
        <v>Valid</v>
      </c>
      <c r="AI170" t="s">
        <v>23</v>
      </c>
      <c r="AJ170" t="s">
        <v>1317</v>
      </c>
      <c r="AK170" t="str">
        <f>IF(Transaction[[#This Row],[Salesperson]]="","Missing Value",TRIM(PROPER(Transaction[[#This Row],[Salesperson]])))</f>
        <v>Warren</v>
      </c>
      <c r="AL170" t="s">
        <v>42</v>
      </c>
      <c r="AM170" t="str">
        <f>IF(Transaction[[#This Row],[ContractType]]="","Missing Value",Transaction[[#This Row],[ContractType]])</f>
        <v>Standard PO</v>
      </c>
      <c r="AN170" t="s">
        <v>49</v>
      </c>
    </row>
    <row r="171" spans="1:40" x14ac:dyDescent="0.25">
      <c r="A171" t="s">
        <v>829</v>
      </c>
      <c r="B171" s="1">
        <v>45778</v>
      </c>
      <c r="C17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7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17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71" s="2">
        <f>IFERROR(DATE(Transaction[[#This Row],[TransactionDateY]],Transaction[[#This Row],[TransactionDateM]],Transaction[[#This Row],[TransactionDateD]]),"Missing Value")</f>
        <v>45778</v>
      </c>
      <c r="G171" t="s">
        <v>74</v>
      </c>
      <c r="H171" t="str">
        <f>IFERROR(VLOOKUP(Transaction[[#This Row],[CustomerID]],Custumer[],1,0),IF(LEN(Transaction[[#This Row],[CustomerID]])=7,LEFT(Transaction[[#This Row],[CustomerID]],6),"Invalid ID"))</f>
        <v>C-1152</v>
      </c>
      <c r="I171" t="s">
        <v>46</v>
      </c>
      <c r="J171" t="str">
        <f>TRIM(UPPER(Transaction[[#This Row],[ProductID]]))</f>
        <v>P-SI-006</v>
      </c>
      <c r="K171" t="str">
        <f>IFERROR(VLOOKUP(Transaction[[#This Row],[ProductID_Clean]],Product[],1,FALSE),"Invalid ID")</f>
        <v>P-SI-006</v>
      </c>
      <c r="L171" t="str">
        <f>TRIM(SUBSTITUTE(SUBSTITUTE(SUBSTITUTE(SUBSTITUTE(UPPER(Transaction[[#This Row],[Region]]),"EMEA REGION","EMEA"),"APAC REGION","APAC"),"NORTH AMERICA","N. AMERICA"),"N .AMERICA","N.AMERICA"))</f>
        <v>EMEA</v>
      </c>
      <c r="M171" t="s">
        <v>76</v>
      </c>
      <c r="N171" t="s">
        <v>53</v>
      </c>
      <c r="O17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71" t="s">
        <v>22</v>
      </c>
      <c r="Q171" t="str">
        <f>IF(TRIM(Transaction[[#This Row],[SalesChannel]])="","Missing Value",TRIM(Transaction[[#This Row],[SalesChannel]]))</f>
        <v>Direct</v>
      </c>
      <c r="R171" s="4">
        <v>2</v>
      </c>
      <c r="S171" s="4" t="str">
        <f>IF(Transaction[[#This Row],[Quantity]]&lt;0,"Negative-review","Valid")</f>
        <v>Valid</v>
      </c>
      <c r="T171" t="s">
        <v>830</v>
      </c>
      <c r="U17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192.29</v>
      </c>
      <c r="V171">
        <v>215</v>
      </c>
      <c r="W171">
        <v>430</v>
      </c>
      <c r="X17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171">
        <f>IF(Transaction[[#This Row],[GrossRevenue_Check]]="Invalid",Transaction[[#This Row],[ListPrice]]*Transaction[[#This Row],[Quantity]],Transaction[[#This Row],[GrossRevenue_Clean]])</f>
        <v>430</v>
      </c>
      <c r="Z171" t="str">
        <f>IF(Transaction[[#This Row],[GrossRevenue_Clean]]=Transaction[[#This Row],[ListPrice]]*Transaction[[#This Row],[Quantity]],"Valid","Invalid")</f>
        <v>Valid</v>
      </c>
      <c r="AA171">
        <v>45.42</v>
      </c>
      <c r="AB17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45.42</v>
      </c>
      <c r="AC171">
        <f>IF(Transaction[[#This Row],[DiscountAmount_Check2]]="Invalid",Transaction[[#This Row],[GrossRevenue_Analytical]]-Transaction[[#This Row],[NetRevenue_Analytical]],Transaction[[#This Row],[DiscountAmount_Clean]])</f>
        <v>45.42</v>
      </c>
      <c r="AD171">
        <v>384.58</v>
      </c>
      <c r="AE171" t="str">
        <f>IF(ROUND(Transaction[[#This Row],[GrossRevenue_Analytical]]-Transaction[[#This Row],[NetRevenue_Analytical]],2)=ROUND(Transaction[[#This Row],[DiscountAmount_Clean]],2),"Valid","Invalid")</f>
        <v>Valid</v>
      </c>
      <c r="AF171">
        <f>VALUE(IF(ISNUMBER(Transaction[[#This Row],[NetRevenue]]),Transaction[[#This Row],[NetRevenue]],IFERROR(IF(FIND("$",Transaction[[#This Row],[NetRevenue]])&gt;0,MID(Transaction[[#This Row],[NetRevenue]],2,10)),Transaction[[#This Row],[NetRevenue]])))</f>
        <v>384.58</v>
      </c>
      <c r="AG171">
        <f>IF(Transaction[[#This Row],[NetRevenue_Check]]="Invalid",(Transaction[[#This Row],[Quantity]]*Transaction[[#This Row],[UnitPrice_Clean]]),Transaction[[#This Row],[NetRevenue_Clean]])</f>
        <v>384.58</v>
      </c>
      <c r="AH171" t="str">
        <f>IF(Transaction[[#This Row],[Quantity]]*Transaction[[#This Row],[UnitPrice_Clean]]=Transaction[[#This Row],[NetRevenue_Clean]],"Valid","Invalid")</f>
        <v>Valid</v>
      </c>
      <c r="AI171" t="s">
        <v>128</v>
      </c>
      <c r="AJ171" t="s">
        <v>831</v>
      </c>
      <c r="AK171" t="str">
        <f>IF(Transaction[[#This Row],[Salesperson]]="","Missing Value",TRIM(PROPER(Transaction[[#This Row],[Salesperson]])))</f>
        <v>Bishop-Em</v>
      </c>
      <c r="AL171" t="s">
        <v>42</v>
      </c>
      <c r="AM171" t="str">
        <f>IF(Transaction[[#This Row],[ContractType]]="","Missing Value",Transaction[[#This Row],[ContractType]])</f>
        <v>Standard PO</v>
      </c>
      <c r="AN171" t="s">
        <v>26</v>
      </c>
    </row>
    <row r="172" spans="1:40" x14ac:dyDescent="0.25">
      <c r="A172" t="s">
        <v>1102</v>
      </c>
      <c r="B172" t="s">
        <v>1103</v>
      </c>
      <c r="C17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7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17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72" s="2">
        <f>IFERROR(DATE(Transaction[[#This Row],[TransactionDateY]],Transaction[[#This Row],[TransactionDateM]],Transaction[[#This Row],[TransactionDateD]]),"Missing Value")</f>
        <v>45824</v>
      </c>
      <c r="G172" t="s">
        <v>110</v>
      </c>
      <c r="H172" t="str">
        <f>IFERROR(VLOOKUP(Transaction[[#This Row],[CustomerID]],Custumer[],1,0),IF(LEN(Transaction[[#This Row],[CustomerID]])=7,LEFT(Transaction[[#This Row],[CustomerID]],6),"Invalid ID"))</f>
        <v>C-1100</v>
      </c>
      <c r="I172" t="s">
        <v>58</v>
      </c>
      <c r="J172" t="str">
        <f>TRIM(UPPER(Transaction[[#This Row],[ProductID]]))</f>
        <v>P-SI-005</v>
      </c>
      <c r="K172" t="str">
        <f>IFERROR(VLOOKUP(Transaction[[#This Row],[ProductID_Clean]],Product[],1,FALSE),"Invalid ID")</f>
        <v>P-SI-005</v>
      </c>
      <c r="L172" t="str">
        <f>TRIM(SUBSTITUTE(SUBSTITUTE(SUBSTITUTE(SUBSTITUTE(UPPER(Transaction[[#This Row],[Region]]),"EMEA REGION","EMEA"),"APAC REGION","APAC"),"NORTH AMERICA","N. AMERICA"),"N .AMERICA","N.AMERICA"))</f>
        <v>EMEA</v>
      </c>
      <c r="M172" t="s">
        <v>76</v>
      </c>
      <c r="N172" t="s">
        <v>53</v>
      </c>
      <c r="O17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72" t="s">
        <v>93</v>
      </c>
      <c r="Q172" t="str">
        <f>IF(TRIM(Transaction[[#This Row],[SalesChannel]])="","Missing Value",TRIM(Transaction[[#This Row],[SalesChannel]]))</f>
        <v>direct</v>
      </c>
      <c r="R172" s="4">
        <v>3</v>
      </c>
      <c r="S172" s="4" t="str">
        <f>IF(Transaction[[#This Row],[Quantity]]&lt;0,"Negative-review","Valid")</f>
        <v>Valid</v>
      </c>
      <c r="T172">
        <v>1013.67</v>
      </c>
      <c r="U17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1013.67</v>
      </c>
      <c r="V172">
        <v>1120</v>
      </c>
      <c r="W172">
        <v>3360</v>
      </c>
      <c r="X17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3360</v>
      </c>
      <c r="Y172">
        <f>IF(Transaction[[#This Row],[GrossRevenue_Check]]="Invalid",Transaction[[#This Row],[ListPrice]]*Transaction[[#This Row],[Quantity]],Transaction[[#This Row],[GrossRevenue_Clean]])</f>
        <v>3360</v>
      </c>
      <c r="Z172" t="str">
        <f>IF(Transaction[[#This Row],[GrossRevenue_Clean]]=Transaction[[#This Row],[ListPrice]]*Transaction[[#This Row],[Quantity]],"Valid","Invalid")</f>
        <v>Valid</v>
      </c>
      <c r="AA172">
        <v>318.99</v>
      </c>
      <c r="AB17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318.99</v>
      </c>
      <c r="AC172">
        <f>IF(Transaction[[#This Row],[DiscountAmount_Check2]]="Invalid",Transaction[[#This Row],[GrossRevenue_Analytical]]-Transaction[[#This Row],[NetRevenue_Analytical]],Transaction[[#This Row],[DiscountAmount_Clean]])</f>
        <v>318.99</v>
      </c>
      <c r="AD172">
        <v>3041.01</v>
      </c>
      <c r="AE172" t="str">
        <f>IF(ROUND(Transaction[[#This Row],[GrossRevenue_Analytical]]-Transaction[[#This Row],[NetRevenue_Analytical]],2)=ROUND(Transaction[[#This Row],[DiscountAmount_Clean]],2),"Valid","Invalid")</f>
        <v>Valid</v>
      </c>
      <c r="AF172">
        <f>VALUE(IF(ISNUMBER(Transaction[[#This Row],[NetRevenue]]),Transaction[[#This Row],[NetRevenue]],IFERROR(IF(FIND("$",Transaction[[#This Row],[NetRevenue]])&gt;0,MID(Transaction[[#This Row],[NetRevenue]],2,10)),Transaction[[#This Row],[NetRevenue]])))</f>
        <v>3041.01</v>
      </c>
      <c r="AG172">
        <f>IF(Transaction[[#This Row],[NetRevenue_Check]]="Invalid",(Transaction[[#This Row],[Quantity]]*Transaction[[#This Row],[UnitPrice_Clean]]),Transaction[[#This Row],[NetRevenue_Clean]])</f>
        <v>3041.01</v>
      </c>
      <c r="AH172" t="str">
        <f>IF(Transaction[[#This Row],[Quantity]]*Transaction[[#This Row],[UnitPrice_Clean]]=Transaction[[#This Row],[NetRevenue_Clean]],"Valid","Invalid")</f>
        <v>Valid</v>
      </c>
      <c r="AI172" t="s">
        <v>23</v>
      </c>
      <c r="AJ172" t="s">
        <v>1104</v>
      </c>
      <c r="AK172" t="str">
        <f>IF(Transaction[[#This Row],[Salesperson]]="","Missing Value",TRIM(PROPER(Transaction[[#This Row],[Salesperson]])))</f>
        <v>Cox-Na</v>
      </c>
      <c r="AL172" t="s">
        <v>42</v>
      </c>
      <c r="AM172" t="str">
        <f>IF(Transaction[[#This Row],[ContractType]]="","Missing Value",Transaction[[#This Row],[ContractType]])</f>
        <v>Standard PO</v>
      </c>
      <c r="AN172" t="s">
        <v>43</v>
      </c>
    </row>
    <row r="173" spans="1:40" x14ac:dyDescent="0.25">
      <c r="A173" t="s">
        <v>1891</v>
      </c>
      <c r="B173" s="1">
        <v>45729</v>
      </c>
      <c r="C17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7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17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73" s="2">
        <f>IFERROR(DATE(Transaction[[#This Row],[TransactionDateY]],Transaction[[#This Row],[TransactionDateM]],Transaction[[#This Row],[TransactionDateD]]),"Missing Value")</f>
        <v>45729</v>
      </c>
      <c r="G173" t="s">
        <v>1671</v>
      </c>
      <c r="H173" t="str">
        <f>IFERROR(VLOOKUP(Transaction[[#This Row],[CustomerID]],Custumer[],1,0),IF(LEN(Transaction[[#This Row],[CustomerID]])=7,LEFT(Transaction[[#This Row],[CustomerID]],6),"Invalid ID"))</f>
        <v>C-1183</v>
      </c>
      <c r="I173" t="s">
        <v>268</v>
      </c>
      <c r="J173" t="str">
        <f>TRIM(UPPER(Transaction[[#This Row],[ProductID]]))</f>
        <v>P-FS-002</v>
      </c>
      <c r="K173" t="str">
        <f>IFERROR(VLOOKUP(Transaction[[#This Row],[ProductID_Clean]],Product[],1,FALSE),"Invalid ID")</f>
        <v>P-FS-002</v>
      </c>
      <c r="L173" t="str">
        <f>TRIM(SUBSTITUTE(SUBSTITUTE(SUBSTITUTE(SUBSTITUTE(UPPER(Transaction[[#This Row],[Region]]),"EMEA REGION","EMEA"),"APAC REGION","APAC"),"NORTH AMERICA","N. AMERICA"),"N .AMERICA","N.AMERICA"))</f>
        <v>N. AMERICA</v>
      </c>
      <c r="M173" t="s">
        <v>204</v>
      </c>
      <c r="N173" t="s">
        <v>21</v>
      </c>
      <c r="O17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73" t="s">
        <v>40</v>
      </c>
      <c r="Q173" t="str">
        <f>IF(TRIM(Transaction[[#This Row],[SalesChannel]])="","Missing Value",TRIM(Transaction[[#This Row],[SalesChannel]]))</f>
        <v>Distributor</v>
      </c>
      <c r="R173" s="4">
        <v>1</v>
      </c>
      <c r="S173" s="4" t="str">
        <f>IF(Transaction[[#This Row],[Quantity]]&lt;0,"Negative-review","Valid")</f>
        <v>Valid</v>
      </c>
      <c r="T173">
        <v>2127.9</v>
      </c>
      <c r="U17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2127.9</v>
      </c>
      <c r="V173">
        <v>2400</v>
      </c>
      <c r="W173">
        <v>2400</v>
      </c>
      <c r="X17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173">
        <f>IF(Transaction[[#This Row],[GrossRevenue_Check]]="Invalid",Transaction[[#This Row],[ListPrice]]*Transaction[[#This Row],[Quantity]],Transaction[[#This Row],[GrossRevenue_Clean]])</f>
        <v>2400</v>
      </c>
      <c r="Z173" t="str">
        <f>IF(Transaction[[#This Row],[GrossRevenue_Clean]]=Transaction[[#This Row],[ListPrice]]*Transaction[[#This Row],[Quantity]],"Valid","Invalid")</f>
        <v>Valid</v>
      </c>
      <c r="AA173">
        <v>272.10000000000002</v>
      </c>
      <c r="AB17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272.10000000000002</v>
      </c>
      <c r="AC173">
        <f>IF(Transaction[[#This Row],[DiscountAmount_Check2]]="Invalid",Transaction[[#This Row],[GrossRevenue_Analytical]]-Transaction[[#This Row],[NetRevenue_Analytical]],Transaction[[#This Row],[DiscountAmount_Clean]])</f>
        <v>272.10000000000002</v>
      </c>
      <c r="AD173">
        <v>2127.9</v>
      </c>
      <c r="AE173" t="str">
        <f>IF(ROUND(Transaction[[#This Row],[GrossRevenue_Analytical]]-Transaction[[#This Row],[NetRevenue_Analytical]],2)=ROUND(Transaction[[#This Row],[DiscountAmount_Clean]],2),"Valid","Invalid")</f>
        <v>Valid</v>
      </c>
      <c r="AF173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2127.9</v>
      </c>
      <c r="AG173">
        <f>IF(Transaction[[#This Row],[NetRevenue_Check]]="Invalid",(Transaction[[#This Row],[Quantity]]*Transaction[[#This Row],[UnitPrice_Clean]]),Transaction[[#This Row],[NetRevenue_Clean]])</f>
        <v>2127.9</v>
      </c>
      <c r="AH173" t="str">
        <f>IF(Transaction[[#This Row],[Quantity]]*Transaction[[#This Row],[UnitPrice_Clean]]=Transaction[[#This Row],[NetRevenue_Clean]],"Valid","Invalid")</f>
        <v>Valid</v>
      </c>
      <c r="AI173" t="s">
        <v>23</v>
      </c>
      <c r="AJ173" t="s">
        <v>1892</v>
      </c>
      <c r="AK173" t="str">
        <f>IF(Transaction[[#This Row],[Salesperson]]="","Missing Value",TRIM(PROPER(Transaction[[#This Row],[Salesperson]])))</f>
        <v>Hardin</v>
      </c>
      <c r="AL173" t="s">
        <v>224</v>
      </c>
      <c r="AM173" t="str">
        <f>IF(Transaction[[#This Row],[ContractType]]="","Missing Value",Transaction[[#This Row],[ContractType]])</f>
        <v>Annual</v>
      </c>
      <c r="AN173" t="s">
        <v>35</v>
      </c>
    </row>
    <row r="174" spans="1:40" x14ac:dyDescent="0.25">
      <c r="A174" t="s">
        <v>1964</v>
      </c>
      <c r="B174" t="s">
        <v>1965</v>
      </c>
      <c r="C17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17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17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74" s="2">
        <f>IFERROR(DATE(Transaction[[#This Row],[TransactionDateY]],Transaction[[#This Row],[TransactionDateM]],Transaction[[#This Row],[TransactionDateD]]),"Missing Value")</f>
        <v>45807</v>
      </c>
      <c r="G174" t="s">
        <v>172</v>
      </c>
      <c r="H174" t="str">
        <f>IFERROR(VLOOKUP(Transaction[[#This Row],[CustomerID]],Custumer[],1,0),IF(LEN(Transaction[[#This Row],[CustomerID]])=7,LEFT(Transaction[[#This Row],[CustomerID]],6),"Invalid ID"))</f>
        <v>C-1099</v>
      </c>
      <c r="I174" t="s">
        <v>71</v>
      </c>
      <c r="J174" t="str">
        <f>TRIM(UPPER(Transaction[[#This Row],[ProductID]]))</f>
        <v>P-SI-003</v>
      </c>
      <c r="K174" t="str">
        <f>IFERROR(VLOOKUP(Transaction[[#This Row],[ProductID_Clean]],Product[],1,FALSE),"Invalid ID")</f>
        <v>P-SI-003</v>
      </c>
      <c r="L174" t="str">
        <f>TRIM(SUBSTITUTE(SUBSTITUTE(SUBSTITUTE(SUBSTITUTE(UPPER(Transaction[[#This Row],[Region]]),"EMEA REGION","EMEA"),"APAC REGION","APAC"),"NORTH AMERICA","N. AMERICA"),"N .AMERICA","N.AMERICA"))</f>
        <v>EMEA</v>
      </c>
      <c r="M174" t="s">
        <v>76</v>
      </c>
      <c r="N174" t="s">
        <v>53</v>
      </c>
      <c r="O17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74" t="s">
        <v>40</v>
      </c>
      <c r="Q174" t="str">
        <f>IF(TRIM(Transaction[[#This Row],[SalesChannel]])="","Missing Value",TRIM(Transaction[[#This Row],[SalesChannel]]))</f>
        <v>Distributor</v>
      </c>
      <c r="R174" s="4">
        <v>12</v>
      </c>
      <c r="S174" s="4" t="str">
        <f>IF(Transaction[[#This Row],[Quantity]]&lt;0,"Negative-review","Valid")</f>
        <v>Valid</v>
      </c>
      <c r="T174">
        <v>1480.13</v>
      </c>
      <c r="U17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1480.13</v>
      </c>
      <c r="V174">
        <v>1890</v>
      </c>
      <c r="W174">
        <v>22680</v>
      </c>
      <c r="X17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22680</v>
      </c>
      <c r="Y174">
        <f>IF(Transaction[[#This Row],[GrossRevenue_Check]]="Invalid",Transaction[[#This Row],[ListPrice]]*Transaction[[#This Row],[Quantity]],Transaction[[#This Row],[GrossRevenue_Clean]])</f>
        <v>22680</v>
      </c>
      <c r="Z174" t="str">
        <f>IF(Transaction[[#This Row],[GrossRevenue_Clean]]=Transaction[[#This Row],[ListPrice]]*Transaction[[#This Row],[Quantity]],"Valid","Invalid")</f>
        <v>Valid</v>
      </c>
      <c r="AA174">
        <v>4918.4399999999996</v>
      </c>
      <c r="AB17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4918.4399999999996</v>
      </c>
      <c r="AC174">
        <f>IF(Transaction[[#This Row],[DiscountAmount_Check2]]="Invalid",Transaction[[#This Row],[GrossRevenue_Analytical]]-Transaction[[#This Row],[NetRevenue_Analytical]],Transaction[[#This Row],[DiscountAmount_Clean]])</f>
        <v>4918.4399999999996</v>
      </c>
      <c r="AD174">
        <v>17761.560000000001</v>
      </c>
      <c r="AE174" t="str">
        <f>IF(ROUND(Transaction[[#This Row],[GrossRevenue_Analytical]]-Transaction[[#This Row],[NetRevenue_Analytical]],2)=ROUND(Transaction[[#This Row],[DiscountAmount_Clean]],2),"Valid","Invalid")</f>
        <v>Valid</v>
      </c>
      <c r="AF17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17761.560000000001</v>
      </c>
      <c r="AG174">
        <f>IF(Transaction[[#This Row],[NetRevenue_Check]]="Invalid",(Transaction[[#This Row],[Quantity]]*Transaction[[#This Row],[UnitPrice_Clean]]),Transaction[[#This Row],[NetRevenue_Clean]])</f>
        <v>17761.560000000001</v>
      </c>
      <c r="AH174" t="str">
        <f>IF(Transaction[[#This Row],[Quantity]]*Transaction[[#This Row],[UnitPrice_Clean]]=Transaction[[#This Row],[NetRevenue_Clean]],"Valid","Invalid")</f>
        <v>Valid</v>
      </c>
      <c r="AI174" t="s">
        <v>23</v>
      </c>
      <c r="AJ174" t="s">
        <v>1162</v>
      </c>
      <c r="AK174" t="str">
        <f>IF(Transaction[[#This Row],[Salesperson]]="","Missing Value",TRIM(PROPER(Transaction[[#This Row],[Salesperson]])))</f>
        <v>Hughes-Na</v>
      </c>
      <c r="AL174" t="s">
        <v>42</v>
      </c>
      <c r="AM174" t="str">
        <f>IF(Transaction[[#This Row],[ContractType]]="","Missing Value",Transaction[[#This Row],[ContractType]])</f>
        <v>Standard PO</v>
      </c>
      <c r="AN174" t="s">
        <v>43</v>
      </c>
    </row>
    <row r="175" spans="1:40" x14ac:dyDescent="0.25">
      <c r="A175" t="s">
        <v>717</v>
      </c>
      <c r="B175" s="1">
        <v>45681</v>
      </c>
      <c r="C17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7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17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75" s="2">
        <f>IFERROR(DATE(Transaction[[#This Row],[TransactionDateY]],Transaction[[#This Row],[TransactionDateM]],Transaction[[#This Row],[TransactionDateD]]),"Missing Value")</f>
        <v>45681</v>
      </c>
      <c r="G175" t="s">
        <v>157</v>
      </c>
      <c r="H175" t="str">
        <f>IFERROR(VLOOKUP(Transaction[[#This Row],[CustomerID]],Custumer[],1,0),IF(LEN(Transaction[[#This Row],[CustomerID]])=7,LEFT(Transaction[[#This Row],[CustomerID]],6),"Invalid ID"))</f>
        <v>C-1021</v>
      </c>
      <c r="I175" t="s">
        <v>111</v>
      </c>
      <c r="J175" t="str">
        <f>TRIM(UPPER(Transaction[[#This Row],[ProductID]]))</f>
        <v>P-SA-004</v>
      </c>
      <c r="K175" t="str">
        <f>IFERROR(VLOOKUP(Transaction[[#This Row],[ProductID_Clean]],Product[],1,FALSE),"Invalid ID")</f>
        <v>P-SA-004</v>
      </c>
      <c r="L175" t="str">
        <f>TRIM(SUBSTITUTE(SUBSTITUTE(SUBSTITUTE(SUBSTITUTE(UPPER(Transaction[[#This Row],[Region]]),"EMEA REGION","EMEA"),"APAC REGION","APAC"),"NORTH AMERICA","N. AMERICA"),"N .AMERICA","N.AMERICA"))</f>
        <v>EMEA</v>
      </c>
      <c r="M175" t="s">
        <v>87</v>
      </c>
      <c r="N175" t="s">
        <v>31</v>
      </c>
      <c r="O17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75" t="s">
        <v>181</v>
      </c>
      <c r="Q175" t="str">
        <f>IF(TRIM(Transaction[[#This Row],[SalesChannel]])="","Missing Value",TRIM(Transaction[[#This Row],[SalesChannel]]))</f>
        <v>Partner Portal</v>
      </c>
      <c r="R175" s="4">
        <v>1</v>
      </c>
      <c r="S175" s="4" t="str">
        <f>IF(Transaction[[#This Row],[Quantity]]&lt;0,"Negative-review","Valid")</f>
        <v>Valid</v>
      </c>
      <c r="T175" t="s">
        <v>718</v>
      </c>
      <c r="U17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1375.45</v>
      </c>
      <c r="V175">
        <v>1650</v>
      </c>
      <c r="W175">
        <v>1650</v>
      </c>
      <c r="X17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75">
        <f>IF(Transaction[[#This Row],[GrossRevenue_Check]]="Invalid",Transaction[[#This Row],[ListPrice]]*Transaction[[#This Row],[Quantity]],Transaction[[#This Row],[GrossRevenue_Clean]])</f>
        <v>1650</v>
      </c>
      <c r="Z175" t="str">
        <f>IF(Transaction[[#This Row],[GrossRevenue_Clean]]=Transaction[[#This Row],[ListPrice]]*Transaction[[#This Row],[Quantity]],"Valid","Invalid")</f>
        <v>Valid</v>
      </c>
      <c r="AA175" t="s">
        <v>719</v>
      </c>
      <c r="AB17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274.55</v>
      </c>
      <c r="AC175">
        <f>IF(Transaction[[#This Row],[DiscountAmount_Check2]]="Invalid",Transaction[[#This Row],[GrossRevenue_Analytical]]-Transaction[[#This Row],[NetRevenue_Analytical]],Transaction[[#This Row],[DiscountAmount_Clean]])</f>
        <v>274.55</v>
      </c>
      <c r="AD175">
        <v>1375.45</v>
      </c>
      <c r="AE175" t="str">
        <f>IF(ROUND(Transaction[[#This Row],[GrossRevenue_Analytical]]-Transaction[[#This Row],[NetRevenue_Analytical]],2)=ROUND(Transaction[[#This Row],[DiscountAmount_Clean]],2),"Valid","Invalid")</f>
        <v>Valid</v>
      </c>
      <c r="AF17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1375.45</v>
      </c>
      <c r="AG175">
        <f>IF(Transaction[[#This Row],[NetRevenue_Check]]="Invalid",(Transaction[[#This Row],[Quantity]]*Transaction[[#This Row],[UnitPrice_Clean]]),Transaction[[#This Row],[NetRevenue_Clean]])</f>
        <v>1375.45</v>
      </c>
      <c r="AH175" t="str">
        <f>IF(Transaction[[#This Row],[Quantity]]*Transaction[[#This Row],[UnitPrice_Clean]]=Transaction[[#This Row],[NetRevenue_Clean]],"Valid","Invalid")</f>
        <v>Valid</v>
      </c>
      <c r="AI175" t="s">
        <v>23</v>
      </c>
      <c r="AJ175" t="s">
        <v>720</v>
      </c>
      <c r="AK175" t="str">
        <f>IF(Transaction[[#This Row],[Salesperson]]="","Missing Value",TRIM(PROPER(Transaction[[#This Row],[Salesperson]])))</f>
        <v>Schroeder-Na</v>
      </c>
      <c r="AL175" t="s">
        <v>113</v>
      </c>
      <c r="AM175" t="str">
        <f>IF(Transaction[[#This Row],[ContractType]]="","Missing Value",Transaction[[#This Row],[ContractType]])</f>
        <v>Subscription</v>
      </c>
      <c r="AN175" t="s">
        <v>49</v>
      </c>
    </row>
    <row r="176" spans="1:40" x14ac:dyDescent="0.25">
      <c r="A176" t="s">
        <v>2544</v>
      </c>
      <c r="B176" t="s">
        <v>382</v>
      </c>
      <c r="C17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17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31</v>
      </c>
      <c r="E17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76" s="2">
        <f>IFERROR(DATE(Transaction[[#This Row],[TransactionDateY]],Transaction[[#This Row],[TransactionDateM]],Transaction[[#This Row],[TransactionDateD]]),"Missing Value")</f>
        <v>45747</v>
      </c>
      <c r="G176" t="s">
        <v>630</v>
      </c>
      <c r="H176" t="str">
        <f>IFERROR(VLOOKUP(Transaction[[#This Row],[CustomerID]],Custumer[],1,0),IF(LEN(Transaction[[#This Row],[CustomerID]])=7,LEFT(Transaction[[#This Row],[CustomerID]],6),"Invalid ID"))</f>
        <v>C-1157</v>
      </c>
      <c r="I176" t="s">
        <v>92</v>
      </c>
      <c r="J176" t="str">
        <f>TRIM(UPPER(Transaction[[#This Row],[ProductID]]))</f>
        <v>P-SI-008</v>
      </c>
      <c r="K176" t="str">
        <f>IFERROR(VLOOKUP(Transaction[[#This Row],[ProductID_Clean]],Product[],1,FALSE),"Invalid ID")</f>
        <v>P-SI-008</v>
      </c>
      <c r="L176" t="str">
        <f>TRIM(SUBSTITUTE(SUBSTITUTE(SUBSTITUTE(SUBSTITUTE(UPPER(Transaction[[#This Row],[Region]]),"EMEA REGION","EMEA"),"APAC REGION","APAC"),"NORTH AMERICA","N. AMERICA"),"N .AMERICA","N.AMERICA"))</f>
        <v>EMEA</v>
      </c>
      <c r="M176" t="s">
        <v>177</v>
      </c>
      <c r="N176" t="s">
        <v>53</v>
      </c>
      <c r="O17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76" t="s">
        <v>22</v>
      </c>
      <c r="Q176" t="str">
        <f>IF(TRIM(Transaction[[#This Row],[SalesChannel]])="","Missing Value",TRIM(Transaction[[#This Row],[SalesChannel]]))</f>
        <v>Direct</v>
      </c>
      <c r="R176" s="4">
        <v>2</v>
      </c>
      <c r="S176" s="4" t="str">
        <f>IF(Transaction[[#This Row],[Quantity]]&lt;0,"Negative-review","Valid")</f>
        <v>Valid</v>
      </c>
      <c r="T176">
        <v>884.52</v>
      </c>
      <c r="U17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884.52</v>
      </c>
      <c r="V176">
        <v>950</v>
      </c>
      <c r="W176">
        <v>1900</v>
      </c>
      <c r="X17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1900</v>
      </c>
      <c r="Y176">
        <f>IF(Transaction[[#This Row],[GrossRevenue_Check]]="Invalid",Transaction[[#This Row],[ListPrice]]*Transaction[[#This Row],[Quantity]],Transaction[[#This Row],[GrossRevenue_Clean]])</f>
        <v>1900</v>
      </c>
      <c r="Z176" t="str">
        <f>IF(Transaction[[#This Row],[GrossRevenue_Clean]]=Transaction[[#This Row],[ListPrice]]*Transaction[[#This Row],[Quantity]],"Valid","Invalid")</f>
        <v>Valid</v>
      </c>
      <c r="AA176">
        <v>130.96</v>
      </c>
      <c r="AB17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130.96</v>
      </c>
      <c r="AC176">
        <f>IF(Transaction[[#This Row],[DiscountAmount_Check2]]="Invalid",Transaction[[#This Row],[GrossRevenue_Analytical]]-Transaction[[#This Row],[NetRevenue_Analytical]],Transaction[[#This Row],[DiscountAmount_Clean]])</f>
        <v>130.96</v>
      </c>
      <c r="AD176">
        <v>1769.04</v>
      </c>
      <c r="AE176" t="str">
        <f>IF(ROUND(Transaction[[#This Row],[GrossRevenue_Analytical]]-Transaction[[#This Row],[NetRevenue_Analytical]],2)=ROUND(Transaction[[#This Row],[DiscountAmount_Clean]],2),"Valid","Invalid")</f>
        <v>Valid</v>
      </c>
      <c r="AF17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1769.04</v>
      </c>
      <c r="AG176">
        <f>IF(Transaction[[#This Row],[NetRevenue_Check]]="Invalid",(Transaction[[#This Row],[Quantity]]*Transaction[[#This Row],[UnitPrice_Clean]]),Transaction[[#This Row],[NetRevenue_Clean]])</f>
        <v>1769.04</v>
      </c>
      <c r="AH176" t="str">
        <f>IF(Transaction[[#This Row],[Quantity]]*Transaction[[#This Row],[UnitPrice_Clean]]=Transaction[[#This Row],[NetRevenue_Clean]],"Valid","Invalid")</f>
        <v>Valid</v>
      </c>
      <c r="AI176" t="s">
        <v>23</v>
      </c>
      <c r="AJ176" t="s">
        <v>2545</v>
      </c>
      <c r="AK176" t="str">
        <f>IF(Transaction[[#This Row],[Salesperson]]="","Missing Value",TRIM(PROPER(Transaction[[#This Row],[Salesperson]])))</f>
        <v>Shelton</v>
      </c>
      <c r="AL176" t="s">
        <v>42</v>
      </c>
      <c r="AM176" t="str">
        <f>IF(Transaction[[#This Row],[ContractType]]="","Missing Value",Transaction[[#This Row],[ContractType]])</f>
        <v>Standard PO</v>
      </c>
      <c r="AN176" t="s">
        <v>35</v>
      </c>
    </row>
    <row r="177" spans="1:40" x14ac:dyDescent="0.25">
      <c r="A177" t="s">
        <v>2071</v>
      </c>
      <c r="B177" s="1">
        <v>45829</v>
      </c>
      <c r="C17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7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17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77" s="2">
        <f>IFERROR(DATE(Transaction[[#This Row],[TransactionDateY]],Transaction[[#This Row],[TransactionDateM]],Transaction[[#This Row],[TransactionDateD]]),"Missing Value")</f>
        <v>45829</v>
      </c>
      <c r="G177" t="s">
        <v>585</v>
      </c>
      <c r="H177" t="str">
        <f>IFERROR(VLOOKUP(Transaction[[#This Row],[CustomerID]],Custumer[],1,0),IF(LEN(Transaction[[#This Row],[CustomerID]])=7,LEFT(Transaction[[#This Row],[CustomerID]],6),"Invalid ID"))</f>
        <v>C-1088</v>
      </c>
      <c r="I177" t="s">
        <v>92</v>
      </c>
      <c r="J177" t="str">
        <f>TRIM(UPPER(Transaction[[#This Row],[ProductID]]))</f>
        <v>P-SI-008</v>
      </c>
      <c r="K177" t="str">
        <f>IFERROR(VLOOKUP(Transaction[[#This Row],[ProductID_Clean]],Product[],1,FALSE),"Invalid ID")</f>
        <v>P-SI-008</v>
      </c>
      <c r="L177" t="str">
        <f>TRIM(SUBSTITUTE(SUBSTITUTE(SUBSTITUTE(SUBSTITUTE(UPPER(Transaction[[#This Row],[Region]]),"EMEA REGION","EMEA"),"APAC REGION","APAC"),"NORTH AMERICA","N. AMERICA"),"N .AMERICA","N.AMERICA"))</f>
        <v>N. AMERICA</v>
      </c>
      <c r="M177" t="s">
        <v>204</v>
      </c>
      <c r="N177" t="s">
        <v>53</v>
      </c>
      <c r="O17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77" t="s">
        <v>22</v>
      </c>
      <c r="Q177" t="str">
        <f>IF(TRIM(Transaction[[#This Row],[SalesChannel]])="","Missing Value",TRIM(Transaction[[#This Row],[SalesChannel]]))</f>
        <v>Direct</v>
      </c>
      <c r="R177" s="4">
        <v>8</v>
      </c>
      <c r="S177" s="4" t="str">
        <f>IF(Transaction[[#This Row],[Quantity]]&lt;0,"Negative-review","Valid")</f>
        <v>Valid</v>
      </c>
      <c r="T177">
        <v>886.93</v>
      </c>
      <c r="U17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886.93</v>
      </c>
      <c r="V177">
        <v>950</v>
      </c>
      <c r="W177">
        <v>7600</v>
      </c>
      <c r="X17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7600</v>
      </c>
      <c r="Y177">
        <f>IF(Transaction[[#This Row],[GrossRevenue_Check]]="Invalid",Transaction[[#This Row],[ListPrice]]*Transaction[[#This Row],[Quantity]],Transaction[[#This Row],[GrossRevenue_Clean]])</f>
        <v>7600</v>
      </c>
      <c r="Z177" t="str">
        <f>IF(Transaction[[#This Row],[GrossRevenue_Clean]]=Transaction[[#This Row],[ListPrice]]*Transaction[[#This Row],[Quantity]],"Valid","Invalid")</f>
        <v>Valid</v>
      </c>
      <c r="AA177">
        <v>504.56</v>
      </c>
      <c r="AB17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504.56</v>
      </c>
      <c r="AC177">
        <f>IF(Transaction[[#This Row],[DiscountAmount_Check2]]="Invalid",Transaction[[#This Row],[GrossRevenue_Analytical]]-Transaction[[#This Row],[NetRevenue_Analytical]],Transaction[[#This Row],[DiscountAmount_Clean]])</f>
        <v>504.56</v>
      </c>
      <c r="AD177">
        <v>7095.44</v>
      </c>
      <c r="AE177" t="str">
        <f>IF(ROUND(Transaction[[#This Row],[GrossRevenue_Analytical]]-Transaction[[#This Row],[NetRevenue_Analytical]],2)=ROUND(Transaction[[#This Row],[DiscountAmount_Clean]],2),"Valid","Invalid")</f>
        <v>Valid</v>
      </c>
      <c r="AF177">
        <f>VALUE(IF(ISNUMBER(Transaction[[#This Row],[NetRevenue]]),Transaction[[#This Row],[NetRevenue]],IFERROR(IF(FIND("$",Transaction[[#This Row],[NetRevenue]])&gt;0,MID(Transaction[[#This Row],[NetRevenue]],2,10)),Transaction[[#This Row],[NetRevenue]])))</f>
        <v>7095.44</v>
      </c>
      <c r="AG177">
        <f>IF(Transaction[[#This Row],[NetRevenue_Check]]="Invalid",(Transaction[[#This Row],[Quantity]]*Transaction[[#This Row],[UnitPrice_Clean]]),Transaction[[#This Row],[NetRevenue_Clean]])</f>
        <v>7095.44</v>
      </c>
      <c r="AH177" t="str">
        <f>IF(Transaction[[#This Row],[Quantity]]*Transaction[[#This Row],[UnitPrice_Clean]]=Transaction[[#This Row],[NetRevenue_Clean]],"Valid","Invalid")</f>
        <v>Valid</v>
      </c>
      <c r="AI177" t="s">
        <v>23</v>
      </c>
      <c r="AJ177" t="s">
        <v>1165</v>
      </c>
      <c r="AK177" t="str">
        <f>IF(Transaction[[#This Row],[Salesperson]]="","Missing Value",TRIM(PROPER(Transaction[[#This Row],[Salesperson]])))</f>
        <v>Williams</v>
      </c>
      <c r="AL177" t="s">
        <v>25</v>
      </c>
      <c r="AM177" t="str">
        <f>IF(Transaction[[#This Row],[ContractType]]="","Missing Value",Transaction[[#This Row],[ContractType]])</f>
        <v>Frame Agreement</v>
      </c>
      <c r="AN177" t="s">
        <v>35</v>
      </c>
    </row>
    <row r="178" spans="1:40" x14ac:dyDescent="0.25">
      <c r="A178" t="s">
        <v>1772</v>
      </c>
      <c r="B178" s="1">
        <v>45699</v>
      </c>
      <c r="C17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7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17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78" s="2">
        <f>IFERROR(DATE(Transaction[[#This Row],[TransactionDateY]],Transaction[[#This Row],[TransactionDateM]],Transaction[[#This Row],[TransactionDateD]]),"Missing Value")</f>
        <v>45699</v>
      </c>
      <c r="G178" t="s">
        <v>86</v>
      </c>
      <c r="H178" t="str">
        <f>IFERROR(VLOOKUP(Transaction[[#This Row],[CustomerID]],Custumer[],1,0),IF(LEN(Transaction[[#This Row],[CustomerID]])=7,LEFT(Transaction[[#This Row],[CustomerID]],6),"Invalid ID"))</f>
        <v>C-1177</v>
      </c>
      <c r="I178" t="s">
        <v>71</v>
      </c>
      <c r="J178" t="str">
        <f>TRIM(UPPER(Transaction[[#This Row],[ProductID]]))</f>
        <v>P-SI-003</v>
      </c>
      <c r="K178" t="str">
        <f>IFERROR(VLOOKUP(Transaction[[#This Row],[ProductID_Clean]],Product[],1,FALSE),"Invalid ID")</f>
        <v>P-SI-003</v>
      </c>
      <c r="L178" t="str">
        <f>TRIM(SUBSTITUTE(SUBSTITUTE(SUBSTITUTE(SUBSTITUTE(UPPER(Transaction[[#This Row],[Region]]),"EMEA REGION","EMEA"),"APAC REGION","APAC"),"NORTH AMERICA","N. AMERICA"),"N .AMERICA","N.AMERICA"))</f>
        <v>EMEA</v>
      </c>
      <c r="M178" t="s">
        <v>76</v>
      </c>
      <c r="N178" t="s">
        <v>53</v>
      </c>
      <c r="O17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78" t="s">
        <v>22</v>
      </c>
      <c r="Q178" t="str">
        <f>IF(TRIM(Transaction[[#This Row],[SalesChannel]])="","Missing Value",TRIM(Transaction[[#This Row],[SalesChannel]]))</f>
        <v>Direct</v>
      </c>
      <c r="R178" s="4">
        <v>1</v>
      </c>
      <c r="S178" s="4" t="str">
        <f>IF(Transaction[[#This Row],[Quantity]]&lt;0,"Negative-review","Valid")</f>
        <v>Valid</v>
      </c>
      <c r="T178">
        <v>1533.84</v>
      </c>
      <c r="U17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1533.84</v>
      </c>
      <c r="V178">
        <v>1890</v>
      </c>
      <c r="W178" t="s">
        <v>1773</v>
      </c>
      <c r="X17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178">
        <f>IF(Transaction[[#This Row],[GrossRevenue_Check]]="Invalid",Transaction[[#This Row],[ListPrice]]*Transaction[[#This Row],[Quantity]],Transaction[[#This Row],[GrossRevenue_Clean]])</f>
        <v>1890</v>
      </c>
      <c r="Z178" t="str">
        <f>IF(Transaction[[#This Row],[GrossRevenue_Clean]]=Transaction[[#This Row],[ListPrice]]*Transaction[[#This Row],[Quantity]],"Valid","Invalid")</f>
        <v>Valid</v>
      </c>
      <c r="AA178">
        <v>356.16</v>
      </c>
      <c r="AB17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356.16</v>
      </c>
      <c r="AC178">
        <f>IF(Transaction[[#This Row],[DiscountAmount_Check2]]="Invalid",Transaction[[#This Row],[GrossRevenue_Analytical]]-Transaction[[#This Row],[NetRevenue_Analytical]],Transaction[[#This Row],[DiscountAmount_Clean]])</f>
        <v>356.16</v>
      </c>
      <c r="AD178">
        <v>1533.84</v>
      </c>
      <c r="AE178" t="str">
        <f>IF(ROUND(Transaction[[#This Row],[GrossRevenue_Analytical]]-Transaction[[#This Row],[NetRevenue_Analytical]],2)=ROUND(Transaction[[#This Row],[DiscountAmount_Clean]],2),"Valid","Invalid")</f>
        <v>Valid</v>
      </c>
      <c r="AF17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1533.84</v>
      </c>
      <c r="AG178">
        <f>IF(Transaction[[#This Row],[NetRevenue_Check]]="Invalid",(Transaction[[#This Row],[Quantity]]*Transaction[[#This Row],[UnitPrice_Clean]]),Transaction[[#This Row],[NetRevenue_Clean]])</f>
        <v>1533.84</v>
      </c>
      <c r="AH178" t="str">
        <f>IF(Transaction[[#This Row],[Quantity]]*Transaction[[#This Row],[UnitPrice_Clean]]=Transaction[[#This Row],[NetRevenue_Clean]],"Valid","Invalid")</f>
        <v>Valid</v>
      </c>
      <c r="AI178" t="s">
        <v>23</v>
      </c>
      <c r="AJ178" t="s">
        <v>1774</v>
      </c>
      <c r="AK178" t="str">
        <f>IF(Transaction[[#This Row],[Salesperson]]="","Missing Value",TRIM(PROPER(Transaction[[#This Row],[Salesperson]])))</f>
        <v>Mccoy</v>
      </c>
      <c r="AM178" t="str">
        <f>IF(Transaction[[#This Row],[ContractType]]="","Missing Value",Transaction[[#This Row],[ContractType]])</f>
        <v>Missing Value</v>
      </c>
      <c r="AN178" t="s">
        <v>49</v>
      </c>
    </row>
    <row r="179" spans="1:40" x14ac:dyDescent="0.25">
      <c r="A179" t="s">
        <v>983</v>
      </c>
      <c r="B179" s="1">
        <v>45763</v>
      </c>
      <c r="C17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7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17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79" s="2">
        <f>IFERROR(DATE(Transaction[[#This Row],[TransactionDateY]],Transaction[[#This Row],[TransactionDateM]],Transaction[[#This Row],[TransactionDateD]]),"Missing Value")</f>
        <v>45763</v>
      </c>
      <c r="G179" t="s">
        <v>405</v>
      </c>
      <c r="H179" t="str">
        <f>IFERROR(VLOOKUP(Transaction[[#This Row],[CustomerID]],Custumer[],1,0),IF(LEN(Transaction[[#This Row],[CustomerID]])=7,LEFT(Transaction[[#This Row],[CustomerID]],6),"Invalid ID"))</f>
        <v>C-1163</v>
      </c>
      <c r="I179" t="s">
        <v>46</v>
      </c>
      <c r="J179" t="str">
        <f>TRIM(UPPER(Transaction[[#This Row],[ProductID]]))</f>
        <v>P-SI-006</v>
      </c>
      <c r="K179" t="str">
        <f>IFERROR(VLOOKUP(Transaction[[#This Row],[ProductID_Clean]],Product[],1,FALSE),"Invalid ID")</f>
        <v>P-SI-006</v>
      </c>
      <c r="L179" t="str">
        <f>TRIM(SUBSTITUTE(SUBSTITUTE(SUBSTITUTE(SUBSTITUTE(UPPER(Transaction[[#This Row],[Region]]),"EMEA REGION","EMEA"),"APAC REGION","APAC"),"NORTH AMERICA","N. AMERICA"),"N .AMERICA","N.AMERICA"))</f>
        <v>APAC</v>
      </c>
      <c r="M179" t="s">
        <v>30</v>
      </c>
      <c r="N179" t="s">
        <v>53</v>
      </c>
      <c r="O17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79" t="s">
        <v>181</v>
      </c>
      <c r="Q179" t="str">
        <f>IF(TRIM(Transaction[[#This Row],[SalesChannel]])="","Missing Value",TRIM(Transaction[[#This Row],[SalesChannel]]))</f>
        <v>Partner Portal</v>
      </c>
      <c r="R179" s="4">
        <v>3</v>
      </c>
      <c r="S179" s="4" t="str">
        <f>IF(Transaction[[#This Row],[Quantity]]&lt;0,"Negative-review","Valid")</f>
        <v>Valid</v>
      </c>
      <c r="T179">
        <v>160.44</v>
      </c>
      <c r="U17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160.44</v>
      </c>
      <c r="V179">
        <v>215</v>
      </c>
      <c r="W179">
        <v>645</v>
      </c>
      <c r="X17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179">
        <f>IF(Transaction[[#This Row],[GrossRevenue_Check]]="Invalid",Transaction[[#This Row],[ListPrice]]*Transaction[[#This Row],[Quantity]],Transaction[[#This Row],[GrossRevenue_Clean]])</f>
        <v>645</v>
      </c>
      <c r="Z179" t="str">
        <f>IF(Transaction[[#This Row],[GrossRevenue_Clean]]=Transaction[[#This Row],[ListPrice]]*Transaction[[#This Row],[Quantity]],"Valid","Invalid")</f>
        <v>Valid</v>
      </c>
      <c r="AA179">
        <v>163.68</v>
      </c>
      <c r="AB17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163.68</v>
      </c>
      <c r="AC179">
        <f>IF(Transaction[[#This Row],[DiscountAmount_Check2]]="Invalid",Transaction[[#This Row],[GrossRevenue_Analytical]]-Transaction[[#This Row],[NetRevenue_Analytical]],Transaction[[#This Row],[DiscountAmount_Clean]])</f>
        <v>163.68</v>
      </c>
      <c r="AD179" t="s">
        <v>984</v>
      </c>
      <c r="AE179" t="str">
        <f>IF(ROUND(Transaction[[#This Row],[GrossRevenue_Analytical]]-Transaction[[#This Row],[NetRevenue_Analytical]],2)=ROUND(Transaction[[#This Row],[DiscountAmount_Clean]],2),"Valid","Invalid")</f>
        <v>Valid</v>
      </c>
      <c r="AF179">
        <f>VALUE(IF(ISNUMBER(Transaction[[#This Row],[NetRevenue]]),Transaction[[#This Row],[NetRevenue]],IFERROR(IF(FIND("$",Transaction[[#This Row],[NetRevenue]])&gt;0,MID(Transaction[[#This Row],[NetRevenue]],2,10)),Transaction[[#This Row],[NetRevenue]])))</f>
        <v>481.32</v>
      </c>
      <c r="AG179">
        <f>IF(Transaction[[#This Row],[NetRevenue_Check]]="Invalid",(Transaction[[#This Row],[Quantity]]*Transaction[[#This Row],[UnitPrice_Clean]]),Transaction[[#This Row],[NetRevenue_Clean]])</f>
        <v>481.32</v>
      </c>
      <c r="AH179" t="str">
        <f>IF(Transaction[[#This Row],[Quantity]]*Transaction[[#This Row],[UnitPrice_Clean]]=Transaction[[#This Row],[NetRevenue_Clean]],"Valid","Invalid")</f>
        <v>Valid</v>
      </c>
      <c r="AI179" t="s">
        <v>23</v>
      </c>
      <c r="AJ179" t="s">
        <v>985</v>
      </c>
      <c r="AK179" t="str">
        <f>IF(Transaction[[#This Row],[Salesperson]]="","Missing Value",TRIM(PROPER(Transaction[[#This Row],[Salesperson]])))</f>
        <v>Cook-Ap</v>
      </c>
      <c r="AL179" t="s">
        <v>25</v>
      </c>
      <c r="AM179" t="str">
        <f>IF(Transaction[[#This Row],[ContractType]]="","Missing Value",Transaction[[#This Row],[ContractType]])</f>
        <v>Frame Agreement</v>
      </c>
      <c r="AN179" t="s">
        <v>65</v>
      </c>
    </row>
    <row r="180" spans="1:40" x14ac:dyDescent="0.25">
      <c r="A180" t="s">
        <v>2253</v>
      </c>
      <c r="B180" s="1">
        <v>45784</v>
      </c>
      <c r="C18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8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18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80" s="2">
        <f>IFERROR(DATE(Transaction[[#This Row],[TransactionDateY]],Transaction[[#This Row],[TransactionDateM]],Transaction[[#This Row],[TransactionDateD]]),"Missing Value")</f>
        <v>45784</v>
      </c>
      <c r="G180" t="s">
        <v>96</v>
      </c>
      <c r="H180" t="str">
        <f>IFERROR(VLOOKUP(Transaction[[#This Row],[CustomerID]],Custumer[],1,0),IF(LEN(Transaction[[#This Row],[CustomerID]])=7,LEFT(Transaction[[#This Row],[CustomerID]],6),"Invalid ID"))</f>
        <v>C-1057</v>
      </c>
      <c r="I180" t="s">
        <v>503</v>
      </c>
      <c r="J180" t="str">
        <f>TRIM(UPPER(Transaction[[#This Row],[ProductID]]))</f>
        <v>P-SI-005</v>
      </c>
      <c r="K180" t="str">
        <f>IFERROR(VLOOKUP(Transaction[[#This Row],[ProductID_Clean]],Product[],1,FALSE),"Invalid ID")</f>
        <v>P-SI-005</v>
      </c>
      <c r="L180" t="str">
        <f>TRIM(SUBSTITUTE(SUBSTITUTE(SUBSTITUTE(SUBSTITUTE(UPPER(Transaction[[#This Row],[Region]]),"EMEA REGION","EMEA"),"APAC REGION","APAC"),"NORTH AMERICA","N. AMERICA"),"N .AMERICA","N.AMERICA"))</f>
        <v>N. AMERICA</v>
      </c>
      <c r="M180" t="s">
        <v>20</v>
      </c>
      <c r="N180" t="s">
        <v>53</v>
      </c>
      <c r="O18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80" t="s">
        <v>22</v>
      </c>
      <c r="Q180" t="str">
        <f>IF(TRIM(Transaction[[#This Row],[SalesChannel]])="","Missing Value",TRIM(Transaction[[#This Row],[SalesChannel]]))</f>
        <v>Direct</v>
      </c>
      <c r="R180" s="4">
        <v>5</v>
      </c>
      <c r="S180" s="4" t="str">
        <f>IF(Transaction[[#This Row],[Quantity]]&lt;0,"Negative-review","Valid")</f>
        <v>Valid</v>
      </c>
      <c r="T180">
        <v>1115.06</v>
      </c>
      <c r="U18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1115.06</v>
      </c>
      <c r="V180">
        <v>1120</v>
      </c>
      <c r="W180">
        <v>5600</v>
      </c>
      <c r="X18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5600</v>
      </c>
      <c r="Y180">
        <f>IF(Transaction[[#This Row],[GrossRevenue_Check]]="Invalid",Transaction[[#This Row],[ListPrice]]*Transaction[[#This Row],[Quantity]],Transaction[[#This Row],[GrossRevenue_Clean]])</f>
        <v>5600</v>
      </c>
      <c r="Z180" t="str">
        <f>IF(Transaction[[#This Row],[GrossRevenue_Clean]]=Transaction[[#This Row],[ListPrice]]*Transaction[[#This Row],[Quantity]],"Valid","Invalid")</f>
        <v>Valid</v>
      </c>
      <c r="AA180">
        <v>24.7</v>
      </c>
      <c r="AB18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24.7</v>
      </c>
      <c r="AC180">
        <f>IF(Transaction[[#This Row],[DiscountAmount_Check2]]="Invalid",Transaction[[#This Row],[GrossRevenue_Analytical]]-Transaction[[#This Row],[NetRevenue_Analytical]],Transaction[[#This Row],[DiscountAmount_Clean]])</f>
        <v>24.7</v>
      </c>
      <c r="AD180">
        <v>5575.3</v>
      </c>
      <c r="AE180" t="str">
        <f>IF(ROUND(Transaction[[#This Row],[GrossRevenue_Analytical]]-Transaction[[#This Row],[NetRevenue_Analytical]],2)=ROUND(Transaction[[#This Row],[DiscountAmount_Clean]],2),"Valid","Invalid")</f>
        <v>Valid</v>
      </c>
      <c r="AF180">
        <f>VALUE(IF(ISNUMBER(Transaction[[#This Row],[NetRevenue]]),Transaction[[#This Row],[NetRevenue]],IFERROR(IF(FIND("$",Transaction[[#This Row],[NetRevenue]])&gt;0,MID(Transaction[[#This Row],[NetRevenue]],2,10)),Transaction[[#This Row],[NetRevenue]])))</f>
        <v>5575.3</v>
      </c>
      <c r="AG180">
        <f>IF(Transaction[[#This Row],[NetRevenue_Check]]="Invalid",(Transaction[[#This Row],[Quantity]]*Transaction[[#This Row],[UnitPrice_Clean]]),Transaction[[#This Row],[NetRevenue_Clean]])</f>
        <v>5575.3</v>
      </c>
      <c r="AH180" t="str">
        <f>IF(Transaction[[#This Row],[Quantity]]*Transaction[[#This Row],[UnitPrice_Clean]]=Transaction[[#This Row],[NetRevenue_Clean]],"Valid","Invalid")</f>
        <v>Valid</v>
      </c>
      <c r="AI180" t="s">
        <v>23</v>
      </c>
      <c r="AJ180" t="s">
        <v>488</v>
      </c>
      <c r="AK180" t="str">
        <f>IF(Transaction[[#This Row],[Salesperson]]="","Missing Value",TRIM(PROPER(Transaction[[#This Row],[Salesperson]])))</f>
        <v>Rivera</v>
      </c>
      <c r="AL180" t="s">
        <v>42</v>
      </c>
      <c r="AM180" t="str">
        <f>IF(Transaction[[#This Row],[ContractType]]="","Missing Value",Transaction[[#This Row],[ContractType]])</f>
        <v>Standard PO</v>
      </c>
      <c r="AN180" t="s">
        <v>65</v>
      </c>
    </row>
    <row r="181" spans="1:40" x14ac:dyDescent="0.25">
      <c r="A181" t="s">
        <v>2582</v>
      </c>
      <c r="B181" s="1">
        <v>45827</v>
      </c>
      <c r="C18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8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18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81" s="2">
        <f>IFERROR(DATE(Transaction[[#This Row],[TransactionDateY]],Transaction[[#This Row],[TransactionDateM]],Transaction[[#This Row],[TransactionDateD]]),"Missing Value")</f>
        <v>45827</v>
      </c>
      <c r="G181" t="s">
        <v>423</v>
      </c>
      <c r="H181" t="str">
        <f>IFERROR(VLOOKUP(Transaction[[#This Row],[CustomerID]],Custumer[],1,0),IF(LEN(Transaction[[#This Row],[CustomerID]])=7,LEFT(Transaction[[#This Row],[CustomerID]],6),"Invalid ID"))</f>
        <v>C-1121</v>
      </c>
      <c r="I181" t="s">
        <v>75</v>
      </c>
      <c r="J181" t="str">
        <f>TRIM(UPPER(Transaction[[#This Row],[ProductID]]))</f>
        <v>P-SA-005</v>
      </c>
      <c r="K181" t="str">
        <f>IFERROR(VLOOKUP(Transaction[[#This Row],[ProductID_Clean]],Product[],1,FALSE),"Invalid ID")</f>
        <v>P-SA-005</v>
      </c>
      <c r="L181" t="str">
        <f>TRIM(SUBSTITUTE(SUBSTITUTE(SUBSTITUTE(SUBSTITUTE(UPPER(Transaction[[#This Row],[Region]]),"EMEA REGION","EMEA"),"APAC REGION","APAC"),"NORTH AMERICA","N. AMERICA"),"N .AMERICA","N.AMERICA"))</f>
        <v>N. AMERICA</v>
      </c>
      <c r="M181" t="s">
        <v>20</v>
      </c>
      <c r="N181" t="s">
        <v>205</v>
      </c>
      <c r="O18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81" t="s">
        <v>40</v>
      </c>
      <c r="Q181" t="str">
        <f>IF(TRIM(Transaction[[#This Row],[SalesChannel]])="","Missing Value",TRIM(Transaction[[#This Row],[SalesChannel]]))</f>
        <v>Distributor</v>
      </c>
      <c r="R181" s="4">
        <v>1</v>
      </c>
      <c r="S181" s="4" t="str">
        <f>IF(Transaction[[#This Row],[Quantity]]&lt;0,"Negative-review","Valid")</f>
        <v>Valid</v>
      </c>
      <c r="T181">
        <v>2714.43</v>
      </c>
      <c r="U18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2714.43</v>
      </c>
      <c r="V181">
        <v>3200</v>
      </c>
      <c r="W181" t="s">
        <v>2583</v>
      </c>
      <c r="X18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181">
        <f>IF(Transaction[[#This Row],[GrossRevenue_Check]]="Invalid",Transaction[[#This Row],[ListPrice]]*Transaction[[#This Row],[Quantity]],Transaction[[#This Row],[GrossRevenue_Clean]])</f>
        <v>3200</v>
      </c>
      <c r="Z181" t="str">
        <f>IF(Transaction[[#This Row],[GrossRevenue_Clean]]=Transaction[[#This Row],[ListPrice]]*Transaction[[#This Row],[Quantity]],"Valid","Invalid")</f>
        <v>Valid</v>
      </c>
      <c r="AA181">
        <v>485.57</v>
      </c>
      <c r="AB18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485.57</v>
      </c>
      <c r="AC181">
        <f>IF(Transaction[[#This Row],[DiscountAmount_Check2]]="Invalid",Transaction[[#This Row],[GrossRevenue_Analytical]]-Transaction[[#This Row],[NetRevenue_Analytical]],Transaction[[#This Row],[DiscountAmount_Clean]])</f>
        <v>485.57</v>
      </c>
      <c r="AD181">
        <v>2714.43</v>
      </c>
      <c r="AE181" t="str">
        <f>IF(ROUND(Transaction[[#This Row],[GrossRevenue_Analytical]]-Transaction[[#This Row],[NetRevenue_Analytical]],2)=ROUND(Transaction[[#This Row],[DiscountAmount_Clean]],2),"Valid","Invalid")</f>
        <v>Valid</v>
      </c>
      <c r="AF18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2714.43</v>
      </c>
      <c r="AG181">
        <f>IF(Transaction[[#This Row],[NetRevenue_Check]]="Invalid",(Transaction[[#This Row],[Quantity]]*Transaction[[#This Row],[UnitPrice_Clean]]),Transaction[[#This Row],[NetRevenue_Clean]])</f>
        <v>2714.43</v>
      </c>
      <c r="AH181" t="str">
        <f>IF(Transaction[[#This Row],[Quantity]]*Transaction[[#This Row],[UnitPrice_Clean]]=Transaction[[#This Row],[NetRevenue_Clean]],"Valid","Invalid")</f>
        <v>Valid</v>
      </c>
      <c r="AI181" t="s">
        <v>23</v>
      </c>
      <c r="AJ181" t="s">
        <v>2584</v>
      </c>
      <c r="AK181" t="str">
        <f>IF(Transaction[[#This Row],[Salesperson]]="","Missing Value",TRIM(PROPER(Transaction[[#This Row],[Salesperson]])))</f>
        <v>Grant-Na</v>
      </c>
      <c r="AL181" t="s">
        <v>34</v>
      </c>
      <c r="AM181" t="str">
        <f>IF(Transaction[[#This Row],[ContractType]]="","Missing Value",Transaction[[#This Row],[ContractType]])</f>
        <v>Annual License</v>
      </c>
      <c r="AN181" t="s">
        <v>49</v>
      </c>
    </row>
    <row r="182" spans="1:40" x14ac:dyDescent="0.25">
      <c r="A182" t="s">
        <v>1908</v>
      </c>
      <c r="B182" s="1">
        <v>45798</v>
      </c>
      <c r="C18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8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18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82" s="2">
        <f>IFERROR(DATE(Transaction[[#This Row],[TransactionDateY]],Transaction[[#This Row],[TransactionDateM]],Transaction[[#This Row],[TransactionDateD]]),"Missing Value")</f>
        <v>45798</v>
      </c>
      <c r="G182" t="s">
        <v>1518</v>
      </c>
      <c r="H182" t="str">
        <f>IFERROR(VLOOKUP(Transaction[[#This Row],[CustomerID]],Custumer[],1,0),IF(LEN(Transaction[[#This Row],[CustomerID]])=7,LEFT(Transaction[[#This Row],[CustomerID]],6),"Invalid ID"))</f>
        <v>C-1138</v>
      </c>
      <c r="I182" t="s">
        <v>29</v>
      </c>
      <c r="J182" t="str">
        <f>TRIM(UPPER(Transaction[[#This Row],[ProductID]]))</f>
        <v>P-SA-001</v>
      </c>
      <c r="K182" t="str">
        <f>IFERROR(VLOOKUP(Transaction[[#This Row],[ProductID_Clean]],Product[],1,FALSE),"Invalid ID")</f>
        <v>P-SA-001</v>
      </c>
      <c r="L182" t="str">
        <f>TRIM(SUBSTITUTE(SUBSTITUTE(SUBSTITUTE(SUBSTITUTE(UPPER(Transaction[[#This Row],[Region]]),"EMEA REGION","EMEA"),"APAC REGION","APAC"),"NORTH AMERICA","N. AMERICA"),"N .AMERICA","N.AMERICA"))</f>
        <v>EMEA</v>
      </c>
      <c r="M182" t="s">
        <v>76</v>
      </c>
      <c r="N182" t="s">
        <v>1312</v>
      </c>
      <c r="O18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82" t="s">
        <v>77</v>
      </c>
      <c r="Q182" t="str">
        <f>IF(TRIM(Transaction[[#This Row],[SalesChannel]])="","Missing Value",TRIM(Transaction[[#This Row],[SalesChannel]]))</f>
        <v>distributor</v>
      </c>
      <c r="R182" s="4">
        <v>1</v>
      </c>
      <c r="S182" s="4" t="str">
        <f>IF(Transaction[[#This Row],[Quantity]]&lt;0,"Negative-review","Valid")</f>
        <v>Valid</v>
      </c>
      <c r="T182">
        <v>3396.98</v>
      </c>
      <c r="U18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3396.98</v>
      </c>
      <c r="V182">
        <v>4200</v>
      </c>
      <c r="W182">
        <v>4200</v>
      </c>
      <c r="X18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182">
        <f>IF(Transaction[[#This Row],[GrossRevenue_Check]]="Invalid",Transaction[[#This Row],[ListPrice]]*Transaction[[#This Row],[Quantity]],Transaction[[#This Row],[GrossRevenue_Clean]])</f>
        <v>4200</v>
      </c>
      <c r="Z182" t="str">
        <f>IF(Transaction[[#This Row],[GrossRevenue_Clean]]=Transaction[[#This Row],[ListPrice]]*Transaction[[#This Row],[Quantity]],"Valid","Invalid")</f>
        <v>Valid</v>
      </c>
      <c r="AA182">
        <v>803.02</v>
      </c>
      <c r="AB18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803.02</v>
      </c>
      <c r="AC182">
        <f>IF(Transaction[[#This Row],[DiscountAmount_Check2]]="Invalid",Transaction[[#This Row],[GrossRevenue_Analytical]]-Transaction[[#This Row],[NetRevenue_Analytical]],Transaction[[#This Row],[DiscountAmount_Clean]])</f>
        <v>803.02</v>
      </c>
      <c r="AD182">
        <v>3396.98</v>
      </c>
      <c r="AE182" t="str">
        <f>IF(ROUND(Transaction[[#This Row],[GrossRevenue_Analytical]]-Transaction[[#This Row],[NetRevenue_Analytical]],2)=ROUND(Transaction[[#This Row],[DiscountAmount_Clean]],2),"Valid","Invalid")</f>
        <v>Valid</v>
      </c>
      <c r="AF182">
        <f>VALUE(IF(ISNUMBER(Transaction[[#This Row],[NetRevenue]]),Transaction[[#This Row],[NetRevenue]],IFERROR(IF(FIND("$",Transaction[[#This Row],[NetRevenue]])&gt;0,MID(Transaction[[#This Row],[NetRevenue]],2,10)),Transaction[[#This Row],[NetRevenue]])))</f>
        <v>3396.98</v>
      </c>
      <c r="AG182">
        <f>IF(Transaction[[#This Row],[NetRevenue_Check]]="Invalid",(Transaction[[#This Row],[Quantity]]*Transaction[[#This Row],[UnitPrice_Clean]]),Transaction[[#This Row],[NetRevenue_Clean]])</f>
        <v>3396.98</v>
      </c>
      <c r="AH182" t="str">
        <f>IF(Transaction[[#This Row],[Quantity]]*Transaction[[#This Row],[UnitPrice_Clean]]=Transaction[[#This Row],[NetRevenue_Clean]],"Valid","Invalid")</f>
        <v>Valid</v>
      </c>
      <c r="AI182" t="s">
        <v>23</v>
      </c>
      <c r="AJ182" t="s">
        <v>519</v>
      </c>
      <c r="AK182" t="str">
        <f>IF(Transaction[[#This Row],[Salesperson]]="","Missing Value",TRIM(PROPER(Transaction[[#This Row],[Salesperson]])))</f>
        <v>Hughes</v>
      </c>
      <c r="AL182" t="s">
        <v>34</v>
      </c>
      <c r="AM182" t="str">
        <f>IF(Transaction[[#This Row],[ContractType]]="","Missing Value",Transaction[[#This Row],[ContractType]])</f>
        <v>Annual License</v>
      </c>
      <c r="AN182" t="s">
        <v>35</v>
      </c>
    </row>
    <row r="183" spans="1:40" x14ac:dyDescent="0.25">
      <c r="A183" t="s">
        <v>1537</v>
      </c>
      <c r="B183" s="1">
        <v>45774</v>
      </c>
      <c r="C18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8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18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83" s="2">
        <f>IFERROR(DATE(Transaction[[#This Row],[TransactionDateY]],Transaction[[#This Row],[TransactionDateM]],Transaction[[#This Row],[TransactionDateD]]),"Missing Value")</f>
        <v>45774</v>
      </c>
      <c r="G183" t="s">
        <v>541</v>
      </c>
      <c r="H183" t="str">
        <f>IFERROR(VLOOKUP(Transaction[[#This Row],[CustomerID]],Custumer[],1,0),IF(LEN(Transaction[[#This Row],[CustomerID]])=7,LEFT(Transaction[[#This Row],[CustomerID]],6),"Invalid ID"))</f>
        <v>C-1075</v>
      </c>
      <c r="I183" t="s">
        <v>97</v>
      </c>
      <c r="J183" t="str">
        <f>TRIM(UPPER(Transaction[[#This Row],[ProductID]]))</f>
        <v>P-SI-001</v>
      </c>
      <c r="K183" t="str">
        <f>IFERROR(VLOOKUP(Transaction[[#This Row],[ProductID_Clean]],Product[],1,FALSE),"Invalid ID")</f>
        <v>P-SI-001</v>
      </c>
      <c r="L183" t="str">
        <f>TRIM(SUBSTITUTE(SUBSTITUTE(SUBSTITUTE(SUBSTITUTE(UPPER(Transaction[[#This Row],[Region]]),"EMEA REGION","EMEA"),"APAC REGION","APAC"),"NORTH AMERICA","N. AMERICA"),"N .AMERICA","N.AMERICA"))</f>
        <v>N. AMERICA</v>
      </c>
      <c r="M183" t="s">
        <v>1538</v>
      </c>
      <c r="N183" t="s">
        <v>53</v>
      </c>
      <c r="O18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83" t="s">
        <v>40</v>
      </c>
      <c r="Q183" t="str">
        <f>IF(TRIM(Transaction[[#This Row],[SalesChannel]])="","Missing Value",TRIM(Transaction[[#This Row],[SalesChannel]]))</f>
        <v>Distributor</v>
      </c>
      <c r="R183" s="4">
        <v>2</v>
      </c>
      <c r="S183" s="4" t="str">
        <f>IF(Transaction[[#This Row],[Quantity]]&lt;0,"Negative-review","Valid")</f>
        <v>Valid</v>
      </c>
      <c r="T183">
        <v>375.7</v>
      </c>
      <c r="U18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375.7</v>
      </c>
      <c r="V183">
        <v>485</v>
      </c>
      <c r="W183">
        <v>970</v>
      </c>
      <c r="X18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183">
        <f>IF(Transaction[[#This Row],[GrossRevenue_Check]]="Invalid",Transaction[[#This Row],[ListPrice]]*Transaction[[#This Row],[Quantity]],Transaction[[#This Row],[GrossRevenue_Clean]])</f>
        <v>970</v>
      </c>
      <c r="Z183" t="str">
        <f>IF(Transaction[[#This Row],[GrossRevenue_Clean]]=Transaction[[#This Row],[ListPrice]]*Transaction[[#This Row],[Quantity]],"Valid","Invalid")</f>
        <v>Valid</v>
      </c>
      <c r="AA183">
        <v>218.6</v>
      </c>
      <c r="AB18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218.6</v>
      </c>
      <c r="AC183">
        <f>IF(Transaction[[#This Row],[DiscountAmount_Check2]]="Invalid",Transaction[[#This Row],[GrossRevenue_Analytical]]-Transaction[[#This Row],[NetRevenue_Analytical]],Transaction[[#This Row],[DiscountAmount_Clean]])</f>
        <v>218.6</v>
      </c>
      <c r="AD183">
        <v>751.4</v>
      </c>
      <c r="AE183" t="str">
        <f>IF(ROUND(Transaction[[#This Row],[GrossRevenue_Analytical]]-Transaction[[#This Row],[NetRevenue_Analytical]],2)=ROUND(Transaction[[#This Row],[DiscountAmount_Clean]],2),"Valid","Invalid")</f>
        <v>Valid</v>
      </c>
      <c r="AF183">
        <f>VALUE(IF(ISNUMBER(Transaction[[#This Row],[NetRevenue]]),Transaction[[#This Row],[NetRevenue]],IFERROR(IF(FIND("$",Transaction[[#This Row],[NetRevenue]])&gt;0,MID(Transaction[[#This Row],[NetRevenue]],2,10)),Transaction[[#This Row],[NetRevenue]])))</f>
        <v>751.4</v>
      </c>
      <c r="AG183">
        <f>IF(Transaction[[#This Row],[NetRevenue_Check]]="Invalid",(Transaction[[#This Row],[Quantity]]*Transaction[[#This Row],[UnitPrice_Clean]]),Transaction[[#This Row],[NetRevenue_Clean]])</f>
        <v>751.4</v>
      </c>
      <c r="AH183" t="str">
        <f>IF(Transaction[[#This Row],[Quantity]]*Transaction[[#This Row],[UnitPrice_Clean]]=Transaction[[#This Row],[NetRevenue_Clean]],"Valid","Invalid")</f>
        <v>Valid</v>
      </c>
      <c r="AI183" t="s">
        <v>23</v>
      </c>
      <c r="AJ183" t="s">
        <v>551</v>
      </c>
      <c r="AK183" t="str">
        <f>IF(Transaction[[#This Row],[Salesperson]]="","Missing Value",TRIM(PROPER(Transaction[[#This Row],[Salesperson]])))</f>
        <v>King</v>
      </c>
      <c r="AL183" t="s">
        <v>55</v>
      </c>
      <c r="AM183" t="str">
        <f>IF(Transaction[[#This Row],[ContractType]]="","Missing Value",Transaction[[#This Row],[ContractType]])</f>
        <v>Spot</v>
      </c>
      <c r="AN183" t="s">
        <v>49</v>
      </c>
    </row>
    <row r="184" spans="1:40" x14ac:dyDescent="0.25">
      <c r="A184" t="s">
        <v>1565</v>
      </c>
      <c r="B184" s="1">
        <v>45740</v>
      </c>
      <c r="C18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8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18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84" s="2">
        <f>IFERROR(DATE(Transaction[[#This Row],[TransactionDateY]],Transaction[[#This Row],[TransactionDateM]],Transaction[[#This Row],[TransactionDateD]]),"Missing Value")</f>
        <v>45740</v>
      </c>
      <c r="G184" t="s">
        <v>96</v>
      </c>
      <c r="H184" t="str">
        <f>IFERROR(VLOOKUP(Transaction[[#This Row],[CustomerID]],Custumer[],1,0),IF(LEN(Transaction[[#This Row],[CustomerID]])=7,LEFT(Transaction[[#This Row],[CustomerID]],6),"Invalid ID"))</f>
        <v>C-1057</v>
      </c>
      <c r="I184" t="s">
        <v>97</v>
      </c>
      <c r="J184" t="str">
        <f>TRIM(UPPER(Transaction[[#This Row],[ProductID]]))</f>
        <v>P-SI-001</v>
      </c>
      <c r="K184" t="str">
        <f>IFERROR(VLOOKUP(Transaction[[#This Row],[ProductID_Clean]],Product[],1,FALSE),"Invalid ID")</f>
        <v>P-SI-001</v>
      </c>
      <c r="L184" t="str">
        <f>TRIM(SUBSTITUTE(SUBSTITUTE(SUBSTITUTE(SUBSTITUTE(UPPER(Transaction[[#This Row],[Region]]),"EMEA REGION","EMEA"),"APAC REGION","APAC"),"NORTH AMERICA","N. AMERICA"),"N .AMERICA","N.AMERICA"))</f>
        <v>N. AMERICA</v>
      </c>
      <c r="M184" t="s">
        <v>20</v>
      </c>
      <c r="N184" t="s">
        <v>53</v>
      </c>
      <c r="O18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84" t="s">
        <v>40</v>
      </c>
      <c r="Q184" t="str">
        <f>IF(TRIM(Transaction[[#This Row],[SalesChannel]])="","Missing Value",TRIM(Transaction[[#This Row],[SalesChannel]]))</f>
        <v>Distributor</v>
      </c>
      <c r="R184" s="4">
        <v>3</v>
      </c>
      <c r="S184" s="4" t="str">
        <f>IF(Transaction[[#This Row],[Quantity]]&lt;0,"Negative-review","Valid")</f>
        <v>Valid</v>
      </c>
      <c r="T184">
        <v>420.9</v>
      </c>
      <c r="U18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420.9</v>
      </c>
      <c r="V184">
        <v>485</v>
      </c>
      <c r="W184">
        <v>1455</v>
      </c>
      <c r="X18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184">
        <f>IF(Transaction[[#This Row],[GrossRevenue_Check]]="Invalid",Transaction[[#This Row],[ListPrice]]*Transaction[[#This Row],[Quantity]],Transaction[[#This Row],[GrossRevenue_Clean]])</f>
        <v>1455</v>
      </c>
      <c r="Z184" t="str">
        <f>IF(Transaction[[#This Row],[GrossRevenue_Clean]]=Transaction[[#This Row],[ListPrice]]*Transaction[[#This Row],[Quantity]],"Valid","Invalid")</f>
        <v>Valid</v>
      </c>
      <c r="AA184">
        <v>192.3</v>
      </c>
      <c r="AB18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192.3</v>
      </c>
      <c r="AC184">
        <f>IF(Transaction[[#This Row],[DiscountAmount_Check2]]="Invalid",Transaction[[#This Row],[GrossRevenue_Analytical]]-Transaction[[#This Row],[NetRevenue_Analytical]],Transaction[[#This Row],[DiscountAmount_Clean]])</f>
        <v>192.3</v>
      </c>
      <c r="AD184" t="s">
        <v>1566</v>
      </c>
      <c r="AE184" t="str">
        <f>IF(ROUND(Transaction[[#This Row],[GrossRevenue_Analytical]]-Transaction[[#This Row],[NetRevenue_Analytical]],2)=ROUND(Transaction[[#This Row],[DiscountAmount_Clean]],2),"Valid","Invalid")</f>
        <v>Valid</v>
      </c>
      <c r="AF18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1262.7</v>
      </c>
      <c r="AG184">
        <f>IF(Transaction[[#This Row],[NetRevenue_Check]]="Invalid",(Transaction[[#This Row],[Quantity]]*Transaction[[#This Row],[UnitPrice_Clean]]),Transaction[[#This Row],[NetRevenue_Clean]])</f>
        <v>1262.7</v>
      </c>
      <c r="AH184" t="str">
        <f>IF(Transaction[[#This Row],[Quantity]]*Transaction[[#This Row],[UnitPrice_Clean]]=Transaction[[#This Row],[NetRevenue_Clean]],"Valid","Invalid")</f>
        <v>Valid</v>
      </c>
      <c r="AI184" t="s">
        <v>23</v>
      </c>
      <c r="AJ184" t="s">
        <v>1567</v>
      </c>
      <c r="AK184" t="str">
        <f>IF(Transaction[[#This Row],[Salesperson]]="","Missing Value",TRIM(PROPER(Transaction[[#This Row],[Salesperson]])))</f>
        <v>York</v>
      </c>
      <c r="AL184" t="s">
        <v>42</v>
      </c>
      <c r="AM184" t="str">
        <f>IF(Transaction[[#This Row],[ContractType]]="","Missing Value",Transaction[[#This Row],[ContractType]])</f>
        <v>Standard PO</v>
      </c>
      <c r="AN184" t="s">
        <v>65</v>
      </c>
    </row>
    <row r="185" spans="1:40" x14ac:dyDescent="0.25">
      <c r="A185" t="s">
        <v>1316</v>
      </c>
      <c r="B185" s="1">
        <v>45675</v>
      </c>
      <c r="C18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8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18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85" s="2">
        <f>IFERROR(DATE(Transaction[[#This Row],[TransactionDateY]],Transaction[[#This Row],[TransactionDateM]],Transaction[[#This Row],[TransactionDateD]]),"Missing Value")</f>
        <v>45675</v>
      </c>
      <c r="G185" t="s">
        <v>610</v>
      </c>
      <c r="H185" t="str">
        <f>IFERROR(VLOOKUP(Transaction[[#This Row],[CustomerID]],Custumer[],1,0),IF(LEN(Transaction[[#This Row],[CustomerID]])=7,LEFT(Transaction[[#This Row],[CustomerID]],6),"Invalid ID"))</f>
        <v>C-1156</v>
      </c>
      <c r="I185" t="s">
        <v>226</v>
      </c>
      <c r="J185" t="str">
        <f>TRIM(UPPER(Transaction[[#This Row],[ProductID]]))</f>
        <v>P-SA-002</v>
      </c>
      <c r="K185" t="str">
        <f>IFERROR(VLOOKUP(Transaction[[#This Row],[ProductID_Clean]],Product[],1,FALSE),"Invalid ID")</f>
        <v>P-SA-002</v>
      </c>
      <c r="L185" t="str">
        <f>TRIM(SUBSTITUTE(SUBSTITUTE(SUBSTITUTE(SUBSTITUTE(UPPER(Transaction[[#This Row],[Region]]),"EMEA REGION","EMEA"),"APAC REGION","APAC"),"NORTH AMERICA","N. AMERICA"),"N .AMERICA","N.AMERICA"))</f>
        <v>N. AMERICA</v>
      </c>
      <c r="M185" t="s">
        <v>495</v>
      </c>
      <c r="N185" t="s">
        <v>205</v>
      </c>
      <c r="O18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85" t="s">
        <v>40</v>
      </c>
      <c r="Q185" t="str">
        <f>IF(TRIM(Transaction[[#This Row],[SalesChannel]])="","Missing Value",TRIM(Transaction[[#This Row],[SalesChannel]]))</f>
        <v>Distributor</v>
      </c>
      <c r="R185" s="4">
        <v>1</v>
      </c>
      <c r="S185" s="4" t="str">
        <f>IF(Transaction[[#This Row],[Quantity]]&lt;0,"Negative-review","Valid")</f>
        <v>Valid</v>
      </c>
      <c r="T185">
        <v>8150.84</v>
      </c>
      <c r="U18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8150.84</v>
      </c>
      <c r="V185">
        <v>9800</v>
      </c>
      <c r="W185">
        <v>9800</v>
      </c>
      <c r="X18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185">
        <f>IF(Transaction[[#This Row],[GrossRevenue_Check]]="Invalid",Transaction[[#This Row],[ListPrice]]*Transaction[[#This Row],[Quantity]],Transaction[[#This Row],[GrossRevenue_Clean]])</f>
        <v>9800</v>
      </c>
      <c r="Z185" t="str">
        <f>IF(Transaction[[#This Row],[GrossRevenue_Clean]]=Transaction[[#This Row],[ListPrice]]*Transaction[[#This Row],[Quantity]],"Valid","Invalid")</f>
        <v>Valid</v>
      </c>
      <c r="AB18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185">
        <f>IF(Transaction[[#This Row],[DiscountAmount_Check2]]="Invalid",Transaction[[#This Row],[GrossRevenue_Analytical]]-Transaction[[#This Row],[NetRevenue_Analytical]],Transaction[[#This Row],[DiscountAmount_Clean]])</f>
        <v>1649.1599999999999</v>
      </c>
      <c r="AD185">
        <v>8150.84</v>
      </c>
      <c r="AE185" t="str">
        <f>IF(ROUND(Transaction[[#This Row],[GrossRevenue_Analytical]]-Transaction[[#This Row],[NetRevenue_Analytical]],2)=ROUND(Transaction[[#This Row],[DiscountAmount_Clean]],2),"Valid","Invalid")</f>
        <v>Invalid</v>
      </c>
      <c r="AF185">
        <f>VALUE(IF(ISNUMBER(Transaction[[#This Row],[NetRevenue]]),Transaction[[#This Row],[NetRevenue]],IFERROR(IF(FIND("$",Transaction[[#This Row],[NetRevenue]])&gt;0,MID(Transaction[[#This Row],[NetRevenue]],2,10)),Transaction[[#This Row],[NetRevenue]])))</f>
        <v>8150.84</v>
      </c>
      <c r="AG185">
        <f>IF(Transaction[[#This Row],[NetRevenue_Check]]="Invalid",(Transaction[[#This Row],[Quantity]]*Transaction[[#This Row],[UnitPrice_Clean]]),Transaction[[#This Row],[NetRevenue_Clean]])</f>
        <v>8150.84</v>
      </c>
      <c r="AH185" t="str">
        <f>IF(Transaction[[#This Row],[Quantity]]*Transaction[[#This Row],[UnitPrice_Clean]]=Transaction[[#This Row],[NetRevenue_Clean]],"Valid","Invalid")</f>
        <v>Valid</v>
      </c>
      <c r="AI185" t="s">
        <v>23</v>
      </c>
      <c r="AJ185" t="s">
        <v>1317</v>
      </c>
      <c r="AK185" t="str">
        <f>IF(Transaction[[#This Row],[Salesperson]]="","Missing Value",TRIM(PROPER(Transaction[[#This Row],[Salesperson]])))</f>
        <v>Warren</v>
      </c>
      <c r="AL185" t="s">
        <v>34</v>
      </c>
      <c r="AM185" t="str">
        <f>IF(Transaction[[#This Row],[ContractType]]="","Missing Value",Transaction[[#This Row],[ContractType]])</f>
        <v>Annual License</v>
      </c>
      <c r="AN185" t="s">
        <v>49</v>
      </c>
    </row>
    <row r="186" spans="1:40" x14ac:dyDescent="0.25">
      <c r="A186" t="s">
        <v>2004</v>
      </c>
      <c r="B186" s="1">
        <v>45658</v>
      </c>
      <c r="C18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8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18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86" s="2">
        <f>IFERROR(DATE(Transaction[[#This Row],[TransactionDateY]],Transaction[[#This Row],[TransactionDateM]],Transaction[[#This Row],[TransactionDateD]]),"Missing Value")</f>
        <v>45658</v>
      </c>
      <c r="G186" t="s">
        <v>402</v>
      </c>
      <c r="H186" t="str">
        <f>IFERROR(VLOOKUP(Transaction[[#This Row],[CustomerID]],Custumer[],1,0),IF(LEN(Transaction[[#This Row],[CustomerID]])=7,LEFT(Transaction[[#This Row],[CustomerID]],6),"Invalid ID"))</f>
        <v>C-1041</v>
      </c>
      <c r="I186" t="s">
        <v>29</v>
      </c>
      <c r="J186" t="str">
        <f>TRIM(UPPER(Transaction[[#This Row],[ProductID]]))</f>
        <v>P-SA-001</v>
      </c>
      <c r="K186" t="str">
        <f>IFERROR(VLOOKUP(Transaction[[#This Row],[ProductID_Clean]],Product[],1,FALSE),"Invalid ID")</f>
        <v>P-SA-001</v>
      </c>
      <c r="L186" t="str">
        <f>TRIM(SUBSTITUTE(SUBSTITUTE(SUBSTITUTE(SUBSTITUTE(UPPER(Transaction[[#This Row],[Region]]),"EMEA REGION","EMEA"),"APAC REGION","APAC"),"NORTH AMERICA","N. AMERICA"),"N .AMERICA","N.AMERICA"))</f>
        <v>N. AMERICA</v>
      </c>
      <c r="M186" t="s">
        <v>20</v>
      </c>
      <c r="N186" t="s">
        <v>31</v>
      </c>
      <c r="O18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86" t="s">
        <v>32</v>
      </c>
      <c r="Q186" t="str">
        <f>IF(TRIM(Transaction[[#This Row],[SalesChannel]])="","Missing Value",TRIM(Transaction[[#This Row],[SalesChannel]]))</f>
        <v>Direct</v>
      </c>
      <c r="R186" s="4">
        <v>5</v>
      </c>
      <c r="S186" s="4" t="str">
        <f>IF(Transaction[[#This Row],[Quantity]]&lt;0,"Negative-review","Valid")</f>
        <v>Valid</v>
      </c>
      <c r="T186">
        <v>3758.63</v>
      </c>
      <c r="U18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3758.63</v>
      </c>
      <c r="V186">
        <v>4200</v>
      </c>
      <c r="W186">
        <v>21000</v>
      </c>
      <c r="X18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21000</v>
      </c>
      <c r="Y186">
        <f>IF(Transaction[[#This Row],[GrossRevenue_Check]]="Invalid",Transaction[[#This Row],[ListPrice]]*Transaction[[#This Row],[Quantity]],Transaction[[#This Row],[GrossRevenue_Clean]])</f>
        <v>21000</v>
      </c>
      <c r="Z186" t="str">
        <f>IF(Transaction[[#This Row],[GrossRevenue_Clean]]=Transaction[[#This Row],[ListPrice]]*Transaction[[#This Row],[Quantity]],"Valid","Invalid")</f>
        <v>Valid</v>
      </c>
      <c r="AA186">
        <v>2206.85</v>
      </c>
      <c r="AB18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2206.85</v>
      </c>
      <c r="AC186">
        <f>IF(Transaction[[#This Row],[DiscountAmount_Check2]]="Invalid",Transaction[[#This Row],[GrossRevenue_Analytical]]-Transaction[[#This Row],[NetRevenue_Analytical]],Transaction[[#This Row],[DiscountAmount_Clean]])</f>
        <v>2206.85</v>
      </c>
      <c r="AD186">
        <v>18793.150000000001</v>
      </c>
      <c r="AE186" t="str">
        <f>IF(ROUND(Transaction[[#This Row],[GrossRevenue_Analytical]]-Transaction[[#This Row],[NetRevenue_Analytical]],2)=ROUND(Transaction[[#This Row],[DiscountAmount_Clean]],2),"Valid","Invalid")</f>
        <v>Valid</v>
      </c>
      <c r="AF18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18793.150000000001</v>
      </c>
      <c r="AG186">
        <f>IF(Transaction[[#This Row],[NetRevenue_Check]]="Invalid",(Transaction[[#This Row],[Quantity]]*Transaction[[#This Row],[UnitPrice_Clean]]),Transaction[[#This Row],[NetRevenue_Clean]])</f>
        <v>18793.150000000001</v>
      </c>
      <c r="AH186" t="str">
        <f>IF(Transaction[[#This Row],[Quantity]]*Transaction[[#This Row],[UnitPrice_Clean]]=Transaction[[#This Row],[NetRevenue_Clean]],"Valid","Invalid")</f>
        <v>Valid</v>
      </c>
      <c r="AI186" t="s">
        <v>99</v>
      </c>
      <c r="AJ186" t="s">
        <v>2005</v>
      </c>
      <c r="AK186" t="str">
        <f>IF(Transaction[[#This Row],[Salesperson]]="","Missing Value",TRIM(PROPER(Transaction[[#This Row],[Salesperson]])))</f>
        <v>Morrison-Ap</v>
      </c>
      <c r="AL186" t="s">
        <v>34</v>
      </c>
      <c r="AM186" t="str">
        <f>IF(Transaction[[#This Row],[ContractType]]="","Missing Value",Transaction[[#This Row],[ContractType]])</f>
        <v>Annual License</v>
      </c>
      <c r="AN186" t="s">
        <v>35</v>
      </c>
    </row>
    <row r="187" spans="1:40" x14ac:dyDescent="0.25">
      <c r="A187" t="s">
        <v>2743</v>
      </c>
      <c r="B187" s="1">
        <v>45796</v>
      </c>
      <c r="C18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8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18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87" s="2">
        <f>IFERROR(DATE(Transaction[[#This Row],[TransactionDateY]],Transaction[[#This Row],[TransactionDateM]],Transaction[[#This Row],[TransactionDateD]]),"Missing Value")</f>
        <v>45796</v>
      </c>
      <c r="G187" t="s">
        <v>507</v>
      </c>
      <c r="H187" t="str">
        <f>IFERROR(VLOOKUP(Transaction[[#This Row],[CustomerID]],Custumer[],1,0),IF(LEN(Transaction[[#This Row],[CustomerID]])=7,LEFT(Transaction[[#This Row],[CustomerID]],6),"Invalid ID"))</f>
        <v>C-1091</v>
      </c>
      <c r="I187" t="s">
        <v>46</v>
      </c>
      <c r="J187" t="str">
        <f>TRIM(UPPER(Transaction[[#This Row],[ProductID]]))</f>
        <v>P-SI-006</v>
      </c>
      <c r="K187" t="str">
        <f>IFERROR(VLOOKUP(Transaction[[#This Row],[ProductID_Clean]],Product[],1,FALSE),"Invalid ID")</f>
        <v>P-SI-006</v>
      </c>
      <c r="L187" t="str">
        <f>TRIM(SUBSTITUTE(SUBSTITUTE(SUBSTITUTE(SUBSTITUTE(UPPER(Transaction[[#This Row],[Region]]),"EMEA REGION","EMEA"),"APAC REGION","APAC"),"NORTH AMERICA","N. AMERICA"),"N .AMERICA","N.AMERICA"))</f>
        <v>EMEA</v>
      </c>
      <c r="M187" t="s">
        <v>87</v>
      </c>
      <c r="N187" t="s">
        <v>53</v>
      </c>
      <c r="O18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87" t="s">
        <v>22</v>
      </c>
      <c r="Q187" t="str">
        <f>IF(TRIM(Transaction[[#This Row],[SalesChannel]])="","Missing Value",TRIM(Transaction[[#This Row],[SalesChannel]]))</f>
        <v>Direct</v>
      </c>
      <c r="R187" s="4">
        <v>3</v>
      </c>
      <c r="S187" s="4" t="str">
        <f>IF(Transaction[[#This Row],[Quantity]]&lt;0,"Negative-review","Valid")</f>
        <v>Valid</v>
      </c>
      <c r="T187">
        <v>174.42</v>
      </c>
      <c r="U18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174.42</v>
      </c>
      <c r="V187">
        <v>215</v>
      </c>
      <c r="W187">
        <v>645</v>
      </c>
      <c r="X18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187">
        <f>IF(Transaction[[#This Row],[GrossRevenue_Check]]="Invalid",Transaction[[#This Row],[ListPrice]]*Transaction[[#This Row],[Quantity]],Transaction[[#This Row],[GrossRevenue_Clean]])</f>
        <v>645</v>
      </c>
      <c r="Z187" t="str">
        <f>IF(Transaction[[#This Row],[GrossRevenue_Clean]]=Transaction[[#This Row],[ListPrice]]*Transaction[[#This Row],[Quantity]],"Valid","Invalid")</f>
        <v>Valid</v>
      </c>
      <c r="AA187">
        <v>121.74</v>
      </c>
      <c r="AB18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121.74</v>
      </c>
      <c r="AC187">
        <f>IF(Transaction[[#This Row],[DiscountAmount_Check2]]="Invalid",Transaction[[#This Row],[GrossRevenue_Analytical]]-Transaction[[#This Row],[NetRevenue_Analytical]],Transaction[[#This Row],[DiscountAmount_Clean]])</f>
        <v>121.74</v>
      </c>
      <c r="AD187">
        <v>523.26</v>
      </c>
      <c r="AE187" t="str">
        <f>IF(ROUND(Transaction[[#This Row],[GrossRevenue_Analytical]]-Transaction[[#This Row],[NetRevenue_Analytical]],2)=ROUND(Transaction[[#This Row],[DiscountAmount_Clean]],2),"Valid","Invalid")</f>
        <v>Valid</v>
      </c>
      <c r="AF187">
        <f>VALUE(IF(ISNUMBER(Transaction[[#This Row],[NetRevenue]]),Transaction[[#This Row],[NetRevenue]],IFERROR(IF(FIND("$",Transaction[[#This Row],[NetRevenue]])&gt;0,MID(Transaction[[#This Row],[NetRevenue]],2,10)),Transaction[[#This Row],[NetRevenue]])))</f>
        <v>523.26</v>
      </c>
      <c r="AG187">
        <f>IF(Transaction[[#This Row],[NetRevenue_Check]]="Invalid",(Transaction[[#This Row],[Quantity]]*Transaction[[#This Row],[UnitPrice_Clean]]),Transaction[[#This Row],[NetRevenue_Clean]])</f>
        <v>523.26</v>
      </c>
      <c r="AH187" t="str">
        <f>IF(Transaction[[#This Row],[Quantity]]*Transaction[[#This Row],[UnitPrice_Clean]]=Transaction[[#This Row],[NetRevenue_Clean]],"Valid","Invalid")</f>
        <v>Valid</v>
      </c>
      <c r="AI187" t="s">
        <v>23</v>
      </c>
      <c r="AJ187" t="s">
        <v>2035</v>
      </c>
      <c r="AK187" t="str">
        <f>IF(Transaction[[#This Row],[Salesperson]]="","Missing Value",TRIM(PROPER(Transaction[[#This Row],[Salesperson]])))</f>
        <v>Hernandez-Na</v>
      </c>
      <c r="AL187" t="s">
        <v>25</v>
      </c>
      <c r="AM187" t="str">
        <f>IF(Transaction[[#This Row],[ContractType]]="","Missing Value",Transaction[[#This Row],[ContractType]])</f>
        <v>Frame Agreement</v>
      </c>
      <c r="AN187" t="s">
        <v>26</v>
      </c>
    </row>
    <row r="188" spans="1:40" x14ac:dyDescent="0.25">
      <c r="A188" t="s">
        <v>2946</v>
      </c>
      <c r="B188" s="1">
        <v>45763</v>
      </c>
      <c r="C18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8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18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88" s="2">
        <f>IFERROR(DATE(Transaction[[#This Row],[TransactionDateY]],Transaction[[#This Row],[TransactionDateM]],Transaction[[#This Row],[TransactionDateD]]),"Missing Value")</f>
        <v>45763</v>
      </c>
      <c r="G188" t="s">
        <v>329</v>
      </c>
      <c r="H188" t="str">
        <f>IFERROR(VLOOKUP(Transaction[[#This Row],[CustomerID]],Custumer[],1,0),IF(LEN(Transaction[[#This Row],[CustomerID]])=7,LEFT(Transaction[[#This Row],[CustomerID]],6),"Invalid ID"))</f>
        <v>C-1145</v>
      </c>
      <c r="I188" t="s">
        <v>92</v>
      </c>
      <c r="J188" t="str">
        <f>TRIM(UPPER(Transaction[[#This Row],[ProductID]]))</f>
        <v>P-SI-008</v>
      </c>
      <c r="K188" t="str">
        <f>IFERROR(VLOOKUP(Transaction[[#This Row],[ProductID_Clean]],Product[],1,FALSE),"Invalid ID")</f>
        <v>P-SI-008</v>
      </c>
      <c r="L188" t="str">
        <f>TRIM(SUBSTITUTE(SUBSTITUTE(SUBSTITUTE(SUBSTITUTE(UPPER(Transaction[[#This Row],[Region]]),"EMEA REGION","EMEA"),"APAC REGION","APAC"),"NORTH AMERICA","N. AMERICA"),"N .AMERICA","N.AMERICA"))</f>
        <v>N. AMERICA</v>
      </c>
      <c r="M188" t="s">
        <v>20</v>
      </c>
      <c r="N188" t="s">
        <v>98</v>
      </c>
      <c r="O18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88" t="s">
        <v>40</v>
      </c>
      <c r="Q188" t="str">
        <f>IF(TRIM(Transaction[[#This Row],[SalesChannel]])="","Missing Value",TRIM(Transaction[[#This Row],[SalesChannel]]))</f>
        <v>Distributor</v>
      </c>
      <c r="R188" s="4">
        <v>3</v>
      </c>
      <c r="S188" s="4" t="str">
        <f>IF(Transaction[[#This Row],[Quantity]]&lt;0,"Negative-review","Valid")</f>
        <v>Valid</v>
      </c>
      <c r="T188">
        <v>789.34</v>
      </c>
      <c r="U18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789.34</v>
      </c>
      <c r="V188">
        <v>950</v>
      </c>
      <c r="W188">
        <v>2850</v>
      </c>
      <c r="X18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2850</v>
      </c>
      <c r="Y188">
        <f>IF(Transaction[[#This Row],[GrossRevenue_Check]]="Invalid",Transaction[[#This Row],[ListPrice]]*Transaction[[#This Row],[Quantity]],Transaction[[#This Row],[GrossRevenue_Clean]])</f>
        <v>2850</v>
      </c>
      <c r="Z188" t="str">
        <f>IF(Transaction[[#This Row],[GrossRevenue_Clean]]=Transaction[[#This Row],[ListPrice]]*Transaction[[#This Row],[Quantity]],"Valid","Invalid")</f>
        <v>Valid</v>
      </c>
      <c r="AA188">
        <v>481.98</v>
      </c>
      <c r="AB18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481.98</v>
      </c>
      <c r="AC188">
        <f>IF(Transaction[[#This Row],[DiscountAmount_Check2]]="Invalid",Transaction[[#This Row],[GrossRevenue_Analytical]]-Transaction[[#This Row],[NetRevenue_Analytical]],Transaction[[#This Row],[DiscountAmount_Clean]])</f>
        <v>481.98</v>
      </c>
      <c r="AD188">
        <v>2368.02</v>
      </c>
      <c r="AE188" t="str">
        <f>IF(ROUND(Transaction[[#This Row],[GrossRevenue_Analytical]]-Transaction[[#This Row],[NetRevenue_Analytical]],2)=ROUND(Transaction[[#This Row],[DiscountAmount_Clean]],2),"Valid","Invalid")</f>
        <v>Valid</v>
      </c>
      <c r="AF18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2368.02</v>
      </c>
      <c r="AG188">
        <f>IF(Transaction[[#This Row],[NetRevenue_Check]]="Invalid",(Transaction[[#This Row],[Quantity]]*Transaction[[#This Row],[UnitPrice_Clean]]),Transaction[[#This Row],[NetRevenue_Clean]])</f>
        <v>2368.02</v>
      </c>
      <c r="AH188" t="str">
        <f>IF(Transaction[[#This Row],[Quantity]]*Transaction[[#This Row],[UnitPrice_Clean]]=Transaction[[#This Row],[NetRevenue_Clean]],"Valid","Invalid")</f>
        <v>Valid</v>
      </c>
      <c r="AI188" t="s">
        <v>23</v>
      </c>
      <c r="AJ188" t="s">
        <v>178</v>
      </c>
      <c r="AK188" t="str">
        <f>IF(Transaction[[#This Row],[Salesperson]]="","Missing Value",TRIM(PROPER(Transaction[[#This Row],[Salesperson]])))</f>
        <v>Miller</v>
      </c>
      <c r="AL188" t="s">
        <v>42</v>
      </c>
      <c r="AM188" t="str">
        <f>IF(Transaction[[#This Row],[ContractType]]="","Missing Value",Transaction[[#This Row],[ContractType]])</f>
        <v>Standard PO</v>
      </c>
      <c r="AN188" t="s">
        <v>65</v>
      </c>
    </row>
    <row r="189" spans="1:40" x14ac:dyDescent="0.25">
      <c r="A189" t="s">
        <v>2337</v>
      </c>
      <c r="C18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18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18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189" s="2" t="str">
        <f>IFERROR(DATE(Transaction[[#This Row],[TransactionDateY]],Transaction[[#This Row],[TransactionDateM]],Transaction[[#This Row],[TransactionDateD]]),"Missing Value")</f>
        <v>Missing Value</v>
      </c>
      <c r="G189" t="s">
        <v>271</v>
      </c>
      <c r="H189" t="str">
        <f>IFERROR(VLOOKUP(Transaction[[#This Row],[CustomerID]],Custumer[],1,0),IF(LEN(Transaction[[#This Row],[CustomerID]])=7,LEFT(Transaction[[#This Row],[CustomerID]],6),"Invalid ID"))</f>
        <v>C-1113</v>
      </c>
      <c r="I189" t="s">
        <v>97</v>
      </c>
      <c r="J189" t="str">
        <f>TRIM(UPPER(Transaction[[#This Row],[ProductID]]))</f>
        <v>P-SI-001</v>
      </c>
      <c r="K189" t="str">
        <f>IFERROR(VLOOKUP(Transaction[[#This Row],[ProductID_Clean]],Product[],1,FALSE),"Invalid ID")</f>
        <v>P-SI-001</v>
      </c>
      <c r="L189" t="str">
        <f>TRIM(SUBSTITUTE(SUBSTITUTE(SUBSTITUTE(SUBSTITUTE(UPPER(Transaction[[#This Row],[Region]]),"EMEA REGION","EMEA"),"APAC REGION","APAC"),"NORTH AMERICA","N. AMERICA"),"N .AMERICA","N.AMERICA"))</f>
        <v>N. AMERICA</v>
      </c>
      <c r="M189" t="s">
        <v>20</v>
      </c>
      <c r="N189" t="s">
        <v>272</v>
      </c>
      <c r="O18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89" t="s">
        <v>22</v>
      </c>
      <c r="Q189" t="str">
        <f>IF(TRIM(Transaction[[#This Row],[SalesChannel]])="","Missing Value",TRIM(Transaction[[#This Row],[SalesChannel]]))</f>
        <v>Direct</v>
      </c>
      <c r="R189" s="4">
        <v>5</v>
      </c>
      <c r="S189" s="4" t="str">
        <f>IF(Transaction[[#This Row],[Quantity]]&lt;0,"Negative-review","Valid")</f>
        <v>Valid</v>
      </c>
      <c r="T189">
        <v>445.55</v>
      </c>
      <c r="U18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445.55</v>
      </c>
      <c r="V189">
        <v>485</v>
      </c>
      <c r="W189">
        <v>2425</v>
      </c>
      <c r="X18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2425</v>
      </c>
      <c r="Y189">
        <f>IF(Transaction[[#This Row],[GrossRevenue_Check]]="Invalid",Transaction[[#This Row],[ListPrice]]*Transaction[[#This Row],[Quantity]],Transaction[[#This Row],[GrossRevenue_Clean]])</f>
        <v>2425</v>
      </c>
      <c r="Z189" t="str">
        <f>IF(Transaction[[#This Row],[GrossRevenue_Clean]]=Transaction[[#This Row],[ListPrice]]*Transaction[[#This Row],[Quantity]],"Valid","Invalid")</f>
        <v>Valid</v>
      </c>
      <c r="AA189" t="s">
        <v>2338</v>
      </c>
      <c r="AB18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197.25</v>
      </c>
      <c r="AC189">
        <f>IF(Transaction[[#This Row],[DiscountAmount_Check2]]="Invalid",Transaction[[#This Row],[GrossRevenue_Analytical]]-Transaction[[#This Row],[NetRevenue_Analytical]],Transaction[[#This Row],[DiscountAmount_Clean]])</f>
        <v>197.25</v>
      </c>
      <c r="AD189">
        <v>2227.75</v>
      </c>
      <c r="AE189" t="str">
        <f>IF(ROUND(Transaction[[#This Row],[GrossRevenue_Analytical]]-Transaction[[#This Row],[NetRevenue_Analytical]],2)=ROUND(Transaction[[#This Row],[DiscountAmount_Clean]],2),"Valid","Invalid")</f>
        <v>Valid</v>
      </c>
      <c r="AF18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2227.75</v>
      </c>
      <c r="AG189">
        <f>IF(Transaction[[#This Row],[NetRevenue_Check]]="Invalid",(Transaction[[#This Row],[Quantity]]*Transaction[[#This Row],[UnitPrice_Clean]]),Transaction[[#This Row],[NetRevenue_Clean]])</f>
        <v>2227.75</v>
      </c>
      <c r="AH189" t="str">
        <f>IF(Transaction[[#This Row],[Quantity]]*Transaction[[#This Row],[UnitPrice_Clean]]=Transaction[[#This Row],[NetRevenue_Clean]],"Valid","Invalid")</f>
        <v>Valid</v>
      </c>
      <c r="AI189" t="s">
        <v>23</v>
      </c>
      <c r="AJ189" t="s">
        <v>2339</v>
      </c>
      <c r="AK189" t="str">
        <f>IF(Transaction[[#This Row],[Salesperson]]="","Missing Value",TRIM(PROPER(Transaction[[#This Row],[Salesperson]])))</f>
        <v>Alvarado-Em</v>
      </c>
      <c r="AL189" t="s">
        <v>42</v>
      </c>
      <c r="AM189" t="str">
        <f>IF(Transaction[[#This Row],[ContractType]]="","Missing Value",Transaction[[#This Row],[ContractType]])</f>
        <v>Standard PO</v>
      </c>
      <c r="AN189" t="s">
        <v>35</v>
      </c>
    </row>
    <row r="190" spans="1:40" x14ac:dyDescent="0.25">
      <c r="A190" t="s">
        <v>3034</v>
      </c>
      <c r="B190" s="1">
        <v>45750</v>
      </c>
      <c r="C19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9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19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90" s="2">
        <f>IFERROR(DATE(Transaction[[#This Row],[TransactionDateY]],Transaction[[#This Row],[TransactionDateM]],Transaction[[#This Row],[TransactionDateD]]),"Missing Value")</f>
        <v>45750</v>
      </c>
      <c r="G190" t="s">
        <v>394</v>
      </c>
      <c r="H190" t="str">
        <f>IFERROR(VLOOKUP(Transaction[[#This Row],[CustomerID]],Custumer[],1,0),IF(LEN(Transaction[[#This Row],[CustomerID]])=7,LEFT(Transaction[[#This Row],[CustomerID]],6),"Invalid ID"))</f>
        <v>C-1128</v>
      </c>
      <c r="I190" t="s">
        <v>97</v>
      </c>
      <c r="J190" t="str">
        <f>TRIM(UPPER(Transaction[[#This Row],[ProductID]]))</f>
        <v>P-SI-001</v>
      </c>
      <c r="K190" t="str">
        <f>IFERROR(VLOOKUP(Transaction[[#This Row],[ProductID_Clean]],Product[],1,FALSE),"Invalid ID")</f>
        <v>P-SI-001</v>
      </c>
      <c r="L190" t="str">
        <f>TRIM(SUBSTITUTE(SUBSTITUTE(SUBSTITUTE(SUBSTITUTE(UPPER(Transaction[[#This Row],[Region]]),"EMEA REGION","EMEA"),"APAC REGION","APAC"),"NORTH AMERICA","N. AMERICA"),"N .AMERICA","N.AMERICA"))</f>
        <v>EMEA</v>
      </c>
      <c r="M190" t="s">
        <v>76</v>
      </c>
      <c r="N190" t="s">
        <v>53</v>
      </c>
      <c r="O19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90" t="s">
        <v>22</v>
      </c>
      <c r="Q190" t="str">
        <f>IF(TRIM(Transaction[[#This Row],[SalesChannel]])="","Missing Value",TRIM(Transaction[[#This Row],[SalesChannel]]))</f>
        <v>Direct</v>
      </c>
      <c r="R190" s="4">
        <v>8</v>
      </c>
      <c r="S190" s="4" t="str">
        <f>IF(Transaction[[#This Row],[Quantity]]&lt;0,"Negative-review","Valid")</f>
        <v>Valid</v>
      </c>
      <c r="T190">
        <v>465</v>
      </c>
      <c r="U19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465</v>
      </c>
      <c r="V190">
        <v>485</v>
      </c>
      <c r="W190">
        <v>3880</v>
      </c>
      <c r="X19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3880</v>
      </c>
      <c r="Y190">
        <f>IF(Transaction[[#This Row],[GrossRevenue_Check]]="Invalid",Transaction[[#This Row],[ListPrice]]*Transaction[[#This Row],[Quantity]],Transaction[[#This Row],[GrossRevenue_Clean]])</f>
        <v>3880</v>
      </c>
      <c r="Z190" t="str">
        <f>IF(Transaction[[#This Row],[GrossRevenue_Clean]]=Transaction[[#This Row],[ListPrice]]*Transaction[[#This Row],[Quantity]],"Valid","Invalid")</f>
        <v>Valid</v>
      </c>
      <c r="AA190">
        <v>160</v>
      </c>
      <c r="AB19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160</v>
      </c>
      <c r="AC190">
        <f>IF(Transaction[[#This Row],[DiscountAmount_Check2]]="Invalid",Transaction[[#This Row],[GrossRevenue_Analytical]]-Transaction[[#This Row],[NetRevenue_Analytical]],Transaction[[#This Row],[DiscountAmount_Clean]])</f>
        <v>160</v>
      </c>
      <c r="AD190">
        <v>3720</v>
      </c>
      <c r="AE190" t="str">
        <f>IF(ROUND(Transaction[[#This Row],[GrossRevenue_Analytical]]-Transaction[[#This Row],[NetRevenue_Analytical]],2)=ROUND(Transaction[[#This Row],[DiscountAmount_Clean]],2),"Valid","Invalid")</f>
        <v>Valid</v>
      </c>
      <c r="AF190">
        <f>VALUE(IF(ISNUMBER(Transaction[[#This Row],[NetRevenue]]),Transaction[[#This Row],[NetRevenue]],IFERROR(IF(FIND("$",Transaction[[#This Row],[NetRevenue]])&gt;0,MID(Transaction[[#This Row],[NetRevenue]],2,10)),Transaction[[#This Row],[NetRevenue]])))</f>
        <v>3720</v>
      </c>
      <c r="AG190">
        <f>IF(Transaction[[#This Row],[NetRevenue_Check]]="Invalid",(Transaction[[#This Row],[Quantity]]*Transaction[[#This Row],[UnitPrice_Clean]]),Transaction[[#This Row],[NetRevenue_Clean]])</f>
        <v>3720</v>
      </c>
      <c r="AH190" t="str">
        <f>IF(Transaction[[#This Row],[Quantity]]*Transaction[[#This Row],[UnitPrice_Clean]]=Transaction[[#This Row],[NetRevenue_Clean]],"Valid","Invalid")</f>
        <v>Valid</v>
      </c>
      <c r="AI190" t="s">
        <v>23</v>
      </c>
      <c r="AJ190" t="s">
        <v>3035</v>
      </c>
      <c r="AK190" t="str">
        <f>IF(Transaction[[#This Row],[Salesperson]]="","Missing Value",TRIM(PROPER(Transaction[[#This Row],[Salesperson]])))</f>
        <v>Rangel-Em</v>
      </c>
      <c r="AL190" t="s">
        <v>42</v>
      </c>
      <c r="AM190" t="str">
        <f>IF(Transaction[[#This Row],[ContractType]]="","Missing Value",Transaction[[#This Row],[ContractType]])</f>
        <v>Standard PO</v>
      </c>
      <c r="AN190" t="s">
        <v>43</v>
      </c>
    </row>
    <row r="191" spans="1:40" x14ac:dyDescent="0.25">
      <c r="A191" t="s">
        <v>2574</v>
      </c>
      <c r="B191" t="s">
        <v>1022</v>
      </c>
      <c r="C19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19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08</v>
      </c>
      <c r="E19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91" s="2">
        <f>IFERROR(DATE(Transaction[[#This Row],[TransactionDateY]],Transaction[[#This Row],[TransactionDateM]],Transaction[[#This Row],[TransactionDateD]]),"Missing Value")</f>
        <v>45785</v>
      </c>
      <c r="G191" t="s">
        <v>360</v>
      </c>
      <c r="H191" t="str">
        <f>IFERROR(VLOOKUP(Transaction[[#This Row],[CustomerID]],Custumer[],1,0),IF(LEN(Transaction[[#This Row],[CustomerID]])=7,LEFT(Transaction[[#This Row],[CustomerID]],6),"Invalid ID"))</f>
        <v>C-1067</v>
      </c>
      <c r="I191" t="s">
        <v>62</v>
      </c>
      <c r="J191" t="str">
        <f>TRIM(UPPER(Transaction[[#This Row],[ProductID]]))</f>
        <v>P-SI-004</v>
      </c>
      <c r="K191" t="str">
        <f>IFERROR(VLOOKUP(Transaction[[#This Row],[ProductID_Clean]],Product[],1,FALSE),"Invalid ID")</f>
        <v>P-SI-004</v>
      </c>
      <c r="L191" t="str">
        <f>TRIM(SUBSTITUTE(SUBSTITUTE(SUBSTITUTE(SUBSTITUTE(UPPER(Transaction[[#This Row],[Region]]),"EMEA REGION","EMEA"),"APAC REGION","APAC"),"NORTH AMERICA","N. AMERICA"),"N .AMERICA","N.AMERICA"))</f>
        <v>APAC</v>
      </c>
      <c r="M191" t="s">
        <v>30</v>
      </c>
      <c r="N191" t="s">
        <v>53</v>
      </c>
      <c r="O19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91" t="s">
        <v>40</v>
      </c>
      <c r="Q191" t="str">
        <f>IF(TRIM(Transaction[[#This Row],[SalesChannel]])="","Missing Value",TRIM(Transaction[[#This Row],[SalesChannel]]))</f>
        <v>Distributor</v>
      </c>
      <c r="R191" s="4">
        <v>8</v>
      </c>
      <c r="S191" s="4" t="str">
        <f>IF(Transaction[[#This Row],[Quantity]]&lt;0,"Negative-review","Valid")</f>
        <v>Valid</v>
      </c>
      <c r="T191">
        <v>1787.13</v>
      </c>
      <c r="U19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1787.13</v>
      </c>
      <c r="V191">
        <v>2450</v>
      </c>
      <c r="W191">
        <v>19600</v>
      </c>
      <c r="X19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19600</v>
      </c>
      <c r="Y191">
        <f>IF(Transaction[[#This Row],[GrossRevenue_Check]]="Invalid",Transaction[[#This Row],[ListPrice]]*Transaction[[#This Row],[Quantity]],Transaction[[#This Row],[GrossRevenue_Clean]])</f>
        <v>19600</v>
      </c>
      <c r="Z191" t="str">
        <f>IF(Transaction[[#This Row],[GrossRevenue_Clean]]=Transaction[[#This Row],[ListPrice]]*Transaction[[#This Row],[Quantity]],"Valid","Invalid")</f>
        <v>Valid</v>
      </c>
      <c r="AA191">
        <v>5302.96</v>
      </c>
      <c r="AB19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5302.96</v>
      </c>
      <c r="AC191">
        <f>IF(Transaction[[#This Row],[DiscountAmount_Check2]]="Invalid",Transaction[[#This Row],[GrossRevenue_Analytical]]-Transaction[[#This Row],[NetRevenue_Analytical]],Transaction[[#This Row],[DiscountAmount_Clean]])</f>
        <v>5302.96</v>
      </c>
      <c r="AD191" t="s">
        <v>2575</v>
      </c>
      <c r="AE191" t="str">
        <f>IF(ROUND(Transaction[[#This Row],[GrossRevenue_Analytical]]-Transaction[[#This Row],[NetRevenue_Analytical]],2)=ROUND(Transaction[[#This Row],[DiscountAmount_Clean]],2),"Valid","Invalid")</f>
        <v>Valid</v>
      </c>
      <c r="AF19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14297.04</v>
      </c>
      <c r="AG191">
        <f>IF(Transaction[[#This Row],[NetRevenue_Check]]="Invalid",(Transaction[[#This Row],[Quantity]]*Transaction[[#This Row],[UnitPrice_Clean]]),Transaction[[#This Row],[NetRevenue_Clean]])</f>
        <v>14297.04</v>
      </c>
      <c r="AH191" t="str">
        <f>IF(Transaction[[#This Row],[Quantity]]*Transaction[[#This Row],[UnitPrice_Clean]]=Transaction[[#This Row],[NetRevenue_Clean]],"Valid","Invalid")</f>
        <v>Valid</v>
      </c>
      <c r="AI191" t="s">
        <v>128</v>
      </c>
      <c r="AJ191" t="s">
        <v>2576</v>
      </c>
      <c r="AK191" t="str">
        <f>IF(Transaction[[#This Row],[Salesperson]]="","Missing Value",TRIM(PROPER(Transaction[[#This Row],[Salesperson]])))</f>
        <v>Collins-Ap</v>
      </c>
      <c r="AL191" t="s">
        <v>42</v>
      </c>
      <c r="AM191" t="str">
        <f>IF(Transaction[[#This Row],[ContractType]]="","Missing Value",Transaction[[#This Row],[ContractType]])</f>
        <v>Standard PO</v>
      </c>
      <c r="AN191" t="s">
        <v>43</v>
      </c>
    </row>
    <row r="192" spans="1:40" x14ac:dyDescent="0.25">
      <c r="A192" t="s">
        <v>2118</v>
      </c>
      <c r="B192" t="s">
        <v>2119</v>
      </c>
      <c r="C19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19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19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92" s="2">
        <f>IFERROR(DATE(Transaction[[#This Row],[TransactionDateY]],Transaction[[#This Row],[TransactionDateM]],Transaction[[#This Row],[TransactionDateD]]),"Missing Value")</f>
        <v>45771</v>
      </c>
      <c r="G192" t="s">
        <v>195</v>
      </c>
      <c r="H192" t="str">
        <f>IFERROR(VLOOKUP(Transaction[[#This Row],[CustomerID]],Custumer[],1,0),IF(LEN(Transaction[[#This Row],[CustomerID]])=7,LEFT(Transaction[[#This Row],[CustomerID]],6),"Invalid ID"))</f>
        <v>C-1015</v>
      </c>
      <c r="I192" t="s">
        <v>226</v>
      </c>
      <c r="J192" t="str">
        <f>TRIM(UPPER(Transaction[[#This Row],[ProductID]]))</f>
        <v>P-SA-002</v>
      </c>
      <c r="K192" t="str">
        <f>IFERROR(VLOOKUP(Transaction[[#This Row],[ProductID_Clean]],Product[],1,FALSE),"Invalid ID")</f>
        <v>P-SA-002</v>
      </c>
      <c r="L192" t="str">
        <f>TRIM(SUBSTITUTE(SUBSTITUTE(SUBSTITUTE(SUBSTITUTE(UPPER(Transaction[[#This Row],[Region]]),"EMEA REGION","EMEA"),"APAC REGION","APAC"),"NORTH AMERICA","N. AMERICA"),"N .AMERICA","N.AMERICA"))</f>
        <v>N. AMERICA</v>
      </c>
      <c r="M192" t="s">
        <v>204</v>
      </c>
      <c r="N192" t="s">
        <v>205</v>
      </c>
      <c r="O19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92" t="s">
        <v>40</v>
      </c>
      <c r="Q192" t="str">
        <f>IF(TRIM(Transaction[[#This Row],[SalesChannel]])="","Missing Value",TRIM(Transaction[[#This Row],[SalesChannel]]))</f>
        <v>Distributor</v>
      </c>
      <c r="R192" s="4">
        <v>1</v>
      </c>
      <c r="S192" s="4" t="str">
        <f>IF(Transaction[[#This Row],[Quantity]]&lt;0,"Negative-review","Valid")</f>
        <v>Valid</v>
      </c>
      <c r="T192">
        <v>7362.38</v>
      </c>
      <c r="U19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7362.38</v>
      </c>
      <c r="V192">
        <v>9800</v>
      </c>
      <c r="W192">
        <v>9800</v>
      </c>
      <c r="X19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192">
        <f>IF(Transaction[[#This Row],[GrossRevenue_Check]]="Invalid",Transaction[[#This Row],[ListPrice]]*Transaction[[#This Row],[Quantity]],Transaction[[#This Row],[GrossRevenue_Clean]])</f>
        <v>9800</v>
      </c>
      <c r="Z192" t="str">
        <f>IF(Transaction[[#This Row],[GrossRevenue_Clean]]=Transaction[[#This Row],[ListPrice]]*Transaction[[#This Row],[Quantity]],"Valid","Invalid")</f>
        <v>Valid</v>
      </c>
      <c r="AA192">
        <v>2437.62</v>
      </c>
      <c r="AB19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2437.62</v>
      </c>
      <c r="AC192">
        <f>IF(Transaction[[#This Row],[DiscountAmount_Check2]]="Invalid",Transaction[[#This Row],[GrossRevenue_Analytical]]-Transaction[[#This Row],[NetRevenue_Analytical]],Transaction[[#This Row],[DiscountAmount_Clean]])</f>
        <v>2437.62</v>
      </c>
      <c r="AD192" t="s">
        <v>2120</v>
      </c>
      <c r="AE192" t="str">
        <f>IF(ROUND(Transaction[[#This Row],[GrossRevenue_Analytical]]-Transaction[[#This Row],[NetRevenue_Analytical]],2)=ROUND(Transaction[[#This Row],[DiscountAmount_Clean]],2),"Valid","Invalid")</f>
        <v>Valid</v>
      </c>
      <c r="AF192">
        <f>VALUE(IF(ISNUMBER(Transaction[[#This Row],[NetRevenue]]),Transaction[[#This Row],[NetRevenue]],IFERROR(IF(FIND("$",Transaction[[#This Row],[NetRevenue]])&gt;0,MID(Transaction[[#This Row],[NetRevenue]],2,10)),Transaction[[#This Row],[NetRevenue]])))</f>
        <v>7362.38</v>
      </c>
      <c r="AG192">
        <f>IF(Transaction[[#This Row],[NetRevenue_Check]]="Invalid",(Transaction[[#This Row],[Quantity]]*Transaction[[#This Row],[UnitPrice_Clean]]),Transaction[[#This Row],[NetRevenue_Clean]])</f>
        <v>7362.38</v>
      </c>
      <c r="AH192" t="str">
        <f>IF(Transaction[[#This Row],[Quantity]]*Transaction[[#This Row],[UnitPrice_Clean]]=Transaction[[#This Row],[NetRevenue_Clean]],"Valid","Invalid")</f>
        <v>Valid</v>
      </c>
      <c r="AI192" t="s">
        <v>23</v>
      </c>
      <c r="AJ192" t="s">
        <v>2121</v>
      </c>
      <c r="AK192" t="str">
        <f>IF(Transaction[[#This Row],[Salesperson]]="","Missing Value",TRIM(PROPER(Transaction[[#This Row],[Salesperson]])))</f>
        <v>Douglas</v>
      </c>
      <c r="AL192" t="s">
        <v>34</v>
      </c>
      <c r="AM192" t="str">
        <f>IF(Transaction[[#This Row],[ContractType]]="","Missing Value",Transaction[[#This Row],[ContractType]])</f>
        <v>Annual License</v>
      </c>
      <c r="AN192" t="s">
        <v>26</v>
      </c>
    </row>
    <row r="193" spans="1:40" x14ac:dyDescent="0.25">
      <c r="A193" t="s">
        <v>101</v>
      </c>
      <c r="B193" s="1">
        <v>45710</v>
      </c>
      <c r="C19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9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19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93" s="2">
        <f>IFERROR(DATE(Transaction[[#This Row],[TransactionDateY]],Transaction[[#This Row],[TransactionDateM]],Transaction[[#This Row],[TransactionDateD]]),"Missing Value")</f>
        <v>45710</v>
      </c>
      <c r="G193" t="s">
        <v>102</v>
      </c>
      <c r="H193" t="str">
        <f>IFERROR(VLOOKUP(Transaction[[#This Row],[CustomerID]],Custumer[],1,0),IF(LEN(Transaction[[#This Row],[CustomerID]])=7,LEFT(Transaction[[#This Row],[CustomerID]],6),"Invalid ID"))</f>
        <v>C-1120</v>
      </c>
      <c r="I193" t="s">
        <v>103</v>
      </c>
      <c r="J193" t="str">
        <f>TRIM(UPPER(Transaction[[#This Row],[ProductID]]))</f>
        <v>P-FS-005</v>
      </c>
      <c r="K193" t="str">
        <f>IFERROR(VLOOKUP(Transaction[[#This Row],[ProductID_Clean]],Product[],1,FALSE),"Invalid ID")</f>
        <v>P-FS-005</v>
      </c>
      <c r="L193" t="str">
        <f>TRIM(SUBSTITUTE(SUBSTITUTE(SUBSTITUTE(SUBSTITUTE(UPPER(Transaction[[#This Row],[Region]]),"EMEA REGION","EMEA"),"APAC REGION","APAC"),"NORTH AMERICA","N. AMERICA"),"N .AMERICA","N.AMERICA"))</f>
        <v>EMEA</v>
      </c>
      <c r="M193" t="s">
        <v>76</v>
      </c>
      <c r="N193" t="s">
        <v>21</v>
      </c>
      <c r="O19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93" t="s">
        <v>40</v>
      </c>
      <c r="Q193" t="str">
        <f>IF(TRIM(Transaction[[#This Row],[SalesChannel]])="","Missing Value",TRIM(Transaction[[#This Row],[SalesChannel]]))</f>
        <v>Distributor</v>
      </c>
      <c r="R193" s="4">
        <v>1</v>
      </c>
      <c r="S193" s="4" t="str">
        <f>IF(Transaction[[#This Row],[Quantity]]&lt;0,"Negative-review","Valid")</f>
        <v>Valid</v>
      </c>
      <c r="T193">
        <v>717.35</v>
      </c>
      <c r="U19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717.35</v>
      </c>
      <c r="V193">
        <v>950</v>
      </c>
      <c r="W193">
        <v>950</v>
      </c>
      <c r="X19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193">
        <f>IF(Transaction[[#This Row],[GrossRevenue_Check]]="Invalid",Transaction[[#This Row],[ListPrice]]*Transaction[[#This Row],[Quantity]],Transaction[[#This Row],[GrossRevenue_Clean]])</f>
        <v>950</v>
      </c>
      <c r="Z193" t="str">
        <f>IF(Transaction[[#This Row],[GrossRevenue_Clean]]=Transaction[[#This Row],[ListPrice]]*Transaction[[#This Row],[Quantity]],"Valid","Invalid")</f>
        <v>Valid</v>
      </c>
      <c r="AA193">
        <v>232.65</v>
      </c>
      <c r="AB19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232.65</v>
      </c>
      <c r="AC193">
        <f>IF(Transaction[[#This Row],[DiscountAmount_Check2]]="Invalid",Transaction[[#This Row],[GrossRevenue_Analytical]]-Transaction[[#This Row],[NetRevenue_Analytical]],Transaction[[#This Row],[DiscountAmount_Clean]])</f>
        <v>232.65</v>
      </c>
      <c r="AD193">
        <v>717.35</v>
      </c>
      <c r="AE193" t="str">
        <f>IF(ROUND(Transaction[[#This Row],[GrossRevenue_Analytical]]-Transaction[[#This Row],[NetRevenue_Analytical]],2)=ROUND(Transaction[[#This Row],[DiscountAmount_Clean]],2),"Valid","Invalid")</f>
        <v>Valid</v>
      </c>
      <c r="AF193">
        <f>VALUE(IF(ISNUMBER(Transaction[[#This Row],[NetRevenue]]),Transaction[[#This Row],[NetRevenue]],IFERROR(IF(FIND("$",Transaction[[#This Row],[NetRevenue]])&gt;0,MID(Transaction[[#This Row],[NetRevenue]],2,10)),Transaction[[#This Row],[NetRevenue]])))</f>
        <v>717.35</v>
      </c>
      <c r="AG193">
        <f>IF(Transaction[[#This Row],[NetRevenue_Check]]="Invalid",(Transaction[[#This Row],[Quantity]]*Transaction[[#This Row],[UnitPrice_Clean]]),Transaction[[#This Row],[NetRevenue_Clean]])</f>
        <v>717.35</v>
      </c>
      <c r="AH193" t="str">
        <f>IF(Transaction[[#This Row],[Quantity]]*Transaction[[#This Row],[UnitPrice_Clean]]=Transaction[[#This Row],[NetRevenue_Clean]],"Valid","Invalid")</f>
        <v>Valid</v>
      </c>
      <c r="AI193" t="s">
        <v>23</v>
      </c>
      <c r="AJ193" t="s">
        <v>104</v>
      </c>
      <c r="AK193" t="str">
        <f>IF(Transaction[[#This Row],[Salesperson]]="","Missing Value",TRIM(PROPER(Transaction[[#This Row],[Salesperson]])))</f>
        <v>Bates</v>
      </c>
      <c r="AL193" t="s">
        <v>25</v>
      </c>
      <c r="AM193" t="str">
        <f>IF(Transaction[[#This Row],[ContractType]]="","Missing Value",Transaction[[#This Row],[ContractType]])</f>
        <v>Frame Agreement</v>
      </c>
      <c r="AN193" t="s">
        <v>43</v>
      </c>
    </row>
    <row r="194" spans="1:40" x14ac:dyDescent="0.25">
      <c r="A194" t="s">
        <v>1952</v>
      </c>
      <c r="B194" t="s">
        <v>363</v>
      </c>
      <c r="C19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9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19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94" s="2">
        <f>IFERROR(DATE(Transaction[[#This Row],[TransactionDateY]],Transaction[[#This Row],[TransactionDateM]],Transaction[[#This Row],[TransactionDateD]]),"Missing Value")</f>
        <v>45798</v>
      </c>
      <c r="G194" t="s">
        <v>360</v>
      </c>
      <c r="H194" t="str">
        <f>IFERROR(VLOOKUP(Transaction[[#This Row],[CustomerID]],Custumer[],1,0),IF(LEN(Transaction[[#This Row],[CustomerID]])=7,LEFT(Transaction[[#This Row],[CustomerID]],6),"Invalid ID"))</f>
        <v>C-1067</v>
      </c>
      <c r="I194" t="s">
        <v>103</v>
      </c>
      <c r="J194" t="str">
        <f>TRIM(UPPER(Transaction[[#This Row],[ProductID]]))</f>
        <v>P-FS-005</v>
      </c>
      <c r="K194" t="str">
        <f>IFERROR(VLOOKUP(Transaction[[#This Row],[ProductID_Clean]],Product[],1,FALSE),"Invalid ID")</f>
        <v>P-FS-005</v>
      </c>
      <c r="L194" t="str">
        <f>TRIM(SUBSTITUTE(SUBSTITUTE(SUBSTITUTE(SUBSTITUTE(UPPER(Transaction[[#This Row],[Region]]),"EMEA REGION","EMEA"),"APAC REGION","APAC"),"NORTH AMERICA","N. AMERICA"),"N .AMERICA","N.AMERICA"))</f>
        <v>APAC</v>
      </c>
      <c r="M194" t="s">
        <v>127</v>
      </c>
      <c r="N194" t="s">
        <v>318</v>
      </c>
      <c r="O19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94" t="s">
        <v>22</v>
      </c>
      <c r="Q194" t="str">
        <f>IF(TRIM(Transaction[[#This Row],[SalesChannel]])="","Missing Value",TRIM(Transaction[[#This Row],[SalesChannel]]))</f>
        <v>Direct</v>
      </c>
      <c r="R194" s="4">
        <v>1</v>
      </c>
      <c r="S194" s="4" t="str">
        <f>IF(Transaction[[#This Row],[Quantity]]&lt;0,"Negative-review","Valid")</f>
        <v>Valid</v>
      </c>
      <c r="T194">
        <v>728.71</v>
      </c>
      <c r="U19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728.71</v>
      </c>
      <c r="V194">
        <v>950</v>
      </c>
      <c r="W194">
        <v>950</v>
      </c>
      <c r="X19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194">
        <f>IF(Transaction[[#This Row],[GrossRevenue_Check]]="Invalid",Transaction[[#This Row],[ListPrice]]*Transaction[[#This Row],[Quantity]],Transaction[[#This Row],[GrossRevenue_Clean]])</f>
        <v>950</v>
      </c>
      <c r="Z194" t="str">
        <f>IF(Transaction[[#This Row],[GrossRevenue_Clean]]=Transaction[[#This Row],[ListPrice]]*Transaction[[#This Row],[Quantity]],"Valid","Invalid")</f>
        <v>Valid</v>
      </c>
      <c r="AA194">
        <v>221.29</v>
      </c>
      <c r="AB19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221.29</v>
      </c>
      <c r="AC194">
        <f>IF(Transaction[[#This Row],[DiscountAmount_Check2]]="Invalid",Transaction[[#This Row],[GrossRevenue_Analytical]]-Transaction[[#This Row],[NetRevenue_Analytical]],Transaction[[#This Row],[DiscountAmount_Clean]])</f>
        <v>221.29</v>
      </c>
      <c r="AD194">
        <v>728.71</v>
      </c>
      <c r="AE194" t="str">
        <f>IF(ROUND(Transaction[[#This Row],[GrossRevenue_Analytical]]-Transaction[[#This Row],[NetRevenue_Analytical]],2)=ROUND(Transaction[[#This Row],[DiscountAmount_Clean]],2),"Valid","Invalid")</f>
        <v>Valid</v>
      </c>
      <c r="AF194">
        <f>VALUE(IF(ISNUMBER(Transaction[[#This Row],[NetRevenue]]),Transaction[[#This Row],[NetRevenue]],IFERROR(IF(FIND("$",Transaction[[#This Row],[NetRevenue]])&gt;0,MID(Transaction[[#This Row],[NetRevenue]],2,10)),Transaction[[#This Row],[NetRevenue]])))</f>
        <v>728.71</v>
      </c>
      <c r="AG194">
        <f>IF(Transaction[[#This Row],[NetRevenue_Check]]="Invalid",(Transaction[[#This Row],[Quantity]]*Transaction[[#This Row],[UnitPrice_Clean]]),Transaction[[#This Row],[NetRevenue_Clean]])</f>
        <v>728.71</v>
      </c>
      <c r="AH194" t="str">
        <f>IF(Transaction[[#This Row],[Quantity]]*Transaction[[#This Row],[UnitPrice_Clean]]=Transaction[[#This Row],[NetRevenue_Clean]],"Valid","Invalid")</f>
        <v>Valid</v>
      </c>
      <c r="AI194" t="s">
        <v>23</v>
      </c>
      <c r="AJ194" t="s">
        <v>430</v>
      </c>
      <c r="AK194" t="str">
        <f>IF(Transaction[[#This Row],[Salesperson]]="","Missing Value",TRIM(PROPER(Transaction[[#This Row],[Salesperson]])))</f>
        <v>Anderson</v>
      </c>
      <c r="AL194" t="s">
        <v>42</v>
      </c>
      <c r="AM194" t="str">
        <f>IF(Transaction[[#This Row],[ContractType]]="","Missing Value",Transaction[[#This Row],[ContractType]])</f>
        <v>Standard PO</v>
      </c>
      <c r="AN194" t="s">
        <v>43</v>
      </c>
    </row>
    <row r="195" spans="1:40" x14ac:dyDescent="0.25">
      <c r="A195" t="s">
        <v>1522</v>
      </c>
      <c r="B195" s="1">
        <v>45731</v>
      </c>
      <c r="C19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9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19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95" s="2">
        <f>IFERROR(DATE(Transaction[[#This Row],[TransactionDateY]],Transaction[[#This Row],[TransactionDateM]],Transaction[[#This Row],[TransactionDateD]]),"Missing Value")</f>
        <v>45731</v>
      </c>
      <c r="G195" t="s">
        <v>208</v>
      </c>
      <c r="H195" t="str">
        <f>IFERROR(VLOOKUP(Transaction[[#This Row],[CustomerID]],Custumer[],1,0),IF(LEN(Transaction[[#This Row],[CustomerID]])=7,LEFT(Transaction[[#This Row],[CustomerID]],6),"Invalid ID"))</f>
        <v>C-1076</v>
      </c>
      <c r="I195" t="s">
        <v>75</v>
      </c>
      <c r="J195" t="str">
        <f>TRIM(UPPER(Transaction[[#This Row],[ProductID]]))</f>
        <v>P-SA-005</v>
      </c>
      <c r="K195" t="str">
        <f>IFERROR(VLOOKUP(Transaction[[#This Row],[ProductID_Clean]],Product[],1,FALSE),"Invalid ID")</f>
        <v>P-SA-005</v>
      </c>
      <c r="L195" t="str">
        <f>TRIM(SUBSTITUTE(SUBSTITUTE(SUBSTITUTE(SUBSTITUTE(UPPER(Transaction[[#This Row],[Region]]),"EMEA REGION","EMEA"),"APAC REGION","APAC"),"NORTH AMERICA","N. AMERICA"),"N .AMERICA","N.AMERICA"))</f>
        <v>APAC</v>
      </c>
      <c r="M195" t="s">
        <v>30</v>
      </c>
      <c r="N195" t="s">
        <v>572</v>
      </c>
      <c r="O19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95" t="s">
        <v>40</v>
      </c>
      <c r="Q195" t="str">
        <f>IF(TRIM(Transaction[[#This Row],[SalesChannel]])="","Missing Value",TRIM(Transaction[[#This Row],[SalesChannel]]))</f>
        <v>Distributor</v>
      </c>
      <c r="R195" s="4">
        <v>2</v>
      </c>
      <c r="S195" s="4" t="str">
        <f>IF(Transaction[[#This Row],[Quantity]]&lt;0,"Negative-review","Valid")</f>
        <v>Valid</v>
      </c>
      <c r="T195">
        <v>2323.52</v>
      </c>
      <c r="U19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2323.52</v>
      </c>
      <c r="V195">
        <v>3200</v>
      </c>
      <c r="W195">
        <v>6400</v>
      </c>
      <c r="X19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6400</v>
      </c>
      <c r="Y195">
        <f>IF(Transaction[[#This Row],[GrossRevenue_Check]]="Invalid",Transaction[[#This Row],[ListPrice]]*Transaction[[#This Row],[Quantity]],Transaction[[#This Row],[GrossRevenue_Clean]])</f>
        <v>6400</v>
      </c>
      <c r="Z195" t="str">
        <f>IF(Transaction[[#This Row],[GrossRevenue_Clean]]=Transaction[[#This Row],[ListPrice]]*Transaction[[#This Row],[Quantity]],"Valid","Invalid")</f>
        <v>Valid</v>
      </c>
      <c r="AA195">
        <v>1752.96</v>
      </c>
      <c r="AB19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1752.96</v>
      </c>
      <c r="AC195">
        <f>IF(Transaction[[#This Row],[DiscountAmount_Check2]]="Invalid",Transaction[[#This Row],[GrossRevenue_Analytical]]-Transaction[[#This Row],[NetRevenue_Analytical]],Transaction[[#This Row],[DiscountAmount_Clean]])</f>
        <v>1752.96</v>
      </c>
      <c r="AD195" t="s">
        <v>1523</v>
      </c>
      <c r="AE195" t="str">
        <f>IF(ROUND(Transaction[[#This Row],[GrossRevenue_Analytical]]-Transaction[[#This Row],[NetRevenue_Analytical]],2)=ROUND(Transaction[[#This Row],[DiscountAmount_Clean]],2),"Valid","Invalid")</f>
        <v>Valid</v>
      </c>
      <c r="AF195">
        <f>VALUE(IF(ISNUMBER(Transaction[[#This Row],[NetRevenue]]),Transaction[[#This Row],[NetRevenue]],IFERROR(IF(FIND("$",Transaction[[#This Row],[NetRevenue]])&gt;0,MID(Transaction[[#This Row],[NetRevenue]],2,10)),Transaction[[#This Row],[NetRevenue]])))</f>
        <v>4647.04</v>
      </c>
      <c r="AG195">
        <f>IF(Transaction[[#This Row],[NetRevenue_Check]]="Invalid",(Transaction[[#This Row],[Quantity]]*Transaction[[#This Row],[UnitPrice_Clean]]),Transaction[[#This Row],[NetRevenue_Clean]])</f>
        <v>4647.04</v>
      </c>
      <c r="AH195" t="str">
        <f>IF(Transaction[[#This Row],[Quantity]]*Transaction[[#This Row],[UnitPrice_Clean]]=Transaction[[#This Row],[NetRevenue_Clean]],"Valid","Invalid")</f>
        <v>Valid</v>
      </c>
      <c r="AI195" t="s">
        <v>23</v>
      </c>
      <c r="AJ195" t="s">
        <v>1524</v>
      </c>
      <c r="AK195" t="str">
        <f>IF(Transaction[[#This Row],[Salesperson]]="","Missing Value",TRIM(PROPER(Transaction[[#This Row],[Salesperson]])))</f>
        <v>Fletcher-Na</v>
      </c>
      <c r="AL195" t="s">
        <v>210</v>
      </c>
      <c r="AM195" t="str">
        <f>IF(Transaction[[#This Row],[ContractType]]="","Missing Value",Transaction[[#This Row],[ContractType]])</f>
        <v>Perpetual</v>
      </c>
      <c r="AN195" t="s">
        <v>49</v>
      </c>
    </row>
    <row r="196" spans="1:40" x14ac:dyDescent="0.25">
      <c r="A196" t="s">
        <v>2434</v>
      </c>
      <c r="B196" s="1">
        <v>45836</v>
      </c>
      <c r="C19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9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19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96" s="2">
        <f>IFERROR(DATE(Transaction[[#This Row],[TransactionDateY]],Transaction[[#This Row],[TransactionDateM]],Transaction[[#This Row],[TransactionDateD]]),"Missing Value")</f>
        <v>45836</v>
      </c>
      <c r="G196" t="s">
        <v>1026</v>
      </c>
      <c r="H196" t="str">
        <f>IFERROR(VLOOKUP(Transaction[[#This Row],[CustomerID]],Custumer[],1,0),IF(LEN(Transaction[[#This Row],[CustomerID]])=7,LEFT(Transaction[[#This Row],[CustomerID]],6),"Invalid ID"))</f>
        <v>C-1056</v>
      </c>
      <c r="I196" t="s">
        <v>52</v>
      </c>
      <c r="J196" t="str">
        <f>TRIM(UPPER(Transaction[[#This Row],[ProductID]]))</f>
        <v>P-SI-002</v>
      </c>
      <c r="K196" t="str">
        <f>IFERROR(VLOOKUP(Transaction[[#This Row],[ProductID_Clean]],Product[],1,FALSE),"Invalid ID")</f>
        <v>P-SI-002</v>
      </c>
      <c r="L196" t="str">
        <f>TRIM(SUBSTITUTE(SUBSTITUTE(SUBSTITUTE(SUBSTITUTE(UPPER(Transaction[[#This Row],[Region]]),"EMEA REGION","EMEA"),"APAC REGION","APAC"),"NORTH AMERICA","N. AMERICA"),"N .AMERICA","N.AMERICA"))</f>
        <v>APAC</v>
      </c>
      <c r="M196" t="s">
        <v>30</v>
      </c>
      <c r="N196" t="s">
        <v>53</v>
      </c>
      <c r="O19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96" t="s">
        <v>22</v>
      </c>
      <c r="Q196" t="str">
        <f>IF(TRIM(Transaction[[#This Row],[SalesChannel]])="","Missing Value",TRIM(Transaction[[#This Row],[SalesChannel]]))</f>
        <v>Direct</v>
      </c>
      <c r="R196" s="4">
        <v>4</v>
      </c>
      <c r="S196" s="4" t="str">
        <f>IF(Transaction[[#This Row],[Quantity]]&lt;0,"Negative-review","Valid")</f>
        <v>Valid</v>
      </c>
      <c r="T196">
        <v>597.39</v>
      </c>
      <c r="U19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597.39</v>
      </c>
      <c r="V196">
        <v>725</v>
      </c>
      <c r="W196">
        <v>2900</v>
      </c>
      <c r="X19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2900</v>
      </c>
      <c r="Y196">
        <f>IF(Transaction[[#This Row],[GrossRevenue_Check]]="Invalid",Transaction[[#This Row],[ListPrice]]*Transaction[[#This Row],[Quantity]],Transaction[[#This Row],[GrossRevenue_Clean]])</f>
        <v>2900</v>
      </c>
      <c r="Z196" t="str">
        <f>IF(Transaction[[#This Row],[GrossRevenue_Clean]]=Transaction[[#This Row],[ListPrice]]*Transaction[[#This Row],[Quantity]],"Valid","Invalid")</f>
        <v>Valid</v>
      </c>
      <c r="AA196">
        <v>510.44</v>
      </c>
      <c r="AB19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510.44</v>
      </c>
      <c r="AC196">
        <f>IF(Transaction[[#This Row],[DiscountAmount_Check2]]="Invalid",Transaction[[#This Row],[GrossRevenue_Analytical]]-Transaction[[#This Row],[NetRevenue_Analytical]],Transaction[[#This Row],[DiscountAmount_Clean]])</f>
        <v>510.44</v>
      </c>
      <c r="AD196">
        <v>2389.56</v>
      </c>
      <c r="AE196" t="str">
        <f>IF(ROUND(Transaction[[#This Row],[GrossRevenue_Analytical]]-Transaction[[#This Row],[NetRevenue_Analytical]],2)=ROUND(Transaction[[#This Row],[DiscountAmount_Clean]],2),"Valid","Invalid")</f>
        <v>Valid</v>
      </c>
      <c r="AF196">
        <f>VALUE(IF(ISNUMBER(Transaction[[#This Row],[NetRevenue]]),Transaction[[#This Row],[NetRevenue]],IFERROR(IF(FIND("$",Transaction[[#This Row],[NetRevenue]])&gt;0,MID(Transaction[[#This Row],[NetRevenue]],2,10)),Transaction[[#This Row],[NetRevenue]])))</f>
        <v>2389.56</v>
      </c>
      <c r="AG196">
        <f>IF(Transaction[[#This Row],[NetRevenue_Check]]="Invalid",(Transaction[[#This Row],[Quantity]]*Transaction[[#This Row],[UnitPrice_Clean]]),Transaction[[#This Row],[NetRevenue_Clean]])</f>
        <v>2389.56</v>
      </c>
      <c r="AH196" t="str">
        <f>IF(Transaction[[#This Row],[Quantity]]*Transaction[[#This Row],[UnitPrice_Clean]]=Transaction[[#This Row],[NetRevenue_Clean]],"Valid","Invalid")</f>
        <v>Valid</v>
      </c>
      <c r="AI196" t="s">
        <v>23</v>
      </c>
      <c r="AJ196" t="s">
        <v>178</v>
      </c>
      <c r="AK196" t="str">
        <f>IF(Transaction[[#This Row],[Salesperson]]="","Missing Value",TRIM(PROPER(Transaction[[#This Row],[Salesperson]])))</f>
        <v>Miller</v>
      </c>
      <c r="AL196" t="s">
        <v>25</v>
      </c>
      <c r="AM196" t="str">
        <f>IF(Transaction[[#This Row],[ContractType]]="","Missing Value",Transaction[[#This Row],[ContractType]])</f>
        <v>Frame Agreement</v>
      </c>
      <c r="AN196" t="s">
        <v>43</v>
      </c>
    </row>
    <row r="197" spans="1:40" x14ac:dyDescent="0.25">
      <c r="A197" t="s">
        <v>162</v>
      </c>
      <c r="B197" s="1">
        <v>45819</v>
      </c>
      <c r="C19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9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19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97" s="2">
        <f>IFERROR(DATE(Transaction[[#This Row],[TransactionDateY]],Transaction[[#This Row],[TransactionDateM]],Transaction[[#This Row],[TransactionDateD]]),"Missing Value")</f>
        <v>45819</v>
      </c>
      <c r="G197" t="s">
        <v>163</v>
      </c>
      <c r="H197" t="str">
        <f>IFERROR(VLOOKUP(Transaction[[#This Row],[CustomerID]],Custumer[],1,0),IF(LEN(Transaction[[#This Row],[CustomerID]])=7,LEFT(Transaction[[#This Row],[CustomerID]],6),"Invalid ID"))</f>
        <v>C-1164</v>
      </c>
      <c r="I197" t="s">
        <v>62</v>
      </c>
      <c r="J197" t="str">
        <f>TRIM(UPPER(Transaction[[#This Row],[ProductID]]))</f>
        <v>P-SI-004</v>
      </c>
      <c r="K197" t="str">
        <f>IFERROR(VLOOKUP(Transaction[[#This Row],[ProductID_Clean]],Product[],1,FALSE),"Invalid ID")</f>
        <v>P-SI-004</v>
      </c>
      <c r="L197" t="str">
        <f>TRIM(SUBSTITUTE(SUBSTITUTE(SUBSTITUTE(SUBSTITUTE(UPPER(Transaction[[#This Row],[Region]]),"EMEA REGION","EMEA"),"APAC REGION","APAC"),"NORTH AMERICA","N. AMERICA"),"N .AMERICA","N.AMERICA"))</f>
        <v>EMEA</v>
      </c>
      <c r="M197" t="s">
        <v>76</v>
      </c>
      <c r="N197" t="s">
        <v>53</v>
      </c>
      <c r="O19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97" t="s">
        <v>22</v>
      </c>
      <c r="Q197" t="str">
        <f>IF(TRIM(Transaction[[#This Row],[SalesChannel]])="","Missing Value",TRIM(Transaction[[#This Row],[SalesChannel]]))</f>
        <v>Direct</v>
      </c>
      <c r="R197" s="4">
        <v>2</v>
      </c>
      <c r="S197" s="4" t="str">
        <f>IF(Transaction[[#This Row],[Quantity]]&lt;0,"Negative-review","Valid")</f>
        <v>Valid</v>
      </c>
      <c r="T197">
        <v>2339.25</v>
      </c>
      <c r="U19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2339.25</v>
      </c>
      <c r="V197">
        <v>2450</v>
      </c>
      <c r="W197" t="s">
        <v>164</v>
      </c>
      <c r="X19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</v>
      </c>
      <c r="Y197">
        <f>IF(Transaction[[#This Row],[GrossRevenue_Check]]="Invalid",Transaction[[#This Row],[ListPrice]]*Transaction[[#This Row],[Quantity]],Transaction[[#This Row],[GrossRevenue_Clean]])</f>
        <v>4900</v>
      </c>
      <c r="Z197" t="str">
        <f>IF(Transaction[[#This Row],[GrossRevenue_Clean]]=Transaction[[#This Row],[ListPrice]]*Transaction[[#This Row],[Quantity]],"Valid","Invalid")</f>
        <v>Valid</v>
      </c>
      <c r="AA197">
        <v>221.5</v>
      </c>
      <c r="AB19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221.5</v>
      </c>
      <c r="AC197">
        <f>IF(Transaction[[#This Row],[DiscountAmount_Check2]]="Invalid",Transaction[[#This Row],[GrossRevenue_Analytical]]-Transaction[[#This Row],[NetRevenue_Analytical]],Transaction[[#This Row],[DiscountAmount_Clean]])</f>
        <v>221.5</v>
      </c>
      <c r="AD197">
        <v>4678.5</v>
      </c>
      <c r="AE197" t="str">
        <f>IF(ROUND(Transaction[[#This Row],[GrossRevenue_Analytical]]-Transaction[[#This Row],[NetRevenue_Analytical]],2)=ROUND(Transaction[[#This Row],[DiscountAmount_Clean]],2),"Valid","Invalid")</f>
        <v>Valid</v>
      </c>
      <c r="AF197">
        <f>VALUE(IF(ISNUMBER(Transaction[[#This Row],[NetRevenue]]),Transaction[[#This Row],[NetRevenue]],IFERROR(IF(FIND("$",Transaction[[#This Row],[NetRevenue]])&gt;0,MID(Transaction[[#This Row],[NetRevenue]],2,10)),Transaction[[#This Row],[NetRevenue]])))</f>
        <v>4678.5</v>
      </c>
      <c r="AG197">
        <f>IF(Transaction[[#This Row],[NetRevenue_Check]]="Invalid",(Transaction[[#This Row],[Quantity]]*Transaction[[#This Row],[UnitPrice_Clean]]),Transaction[[#This Row],[NetRevenue_Clean]])</f>
        <v>4678.5</v>
      </c>
      <c r="AH197" t="str">
        <f>IF(Transaction[[#This Row],[Quantity]]*Transaction[[#This Row],[UnitPrice_Clean]]=Transaction[[#This Row],[NetRevenue_Clean]],"Valid","Invalid")</f>
        <v>Valid</v>
      </c>
      <c r="AI197" t="s">
        <v>23</v>
      </c>
      <c r="AJ197" t="s">
        <v>165</v>
      </c>
      <c r="AK197" t="str">
        <f>IF(Transaction[[#This Row],[Salesperson]]="","Missing Value",TRIM(PROPER(Transaction[[#This Row],[Salesperson]])))</f>
        <v>Hansen-Em</v>
      </c>
      <c r="AL197" t="s">
        <v>42</v>
      </c>
      <c r="AM197" t="str">
        <f>IF(Transaction[[#This Row],[ContractType]]="","Missing Value",Transaction[[#This Row],[ContractType]])</f>
        <v>Standard PO</v>
      </c>
      <c r="AN197" t="s">
        <v>43</v>
      </c>
    </row>
    <row r="198" spans="1:40" x14ac:dyDescent="0.25">
      <c r="A198" t="s">
        <v>2752</v>
      </c>
      <c r="B198" t="s">
        <v>493</v>
      </c>
      <c r="C19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19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03</v>
      </c>
      <c r="E19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98" s="2">
        <f>IFERROR(DATE(Transaction[[#This Row],[TransactionDateY]],Transaction[[#This Row],[TransactionDateM]],Transaction[[#This Row],[TransactionDateD]]),"Missing Value")</f>
        <v>45719</v>
      </c>
      <c r="G198" t="s">
        <v>203</v>
      </c>
      <c r="H198" t="str">
        <f>IFERROR(VLOOKUP(Transaction[[#This Row],[CustomerID]],Custumer[],1,0),IF(LEN(Transaction[[#This Row],[CustomerID]])=7,LEFT(Transaction[[#This Row],[CustomerID]],6),"Invalid ID"))</f>
        <v>C-1005</v>
      </c>
      <c r="I198" t="s">
        <v>46</v>
      </c>
      <c r="J198" t="str">
        <f>TRIM(UPPER(Transaction[[#This Row],[ProductID]]))</f>
        <v>P-SI-006</v>
      </c>
      <c r="K198" t="str">
        <f>IFERROR(VLOOKUP(Transaction[[#This Row],[ProductID_Clean]],Product[],1,FALSE),"Invalid ID")</f>
        <v>P-SI-006</v>
      </c>
      <c r="L198" t="str">
        <f>TRIM(SUBSTITUTE(SUBSTITUTE(SUBSTITUTE(SUBSTITUTE(UPPER(Transaction[[#This Row],[Region]]),"EMEA REGION","EMEA"),"APAC REGION","APAC"),"NORTH AMERICA","N. AMERICA"),"N .AMERICA","N.AMERICA"))</f>
        <v>N. AMERICA</v>
      </c>
      <c r="M198" t="s">
        <v>20</v>
      </c>
      <c r="N198" t="s">
        <v>98</v>
      </c>
      <c r="O19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98" t="s">
        <v>93</v>
      </c>
      <c r="Q198" t="str">
        <f>IF(TRIM(Transaction[[#This Row],[SalesChannel]])="","Missing Value",TRIM(Transaction[[#This Row],[SalesChannel]]))</f>
        <v>direct</v>
      </c>
      <c r="R198" s="4">
        <v>2</v>
      </c>
      <c r="S198" s="4" t="str">
        <f>IF(Transaction[[#This Row],[Quantity]]&lt;0,"Negative-review","Valid")</f>
        <v>Valid</v>
      </c>
      <c r="T198">
        <v>191.1</v>
      </c>
      <c r="U19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191.1</v>
      </c>
      <c r="V198">
        <v>215</v>
      </c>
      <c r="W198">
        <v>430</v>
      </c>
      <c r="X19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198">
        <f>IF(Transaction[[#This Row],[GrossRevenue_Check]]="Invalid",Transaction[[#This Row],[ListPrice]]*Transaction[[#This Row],[Quantity]],Transaction[[#This Row],[GrossRevenue_Clean]])</f>
        <v>430</v>
      </c>
      <c r="Z198" t="str">
        <f>IF(Transaction[[#This Row],[GrossRevenue_Clean]]=Transaction[[#This Row],[ListPrice]]*Transaction[[#This Row],[Quantity]],"Valid","Invalid")</f>
        <v>Valid</v>
      </c>
      <c r="AA198">
        <v>47.8</v>
      </c>
      <c r="AB19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47.8</v>
      </c>
      <c r="AC198">
        <f>IF(Transaction[[#This Row],[DiscountAmount_Check2]]="Invalid",Transaction[[#This Row],[GrossRevenue_Analytical]]-Transaction[[#This Row],[NetRevenue_Analytical]],Transaction[[#This Row],[DiscountAmount_Clean]])</f>
        <v>47.8</v>
      </c>
      <c r="AD198">
        <v>382.2</v>
      </c>
      <c r="AE198" t="str">
        <f>IF(ROUND(Transaction[[#This Row],[GrossRevenue_Analytical]]-Transaction[[#This Row],[NetRevenue_Analytical]],2)=ROUND(Transaction[[#This Row],[DiscountAmount_Clean]],2),"Valid","Invalid")</f>
        <v>Valid</v>
      </c>
      <c r="AF198">
        <f>VALUE(IF(ISNUMBER(Transaction[[#This Row],[NetRevenue]]),Transaction[[#This Row],[NetRevenue]],IFERROR(IF(FIND("$",Transaction[[#This Row],[NetRevenue]])&gt;0,MID(Transaction[[#This Row],[NetRevenue]],2,10)),Transaction[[#This Row],[NetRevenue]])))</f>
        <v>382.2</v>
      </c>
      <c r="AG198">
        <f>IF(Transaction[[#This Row],[NetRevenue_Check]]="Invalid",(Transaction[[#This Row],[Quantity]]*Transaction[[#This Row],[UnitPrice_Clean]]),Transaction[[#This Row],[NetRevenue_Clean]])</f>
        <v>382.2</v>
      </c>
      <c r="AH198" t="str">
        <f>IF(Transaction[[#This Row],[Quantity]]*Transaction[[#This Row],[UnitPrice_Clean]]=Transaction[[#This Row],[NetRevenue_Clean]],"Valid","Invalid")</f>
        <v>Valid</v>
      </c>
      <c r="AI198" t="s">
        <v>23</v>
      </c>
      <c r="AJ198" t="s">
        <v>2753</v>
      </c>
      <c r="AK198" t="str">
        <f>IF(Transaction[[#This Row],[Salesperson]]="","Missing Value",TRIM(PROPER(Transaction[[#This Row],[Salesperson]])))</f>
        <v>Schneider-Ap</v>
      </c>
      <c r="AM198" t="str">
        <f>IF(Transaction[[#This Row],[ContractType]]="","Missing Value",Transaction[[#This Row],[ContractType]])</f>
        <v>Missing Value</v>
      </c>
      <c r="AN198" t="s">
        <v>35</v>
      </c>
    </row>
    <row r="199" spans="1:40" x14ac:dyDescent="0.25">
      <c r="A199" t="s">
        <v>644</v>
      </c>
      <c r="B199" s="1">
        <v>45698</v>
      </c>
      <c r="C19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9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19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99" s="2">
        <f>IFERROR(DATE(Transaction[[#This Row],[TransactionDateY]],Transaction[[#This Row],[TransactionDateM]],Transaction[[#This Row],[TransactionDateD]]),"Missing Value")</f>
        <v>45698</v>
      </c>
      <c r="G199" t="s">
        <v>61</v>
      </c>
      <c r="H199" t="str">
        <f>IFERROR(VLOOKUP(Transaction[[#This Row],[CustomerID]],Custumer[],1,0),IF(LEN(Transaction[[#This Row],[CustomerID]])=7,LEFT(Transaction[[#This Row],[CustomerID]],6),"Invalid ID"))</f>
        <v>C-1108</v>
      </c>
      <c r="I199" t="s">
        <v>97</v>
      </c>
      <c r="J199" t="str">
        <f>TRIM(UPPER(Transaction[[#This Row],[ProductID]]))</f>
        <v>P-SI-001</v>
      </c>
      <c r="K199" t="str">
        <f>IFERROR(VLOOKUP(Transaction[[#This Row],[ProductID_Clean]],Product[],1,FALSE),"Invalid ID")</f>
        <v>P-SI-001</v>
      </c>
      <c r="L199" t="str">
        <f>TRIM(SUBSTITUTE(SUBSTITUTE(SUBSTITUTE(SUBSTITUTE(UPPER(Transaction[[#This Row],[Region]]),"EMEA REGION","EMEA"),"APAC REGION","APAC"),"NORTH AMERICA","N. AMERICA"),"N .AMERICA","N.AMERICA"))</f>
        <v>APAC</v>
      </c>
      <c r="M199" t="s">
        <v>30</v>
      </c>
      <c r="N199" t="s">
        <v>47</v>
      </c>
      <c r="O19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99" t="s">
        <v>22</v>
      </c>
      <c r="Q199" t="str">
        <f>IF(TRIM(Transaction[[#This Row],[SalesChannel]])="","Missing Value",TRIM(Transaction[[#This Row],[SalesChannel]]))</f>
        <v>Direct</v>
      </c>
      <c r="R199" s="4">
        <v>3</v>
      </c>
      <c r="S199" s="4" t="str">
        <f>IF(Transaction[[#This Row],[Quantity]]&lt;0,"Negative-review","Valid")</f>
        <v>Valid</v>
      </c>
      <c r="T199">
        <v>381.71</v>
      </c>
      <c r="U19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381.71</v>
      </c>
      <c r="V199">
        <v>485</v>
      </c>
      <c r="W199">
        <v>1455</v>
      </c>
      <c r="X19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199">
        <f>IF(Transaction[[#This Row],[GrossRevenue_Check]]="Invalid",Transaction[[#This Row],[ListPrice]]*Transaction[[#This Row],[Quantity]],Transaction[[#This Row],[GrossRevenue_Clean]])</f>
        <v>1455</v>
      </c>
      <c r="Z199" t="str">
        <f>IF(Transaction[[#This Row],[GrossRevenue_Clean]]=Transaction[[#This Row],[ListPrice]]*Transaction[[#This Row],[Quantity]],"Valid","Invalid")</f>
        <v>Valid</v>
      </c>
      <c r="AA199">
        <v>309.87</v>
      </c>
      <c r="AB19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309.87</v>
      </c>
      <c r="AC199">
        <f>IF(Transaction[[#This Row],[DiscountAmount_Check2]]="Invalid",Transaction[[#This Row],[GrossRevenue_Analytical]]-Transaction[[#This Row],[NetRevenue_Analytical]],Transaction[[#This Row],[DiscountAmount_Clean]])</f>
        <v>309.87</v>
      </c>
      <c r="AD199">
        <v>1145.1300000000001</v>
      </c>
      <c r="AE199" t="str">
        <f>IF(ROUND(Transaction[[#This Row],[GrossRevenue_Analytical]]-Transaction[[#This Row],[NetRevenue_Analytical]],2)=ROUND(Transaction[[#This Row],[DiscountAmount_Clean]],2),"Valid","Invalid")</f>
        <v>Valid</v>
      </c>
      <c r="AF19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1145.1300000000001</v>
      </c>
      <c r="AG199">
        <f>IF(Transaction[[#This Row],[NetRevenue_Check]]="Invalid",(Transaction[[#This Row],[Quantity]]*Transaction[[#This Row],[UnitPrice_Clean]]),Transaction[[#This Row],[NetRevenue_Clean]])</f>
        <v>1145.1300000000001</v>
      </c>
      <c r="AH199" t="str">
        <f>IF(Transaction[[#This Row],[Quantity]]*Transaction[[#This Row],[UnitPrice_Clean]]=Transaction[[#This Row],[NetRevenue_Clean]],"Valid","Invalid")</f>
        <v>Valid</v>
      </c>
      <c r="AI199" t="s">
        <v>23</v>
      </c>
      <c r="AJ199" t="s">
        <v>645</v>
      </c>
      <c r="AK199" t="str">
        <f>IF(Transaction[[#This Row],[Salesperson]]="","Missing Value",TRIM(PROPER(Transaction[[#This Row],[Salesperson]])))</f>
        <v>Murphy</v>
      </c>
      <c r="AL199" t="s">
        <v>25</v>
      </c>
      <c r="AM199" t="str">
        <f>IF(Transaction[[#This Row],[ContractType]]="","Missing Value",Transaction[[#This Row],[ContractType]])</f>
        <v>Frame Agreement</v>
      </c>
      <c r="AN199" t="s">
        <v>65</v>
      </c>
    </row>
    <row r="200" spans="1:40" x14ac:dyDescent="0.25">
      <c r="A200" t="s">
        <v>847</v>
      </c>
      <c r="B200" s="1">
        <v>45799</v>
      </c>
      <c r="C20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20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20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00" s="2">
        <f>IFERROR(DATE(Transaction[[#This Row],[TransactionDateY]],Transaction[[#This Row],[TransactionDateM]],Transaction[[#This Row],[TransactionDateD]]),"Missing Value")</f>
        <v>45799</v>
      </c>
      <c r="G200" t="s">
        <v>146</v>
      </c>
      <c r="H200" t="str">
        <f>IFERROR(VLOOKUP(Transaction[[#This Row],[CustomerID]],Custumer[],1,0),IF(LEN(Transaction[[#This Row],[CustomerID]])=7,LEFT(Transaction[[#This Row],[CustomerID]],6),"Invalid ID"))</f>
        <v>C-1095</v>
      </c>
      <c r="I200" t="s">
        <v>103</v>
      </c>
      <c r="J200" t="str">
        <f>TRIM(UPPER(Transaction[[#This Row],[ProductID]]))</f>
        <v>P-FS-005</v>
      </c>
      <c r="K200" t="str">
        <f>IFERROR(VLOOKUP(Transaction[[#This Row],[ProductID_Clean]],Product[],1,FALSE),"Invalid ID")</f>
        <v>P-FS-005</v>
      </c>
      <c r="L200" t="str">
        <f>TRIM(SUBSTITUTE(SUBSTITUTE(SUBSTITUTE(SUBSTITUTE(UPPER(Transaction[[#This Row],[Region]]),"EMEA REGION","EMEA"),"APAC REGION","APAC"),"NORTH AMERICA","N. AMERICA"),"N .AMERICA","N.AMERICA"))</f>
        <v>LATIN AMERICA</v>
      </c>
      <c r="M200" t="s">
        <v>82</v>
      </c>
      <c r="N200" t="s">
        <v>771</v>
      </c>
      <c r="O200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200" t="s">
        <v>40</v>
      </c>
      <c r="Q200" t="str">
        <f>IF(TRIM(Transaction[[#This Row],[SalesChannel]])="","Missing Value",TRIM(Transaction[[#This Row],[SalesChannel]]))</f>
        <v>Distributor</v>
      </c>
      <c r="R200" s="4">
        <v>1</v>
      </c>
      <c r="S200" s="4" t="str">
        <f>IF(Transaction[[#This Row],[Quantity]]&lt;0,"Negative-review","Valid")</f>
        <v>Valid</v>
      </c>
      <c r="T200">
        <v>685.08</v>
      </c>
      <c r="U20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685.08</v>
      </c>
      <c r="V200">
        <v>950</v>
      </c>
      <c r="W200">
        <v>950</v>
      </c>
      <c r="X20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200">
        <f>IF(Transaction[[#This Row],[GrossRevenue_Check]]="Invalid",Transaction[[#This Row],[ListPrice]]*Transaction[[#This Row],[Quantity]],Transaction[[#This Row],[GrossRevenue_Clean]])</f>
        <v>950</v>
      </c>
      <c r="Z200" t="str">
        <f>IF(Transaction[[#This Row],[GrossRevenue_Clean]]=Transaction[[#This Row],[ListPrice]]*Transaction[[#This Row],[Quantity]],"Valid","Invalid")</f>
        <v>Valid</v>
      </c>
      <c r="AA200">
        <v>264.92</v>
      </c>
      <c r="AB20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264.92</v>
      </c>
      <c r="AC200">
        <f>IF(Transaction[[#This Row],[DiscountAmount_Check2]]="Invalid",Transaction[[#This Row],[GrossRevenue_Analytical]]-Transaction[[#This Row],[NetRevenue_Analytical]],Transaction[[#This Row],[DiscountAmount_Clean]])</f>
        <v>264.92</v>
      </c>
      <c r="AD200" t="s">
        <v>848</v>
      </c>
      <c r="AE200" t="str">
        <f>IF(ROUND(Transaction[[#This Row],[GrossRevenue_Analytical]]-Transaction[[#This Row],[NetRevenue_Analytical]],2)=ROUND(Transaction[[#This Row],[DiscountAmount_Clean]],2),"Valid","Invalid")</f>
        <v>Valid</v>
      </c>
      <c r="AF200">
        <f>VALUE(IF(ISNUMBER(Transaction[[#This Row],[NetRevenue]]),Transaction[[#This Row],[NetRevenue]],IFERROR(IF(FIND("$",Transaction[[#This Row],[NetRevenue]])&gt;0,MID(Transaction[[#This Row],[NetRevenue]],2,10)),Transaction[[#This Row],[NetRevenue]])))</f>
        <v>685.08</v>
      </c>
      <c r="AG200">
        <f>IF(Transaction[[#This Row],[NetRevenue_Check]]="Invalid",(Transaction[[#This Row],[Quantity]]*Transaction[[#This Row],[UnitPrice_Clean]]),Transaction[[#This Row],[NetRevenue_Clean]])</f>
        <v>685.08</v>
      </c>
      <c r="AH200" t="str">
        <f>IF(Transaction[[#This Row],[Quantity]]*Transaction[[#This Row],[UnitPrice_Clean]]=Transaction[[#This Row],[NetRevenue_Clean]],"Valid","Invalid")</f>
        <v>Valid</v>
      </c>
      <c r="AI200" t="s">
        <v>23</v>
      </c>
      <c r="AJ200" t="s">
        <v>430</v>
      </c>
      <c r="AK200" t="str">
        <f>IF(Transaction[[#This Row],[Salesperson]]="","Missing Value",TRIM(PROPER(Transaction[[#This Row],[Salesperson]])))</f>
        <v>Anderson</v>
      </c>
      <c r="AL200" t="s">
        <v>42</v>
      </c>
      <c r="AM200" t="str">
        <f>IF(Transaction[[#This Row],[ContractType]]="","Missing Value",Transaction[[#This Row],[ContractType]])</f>
        <v>Standard PO</v>
      </c>
      <c r="AN200" t="s">
        <v>49</v>
      </c>
    </row>
    <row r="201" spans="1:40" x14ac:dyDescent="0.25">
      <c r="A201" t="s">
        <v>2905</v>
      </c>
      <c r="B201" t="s">
        <v>2906</v>
      </c>
      <c r="C20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20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20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01" s="2">
        <f>IFERROR(DATE(Transaction[[#This Row],[TransactionDateY]],Transaction[[#This Row],[TransactionDateM]],Transaction[[#This Row],[TransactionDateD]]),"Missing Value")</f>
        <v>45799</v>
      </c>
      <c r="G201" t="s">
        <v>146</v>
      </c>
      <c r="H201" t="str">
        <f>IFERROR(VLOOKUP(Transaction[[#This Row],[CustomerID]],Custumer[],1,0),IF(LEN(Transaction[[#This Row],[CustomerID]])=7,LEFT(Transaction[[#This Row],[CustomerID]],6),"Invalid ID"))</f>
        <v>C-1095</v>
      </c>
      <c r="I201" t="s">
        <v>58</v>
      </c>
      <c r="J201" t="str">
        <f>TRIM(UPPER(Transaction[[#This Row],[ProductID]]))</f>
        <v>P-SI-005</v>
      </c>
      <c r="K201" t="str">
        <f>IFERROR(VLOOKUP(Transaction[[#This Row],[ProductID_Clean]],Product[],1,FALSE),"Invalid ID")</f>
        <v>P-SI-005</v>
      </c>
      <c r="L201" t="str">
        <f>TRIM(SUBSTITUTE(SUBSTITUTE(SUBSTITUTE(SUBSTITUTE(UPPER(Transaction[[#This Row],[Region]]),"EMEA REGION","EMEA"),"APAC REGION","APAC"),"NORTH AMERICA","N. AMERICA"),"N .AMERICA","N.AMERICA"))</f>
        <v>LATIN AMERICA</v>
      </c>
      <c r="M201" t="s">
        <v>82</v>
      </c>
      <c r="N201" t="s">
        <v>53</v>
      </c>
      <c r="O20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01" t="s">
        <v>22</v>
      </c>
      <c r="Q201" t="str">
        <f>IF(TRIM(Transaction[[#This Row],[SalesChannel]])="","Missing Value",TRIM(Transaction[[#This Row],[SalesChannel]]))</f>
        <v>Direct</v>
      </c>
      <c r="R201" s="4">
        <v>2</v>
      </c>
      <c r="S201" s="4" t="str">
        <f>IF(Transaction[[#This Row],[Quantity]]&lt;0,"Negative-review","Valid")</f>
        <v>Valid</v>
      </c>
      <c r="T201">
        <v>982.64</v>
      </c>
      <c r="U20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982.64</v>
      </c>
      <c r="V201">
        <v>1120</v>
      </c>
      <c r="W201">
        <v>2240</v>
      </c>
      <c r="X20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2240</v>
      </c>
      <c r="Y201">
        <f>IF(Transaction[[#This Row],[GrossRevenue_Check]]="Invalid",Transaction[[#This Row],[ListPrice]]*Transaction[[#This Row],[Quantity]],Transaction[[#This Row],[GrossRevenue_Clean]])</f>
        <v>2240</v>
      </c>
      <c r="Z201" t="str">
        <f>IF(Transaction[[#This Row],[GrossRevenue_Clean]]=Transaction[[#This Row],[ListPrice]]*Transaction[[#This Row],[Quantity]],"Valid","Invalid")</f>
        <v>Valid</v>
      </c>
      <c r="AA201">
        <v>274.72000000000003</v>
      </c>
      <c r="AB20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274.72000000000003</v>
      </c>
      <c r="AC201">
        <f>IF(Transaction[[#This Row],[DiscountAmount_Check2]]="Invalid",Transaction[[#This Row],[GrossRevenue_Analytical]]-Transaction[[#This Row],[NetRevenue_Analytical]],Transaction[[#This Row],[DiscountAmount_Clean]])</f>
        <v>274.72000000000003</v>
      </c>
      <c r="AD201">
        <v>1965.28</v>
      </c>
      <c r="AE201" t="str">
        <f>IF(ROUND(Transaction[[#This Row],[GrossRevenue_Analytical]]-Transaction[[#This Row],[NetRevenue_Analytical]],2)=ROUND(Transaction[[#This Row],[DiscountAmount_Clean]],2),"Valid","Invalid")</f>
        <v>Valid</v>
      </c>
      <c r="AF20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1965.28</v>
      </c>
      <c r="AG201">
        <f>IF(Transaction[[#This Row],[NetRevenue_Check]]="Invalid",(Transaction[[#This Row],[Quantity]]*Transaction[[#This Row],[UnitPrice_Clean]]),Transaction[[#This Row],[NetRevenue_Clean]])</f>
        <v>1965.28</v>
      </c>
      <c r="AH201" t="str">
        <f>IF(Transaction[[#This Row],[Quantity]]*Transaction[[#This Row],[UnitPrice_Clean]]=Transaction[[#This Row],[NetRevenue_Clean]],"Valid","Invalid")</f>
        <v>Valid</v>
      </c>
      <c r="AI201" t="s">
        <v>23</v>
      </c>
      <c r="AJ201" t="s">
        <v>1751</v>
      </c>
      <c r="AK201" t="str">
        <f>IF(Transaction[[#This Row],[Salesperson]]="","Missing Value",TRIM(PROPER(Transaction[[#This Row],[Salesperson]])))</f>
        <v>Warner-Na</v>
      </c>
      <c r="AL201" t="s">
        <v>25</v>
      </c>
      <c r="AM201" t="str">
        <f>IF(Transaction[[#This Row],[ContractType]]="","Missing Value",Transaction[[#This Row],[ContractType]])</f>
        <v>Frame Agreement</v>
      </c>
      <c r="AN201" t="s">
        <v>49</v>
      </c>
    </row>
    <row r="202" spans="1:40" x14ac:dyDescent="0.25">
      <c r="A202" t="s">
        <v>2971</v>
      </c>
      <c r="B202" s="1">
        <v>45681</v>
      </c>
      <c r="C20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20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20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02" s="2">
        <f>IFERROR(DATE(Transaction[[#This Row],[TransactionDateY]],Transaction[[#This Row],[TransactionDateM]],Transaction[[#This Row],[TransactionDateD]]),"Missing Value")</f>
        <v>45681</v>
      </c>
      <c r="G202" t="s">
        <v>694</v>
      </c>
      <c r="H202" t="str">
        <f>IFERROR(VLOOKUP(Transaction[[#This Row],[CustomerID]],Custumer[],1,0),IF(LEN(Transaction[[#This Row],[CustomerID]])=7,LEFT(Transaction[[#This Row],[CustomerID]],6),"Invalid ID"))</f>
        <v>C-1165</v>
      </c>
      <c r="I202" t="s">
        <v>111</v>
      </c>
      <c r="J202" t="str">
        <f>TRIM(UPPER(Transaction[[#This Row],[ProductID]]))</f>
        <v>P-SA-004</v>
      </c>
      <c r="K202" t="str">
        <f>IFERROR(VLOOKUP(Transaction[[#This Row],[ProductID_Clean]],Product[],1,FALSE),"Invalid ID")</f>
        <v>P-SA-004</v>
      </c>
      <c r="L202" t="str">
        <f>TRIM(SUBSTITUTE(SUBSTITUTE(SUBSTITUTE(SUBSTITUTE(UPPER(Transaction[[#This Row],[Region]]),"EMEA REGION","EMEA"),"APAC REGION","APAC"),"NORTH AMERICA","N. AMERICA"),"N .AMERICA","N.AMERICA"))</f>
        <v>N. AMERICA</v>
      </c>
      <c r="M202" t="s">
        <v>204</v>
      </c>
      <c r="N202" t="s">
        <v>31</v>
      </c>
      <c r="O20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02" t="s">
        <v>22</v>
      </c>
      <c r="Q202" t="str">
        <f>IF(TRIM(Transaction[[#This Row],[SalesChannel]])="","Missing Value",TRIM(Transaction[[#This Row],[SalesChannel]]))</f>
        <v>Direct</v>
      </c>
      <c r="R202" s="4">
        <v>1</v>
      </c>
      <c r="S202" s="4" t="str">
        <f>IF(Transaction[[#This Row],[Quantity]]&lt;0,"Negative-review","Valid")</f>
        <v>Valid</v>
      </c>
      <c r="T202">
        <v>1480.17</v>
      </c>
      <c r="U20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1480.17</v>
      </c>
      <c r="V202">
        <v>1650</v>
      </c>
      <c r="W202">
        <v>1650</v>
      </c>
      <c r="X20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202">
        <f>IF(Transaction[[#This Row],[GrossRevenue_Check]]="Invalid",Transaction[[#This Row],[ListPrice]]*Transaction[[#This Row],[Quantity]],Transaction[[#This Row],[GrossRevenue_Clean]])</f>
        <v>1650</v>
      </c>
      <c r="Z202" t="str">
        <f>IF(Transaction[[#This Row],[GrossRevenue_Clean]]=Transaction[[#This Row],[ListPrice]]*Transaction[[#This Row],[Quantity]],"Valid","Invalid")</f>
        <v>Valid</v>
      </c>
      <c r="AA202">
        <v>169.83</v>
      </c>
      <c r="AB20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169.83</v>
      </c>
      <c r="AC202">
        <f>IF(Transaction[[#This Row],[DiscountAmount_Check2]]="Invalid",Transaction[[#This Row],[GrossRevenue_Analytical]]-Transaction[[#This Row],[NetRevenue_Analytical]],Transaction[[#This Row],[DiscountAmount_Clean]])</f>
        <v>169.83</v>
      </c>
      <c r="AD202">
        <v>1480.17</v>
      </c>
      <c r="AE202" t="str">
        <f>IF(ROUND(Transaction[[#This Row],[GrossRevenue_Analytical]]-Transaction[[#This Row],[NetRevenue_Analytical]],2)=ROUND(Transaction[[#This Row],[DiscountAmount_Clean]],2),"Valid","Invalid")</f>
        <v>Valid</v>
      </c>
      <c r="AF20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1480.17</v>
      </c>
      <c r="AG202">
        <f>IF(Transaction[[#This Row],[NetRevenue_Check]]="Invalid",(Transaction[[#This Row],[Quantity]]*Transaction[[#This Row],[UnitPrice_Clean]]),Transaction[[#This Row],[NetRevenue_Clean]])</f>
        <v>1480.17</v>
      </c>
      <c r="AH202" t="str">
        <f>IF(Transaction[[#This Row],[Quantity]]*Transaction[[#This Row],[UnitPrice_Clean]]=Transaction[[#This Row],[NetRevenue_Clean]],"Valid","Invalid")</f>
        <v>Valid</v>
      </c>
      <c r="AI202" t="s">
        <v>23</v>
      </c>
      <c r="AJ202" t="s">
        <v>2972</v>
      </c>
      <c r="AK202" t="str">
        <f>IF(Transaction[[#This Row],[Salesperson]]="","Missing Value",TRIM(PROPER(Transaction[[#This Row],[Salesperson]])))</f>
        <v>Valentine</v>
      </c>
      <c r="AL202" t="s">
        <v>34</v>
      </c>
      <c r="AM202" t="str">
        <f>IF(Transaction[[#This Row],[ContractType]]="","Missing Value",Transaction[[#This Row],[ContractType]])</f>
        <v>Annual License</v>
      </c>
      <c r="AN202" t="s">
        <v>26</v>
      </c>
    </row>
    <row r="203" spans="1:40" x14ac:dyDescent="0.25">
      <c r="A203" t="s">
        <v>2765</v>
      </c>
      <c r="B203" s="1">
        <v>45687</v>
      </c>
      <c r="C20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20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20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03" s="2">
        <f>IFERROR(DATE(Transaction[[#This Row],[TransactionDateY]],Transaction[[#This Row],[TransactionDateM]],Transaction[[#This Row],[TransactionDateD]]),"Missing Value")</f>
        <v>45687</v>
      </c>
      <c r="G203" t="s">
        <v>247</v>
      </c>
      <c r="H203" t="str">
        <f>IFERROR(VLOOKUP(Transaction[[#This Row],[CustomerID]],Custumer[],1,0),IF(LEN(Transaction[[#This Row],[CustomerID]])=7,LEFT(Transaction[[#This Row],[CustomerID]],6),"Invalid ID"))</f>
        <v>C-1045</v>
      </c>
      <c r="I203" t="s">
        <v>117</v>
      </c>
      <c r="J203" t="str">
        <f>TRIM(UPPER(Transaction[[#This Row],[ProductID]]))</f>
        <v>P-SI-007</v>
      </c>
      <c r="K203" t="str">
        <f>IFERROR(VLOOKUP(Transaction[[#This Row],[ProductID_Clean]],Product[],1,FALSE),"Invalid ID")</f>
        <v>P-SI-007</v>
      </c>
      <c r="L203" t="str">
        <f>TRIM(SUBSTITUTE(SUBSTITUTE(SUBSTITUTE(SUBSTITUTE(UPPER(Transaction[[#This Row],[Region]]),"EMEA REGION","EMEA"),"APAC REGION","APAC"),"NORTH AMERICA","N. AMERICA"),"N .AMERICA","N.AMERICA"))</f>
        <v>EMEA</v>
      </c>
      <c r="M203" t="s">
        <v>87</v>
      </c>
      <c r="N203" t="s">
        <v>47</v>
      </c>
      <c r="O20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03" t="s">
        <v>22</v>
      </c>
      <c r="Q203" t="str">
        <f>IF(TRIM(Transaction[[#This Row],[SalesChannel]])="","Missing Value",TRIM(Transaction[[#This Row],[SalesChannel]]))</f>
        <v>Direct</v>
      </c>
      <c r="R203" s="4">
        <v>5</v>
      </c>
      <c r="S203" s="4" t="str">
        <f>IF(Transaction[[#This Row],[Quantity]]&lt;0,"Negative-review","Valid")</f>
        <v>Valid</v>
      </c>
      <c r="T203">
        <v>851.91</v>
      </c>
      <c r="U20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851.91</v>
      </c>
      <c r="V203">
        <v>980</v>
      </c>
      <c r="W203">
        <v>4900</v>
      </c>
      <c r="X20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</v>
      </c>
      <c r="Y203">
        <f>IF(Transaction[[#This Row],[GrossRevenue_Check]]="Invalid",Transaction[[#This Row],[ListPrice]]*Transaction[[#This Row],[Quantity]],Transaction[[#This Row],[GrossRevenue_Clean]])</f>
        <v>4900</v>
      </c>
      <c r="Z203" t="str">
        <f>IF(Transaction[[#This Row],[GrossRevenue_Clean]]=Transaction[[#This Row],[ListPrice]]*Transaction[[#This Row],[Quantity]],"Valid","Invalid")</f>
        <v>Valid</v>
      </c>
      <c r="AA203">
        <v>640.45000000000005</v>
      </c>
      <c r="AB20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640.45000000000005</v>
      </c>
      <c r="AC203">
        <f>IF(Transaction[[#This Row],[DiscountAmount_Check2]]="Invalid",Transaction[[#This Row],[GrossRevenue_Analytical]]-Transaction[[#This Row],[NetRevenue_Analytical]],Transaction[[#This Row],[DiscountAmount_Clean]])</f>
        <v>640.45000000000005</v>
      </c>
      <c r="AD203" t="s">
        <v>2766</v>
      </c>
      <c r="AE203" t="str">
        <f>IF(ROUND(Transaction[[#This Row],[GrossRevenue_Analytical]]-Transaction[[#This Row],[NetRevenue_Analytical]],2)=ROUND(Transaction[[#This Row],[DiscountAmount_Clean]],2),"Valid","Invalid")</f>
        <v>Valid</v>
      </c>
      <c r="AF203">
        <f>VALUE(IF(ISNUMBER(Transaction[[#This Row],[NetRevenue]]),Transaction[[#This Row],[NetRevenue]],IFERROR(IF(FIND("$",Transaction[[#This Row],[NetRevenue]])&gt;0,MID(Transaction[[#This Row],[NetRevenue]],2,10)),Transaction[[#This Row],[NetRevenue]])))</f>
        <v>4259.55</v>
      </c>
      <c r="AG203">
        <f>IF(Transaction[[#This Row],[NetRevenue_Check]]="Invalid",(Transaction[[#This Row],[Quantity]]*Transaction[[#This Row],[UnitPrice_Clean]]),Transaction[[#This Row],[NetRevenue_Clean]])</f>
        <v>4259.55</v>
      </c>
      <c r="AH203" t="str">
        <f>IF(Transaction[[#This Row],[Quantity]]*Transaction[[#This Row],[UnitPrice_Clean]]=Transaction[[#This Row],[NetRevenue_Clean]],"Valid","Invalid")</f>
        <v>Valid</v>
      </c>
      <c r="AI203" t="s">
        <v>23</v>
      </c>
      <c r="AJ203" t="s">
        <v>1685</v>
      </c>
      <c r="AK203" t="str">
        <f>IF(Transaction[[#This Row],[Salesperson]]="","Missing Value",TRIM(PROPER(Transaction[[#This Row],[Salesperson]])))</f>
        <v>Osborn</v>
      </c>
      <c r="AL203" t="s">
        <v>55</v>
      </c>
      <c r="AM203" t="str">
        <f>IF(Transaction[[#This Row],[ContractType]]="","Missing Value",Transaction[[#This Row],[ContractType]])</f>
        <v>Spot</v>
      </c>
      <c r="AN203" t="s">
        <v>35</v>
      </c>
    </row>
    <row r="204" spans="1:40" x14ac:dyDescent="0.25">
      <c r="A204" t="s">
        <v>2294</v>
      </c>
      <c r="B204" s="1">
        <v>45823</v>
      </c>
      <c r="C20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20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20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04" s="2">
        <f>IFERROR(DATE(Transaction[[#This Row],[TransactionDateY]],Transaction[[#This Row],[TransactionDateM]],Transaction[[#This Row],[TransactionDateD]]),"Missing Value")</f>
        <v>45823</v>
      </c>
      <c r="G204" t="s">
        <v>826</v>
      </c>
      <c r="H204" t="str">
        <f>IFERROR(VLOOKUP(Transaction[[#This Row],[CustomerID]],Custumer[],1,0),IF(LEN(Transaction[[#This Row],[CustomerID]])=7,LEFT(Transaction[[#This Row],[CustomerID]],6),"Invalid ID"))</f>
        <v>C-1182</v>
      </c>
      <c r="I204" t="s">
        <v>92</v>
      </c>
      <c r="J204" t="str">
        <f>TRIM(UPPER(Transaction[[#This Row],[ProductID]]))</f>
        <v>P-SI-008</v>
      </c>
      <c r="K204" t="str">
        <f>IFERROR(VLOOKUP(Transaction[[#This Row],[ProductID_Clean]],Product[],1,FALSE),"Invalid ID")</f>
        <v>P-SI-008</v>
      </c>
      <c r="L204" t="str">
        <f>TRIM(SUBSTITUTE(SUBSTITUTE(SUBSTITUTE(SUBSTITUTE(UPPER(Transaction[[#This Row],[Region]]),"EMEA REGION","EMEA"),"APAC REGION","APAC"),"NORTH AMERICA","N. AMERICA"),"N .AMERICA","N.AMERICA"))</f>
        <v>APAC</v>
      </c>
      <c r="M204" t="s">
        <v>30</v>
      </c>
      <c r="N204" t="s">
        <v>47</v>
      </c>
      <c r="O20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04" t="s">
        <v>22</v>
      </c>
      <c r="Q204" t="str">
        <f>IF(TRIM(Transaction[[#This Row],[SalesChannel]])="","Missing Value",TRIM(Transaction[[#This Row],[SalesChannel]]))</f>
        <v>Direct</v>
      </c>
      <c r="R204" s="4">
        <v>12</v>
      </c>
      <c r="S204" s="4" t="str">
        <f>IF(Transaction[[#This Row],[Quantity]]&lt;0,"Negative-review","Valid")</f>
        <v>Valid</v>
      </c>
      <c r="T204">
        <v>901.31</v>
      </c>
      <c r="U20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901.31</v>
      </c>
      <c r="V204">
        <v>950</v>
      </c>
      <c r="W204">
        <v>11400</v>
      </c>
      <c r="X20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11400</v>
      </c>
      <c r="Y204">
        <f>IF(Transaction[[#This Row],[GrossRevenue_Check]]="Invalid",Transaction[[#This Row],[ListPrice]]*Transaction[[#This Row],[Quantity]],Transaction[[#This Row],[GrossRevenue_Clean]])</f>
        <v>11400</v>
      </c>
      <c r="Z204" t="str">
        <f>IF(Transaction[[#This Row],[GrossRevenue_Clean]]=Transaction[[#This Row],[ListPrice]]*Transaction[[#This Row],[Quantity]],"Valid","Invalid")</f>
        <v>Valid</v>
      </c>
      <c r="AA204">
        <v>584.28</v>
      </c>
      <c r="AB20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584.28</v>
      </c>
      <c r="AC204">
        <f>IF(Transaction[[#This Row],[DiscountAmount_Check2]]="Invalid",Transaction[[#This Row],[GrossRevenue_Analytical]]-Transaction[[#This Row],[NetRevenue_Analytical]],Transaction[[#This Row],[DiscountAmount_Clean]])</f>
        <v>584.28</v>
      </c>
      <c r="AD204">
        <v>10815.72</v>
      </c>
      <c r="AE204" t="str">
        <f>IF(ROUND(Transaction[[#This Row],[GrossRevenue_Analytical]]-Transaction[[#This Row],[NetRevenue_Analytical]],2)=ROUND(Transaction[[#This Row],[DiscountAmount_Clean]],2),"Valid","Invalid")</f>
        <v>Valid</v>
      </c>
      <c r="AF20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10815.72</v>
      </c>
      <c r="AG204">
        <f>IF(Transaction[[#This Row],[NetRevenue_Check]]="Invalid",(Transaction[[#This Row],[Quantity]]*Transaction[[#This Row],[UnitPrice_Clean]]),Transaction[[#This Row],[NetRevenue_Clean]])</f>
        <v>10815.72</v>
      </c>
      <c r="AH204" t="str">
        <f>IF(Transaction[[#This Row],[Quantity]]*Transaction[[#This Row],[UnitPrice_Clean]]=Transaction[[#This Row],[NetRevenue_Clean]],"Valid","Invalid")</f>
        <v>Valid</v>
      </c>
      <c r="AI204" t="s">
        <v>23</v>
      </c>
      <c r="AJ204" t="s">
        <v>2295</v>
      </c>
      <c r="AK204" t="str">
        <f>IF(Transaction[[#This Row],[Salesperson]]="","Missing Value",TRIM(PROPER(Transaction[[#This Row],[Salesperson]])))</f>
        <v>Gaines</v>
      </c>
      <c r="AL204" t="s">
        <v>42</v>
      </c>
      <c r="AM204" t="str">
        <f>IF(Transaction[[#This Row],[ContractType]]="","Missing Value",Transaction[[#This Row],[ContractType]])</f>
        <v>Standard PO</v>
      </c>
      <c r="AN204" t="s">
        <v>65</v>
      </c>
    </row>
    <row r="205" spans="1:40" x14ac:dyDescent="0.25">
      <c r="A205" t="s">
        <v>2837</v>
      </c>
      <c r="B205" t="s">
        <v>2838</v>
      </c>
      <c r="C20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12</v>
      </c>
      <c r="D20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20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2024</v>
      </c>
      <c r="F205" s="2">
        <f>IFERROR(DATE(Transaction[[#This Row],[TransactionDateY]],Transaction[[#This Row],[TransactionDateM]],Transaction[[#This Row],[TransactionDateD]]),"Missing Value")</f>
        <v>45651</v>
      </c>
      <c r="G205" t="s">
        <v>157</v>
      </c>
      <c r="H205" t="str">
        <f>IFERROR(VLOOKUP(Transaction[[#This Row],[CustomerID]],Custumer[],1,0),IF(LEN(Transaction[[#This Row],[CustomerID]])=7,LEFT(Transaction[[#This Row],[CustomerID]],6),"Invalid ID"))</f>
        <v>C-1021</v>
      </c>
      <c r="I205" t="s">
        <v>29</v>
      </c>
      <c r="J205" t="str">
        <f>TRIM(UPPER(Transaction[[#This Row],[ProductID]]))</f>
        <v>P-SA-001</v>
      </c>
      <c r="K205" t="str">
        <f>IFERROR(VLOOKUP(Transaction[[#This Row],[ProductID_Clean]],Product[],1,FALSE),"Invalid ID")</f>
        <v>P-SA-001</v>
      </c>
      <c r="L205" t="str">
        <f>TRIM(SUBSTITUTE(SUBSTITUTE(SUBSTITUTE(SUBSTITUTE(UPPER(Transaction[[#This Row],[Region]]),"EMEA REGION","EMEA"),"APAC REGION","APAC"),"NORTH AMERICA","N. AMERICA"),"N .AMERICA","N.AMERICA"))</f>
        <v>EMEA</v>
      </c>
      <c r="M205" t="s">
        <v>87</v>
      </c>
      <c r="N205" t="s">
        <v>31</v>
      </c>
      <c r="O20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05" t="s">
        <v>22</v>
      </c>
      <c r="Q205" t="str">
        <f>IF(TRIM(Transaction[[#This Row],[SalesChannel]])="","Missing Value",TRIM(Transaction[[#This Row],[SalesChannel]]))</f>
        <v>Direct</v>
      </c>
      <c r="R205" s="4">
        <v>1</v>
      </c>
      <c r="S205" s="4" t="str">
        <f>IF(Transaction[[#This Row],[Quantity]]&lt;0,"Negative-review","Valid")</f>
        <v>Valid</v>
      </c>
      <c r="T205">
        <v>4015.94</v>
      </c>
      <c r="U20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4015.94</v>
      </c>
      <c r="V205">
        <v>4200</v>
      </c>
      <c r="W205">
        <v>4200</v>
      </c>
      <c r="X20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205">
        <f>IF(Transaction[[#This Row],[GrossRevenue_Check]]="Invalid",Transaction[[#This Row],[ListPrice]]*Transaction[[#This Row],[Quantity]],Transaction[[#This Row],[GrossRevenue_Clean]])</f>
        <v>4200</v>
      </c>
      <c r="Z205" t="str">
        <f>IF(Transaction[[#This Row],[GrossRevenue_Clean]]=Transaction[[#This Row],[ListPrice]]*Transaction[[#This Row],[Quantity]],"Valid","Invalid")</f>
        <v>Valid</v>
      </c>
      <c r="AA205">
        <v>184.06</v>
      </c>
      <c r="AB20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184.06</v>
      </c>
      <c r="AC205">
        <f>IF(Transaction[[#This Row],[DiscountAmount_Check2]]="Invalid",Transaction[[#This Row],[GrossRevenue_Analytical]]-Transaction[[#This Row],[NetRevenue_Analytical]],Transaction[[#This Row],[DiscountAmount_Clean]])</f>
        <v>184.06</v>
      </c>
      <c r="AD205">
        <v>4015.94</v>
      </c>
      <c r="AE205" t="str">
        <f>IF(ROUND(Transaction[[#This Row],[GrossRevenue_Analytical]]-Transaction[[#This Row],[NetRevenue_Analytical]],2)=ROUND(Transaction[[#This Row],[DiscountAmount_Clean]],2),"Valid","Invalid")</f>
        <v>Valid</v>
      </c>
      <c r="AF205">
        <f>VALUE(IF(ISNUMBER(Transaction[[#This Row],[NetRevenue]]),Transaction[[#This Row],[NetRevenue]],IFERROR(IF(FIND("$",Transaction[[#This Row],[NetRevenue]])&gt;0,MID(Transaction[[#This Row],[NetRevenue]],2,10)),Transaction[[#This Row],[NetRevenue]])))</f>
        <v>4015.94</v>
      </c>
      <c r="AG205">
        <f>IF(Transaction[[#This Row],[NetRevenue_Check]]="Invalid",(Transaction[[#This Row],[Quantity]]*Transaction[[#This Row],[UnitPrice_Clean]]),Transaction[[#This Row],[NetRevenue_Clean]])</f>
        <v>4015.94</v>
      </c>
      <c r="AH205" t="str">
        <f>IF(Transaction[[#This Row],[Quantity]]*Transaction[[#This Row],[UnitPrice_Clean]]=Transaction[[#This Row],[NetRevenue_Clean]],"Valid","Invalid")</f>
        <v>Valid</v>
      </c>
      <c r="AI205" t="s">
        <v>23</v>
      </c>
      <c r="AJ205" t="s">
        <v>1194</v>
      </c>
      <c r="AK205" t="str">
        <f>IF(Transaction[[#This Row],[Salesperson]]="","Missing Value",TRIM(PROPER(Transaction[[#This Row],[Salesperson]])))</f>
        <v>Thomas</v>
      </c>
      <c r="AM205" t="str">
        <f>IF(Transaction[[#This Row],[ContractType]]="","Missing Value",Transaction[[#This Row],[ContractType]])</f>
        <v>Missing Value</v>
      </c>
      <c r="AN205" t="s">
        <v>49</v>
      </c>
    </row>
    <row r="206" spans="1:40" x14ac:dyDescent="0.25">
      <c r="A206" t="s">
        <v>1546</v>
      </c>
      <c r="B206" s="1">
        <v>45785</v>
      </c>
      <c r="C20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20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20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06" s="2">
        <f>IFERROR(DATE(Transaction[[#This Row],[TransactionDateY]],Transaction[[#This Row],[TransactionDateM]],Transaction[[#This Row],[TransactionDateD]]),"Missing Value")</f>
        <v>45785</v>
      </c>
      <c r="G206" t="s">
        <v>1535</v>
      </c>
      <c r="H206" t="str">
        <f>IFERROR(VLOOKUP(Transaction[[#This Row],[CustomerID]],Custumer[],1,0),IF(LEN(Transaction[[#This Row],[CustomerID]])=7,LEFT(Transaction[[#This Row],[CustomerID]],6),"Invalid ID"))</f>
        <v>C-1141</v>
      </c>
      <c r="I206" t="s">
        <v>92</v>
      </c>
      <c r="J206" t="str">
        <f>TRIM(UPPER(Transaction[[#This Row],[ProductID]]))</f>
        <v>P-SI-008</v>
      </c>
      <c r="K206" t="str">
        <f>IFERROR(VLOOKUP(Transaction[[#This Row],[ProductID_Clean]],Product[],1,FALSE),"Invalid ID")</f>
        <v>P-SI-008</v>
      </c>
      <c r="L206" t="str">
        <f>TRIM(SUBSTITUTE(SUBSTITUTE(SUBSTITUTE(SUBSTITUTE(UPPER(Transaction[[#This Row],[Region]]),"EMEA REGION","EMEA"),"APAC REGION","APAC"),"NORTH AMERICA","N. AMERICA"),"N .AMERICA","N.AMERICA"))</f>
        <v>N. AMERICA</v>
      </c>
      <c r="M206" t="s">
        <v>204</v>
      </c>
      <c r="N206" t="s">
        <v>53</v>
      </c>
      <c r="O20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06" t="s">
        <v>173</v>
      </c>
      <c r="Q206" t="str">
        <f>IF(TRIM(Transaction[[#This Row],[SalesChannel]])="","Missing Value",TRIM(Transaction[[#This Row],[SalesChannel]]))</f>
        <v>Distributor</v>
      </c>
      <c r="R206" s="4">
        <v>1</v>
      </c>
      <c r="S206" s="4" t="str">
        <f>IF(Transaction[[#This Row],[Quantity]]&lt;0,"Negative-review","Valid")</f>
        <v>Valid</v>
      </c>
      <c r="T206">
        <v>757.37</v>
      </c>
      <c r="U20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757.37</v>
      </c>
      <c r="V206">
        <v>950</v>
      </c>
      <c r="W206">
        <v>950</v>
      </c>
      <c r="X20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206">
        <f>IF(Transaction[[#This Row],[GrossRevenue_Check]]="Invalid",Transaction[[#This Row],[ListPrice]]*Transaction[[#This Row],[Quantity]],Transaction[[#This Row],[GrossRevenue_Clean]])</f>
        <v>950</v>
      </c>
      <c r="Z206" t="str">
        <f>IF(Transaction[[#This Row],[GrossRevenue_Clean]]=Transaction[[#This Row],[ListPrice]]*Transaction[[#This Row],[Quantity]],"Valid","Invalid")</f>
        <v>Valid</v>
      </c>
      <c r="AA206" t="s">
        <v>1547</v>
      </c>
      <c r="AB20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192.63</v>
      </c>
      <c r="AC206">
        <f>IF(Transaction[[#This Row],[DiscountAmount_Check2]]="Invalid",Transaction[[#This Row],[GrossRevenue_Analytical]]-Transaction[[#This Row],[NetRevenue_Analytical]],Transaction[[#This Row],[DiscountAmount_Clean]])</f>
        <v>192.63</v>
      </c>
      <c r="AD206" t="s">
        <v>1548</v>
      </c>
      <c r="AE206" t="str">
        <f>IF(ROUND(Transaction[[#This Row],[GrossRevenue_Analytical]]-Transaction[[#This Row],[NetRevenue_Analytical]],2)=ROUND(Transaction[[#This Row],[DiscountAmount_Clean]],2),"Valid","Invalid")</f>
        <v>Valid</v>
      </c>
      <c r="AF206">
        <f>VALUE(IF(ISNUMBER(Transaction[[#This Row],[NetRevenue]]),Transaction[[#This Row],[NetRevenue]],IFERROR(IF(FIND("$",Transaction[[#This Row],[NetRevenue]])&gt;0,MID(Transaction[[#This Row],[NetRevenue]],2,10)),Transaction[[#This Row],[NetRevenue]])))</f>
        <v>757.37</v>
      </c>
      <c r="AG206">
        <f>IF(Transaction[[#This Row],[NetRevenue_Check]]="Invalid",(Transaction[[#This Row],[Quantity]]*Transaction[[#This Row],[UnitPrice_Clean]]),Transaction[[#This Row],[NetRevenue_Clean]])</f>
        <v>757.37</v>
      </c>
      <c r="AH206" t="str">
        <f>IF(Transaction[[#This Row],[Quantity]]*Transaction[[#This Row],[UnitPrice_Clean]]=Transaction[[#This Row],[NetRevenue_Clean]],"Valid","Invalid")</f>
        <v>Valid</v>
      </c>
      <c r="AI206" t="s">
        <v>23</v>
      </c>
      <c r="AJ206" t="s">
        <v>1549</v>
      </c>
      <c r="AK206" t="str">
        <f>IF(Transaction[[#This Row],[Salesperson]]="","Missing Value",TRIM(PROPER(Transaction[[#This Row],[Salesperson]])))</f>
        <v>Davis-Ap</v>
      </c>
      <c r="AL206" t="s">
        <v>42</v>
      </c>
      <c r="AM206" t="str">
        <f>IF(Transaction[[#This Row],[ContractType]]="","Missing Value",Transaction[[#This Row],[ContractType]])</f>
        <v>Standard PO</v>
      </c>
      <c r="AN206" t="s">
        <v>43</v>
      </c>
    </row>
    <row r="207" spans="1:40" x14ac:dyDescent="0.25">
      <c r="A207" t="s">
        <v>2992</v>
      </c>
      <c r="B207" s="1">
        <v>45732</v>
      </c>
      <c r="C20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20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20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07" s="2">
        <f>IFERROR(DATE(Transaction[[#This Row],[TransactionDateY]],Transaction[[#This Row],[TransactionDateM]],Transaction[[#This Row],[TransactionDateD]]),"Missing Value")</f>
        <v>45732</v>
      </c>
      <c r="G207" t="s">
        <v>214</v>
      </c>
      <c r="H207" t="str">
        <f>IFERROR(VLOOKUP(Transaction[[#This Row],[CustomerID]],Custumer[],1,0),IF(LEN(Transaction[[#This Row],[CustomerID]])=7,LEFT(Transaction[[#This Row],[CustomerID]],6),"Invalid ID"))</f>
        <v>C-1169</v>
      </c>
      <c r="I207" t="s">
        <v>62</v>
      </c>
      <c r="J207" t="str">
        <f>TRIM(UPPER(Transaction[[#This Row],[ProductID]]))</f>
        <v>P-SI-004</v>
      </c>
      <c r="K207" t="str">
        <f>IFERROR(VLOOKUP(Transaction[[#This Row],[ProductID_Clean]],Product[],1,FALSE),"Invalid ID")</f>
        <v>P-SI-004</v>
      </c>
      <c r="L207" t="str">
        <f>TRIM(SUBSTITUTE(SUBSTITUTE(SUBSTITUTE(SUBSTITUTE(UPPER(Transaction[[#This Row],[Region]]),"EMEA REGION","EMEA"),"APAC REGION","APAC"),"NORTH AMERICA","N. AMERICA"),"N .AMERICA","N.AMERICA"))</f>
        <v>EMEA</v>
      </c>
      <c r="M207" t="s">
        <v>177</v>
      </c>
      <c r="N207" t="s">
        <v>47</v>
      </c>
      <c r="O20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07" t="s">
        <v>40</v>
      </c>
      <c r="Q207" t="str">
        <f>IF(TRIM(Transaction[[#This Row],[SalesChannel]])="","Missing Value",TRIM(Transaction[[#This Row],[SalesChannel]]))</f>
        <v>Distributor</v>
      </c>
      <c r="R207" s="4">
        <v>3</v>
      </c>
      <c r="S207" s="4" t="str">
        <f>IF(Transaction[[#This Row],[Quantity]]&lt;0,"Negative-review","Valid")</f>
        <v>Valid</v>
      </c>
      <c r="T207">
        <v>1948.37</v>
      </c>
      <c r="U20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1948.37</v>
      </c>
      <c r="V207">
        <v>2450</v>
      </c>
      <c r="W207">
        <v>7350</v>
      </c>
      <c r="X20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7350</v>
      </c>
      <c r="Y207">
        <f>IF(Transaction[[#This Row],[GrossRevenue_Check]]="Invalid",Transaction[[#This Row],[ListPrice]]*Transaction[[#This Row],[Quantity]],Transaction[[#This Row],[GrossRevenue_Clean]])</f>
        <v>7350</v>
      </c>
      <c r="Z207" t="str">
        <f>IF(Transaction[[#This Row],[GrossRevenue_Clean]]=Transaction[[#This Row],[ListPrice]]*Transaction[[#This Row],[Quantity]],"Valid","Invalid")</f>
        <v>Valid</v>
      </c>
      <c r="AA207">
        <v>1504.89</v>
      </c>
      <c r="AB20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1504.89</v>
      </c>
      <c r="AC207">
        <f>IF(Transaction[[#This Row],[DiscountAmount_Check2]]="Invalid",Transaction[[#This Row],[GrossRevenue_Analytical]]-Transaction[[#This Row],[NetRevenue_Analytical]],Transaction[[#This Row],[DiscountAmount_Clean]])</f>
        <v>1504.89</v>
      </c>
      <c r="AD207">
        <v>5845.11</v>
      </c>
      <c r="AE207" t="str">
        <f>IF(ROUND(Transaction[[#This Row],[GrossRevenue_Analytical]]-Transaction[[#This Row],[NetRevenue_Analytical]],2)=ROUND(Transaction[[#This Row],[DiscountAmount_Clean]],2),"Valid","Invalid")</f>
        <v>Valid</v>
      </c>
      <c r="AF207">
        <f>VALUE(IF(ISNUMBER(Transaction[[#This Row],[NetRevenue]]),Transaction[[#This Row],[NetRevenue]],IFERROR(IF(FIND("$",Transaction[[#This Row],[NetRevenue]])&gt;0,MID(Transaction[[#This Row],[NetRevenue]],2,10)),Transaction[[#This Row],[NetRevenue]])))</f>
        <v>5845.11</v>
      </c>
      <c r="AG207">
        <f>IF(Transaction[[#This Row],[NetRevenue_Check]]="Invalid",(Transaction[[#This Row],[Quantity]]*Transaction[[#This Row],[UnitPrice_Clean]]),Transaction[[#This Row],[NetRevenue_Clean]])</f>
        <v>5845.11</v>
      </c>
      <c r="AH207" t="str">
        <f>IF(Transaction[[#This Row],[Quantity]]*Transaction[[#This Row],[UnitPrice_Clean]]=Transaction[[#This Row],[NetRevenue_Clean]],"Valid","Invalid")</f>
        <v>Valid</v>
      </c>
      <c r="AI207" t="s">
        <v>23</v>
      </c>
      <c r="AJ207" t="s">
        <v>2993</v>
      </c>
      <c r="AK207" t="str">
        <f>IF(Transaction[[#This Row],[Salesperson]]="","Missing Value",TRIM(PROPER(Transaction[[#This Row],[Salesperson]])))</f>
        <v>Santiago-Em</v>
      </c>
      <c r="AL207" t="s">
        <v>42</v>
      </c>
      <c r="AM207" t="str">
        <f>IF(Transaction[[#This Row],[ContractType]]="","Missing Value",Transaction[[#This Row],[ContractType]])</f>
        <v>Standard PO</v>
      </c>
      <c r="AN207" t="s">
        <v>49</v>
      </c>
    </row>
    <row r="208" spans="1:40" x14ac:dyDescent="0.25">
      <c r="A208" t="s">
        <v>2863</v>
      </c>
      <c r="B208" s="1">
        <v>45838</v>
      </c>
      <c r="C20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20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20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08" s="2">
        <f>IFERROR(DATE(Transaction[[#This Row],[TransactionDateY]],Transaction[[#This Row],[TransactionDateM]],Transaction[[#This Row],[TransactionDateD]]),"Missing Value")</f>
        <v>45838</v>
      </c>
      <c r="G208" t="s">
        <v>289</v>
      </c>
      <c r="H208" t="str">
        <f>IFERROR(VLOOKUP(Transaction[[#This Row],[CustomerID]],Custumer[],1,0),IF(LEN(Transaction[[#This Row],[CustomerID]])=7,LEFT(Transaction[[#This Row],[CustomerID]],6),"Invalid ID"))</f>
        <v>C-1081</v>
      </c>
      <c r="I208" t="s">
        <v>52</v>
      </c>
      <c r="J208" t="str">
        <f>TRIM(UPPER(Transaction[[#This Row],[ProductID]]))</f>
        <v>P-SI-002</v>
      </c>
      <c r="K208" t="str">
        <f>IFERROR(VLOOKUP(Transaction[[#This Row],[ProductID_Clean]],Product[],1,FALSE),"Invalid ID")</f>
        <v>P-SI-002</v>
      </c>
      <c r="L208" t="str">
        <f>TRIM(SUBSTITUTE(SUBSTITUTE(SUBSTITUTE(SUBSTITUTE(UPPER(Transaction[[#This Row],[Region]]),"EMEA REGION","EMEA"),"APAC REGION","APAC"),"NORTH AMERICA","N. AMERICA"),"N .AMERICA","N.AMERICA"))</f>
        <v>LATIN AMERICA</v>
      </c>
      <c r="M208" t="s">
        <v>82</v>
      </c>
      <c r="N208" t="s">
        <v>47</v>
      </c>
      <c r="O20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08" t="s">
        <v>22</v>
      </c>
      <c r="Q208" t="str">
        <f>IF(TRIM(Transaction[[#This Row],[SalesChannel]])="","Missing Value",TRIM(Transaction[[#This Row],[SalesChannel]]))</f>
        <v>Direct</v>
      </c>
      <c r="R208" s="4">
        <v>12</v>
      </c>
      <c r="S208" s="4" t="str">
        <f>IF(Transaction[[#This Row],[Quantity]]&lt;0,"Negative-review","Valid")</f>
        <v>Valid</v>
      </c>
      <c r="T208">
        <v>662.73</v>
      </c>
      <c r="U20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662.73</v>
      </c>
      <c r="V208">
        <v>725</v>
      </c>
      <c r="W208">
        <v>8700</v>
      </c>
      <c r="X20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8700</v>
      </c>
      <c r="Y208">
        <f>IF(Transaction[[#This Row],[GrossRevenue_Check]]="Invalid",Transaction[[#This Row],[ListPrice]]*Transaction[[#This Row],[Quantity]],Transaction[[#This Row],[GrossRevenue_Clean]])</f>
        <v>8700</v>
      </c>
      <c r="Z208" t="str">
        <f>IF(Transaction[[#This Row],[GrossRevenue_Clean]]=Transaction[[#This Row],[ListPrice]]*Transaction[[#This Row],[Quantity]],"Valid","Invalid")</f>
        <v>Valid</v>
      </c>
      <c r="AA208">
        <v>747.24</v>
      </c>
      <c r="AB20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747.24</v>
      </c>
      <c r="AC208">
        <f>IF(Transaction[[#This Row],[DiscountAmount_Check2]]="Invalid",Transaction[[#This Row],[GrossRevenue_Analytical]]-Transaction[[#This Row],[NetRevenue_Analytical]],Transaction[[#This Row],[DiscountAmount_Clean]])</f>
        <v>747.24</v>
      </c>
      <c r="AD208">
        <v>7952.76</v>
      </c>
      <c r="AE208" t="str">
        <f>IF(ROUND(Transaction[[#This Row],[GrossRevenue_Analytical]]-Transaction[[#This Row],[NetRevenue_Analytical]],2)=ROUND(Transaction[[#This Row],[DiscountAmount_Clean]],2),"Valid","Invalid")</f>
        <v>Valid</v>
      </c>
      <c r="AF208">
        <f>VALUE(IF(ISNUMBER(Transaction[[#This Row],[NetRevenue]]),Transaction[[#This Row],[NetRevenue]],IFERROR(IF(FIND("$",Transaction[[#This Row],[NetRevenue]])&gt;0,MID(Transaction[[#This Row],[NetRevenue]],2,10)),Transaction[[#This Row],[NetRevenue]])))</f>
        <v>7952.76</v>
      </c>
      <c r="AG208">
        <f>IF(Transaction[[#This Row],[NetRevenue_Check]]="Invalid",(Transaction[[#This Row],[Quantity]]*Transaction[[#This Row],[UnitPrice_Clean]]),Transaction[[#This Row],[NetRevenue_Clean]])</f>
        <v>7952.76</v>
      </c>
      <c r="AH208" t="str">
        <f>IF(Transaction[[#This Row],[Quantity]]*Transaction[[#This Row],[UnitPrice_Clean]]=Transaction[[#This Row],[NetRevenue_Clean]],"Valid","Invalid")</f>
        <v>Valid</v>
      </c>
      <c r="AI208" t="s">
        <v>23</v>
      </c>
      <c r="AJ208" t="s">
        <v>2864</v>
      </c>
      <c r="AK208" t="str">
        <f>IF(Transaction[[#This Row],[Salesperson]]="","Missing Value",TRIM(PROPER(Transaction[[#This Row],[Salesperson]])))</f>
        <v>Romero-Na</v>
      </c>
      <c r="AL208" t="s">
        <v>42</v>
      </c>
      <c r="AM208" t="str">
        <f>IF(Transaction[[#This Row],[ContractType]]="","Missing Value",Transaction[[#This Row],[ContractType]])</f>
        <v>Standard PO</v>
      </c>
      <c r="AN208" t="s">
        <v>49</v>
      </c>
    </row>
    <row r="209" spans="1:40" x14ac:dyDescent="0.25">
      <c r="A209" t="s">
        <v>2688</v>
      </c>
      <c r="B209" s="1">
        <v>45778</v>
      </c>
      <c r="C20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20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20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09" s="2">
        <f>IFERROR(DATE(Transaction[[#This Row],[TransactionDateY]],Transaction[[#This Row],[TransactionDateM]],Transaction[[#This Row],[TransactionDateD]]),"Missing Value")</f>
        <v>45778</v>
      </c>
      <c r="G209" t="s">
        <v>329</v>
      </c>
      <c r="H209" t="str">
        <f>IFERROR(VLOOKUP(Transaction[[#This Row],[CustomerID]],Custumer[],1,0),IF(LEN(Transaction[[#This Row],[CustomerID]])=7,LEFT(Transaction[[#This Row],[CustomerID]],6),"Invalid ID"))</f>
        <v>C-1145</v>
      </c>
      <c r="I209" t="s">
        <v>46</v>
      </c>
      <c r="J209" t="str">
        <f>TRIM(UPPER(Transaction[[#This Row],[ProductID]]))</f>
        <v>P-SI-006</v>
      </c>
      <c r="K209" t="str">
        <f>IFERROR(VLOOKUP(Transaction[[#This Row],[ProductID_Clean]],Product[],1,FALSE),"Invalid ID")</f>
        <v>P-SI-006</v>
      </c>
      <c r="L209" t="str">
        <f>TRIM(SUBSTITUTE(SUBSTITUTE(SUBSTITUTE(SUBSTITUTE(UPPER(Transaction[[#This Row],[Region]]),"EMEA REGION","EMEA"),"APAC REGION","APAC"),"NORTH AMERICA","N. AMERICA"),"N .AMERICA","N.AMERICA"))</f>
        <v>N. AMERICA</v>
      </c>
      <c r="M209" t="s">
        <v>168</v>
      </c>
      <c r="N209" t="s">
        <v>53</v>
      </c>
      <c r="O20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09" t="s">
        <v>93</v>
      </c>
      <c r="Q209" t="str">
        <f>IF(TRIM(Transaction[[#This Row],[SalesChannel]])="","Missing Value",TRIM(Transaction[[#This Row],[SalesChannel]]))</f>
        <v>direct</v>
      </c>
      <c r="R209" s="4">
        <v>3</v>
      </c>
      <c r="S209" s="4" t="str">
        <f>IF(Transaction[[#This Row],[Quantity]]&lt;0,"Negative-review","Valid")</f>
        <v>Valid</v>
      </c>
      <c r="T209">
        <v>175.44</v>
      </c>
      <c r="U20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175.44</v>
      </c>
      <c r="V209">
        <v>215</v>
      </c>
      <c r="W209" t="s">
        <v>2689</v>
      </c>
      <c r="X20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209">
        <f>IF(Transaction[[#This Row],[GrossRevenue_Check]]="Invalid",Transaction[[#This Row],[ListPrice]]*Transaction[[#This Row],[Quantity]],Transaction[[#This Row],[GrossRevenue_Clean]])</f>
        <v>645</v>
      </c>
      <c r="Z209" t="str">
        <f>IF(Transaction[[#This Row],[GrossRevenue_Clean]]=Transaction[[#This Row],[ListPrice]]*Transaction[[#This Row],[Quantity]],"Valid","Invalid")</f>
        <v>Valid</v>
      </c>
      <c r="AA209" t="s">
        <v>2690</v>
      </c>
      <c r="AB20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118.68</v>
      </c>
      <c r="AC209">
        <f>IF(Transaction[[#This Row],[DiscountAmount_Check2]]="Invalid",Transaction[[#This Row],[GrossRevenue_Analytical]]-Transaction[[#This Row],[NetRevenue_Analytical]],Transaction[[#This Row],[DiscountAmount_Clean]])</f>
        <v>118.68</v>
      </c>
      <c r="AD209">
        <v>526.32000000000005</v>
      </c>
      <c r="AE209" t="str">
        <f>IF(ROUND(Transaction[[#This Row],[GrossRevenue_Analytical]]-Transaction[[#This Row],[NetRevenue_Analytical]],2)=ROUND(Transaction[[#This Row],[DiscountAmount_Clean]],2),"Valid","Invalid")</f>
        <v>Valid</v>
      </c>
      <c r="AF209">
        <f>VALUE(IF(ISNUMBER(Transaction[[#This Row],[NetRevenue]]),Transaction[[#This Row],[NetRevenue]],IFERROR(IF(FIND("$",Transaction[[#This Row],[NetRevenue]])&gt;0,MID(Transaction[[#This Row],[NetRevenue]],2,10)),Transaction[[#This Row],[NetRevenue]])))</f>
        <v>526.32000000000005</v>
      </c>
      <c r="AG209">
        <f>IF(Transaction[[#This Row],[NetRevenue_Check]]="Invalid",(Transaction[[#This Row],[Quantity]]*Transaction[[#This Row],[UnitPrice_Clean]]),Transaction[[#This Row],[NetRevenue_Clean]])</f>
        <v>526.32000000000005</v>
      </c>
      <c r="AH209" t="str">
        <f>IF(Transaction[[#This Row],[Quantity]]*Transaction[[#This Row],[UnitPrice_Clean]]=Transaction[[#This Row],[NetRevenue_Clean]],"Valid","Invalid")</f>
        <v>Valid</v>
      </c>
      <c r="AI209" t="s">
        <v>23</v>
      </c>
      <c r="AJ209" t="s">
        <v>465</v>
      </c>
      <c r="AK209" t="str">
        <f>IF(Transaction[[#This Row],[Salesperson]]="","Missing Value",TRIM(PROPER(Transaction[[#This Row],[Salesperson]])))</f>
        <v>Smith</v>
      </c>
      <c r="AL209" t="s">
        <v>42</v>
      </c>
      <c r="AM209" t="str">
        <f>IF(Transaction[[#This Row],[ContractType]]="","Missing Value",Transaction[[#This Row],[ContractType]])</f>
        <v>Standard PO</v>
      </c>
      <c r="AN209" t="s">
        <v>65</v>
      </c>
    </row>
    <row r="210" spans="1:40" x14ac:dyDescent="0.25">
      <c r="A210" t="s">
        <v>306</v>
      </c>
      <c r="B210" t="s">
        <v>307</v>
      </c>
      <c r="C21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21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21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10" s="2">
        <f>IFERROR(DATE(Transaction[[#This Row],[TransactionDateY]],Transaction[[#This Row],[TransactionDateM]],Transaction[[#This Row],[TransactionDateD]]),"Missing Value")</f>
        <v>45774</v>
      </c>
      <c r="G210" t="s">
        <v>257</v>
      </c>
      <c r="H210" t="str">
        <f>IFERROR(VLOOKUP(Transaction[[#This Row],[CustomerID]],Custumer[],1,0),IF(LEN(Transaction[[#This Row],[CustomerID]])=7,LEFT(Transaction[[#This Row],[CustomerID]],6),"Invalid ID"))</f>
        <v>C-1154</v>
      </c>
      <c r="I210" t="s">
        <v>39</v>
      </c>
      <c r="J210" t="str">
        <f>TRIM(UPPER(Transaction[[#This Row],[ProductID]]))</f>
        <v>P-FS-006</v>
      </c>
      <c r="K210" t="str">
        <f>IFERROR(VLOOKUP(Transaction[[#This Row],[ProductID_Clean]],Product[],1,FALSE),"Invalid ID")</f>
        <v>P-FS-006</v>
      </c>
      <c r="L210" t="str">
        <f>TRIM(SUBSTITUTE(SUBSTITUTE(SUBSTITUTE(SUBSTITUTE(UPPER(Transaction[[#This Row],[Region]]),"EMEA REGION","EMEA"),"APAC REGION","APAC"),"NORTH AMERICA","N. AMERICA"),"N .AMERICA","N.AMERICA"))</f>
        <v>APAC</v>
      </c>
      <c r="M210" t="s">
        <v>122</v>
      </c>
      <c r="N210" t="s">
        <v>21</v>
      </c>
      <c r="O210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210" t="s">
        <v>22</v>
      </c>
      <c r="Q210" t="str">
        <f>IF(TRIM(Transaction[[#This Row],[SalesChannel]])="","Missing Value",TRIM(Transaction[[#This Row],[SalesChannel]]))</f>
        <v>Direct</v>
      </c>
      <c r="R210" s="4">
        <v>1</v>
      </c>
      <c r="S210" s="4" t="str">
        <f>IF(Transaction[[#This Row],[Quantity]]&lt;0,"Negative-review","Valid")</f>
        <v>Valid</v>
      </c>
      <c r="T210">
        <v>1223.3699999999999</v>
      </c>
      <c r="U21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1223.3699999999999</v>
      </c>
      <c r="V210">
        <v>1450</v>
      </c>
      <c r="W210">
        <v>1450</v>
      </c>
      <c r="X21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210">
        <f>IF(Transaction[[#This Row],[GrossRevenue_Check]]="Invalid",Transaction[[#This Row],[ListPrice]]*Transaction[[#This Row],[Quantity]],Transaction[[#This Row],[GrossRevenue_Clean]])</f>
        <v>1450</v>
      </c>
      <c r="Z210" t="str">
        <f>IF(Transaction[[#This Row],[GrossRevenue_Clean]]=Transaction[[#This Row],[ListPrice]]*Transaction[[#This Row],[Quantity]],"Valid","Invalid")</f>
        <v>Valid</v>
      </c>
      <c r="AA210">
        <v>226.63</v>
      </c>
      <c r="AB21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226.63</v>
      </c>
      <c r="AC210">
        <f>IF(Transaction[[#This Row],[DiscountAmount_Check2]]="Invalid",Transaction[[#This Row],[GrossRevenue_Analytical]]-Transaction[[#This Row],[NetRevenue_Analytical]],Transaction[[#This Row],[DiscountAmount_Clean]])</f>
        <v>226.63</v>
      </c>
      <c r="AD210" t="s">
        <v>308</v>
      </c>
      <c r="AE210" t="str">
        <f>IF(ROUND(Transaction[[#This Row],[GrossRevenue_Analytical]]-Transaction[[#This Row],[NetRevenue_Analytical]],2)=ROUND(Transaction[[#This Row],[DiscountAmount_Clean]],2),"Valid","Invalid")</f>
        <v>Valid</v>
      </c>
      <c r="AF21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1223.3699999999999</v>
      </c>
      <c r="AG210">
        <f>IF(Transaction[[#This Row],[NetRevenue_Check]]="Invalid",(Transaction[[#This Row],[Quantity]]*Transaction[[#This Row],[UnitPrice_Clean]]),Transaction[[#This Row],[NetRevenue_Clean]])</f>
        <v>1223.3699999999999</v>
      </c>
      <c r="AH210" t="str">
        <f>IF(Transaction[[#This Row],[Quantity]]*Transaction[[#This Row],[UnitPrice_Clean]]=Transaction[[#This Row],[NetRevenue_Clean]],"Valid","Invalid")</f>
        <v>Valid</v>
      </c>
      <c r="AI210" t="s">
        <v>23</v>
      </c>
      <c r="AJ210" t="s">
        <v>230</v>
      </c>
      <c r="AK210" t="str">
        <f>IF(Transaction[[#This Row],[Salesperson]]="","Missing Value",TRIM(PROPER(Transaction[[#This Row],[Salesperson]])))</f>
        <v>Parker-Na</v>
      </c>
      <c r="AL210" t="s">
        <v>55</v>
      </c>
      <c r="AM210" t="str">
        <f>IF(Transaction[[#This Row],[ContractType]]="","Missing Value",Transaction[[#This Row],[ContractType]])</f>
        <v>Spot</v>
      </c>
      <c r="AN210" t="s">
        <v>35</v>
      </c>
    </row>
    <row r="211" spans="1:40" x14ac:dyDescent="0.25">
      <c r="A211" t="s">
        <v>839</v>
      </c>
      <c r="B211" s="1">
        <v>45706</v>
      </c>
      <c r="C21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21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21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11" s="2">
        <f>IFERROR(DATE(Transaction[[#This Row],[TransactionDateY]],Transaction[[#This Row],[TransactionDateM]],Transaction[[#This Row],[TransactionDateD]]),"Missing Value")</f>
        <v>45706</v>
      </c>
      <c r="G211" t="s">
        <v>276</v>
      </c>
      <c r="H211" t="str">
        <f>IFERROR(VLOOKUP(Transaction[[#This Row],[CustomerID]],Custumer[],1,0),IF(LEN(Transaction[[#This Row],[CustomerID]])=7,LEFT(Transaction[[#This Row],[CustomerID]],6),"Invalid ID"))</f>
        <v>C-1129</v>
      </c>
      <c r="I211" t="s">
        <v>39</v>
      </c>
      <c r="J211" t="str">
        <f>TRIM(UPPER(Transaction[[#This Row],[ProductID]]))</f>
        <v>P-FS-006</v>
      </c>
      <c r="K211" t="str">
        <f>IFERROR(VLOOKUP(Transaction[[#This Row],[ProductID_Clean]],Product[],1,FALSE),"Invalid ID")</f>
        <v>P-FS-006</v>
      </c>
      <c r="L211" t="str">
        <f>TRIM(SUBSTITUTE(SUBSTITUTE(SUBSTITUTE(SUBSTITUTE(UPPER(Transaction[[#This Row],[Region]]),"EMEA REGION","EMEA"),"APAC REGION","APAC"),"NORTH AMERICA","N. AMERICA"),"N .AMERICA","N.AMERICA"))</f>
        <v>N. AMERICA</v>
      </c>
      <c r="M211" t="s">
        <v>20</v>
      </c>
      <c r="N211" t="s">
        <v>21</v>
      </c>
      <c r="O211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211" t="s">
        <v>32</v>
      </c>
      <c r="Q211" t="str">
        <f>IF(TRIM(Transaction[[#This Row],[SalesChannel]])="","Missing Value",TRIM(Transaction[[#This Row],[SalesChannel]]))</f>
        <v>Direct</v>
      </c>
      <c r="R211" s="4">
        <v>1</v>
      </c>
      <c r="S211" s="4" t="str">
        <f>IF(Transaction[[#This Row],[Quantity]]&lt;0,"Negative-review","Valid")</f>
        <v>Valid</v>
      </c>
      <c r="T211">
        <v>1344.88</v>
      </c>
      <c r="U21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1344.88</v>
      </c>
      <c r="V211">
        <v>1450</v>
      </c>
      <c r="W211">
        <v>1450</v>
      </c>
      <c r="X21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211">
        <f>IF(Transaction[[#This Row],[GrossRevenue_Check]]="Invalid",Transaction[[#This Row],[ListPrice]]*Transaction[[#This Row],[Quantity]],Transaction[[#This Row],[GrossRevenue_Clean]])</f>
        <v>1450</v>
      </c>
      <c r="Z211" t="str">
        <f>IF(Transaction[[#This Row],[GrossRevenue_Clean]]=Transaction[[#This Row],[ListPrice]]*Transaction[[#This Row],[Quantity]],"Valid","Invalid")</f>
        <v>Valid</v>
      </c>
      <c r="AA211">
        <v>105.12</v>
      </c>
      <c r="AB21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105.12</v>
      </c>
      <c r="AC211">
        <f>IF(Transaction[[#This Row],[DiscountAmount_Check2]]="Invalid",Transaction[[#This Row],[GrossRevenue_Analytical]]-Transaction[[#This Row],[NetRevenue_Analytical]],Transaction[[#This Row],[DiscountAmount_Clean]])</f>
        <v>105.12</v>
      </c>
      <c r="AD211">
        <v>1344.88</v>
      </c>
      <c r="AE211" t="str">
        <f>IF(ROUND(Transaction[[#This Row],[GrossRevenue_Analytical]]-Transaction[[#This Row],[NetRevenue_Analytical]],2)=ROUND(Transaction[[#This Row],[DiscountAmount_Clean]],2),"Valid","Invalid")</f>
        <v>Valid</v>
      </c>
      <c r="AF21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1344.88</v>
      </c>
      <c r="AG211">
        <f>IF(Transaction[[#This Row],[NetRevenue_Check]]="Invalid",(Transaction[[#This Row],[Quantity]]*Transaction[[#This Row],[UnitPrice_Clean]]),Transaction[[#This Row],[NetRevenue_Clean]])</f>
        <v>1344.88</v>
      </c>
      <c r="AH211" t="str">
        <f>IF(Transaction[[#This Row],[Quantity]]*Transaction[[#This Row],[UnitPrice_Clean]]=Transaction[[#This Row],[NetRevenue_Clean]],"Valid","Invalid")</f>
        <v>Valid</v>
      </c>
      <c r="AI211" t="s">
        <v>23</v>
      </c>
      <c r="AJ211" t="s">
        <v>840</v>
      </c>
      <c r="AK211" t="str">
        <f>IF(Transaction[[#This Row],[Salesperson]]="","Missing Value",TRIM(PROPER(Transaction[[#This Row],[Salesperson]])))</f>
        <v>Bean-Em</v>
      </c>
      <c r="AL211" t="s">
        <v>42</v>
      </c>
      <c r="AM211" t="str">
        <f>IF(Transaction[[#This Row],[ContractType]]="","Missing Value",Transaction[[#This Row],[ContractType]])</f>
        <v>Standard PO</v>
      </c>
      <c r="AN211" t="s">
        <v>49</v>
      </c>
    </row>
    <row r="212" spans="1:40" x14ac:dyDescent="0.25">
      <c r="A212" t="s">
        <v>296</v>
      </c>
      <c r="C21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21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21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212" s="2" t="str">
        <f>IFERROR(DATE(Transaction[[#This Row],[TransactionDateY]],Transaction[[#This Row],[TransactionDateM]],Transaction[[#This Row],[TransactionDateD]]),"Missing Value")</f>
        <v>Missing Value</v>
      </c>
      <c r="G212" t="s">
        <v>297</v>
      </c>
      <c r="H212" t="str">
        <f>IFERROR(VLOOKUP(Transaction[[#This Row],[CustomerID]],Custumer[],1,0),IF(LEN(Transaction[[#This Row],[CustomerID]])=7,LEFT(Transaction[[#This Row],[CustomerID]],6),"Invalid ID"))</f>
        <v>C-1181</v>
      </c>
      <c r="I212" t="s">
        <v>52</v>
      </c>
      <c r="J212" t="str">
        <f>TRIM(UPPER(Transaction[[#This Row],[ProductID]]))</f>
        <v>P-SI-002</v>
      </c>
      <c r="K212" t="str">
        <f>IFERROR(VLOOKUP(Transaction[[#This Row],[ProductID_Clean]],Product[],1,FALSE),"Invalid ID")</f>
        <v>P-SI-002</v>
      </c>
      <c r="L212" t="str">
        <f>TRIM(SUBSTITUTE(SUBSTITUTE(SUBSTITUTE(SUBSTITUTE(UPPER(Transaction[[#This Row],[Region]]),"EMEA REGION","EMEA"),"APAC REGION","APAC"),"NORTH AMERICA","N. AMERICA"),"N .AMERICA","N.AMERICA"))</f>
        <v>N. AMERICA</v>
      </c>
      <c r="M212" t="s">
        <v>20</v>
      </c>
      <c r="N212" t="s">
        <v>53</v>
      </c>
      <c r="O21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12" t="s">
        <v>181</v>
      </c>
      <c r="Q212" t="str">
        <f>IF(TRIM(Transaction[[#This Row],[SalesChannel]])="","Missing Value",TRIM(Transaction[[#This Row],[SalesChannel]]))</f>
        <v>Partner Portal</v>
      </c>
      <c r="R212" s="4">
        <v>5</v>
      </c>
      <c r="S212" s="4" t="str">
        <f>IF(Transaction[[#This Row],[Quantity]]&lt;0,"Negative-review","Valid")</f>
        <v>Valid</v>
      </c>
      <c r="T212">
        <v>574.11</v>
      </c>
      <c r="U21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574.11</v>
      </c>
      <c r="V212">
        <v>725</v>
      </c>
      <c r="W212">
        <v>3625</v>
      </c>
      <c r="X21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3625</v>
      </c>
      <c r="Y212">
        <f>IF(Transaction[[#This Row],[GrossRevenue_Check]]="Invalid",Transaction[[#This Row],[ListPrice]]*Transaction[[#This Row],[Quantity]],Transaction[[#This Row],[GrossRevenue_Clean]])</f>
        <v>3625</v>
      </c>
      <c r="Z212" t="str">
        <f>IF(Transaction[[#This Row],[GrossRevenue_Clean]]=Transaction[[#This Row],[ListPrice]]*Transaction[[#This Row],[Quantity]],"Valid","Invalid")</f>
        <v>Valid</v>
      </c>
      <c r="AA212">
        <v>754.45</v>
      </c>
      <c r="AB21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754.45</v>
      </c>
      <c r="AC212">
        <f>IF(Transaction[[#This Row],[DiscountAmount_Check2]]="Invalid",Transaction[[#This Row],[GrossRevenue_Analytical]]-Transaction[[#This Row],[NetRevenue_Analytical]],Transaction[[#This Row],[DiscountAmount_Clean]])</f>
        <v>754.45</v>
      </c>
      <c r="AD212">
        <v>2870.55</v>
      </c>
      <c r="AE212" t="str">
        <f>IF(ROUND(Transaction[[#This Row],[GrossRevenue_Analytical]]-Transaction[[#This Row],[NetRevenue_Analytical]],2)=ROUND(Transaction[[#This Row],[DiscountAmount_Clean]],2),"Valid","Invalid")</f>
        <v>Valid</v>
      </c>
      <c r="AF21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2870.55</v>
      </c>
      <c r="AG212">
        <f>IF(Transaction[[#This Row],[NetRevenue_Check]]="Invalid",(Transaction[[#This Row],[Quantity]]*Transaction[[#This Row],[UnitPrice_Clean]]),Transaction[[#This Row],[NetRevenue_Clean]])</f>
        <v>2870.55</v>
      </c>
      <c r="AH212" t="str">
        <f>IF(Transaction[[#This Row],[Quantity]]*Transaction[[#This Row],[UnitPrice_Clean]]=Transaction[[#This Row],[NetRevenue_Clean]],"Valid","Invalid")</f>
        <v>Valid</v>
      </c>
      <c r="AI212" t="s">
        <v>23</v>
      </c>
      <c r="AJ212" t="s">
        <v>298</v>
      </c>
      <c r="AK212" t="str">
        <f>IF(Transaction[[#This Row],[Salesperson]]="","Missing Value",TRIM(PROPER(Transaction[[#This Row],[Salesperson]])))</f>
        <v>Peterson-Ap</v>
      </c>
      <c r="AL212" t="s">
        <v>55</v>
      </c>
      <c r="AM212" t="str">
        <f>IF(Transaction[[#This Row],[ContractType]]="","Missing Value",Transaction[[#This Row],[ContractType]])</f>
        <v>Spot</v>
      </c>
      <c r="AN212" t="s">
        <v>49</v>
      </c>
    </row>
    <row r="213" spans="1:40" x14ac:dyDescent="0.25">
      <c r="A213" t="s">
        <v>1332</v>
      </c>
      <c r="B213" s="1">
        <v>45692</v>
      </c>
      <c r="C21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21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21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13" s="2">
        <f>IFERROR(DATE(Transaction[[#This Row],[TransactionDateY]],Transaction[[#This Row],[TransactionDateM]],Transaction[[#This Row],[TransactionDateD]]),"Missing Value")</f>
        <v>45692</v>
      </c>
      <c r="G213" t="s">
        <v>38</v>
      </c>
      <c r="H213" t="str">
        <f>IFERROR(VLOOKUP(Transaction[[#This Row],[CustomerID]],Custumer[],1,0),IF(LEN(Transaction[[#This Row],[CustomerID]])=7,LEFT(Transaction[[#This Row],[CustomerID]],6),"Invalid ID"))</f>
        <v>C-1027</v>
      </c>
      <c r="I213" t="s">
        <v>117</v>
      </c>
      <c r="J213" t="str">
        <f>TRIM(UPPER(Transaction[[#This Row],[ProductID]]))</f>
        <v>P-SI-007</v>
      </c>
      <c r="K213" t="str">
        <f>IFERROR(VLOOKUP(Transaction[[#This Row],[ProductID_Clean]],Product[],1,FALSE),"Invalid ID")</f>
        <v>P-SI-007</v>
      </c>
      <c r="L213" t="str">
        <f>TRIM(SUBSTITUTE(SUBSTITUTE(SUBSTITUTE(SUBSTITUTE(UPPER(Transaction[[#This Row],[Region]]),"EMEA REGION","EMEA"),"APAC REGION","APAC"),"NORTH AMERICA","N. AMERICA"),"N .AMERICA","N.AMERICA"))</f>
        <v>N. AMERICA</v>
      </c>
      <c r="M213" t="s">
        <v>20</v>
      </c>
      <c r="N213" t="s">
        <v>53</v>
      </c>
      <c r="O21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13" t="s">
        <v>40</v>
      </c>
      <c r="Q213" t="str">
        <f>IF(TRIM(Transaction[[#This Row],[SalesChannel]])="","Missing Value",TRIM(Transaction[[#This Row],[SalesChannel]]))</f>
        <v>Distributor</v>
      </c>
      <c r="R213" s="4">
        <v>4</v>
      </c>
      <c r="S213" s="4" t="str">
        <f>IF(Transaction[[#This Row],[Quantity]]&lt;0,"Negative-review","Valid")</f>
        <v>Valid</v>
      </c>
      <c r="T213">
        <v>762.51</v>
      </c>
      <c r="U21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762.51</v>
      </c>
      <c r="V213">
        <v>980</v>
      </c>
      <c r="W213">
        <v>3920</v>
      </c>
      <c r="X21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3920</v>
      </c>
      <c r="Y213">
        <f>IF(Transaction[[#This Row],[GrossRevenue_Check]]="Invalid",Transaction[[#This Row],[ListPrice]]*Transaction[[#This Row],[Quantity]],Transaction[[#This Row],[GrossRevenue_Clean]])</f>
        <v>3920</v>
      </c>
      <c r="Z213" t="str">
        <f>IF(Transaction[[#This Row],[GrossRevenue_Clean]]=Transaction[[#This Row],[ListPrice]]*Transaction[[#This Row],[Quantity]],"Valid","Invalid")</f>
        <v>Valid</v>
      </c>
      <c r="AA213">
        <v>869.96</v>
      </c>
      <c r="AB21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869.96</v>
      </c>
      <c r="AC213">
        <f>IF(Transaction[[#This Row],[DiscountAmount_Check2]]="Invalid",Transaction[[#This Row],[GrossRevenue_Analytical]]-Transaction[[#This Row],[NetRevenue_Analytical]],Transaction[[#This Row],[DiscountAmount_Clean]])</f>
        <v>869.96</v>
      </c>
      <c r="AD213">
        <v>3050.04</v>
      </c>
      <c r="AE213" t="str">
        <f>IF(ROUND(Transaction[[#This Row],[GrossRevenue_Analytical]]-Transaction[[#This Row],[NetRevenue_Analytical]],2)=ROUND(Transaction[[#This Row],[DiscountAmount_Clean]],2),"Valid","Invalid")</f>
        <v>Valid</v>
      </c>
      <c r="AF21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3050.04</v>
      </c>
      <c r="AG213">
        <f>IF(Transaction[[#This Row],[NetRevenue_Check]]="Invalid",(Transaction[[#This Row],[Quantity]]*Transaction[[#This Row],[UnitPrice_Clean]]),Transaction[[#This Row],[NetRevenue_Clean]])</f>
        <v>3050.04</v>
      </c>
      <c r="AH213" t="str">
        <f>IF(Transaction[[#This Row],[Quantity]]*Transaction[[#This Row],[UnitPrice_Clean]]=Transaction[[#This Row],[NetRevenue_Clean]],"Valid","Invalid")</f>
        <v>Valid</v>
      </c>
      <c r="AI213" t="s">
        <v>23</v>
      </c>
      <c r="AJ213" t="s">
        <v>1333</v>
      </c>
      <c r="AK213" t="str">
        <f>IF(Transaction[[#This Row],[Salesperson]]="","Missing Value",TRIM(PROPER(Transaction[[#This Row],[Salesperson]])))</f>
        <v>Miranda</v>
      </c>
      <c r="AL213" t="s">
        <v>42</v>
      </c>
      <c r="AM213" t="str">
        <f>IF(Transaction[[#This Row],[ContractType]]="","Missing Value",Transaction[[#This Row],[ContractType]])</f>
        <v>Standard PO</v>
      </c>
      <c r="AN213" t="s">
        <v>43</v>
      </c>
    </row>
    <row r="214" spans="1:40" x14ac:dyDescent="0.25">
      <c r="A214" t="s">
        <v>712</v>
      </c>
      <c r="B214" s="1">
        <v>45683</v>
      </c>
      <c r="C21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21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21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14" s="2">
        <f>IFERROR(DATE(Transaction[[#This Row],[TransactionDateY]],Transaction[[#This Row],[TransactionDateM]],Transaction[[#This Row],[TransactionDateD]]),"Missing Value")</f>
        <v>45683</v>
      </c>
      <c r="G214" t="s">
        <v>203</v>
      </c>
      <c r="H214" t="str">
        <f>IFERROR(VLOOKUP(Transaction[[#This Row],[CustomerID]],Custumer[],1,0),IF(LEN(Transaction[[#This Row],[CustomerID]])=7,LEFT(Transaction[[#This Row],[CustomerID]],6),"Invalid ID"))</f>
        <v>C-1005</v>
      </c>
      <c r="I214" t="s">
        <v>268</v>
      </c>
      <c r="J214" t="str">
        <f>TRIM(UPPER(Transaction[[#This Row],[ProductID]]))</f>
        <v>P-FS-002</v>
      </c>
      <c r="K214" t="str">
        <f>IFERROR(VLOOKUP(Transaction[[#This Row],[ProductID_Clean]],Product[],1,FALSE),"Invalid ID")</f>
        <v>P-FS-002</v>
      </c>
      <c r="L214" t="str">
        <f>TRIM(SUBSTITUTE(SUBSTITUTE(SUBSTITUTE(SUBSTITUTE(UPPER(Transaction[[#This Row],[Region]]),"EMEA REGION","EMEA"),"APAC REGION","APAC"),"NORTH AMERICA","N. AMERICA"),"N .AMERICA","N.AMERICA"))</f>
        <v>N. AMERICA</v>
      </c>
      <c r="M214" t="s">
        <v>204</v>
      </c>
      <c r="N214" t="s">
        <v>21</v>
      </c>
      <c r="O21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214" t="s">
        <v>633</v>
      </c>
      <c r="Q214" t="str">
        <f>IF(TRIM(Transaction[[#This Row],[SalesChannel]])="","Missing Value",TRIM(Transaction[[#This Row],[SalesChannel]]))</f>
        <v>distributor</v>
      </c>
      <c r="R214" s="4">
        <v>1</v>
      </c>
      <c r="S214" s="4" t="str">
        <f>IF(Transaction[[#This Row],[Quantity]]&lt;0,"Negative-review","Valid")</f>
        <v>Valid</v>
      </c>
      <c r="T214">
        <v>2055.9699999999998</v>
      </c>
      <c r="U21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2055.9699999999998</v>
      </c>
      <c r="V214">
        <v>2400</v>
      </c>
      <c r="W214">
        <v>2400</v>
      </c>
      <c r="X21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214">
        <f>IF(Transaction[[#This Row],[GrossRevenue_Check]]="Invalid",Transaction[[#This Row],[ListPrice]]*Transaction[[#This Row],[Quantity]],Transaction[[#This Row],[GrossRevenue_Clean]])</f>
        <v>2400</v>
      </c>
      <c r="Z214" t="str">
        <f>IF(Transaction[[#This Row],[GrossRevenue_Clean]]=Transaction[[#This Row],[ListPrice]]*Transaction[[#This Row],[Quantity]],"Valid","Invalid")</f>
        <v>Valid</v>
      </c>
      <c r="AB21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214">
        <f>IF(Transaction[[#This Row],[DiscountAmount_Check2]]="Invalid",Transaction[[#This Row],[GrossRevenue_Analytical]]-Transaction[[#This Row],[NetRevenue_Analytical]],Transaction[[#This Row],[DiscountAmount_Clean]])</f>
        <v>344.0300000000002</v>
      </c>
      <c r="AD214">
        <v>2055.9699999999998</v>
      </c>
      <c r="AE214" t="str">
        <f>IF(ROUND(Transaction[[#This Row],[GrossRevenue_Analytical]]-Transaction[[#This Row],[NetRevenue_Analytical]],2)=ROUND(Transaction[[#This Row],[DiscountAmount_Clean]],2),"Valid","Invalid")</f>
        <v>Invalid</v>
      </c>
      <c r="AF21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2055.9699999999998</v>
      </c>
      <c r="AG214">
        <f>IF(Transaction[[#This Row],[NetRevenue_Check]]="Invalid",(Transaction[[#This Row],[Quantity]]*Transaction[[#This Row],[UnitPrice_Clean]]),Transaction[[#This Row],[NetRevenue_Clean]])</f>
        <v>2055.9699999999998</v>
      </c>
      <c r="AH214" t="str">
        <f>IF(Transaction[[#This Row],[Quantity]]*Transaction[[#This Row],[UnitPrice_Clean]]=Transaction[[#This Row],[NetRevenue_Clean]],"Valid","Invalid")</f>
        <v>Valid</v>
      </c>
      <c r="AI214" t="s">
        <v>128</v>
      </c>
      <c r="AJ214" t="s">
        <v>713</v>
      </c>
      <c r="AK214" t="str">
        <f>IF(Transaction[[#This Row],[Salesperson]]="","Missing Value",TRIM(PROPER(Transaction[[#This Row],[Salesperson]])))</f>
        <v>Owens-Em</v>
      </c>
      <c r="AL214" t="s">
        <v>224</v>
      </c>
      <c r="AM214" t="str">
        <f>IF(Transaction[[#This Row],[ContractType]]="","Missing Value",Transaction[[#This Row],[ContractType]])</f>
        <v>Annual</v>
      </c>
      <c r="AN214" t="s">
        <v>35</v>
      </c>
    </row>
    <row r="215" spans="1:40" x14ac:dyDescent="0.25">
      <c r="A215" t="s">
        <v>1476</v>
      </c>
      <c r="B215" t="s">
        <v>1477</v>
      </c>
      <c r="C21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21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29</v>
      </c>
      <c r="E21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15" s="2">
        <f>IFERROR(DATE(Transaction[[#This Row],[TransactionDateY]],Transaction[[#This Row],[TransactionDateM]],Transaction[[#This Row],[TransactionDateD]]),"Missing Value")</f>
        <v>45745</v>
      </c>
      <c r="G215" t="s">
        <v>494</v>
      </c>
      <c r="H215" t="str">
        <f>IFERROR(VLOOKUP(Transaction[[#This Row],[CustomerID]],Custumer[],1,0),IF(LEN(Transaction[[#This Row],[CustomerID]])=7,LEFT(Transaction[[#This Row],[CustomerID]],6),"Invalid ID"))</f>
        <v>C-1132</v>
      </c>
      <c r="I215" t="s">
        <v>97</v>
      </c>
      <c r="J215" t="str">
        <f>TRIM(UPPER(Transaction[[#This Row],[ProductID]]))</f>
        <v>P-SI-001</v>
      </c>
      <c r="K215" t="str">
        <f>IFERROR(VLOOKUP(Transaction[[#This Row],[ProductID_Clean]],Product[],1,FALSE),"Invalid ID")</f>
        <v>P-SI-001</v>
      </c>
      <c r="L215" t="str">
        <f>TRIM(SUBSTITUTE(SUBSTITUTE(SUBSTITUTE(SUBSTITUTE(UPPER(Transaction[[#This Row],[Region]]),"EMEA REGION","EMEA"),"APAC REGION","APAC"),"NORTH AMERICA","N. AMERICA"),"N .AMERICA","N.AMERICA"))</f>
        <v>N. AMERICA</v>
      </c>
      <c r="M215" t="s">
        <v>168</v>
      </c>
      <c r="N215" t="s">
        <v>53</v>
      </c>
      <c r="O21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15" t="s">
        <v>22</v>
      </c>
      <c r="Q215" t="str">
        <f>IF(TRIM(Transaction[[#This Row],[SalesChannel]])="","Missing Value",TRIM(Transaction[[#This Row],[SalesChannel]]))</f>
        <v>Direct</v>
      </c>
      <c r="R215" s="4">
        <v>2</v>
      </c>
      <c r="S215" s="4" t="str">
        <f>IF(Transaction[[#This Row],[Quantity]]&lt;0,"Negative-review","Valid")</f>
        <v>Valid</v>
      </c>
      <c r="T215">
        <v>487.01</v>
      </c>
      <c r="U21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487.01</v>
      </c>
      <c r="V215">
        <v>485</v>
      </c>
      <c r="W215" t="s">
        <v>1478</v>
      </c>
      <c r="X21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215">
        <f>IF(Transaction[[#This Row],[GrossRevenue_Check]]="Invalid",Transaction[[#This Row],[ListPrice]]*Transaction[[#This Row],[Quantity]],Transaction[[#This Row],[GrossRevenue_Clean]])</f>
        <v>970</v>
      </c>
      <c r="Z215" t="str">
        <f>IF(Transaction[[#This Row],[GrossRevenue_Clean]]=Transaction[[#This Row],[ListPrice]]*Transaction[[#This Row],[Quantity]],"Valid","Invalid")</f>
        <v>Valid</v>
      </c>
      <c r="AA215">
        <v>-4.0199999999999996</v>
      </c>
      <c r="AB21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-4.0199999999999996</v>
      </c>
      <c r="AC215">
        <f>IF(Transaction[[#This Row],[DiscountAmount_Check2]]="Invalid",Transaction[[#This Row],[GrossRevenue_Analytical]]-Transaction[[#This Row],[NetRevenue_Analytical]],Transaction[[#This Row],[DiscountAmount_Clean]])</f>
        <v>-4.0199999999999996</v>
      </c>
      <c r="AD215">
        <v>974.02</v>
      </c>
      <c r="AE215" t="str">
        <f>IF(ROUND(Transaction[[#This Row],[GrossRevenue_Analytical]]-Transaction[[#This Row],[NetRevenue_Analytical]],2)=ROUND(Transaction[[#This Row],[DiscountAmount_Clean]],2),"Valid","Invalid")</f>
        <v>Valid</v>
      </c>
      <c r="AF215">
        <f>VALUE(IF(ISNUMBER(Transaction[[#This Row],[NetRevenue]]),Transaction[[#This Row],[NetRevenue]],IFERROR(IF(FIND("$",Transaction[[#This Row],[NetRevenue]])&gt;0,MID(Transaction[[#This Row],[NetRevenue]],2,10)),Transaction[[#This Row],[NetRevenue]])))</f>
        <v>974.02</v>
      </c>
      <c r="AG215">
        <f>IF(Transaction[[#This Row],[NetRevenue_Check]]="Invalid",(Transaction[[#This Row],[Quantity]]*Transaction[[#This Row],[UnitPrice_Clean]]),Transaction[[#This Row],[NetRevenue_Clean]])</f>
        <v>974.02</v>
      </c>
      <c r="AH215" t="str">
        <f>IF(Transaction[[#This Row],[Quantity]]*Transaction[[#This Row],[UnitPrice_Clean]]=Transaction[[#This Row],[NetRevenue_Clean]],"Valid","Invalid")</f>
        <v>Valid</v>
      </c>
      <c r="AI215" t="s">
        <v>23</v>
      </c>
      <c r="AJ215" t="s">
        <v>1479</v>
      </c>
      <c r="AK215" t="str">
        <f>IF(Transaction[[#This Row],[Salesperson]]="","Missing Value",TRIM(PROPER(Transaction[[#This Row],[Salesperson]])))</f>
        <v>Cooke-Em</v>
      </c>
      <c r="AL215" t="s">
        <v>42</v>
      </c>
      <c r="AM215" t="str">
        <f>IF(Transaction[[#This Row],[ContractType]]="","Missing Value",Transaction[[#This Row],[ContractType]])</f>
        <v>Standard PO</v>
      </c>
      <c r="AN215" t="s">
        <v>49</v>
      </c>
    </row>
    <row r="216" spans="1:40" x14ac:dyDescent="0.25">
      <c r="A216" t="s">
        <v>1991</v>
      </c>
      <c r="B216" s="1">
        <v>45726</v>
      </c>
      <c r="C21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21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21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16" s="2">
        <f>IFERROR(DATE(Transaction[[#This Row],[TransactionDateY]],Transaction[[#This Row],[TransactionDateM]],Transaction[[#This Row],[TransactionDateD]]),"Missing Value")</f>
        <v>45726</v>
      </c>
      <c r="G216" t="s">
        <v>913</v>
      </c>
      <c r="H216" t="str">
        <f>IFERROR(VLOOKUP(Transaction[[#This Row],[CustomerID]],Custumer[],1,0),IF(LEN(Transaction[[#This Row],[CustomerID]])=7,LEFT(Transaction[[#This Row],[CustomerID]],6),"Invalid ID"))</f>
        <v>C-1073</v>
      </c>
      <c r="I216" t="s">
        <v>222</v>
      </c>
      <c r="J216" t="str">
        <f>TRIM(UPPER(Transaction[[#This Row],[ProductID]]))</f>
        <v>P-FS-003</v>
      </c>
      <c r="K216" t="str">
        <f>IFERROR(VLOOKUP(Transaction[[#This Row],[ProductID_Clean]],Product[],1,FALSE),"Invalid ID")</f>
        <v>P-FS-003</v>
      </c>
      <c r="L216" t="str">
        <f>TRIM(SUBSTITUTE(SUBSTITUTE(SUBSTITUTE(SUBSTITUTE(UPPER(Transaction[[#This Row],[Region]]),"EMEA REGION","EMEA"),"APAC REGION","APAC"),"NORTH AMERICA","N. AMERICA"),"N .AMERICA","N.AMERICA"))</f>
        <v>EMEA</v>
      </c>
      <c r="M216" t="s">
        <v>76</v>
      </c>
      <c r="N216" t="s">
        <v>21</v>
      </c>
      <c r="O21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216" t="s">
        <v>40</v>
      </c>
      <c r="Q216" t="str">
        <f>IF(TRIM(Transaction[[#This Row],[SalesChannel]])="","Missing Value",TRIM(Transaction[[#This Row],[SalesChannel]]))</f>
        <v>Distributor</v>
      </c>
      <c r="R216" s="4">
        <v>2</v>
      </c>
      <c r="S216" s="4" t="str">
        <f>IF(Transaction[[#This Row],[Quantity]]&lt;0,"Negative-review","Valid")</f>
        <v>Valid</v>
      </c>
      <c r="T216">
        <v>3590.39</v>
      </c>
      <c r="U21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3590.39</v>
      </c>
      <c r="V216">
        <v>4100</v>
      </c>
      <c r="W216">
        <v>8200</v>
      </c>
      <c r="X21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8200</v>
      </c>
      <c r="Y216">
        <f>IF(Transaction[[#This Row],[GrossRevenue_Check]]="Invalid",Transaction[[#This Row],[ListPrice]]*Transaction[[#This Row],[Quantity]],Transaction[[#This Row],[GrossRevenue_Clean]])</f>
        <v>8200</v>
      </c>
      <c r="Z216" t="str">
        <f>IF(Transaction[[#This Row],[GrossRevenue_Clean]]=Transaction[[#This Row],[ListPrice]]*Transaction[[#This Row],[Quantity]],"Valid","Invalid")</f>
        <v>Valid</v>
      </c>
      <c r="AA216">
        <v>1019.22</v>
      </c>
      <c r="AB21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1019.22</v>
      </c>
      <c r="AC216">
        <f>IF(Transaction[[#This Row],[DiscountAmount_Check2]]="Invalid",Transaction[[#This Row],[GrossRevenue_Analytical]]-Transaction[[#This Row],[NetRevenue_Analytical]],Transaction[[#This Row],[DiscountAmount_Clean]])</f>
        <v>1019.22</v>
      </c>
      <c r="AD216">
        <v>7180.78</v>
      </c>
      <c r="AE216" t="str">
        <f>IF(ROUND(Transaction[[#This Row],[GrossRevenue_Analytical]]-Transaction[[#This Row],[NetRevenue_Analytical]],2)=ROUND(Transaction[[#This Row],[DiscountAmount_Clean]],2),"Valid","Invalid")</f>
        <v>Valid</v>
      </c>
      <c r="AF216">
        <f>VALUE(IF(ISNUMBER(Transaction[[#This Row],[NetRevenue]]),Transaction[[#This Row],[NetRevenue]],IFERROR(IF(FIND("$",Transaction[[#This Row],[NetRevenue]])&gt;0,MID(Transaction[[#This Row],[NetRevenue]],2,10)),Transaction[[#This Row],[NetRevenue]])))</f>
        <v>7180.78</v>
      </c>
      <c r="AG216">
        <f>IF(Transaction[[#This Row],[NetRevenue_Check]]="Invalid",(Transaction[[#This Row],[Quantity]]*Transaction[[#This Row],[UnitPrice_Clean]]),Transaction[[#This Row],[NetRevenue_Clean]])</f>
        <v>7180.78</v>
      </c>
      <c r="AH216" t="str">
        <f>IF(Transaction[[#This Row],[Quantity]]*Transaction[[#This Row],[UnitPrice_Clean]]=Transaction[[#This Row],[NetRevenue_Clean]],"Valid","Invalid")</f>
        <v>Valid</v>
      </c>
      <c r="AI216" t="s">
        <v>99</v>
      </c>
      <c r="AJ216" t="s">
        <v>389</v>
      </c>
      <c r="AK216" t="str">
        <f>IF(Transaction[[#This Row],[Salesperson]]="","Missing Value",TRIM(PROPER(Transaction[[#This Row],[Salesperson]])))</f>
        <v>Moore</v>
      </c>
      <c r="AL216" t="s">
        <v>295</v>
      </c>
      <c r="AM216" t="str">
        <f>IF(Transaction[[#This Row],[ContractType]]="","Missing Value",Transaction[[#This Row],[ContractType]])</f>
        <v>Multi-Year</v>
      </c>
      <c r="AN216" t="s">
        <v>43</v>
      </c>
    </row>
    <row r="217" spans="1:40" x14ac:dyDescent="0.25">
      <c r="A217" t="s">
        <v>1424</v>
      </c>
      <c r="B217" s="1">
        <v>45730</v>
      </c>
      <c r="C21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21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21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17" s="2">
        <f>IFERROR(DATE(Transaction[[#This Row],[TransactionDateY]],Transaction[[#This Row],[TransactionDateM]],Transaction[[#This Row],[TransactionDateD]]),"Missing Value")</f>
        <v>45730</v>
      </c>
      <c r="G217" t="s">
        <v>67</v>
      </c>
      <c r="H217" t="str">
        <f>IFERROR(VLOOKUP(Transaction[[#This Row],[CustomerID]],Custumer[],1,0),IF(LEN(Transaction[[#This Row],[CustomerID]])=7,LEFT(Transaction[[#This Row],[CustomerID]],6),"Invalid ID"))</f>
        <v>C-1175</v>
      </c>
      <c r="I217" t="s">
        <v>92</v>
      </c>
      <c r="J217" t="str">
        <f>TRIM(UPPER(Transaction[[#This Row],[ProductID]]))</f>
        <v>P-SI-008</v>
      </c>
      <c r="K217" t="str">
        <f>IFERROR(VLOOKUP(Transaction[[#This Row],[ProductID_Clean]],Product[],1,FALSE),"Invalid ID")</f>
        <v>P-SI-008</v>
      </c>
      <c r="L217" t="str">
        <f>TRIM(SUBSTITUTE(SUBSTITUTE(SUBSTITUTE(SUBSTITUTE(UPPER(Transaction[[#This Row],[Region]]),"EMEA REGION","EMEA"),"APAC REGION","APAC"),"NORTH AMERICA","N. AMERICA"),"N .AMERICA","N.AMERICA"))</f>
        <v>N. AMERICA</v>
      </c>
      <c r="M217" t="s">
        <v>20</v>
      </c>
      <c r="N217" t="s">
        <v>53</v>
      </c>
      <c r="O21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17" t="s">
        <v>22</v>
      </c>
      <c r="Q217" t="str">
        <f>IF(TRIM(Transaction[[#This Row],[SalesChannel]])="","Missing Value",TRIM(Transaction[[#This Row],[SalesChannel]]))</f>
        <v>Direct</v>
      </c>
      <c r="R217" s="4">
        <v>2</v>
      </c>
      <c r="S217" s="4" t="str">
        <f>IF(Transaction[[#This Row],[Quantity]]&lt;0,"Negative-review","Valid")</f>
        <v>Valid</v>
      </c>
      <c r="T217">
        <v>839.33</v>
      </c>
      <c r="U21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839.33</v>
      </c>
      <c r="V217">
        <v>950</v>
      </c>
      <c r="W217">
        <v>1900</v>
      </c>
      <c r="X21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1900</v>
      </c>
      <c r="Y217">
        <f>IF(Transaction[[#This Row],[GrossRevenue_Check]]="Invalid",Transaction[[#This Row],[ListPrice]]*Transaction[[#This Row],[Quantity]],Transaction[[#This Row],[GrossRevenue_Clean]])</f>
        <v>1900</v>
      </c>
      <c r="Z217" t="str">
        <f>IF(Transaction[[#This Row],[GrossRevenue_Clean]]=Transaction[[#This Row],[ListPrice]]*Transaction[[#This Row],[Quantity]],"Valid","Invalid")</f>
        <v>Valid</v>
      </c>
      <c r="AA217">
        <v>221.34</v>
      </c>
      <c r="AB21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221.34</v>
      </c>
      <c r="AC217">
        <f>IF(Transaction[[#This Row],[DiscountAmount_Check2]]="Invalid",Transaction[[#This Row],[GrossRevenue_Analytical]]-Transaction[[#This Row],[NetRevenue_Analytical]],Transaction[[#This Row],[DiscountAmount_Clean]])</f>
        <v>221.34</v>
      </c>
      <c r="AD217">
        <v>1678.66</v>
      </c>
      <c r="AE217" t="str">
        <f>IF(ROUND(Transaction[[#This Row],[GrossRevenue_Analytical]]-Transaction[[#This Row],[NetRevenue_Analytical]],2)=ROUND(Transaction[[#This Row],[DiscountAmount_Clean]],2),"Valid","Invalid")</f>
        <v>Valid</v>
      </c>
      <c r="AF21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1678.66</v>
      </c>
      <c r="AG217">
        <f>IF(Transaction[[#This Row],[NetRevenue_Check]]="Invalid",(Transaction[[#This Row],[Quantity]]*Transaction[[#This Row],[UnitPrice_Clean]]),Transaction[[#This Row],[NetRevenue_Clean]])</f>
        <v>1678.66</v>
      </c>
      <c r="AH217" t="str">
        <f>IF(Transaction[[#This Row],[Quantity]]*Transaction[[#This Row],[UnitPrice_Clean]]=Transaction[[#This Row],[NetRevenue_Clean]],"Valid","Invalid")</f>
        <v>Valid</v>
      </c>
      <c r="AI217" t="s">
        <v>23</v>
      </c>
      <c r="AJ217" t="s">
        <v>539</v>
      </c>
      <c r="AK217" t="str">
        <f>IF(Transaction[[#This Row],[Salesperson]]="","Missing Value",TRIM(PROPER(Transaction[[#This Row],[Salesperson]])))</f>
        <v>Phillips-Ap</v>
      </c>
      <c r="AL217" t="s">
        <v>42</v>
      </c>
      <c r="AM217" t="str">
        <f>IF(Transaction[[#This Row],[ContractType]]="","Missing Value",Transaction[[#This Row],[ContractType]])</f>
        <v>Standard PO</v>
      </c>
      <c r="AN217" t="s">
        <v>43</v>
      </c>
    </row>
    <row r="218" spans="1:40" x14ac:dyDescent="0.25">
      <c r="A218" t="s">
        <v>2949</v>
      </c>
      <c r="C21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21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21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218" s="2" t="str">
        <f>IFERROR(DATE(Transaction[[#This Row],[TransactionDateY]],Transaction[[#This Row],[TransactionDateM]],Transaction[[#This Row],[TransactionDateD]]),"Missing Value")</f>
        <v>Missing Value</v>
      </c>
      <c r="G218" t="s">
        <v>247</v>
      </c>
      <c r="H218" t="str">
        <f>IFERROR(VLOOKUP(Transaction[[#This Row],[CustomerID]],Custumer[],1,0),IF(LEN(Transaction[[#This Row],[CustomerID]])=7,LEFT(Transaction[[#This Row],[CustomerID]],6),"Invalid ID"))</f>
        <v>C-1045</v>
      </c>
      <c r="I218" t="s">
        <v>71</v>
      </c>
      <c r="J218" t="str">
        <f>TRIM(UPPER(Transaction[[#This Row],[ProductID]]))</f>
        <v>P-SI-003</v>
      </c>
      <c r="K218" t="str">
        <f>IFERROR(VLOOKUP(Transaction[[#This Row],[ProductID_Clean]],Product[],1,FALSE),"Invalid ID")</f>
        <v>P-SI-003</v>
      </c>
      <c r="L218" t="str">
        <f>TRIM(SUBSTITUTE(SUBSTITUTE(SUBSTITUTE(SUBSTITUTE(UPPER(Transaction[[#This Row],[Region]]),"EMEA REGION","EMEA"),"APAC REGION","APAC"),"NORTH AMERICA","N. AMERICA"),"N .AMERICA","N.AMERICA"))</f>
        <v>EMEA</v>
      </c>
      <c r="M218" t="s">
        <v>76</v>
      </c>
      <c r="N218" t="s">
        <v>53</v>
      </c>
      <c r="O21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18" t="s">
        <v>22</v>
      </c>
      <c r="Q218" t="str">
        <f>IF(TRIM(Transaction[[#This Row],[SalesChannel]])="","Missing Value",TRIM(Transaction[[#This Row],[SalesChannel]]))</f>
        <v>Direct</v>
      </c>
      <c r="R218" s="4">
        <v>10</v>
      </c>
      <c r="S218" s="4" t="str">
        <f>IF(Transaction[[#This Row],[Quantity]]&lt;0,"Negative-review","Valid")</f>
        <v>Valid</v>
      </c>
      <c r="T218">
        <v>1692.75</v>
      </c>
      <c r="U21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1692.75</v>
      </c>
      <c r="V218">
        <v>1890</v>
      </c>
      <c r="W218">
        <v>18900</v>
      </c>
      <c r="X21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18900</v>
      </c>
      <c r="Y218">
        <f>IF(Transaction[[#This Row],[GrossRevenue_Check]]="Invalid",Transaction[[#This Row],[ListPrice]]*Transaction[[#This Row],[Quantity]],Transaction[[#This Row],[GrossRevenue_Clean]])</f>
        <v>18900</v>
      </c>
      <c r="Z218" t="str">
        <f>IF(Transaction[[#This Row],[GrossRevenue_Clean]]=Transaction[[#This Row],[ListPrice]]*Transaction[[#This Row],[Quantity]],"Valid","Invalid")</f>
        <v>Valid</v>
      </c>
      <c r="AA218">
        <v>1972.5</v>
      </c>
      <c r="AB21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1972.5</v>
      </c>
      <c r="AC218">
        <f>IF(Transaction[[#This Row],[DiscountAmount_Check2]]="Invalid",Transaction[[#This Row],[GrossRevenue_Analytical]]-Transaction[[#This Row],[NetRevenue_Analytical]],Transaction[[#This Row],[DiscountAmount_Clean]])</f>
        <v>1972.5</v>
      </c>
      <c r="AD218">
        <v>16927.5</v>
      </c>
      <c r="AE218" t="str">
        <f>IF(ROUND(Transaction[[#This Row],[GrossRevenue_Analytical]]-Transaction[[#This Row],[NetRevenue_Analytical]],2)=ROUND(Transaction[[#This Row],[DiscountAmount_Clean]],2),"Valid","Invalid")</f>
        <v>Valid</v>
      </c>
      <c r="AF21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16927.5</v>
      </c>
      <c r="AG218">
        <f>IF(Transaction[[#This Row],[NetRevenue_Check]]="Invalid",(Transaction[[#This Row],[Quantity]]*Transaction[[#This Row],[UnitPrice_Clean]]),Transaction[[#This Row],[NetRevenue_Clean]])</f>
        <v>16927.5</v>
      </c>
      <c r="AH218" t="str">
        <f>IF(Transaction[[#This Row],[Quantity]]*Transaction[[#This Row],[UnitPrice_Clean]]=Transaction[[#This Row],[NetRevenue_Clean]],"Valid","Invalid")</f>
        <v>Valid</v>
      </c>
      <c r="AI218" t="s">
        <v>23</v>
      </c>
      <c r="AJ218" t="s">
        <v>2950</v>
      </c>
      <c r="AK218" t="str">
        <f>IF(Transaction[[#This Row],[Salesperson]]="","Missing Value",TRIM(PROPER(Transaction[[#This Row],[Salesperson]])))</f>
        <v>French-Em</v>
      </c>
      <c r="AL218" t="s">
        <v>42</v>
      </c>
      <c r="AM218" t="str">
        <f>IF(Transaction[[#This Row],[ContractType]]="","Missing Value",Transaction[[#This Row],[ContractType]])</f>
        <v>Standard PO</v>
      </c>
      <c r="AN218" t="s">
        <v>35</v>
      </c>
    </row>
    <row r="219" spans="1:40" x14ac:dyDescent="0.25">
      <c r="A219" t="s">
        <v>2293</v>
      </c>
      <c r="B219" s="1">
        <v>45806</v>
      </c>
      <c r="C21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21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29</v>
      </c>
      <c r="E21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19" s="2">
        <f>IFERROR(DATE(Transaction[[#This Row],[TransactionDateY]],Transaction[[#This Row],[TransactionDateM]],Transaction[[#This Row],[TransactionDateD]]),"Missing Value")</f>
        <v>45806</v>
      </c>
      <c r="G219" t="s">
        <v>325</v>
      </c>
      <c r="H219" t="str">
        <f>IFERROR(VLOOKUP(Transaction[[#This Row],[CustomerID]],Custumer[],1,0),IF(LEN(Transaction[[#This Row],[CustomerID]])=7,LEFT(Transaction[[#This Row],[CustomerID]],6),"Invalid ID"))</f>
        <v>C-1030</v>
      </c>
      <c r="I219" t="s">
        <v>268</v>
      </c>
      <c r="J219" t="str">
        <f>TRIM(UPPER(Transaction[[#This Row],[ProductID]]))</f>
        <v>P-FS-002</v>
      </c>
      <c r="K219" t="str">
        <f>IFERROR(VLOOKUP(Transaction[[#This Row],[ProductID_Clean]],Product[],1,FALSE),"Invalid ID")</f>
        <v>P-FS-002</v>
      </c>
      <c r="L219" t="str">
        <f>TRIM(SUBSTITUTE(SUBSTITUTE(SUBSTITUTE(SUBSTITUTE(UPPER(Transaction[[#This Row],[Region]]),"EMEA REGION","EMEA"),"APAC REGION","APAC"),"NORTH AMERICA","N. AMERICA"),"N .AMERICA","N.AMERICA"))</f>
        <v>EMEA</v>
      </c>
      <c r="M219" t="s">
        <v>76</v>
      </c>
      <c r="N219" t="s">
        <v>21</v>
      </c>
      <c r="O219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219" t="s">
        <v>77</v>
      </c>
      <c r="Q219" t="str">
        <f>IF(TRIM(Transaction[[#This Row],[SalesChannel]])="","Missing Value",TRIM(Transaction[[#This Row],[SalesChannel]]))</f>
        <v>distributor</v>
      </c>
      <c r="R219" s="4">
        <v>1</v>
      </c>
      <c r="S219" s="4" t="str">
        <f>IF(Transaction[[#This Row],[Quantity]]&lt;0,"Negative-review","Valid")</f>
        <v>Valid</v>
      </c>
      <c r="T219">
        <v>2030.65</v>
      </c>
      <c r="U21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2030.65</v>
      </c>
      <c r="V219">
        <v>2400</v>
      </c>
      <c r="W219">
        <v>2400</v>
      </c>
      <c r="X21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219">
        <f>IF(Transaction[[#This Row],[GrossRevenue_Check]]="Invalid",Transaction[[#This Row],[ListPrice]]*Transaction[[#This Row],[Quantity]],Transaction[[#This Row],[GrossRevenue_Clean]])</f>
        <v>2400</v>
      </c>
      <c r="Z219" t="str">
        <f>IF(Transaction[[#This Row],[GrossRevenue_Clean]]=Transaction[[#This Row],[ListPrice]]*Transaction[[#This Row],[Quantity]],"Valid","Invalid")</f>
        <v>Valid</v>
      </c>
      <c r="AA219">
        <v>369.35</v>
      </c>
      <c r="AB21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369.35</v>
      </c>
      <c r="AC219">
        <f>IF(Transaction[[#This Row],[DiscountAmount_Check2]]="Invalid",Transaction[[#This Row],[GrossRevenue_Analytical]]-Transaction[[#This Row],[NetRevenue_Analytical]],Transaction[[#This Row],[DiscountAmount_Clean]])</f>
        <v>369.35</v>
      </c>
      <c r="AD219">
        <v>2030.65</v>
      </c>
      <c r="AE219" t="str">
        <f>IF(ROUND(Transaction[[#This Row],[GrossRevenue_Analytical]]-Transaction[[#This Row],[NetRevenue_Analytical]],2)=ROUND(Transaction[[#This Row],[DiscountAmount_Clean]],2),"Valid","Invalid")</f>
        <v>Valid</v>
      </c>
      <c r="AF21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2030.65</v>
      </c>
      <c r="AG219">
        <f>IF(Transaction[[#This Row],[NetRevenue_Check]]="Invalid",(Transaction[[#This Row],[Quantity]]*Transaction[[#This Row],[UnitPrice_Clean]]),Transaction[[#This Row],[NetRevenue_Clean]])</f>
        <v>2030.65</v>
      </c>
      <c r="AH219" t="str">
        <f>IF(Transaction[[#This Row],[Quantity]]*Transaction[[#This Row],[UnitPrice_Clean]]=Transaction[[#This Row],[NetRevenue_Clean]],"Valid","Invalid")</f>
        <v>Valid</v>
      </c>
      <c r="AI219" t="s">
        <v>23</v>
      </c>
      <c r="AK219" t="str">
        <f>IF(Transaction[[#This Row],[Salesperson]]="","Missing Value",TRIM(PROPER(Transaction[[#This Row],[Salesperson]])))</f>
        <v>Missing Value</v>
      </c>
      <c r="AL219" t="s">
        <v>224</v>
      </c>
      <c r="AM219" t="str">
        <f>IF(Transaction[[#This Row],[ContractType]]="","Missing Value",Transaction[[#This Row],[ContractType]])</f>
        <v>Annual</v>
      </c>
      <c r="AN219" t="s">
        <v>49</v>
      </c>
    </row>
    <row r="220" spans="1:40" x14ac:dyDescent="0.25">
      <c r="A220" t="s">
        <v>2780</v>
      </c>
      <c r="B220" s="1">
        <v>45795</v>
      </c>
      <c r="C22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22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22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20" s="2">
        <f>IFERROR(DATE(Transaction[[#This Row],[TransactionDateY]],Transaction[[#This Row],[TransactionDateM]],Transaction[[#This Row],[TransactionDateD]]),"Missing Value")</f>
        <v>45795</v>
      </c>
      <c r="G220" t="s">
        <v>61</v>
      </c>
      <c r="H220" t="str">
        <f>IFERROR(VLOOKUP(Transaction[[#This Row],[CustomerID]],Custumer[],1,0),IF(LEN(Transaction[[#This Row],[CustomerID]])=7,LEFT(Transaction[[#This Row],[CustomerID]],6),"Invalid ID"))</f>
        <v>C-1108</v>
      </c>
      <c r="I220" t="s">
        <v>304</v>
      </c>
      <c r="J220" t="str">
        <f>TRIM(UPPER(Transaction[[#This Row],[ProductID]]))</f>
        <v>P-XX-999</v>
      </c>
      <c r="K220" t="str">
        <f>IFERROR(VLOOKUP(Transaction[[#This Row],[ProductID_Clean]],Product[],1,FALSE),"Invalid ID")</f>
        <v>Invalid ID</v>
      </c>
      <c r="L220" t="str">
        <f>TRIM(SUBSTITUTE(SUBSTITUTE(SUBSTITUTE(SUBSTITUTE(UPPER(Transaction[[#This Row],[Region]]),"EMEA REGION","EMEA"),"APAC REGION","APAC"),"NORTH AMERICA","N. AMERICA"),"N .AMERICA","N.AMERICA"))</f>
        <v>APAC</v>
      </c>
      <c r="M220" t="s">
        <v>30</v>
      </c>
      <c r="N220" t="s">
        <v>53</v>
      </c>
      <c r="O22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20" t="s">
        <v>32</v>
      </c>
      <c r="Q220" t="str">
        <f>IF(TRIM(Transaction[[#This Row],[SalesChannel]])="","Missing Value",TRIM(Transaction[[#This Row],[SalesChannel]]))</f>
        <v>Direct</v>
      </c>
      <c r="R220" s="4">
        <v>2</v>
      </c>
      <c r="S220" s="4" t="str">
        <f>IF(Transaction[[#This Row],[Quantity]]&lt;0,"Negative-review","Valid")</f>
        <v>Valid</v>
      </c>
      <c r="T220">
        <v>598.66</v>
      </c>
      <c r="U22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598.66</v>
      </c>
      <c r="V220">
        <v>725</v>
      </c>
      <c r="W220">
        <v>1450</v>
      </c>
      <c r="X22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220">
        <f>IF(Transaction[[#This Row],[GrossRevenue_Check]]="Invalid",Transaction[[#This Row],[ListPrice]]*Transaction[[#This Row],[Quantity]],Transaction[[#This Row],[GrossRevenue_Clean]])</f>
        <v>1450</v>
      </c>
      <c r="Z220" t="str">
        <f>IF(Transaction[[#This Row],[GrossRevenue_Clean]]=Transaction[[#This Row],[ListPrice]]*Transaction[[#This Row],[Quantity]],"Valid","Invalid")</f>
        <v>Valid</v>
      </c>
      <c r="AA220">
        <v>252.68</v>
      </c>
      <c r="AB22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252.68</v>
      </c>
      <c r="AC220">
        <f>IF(Transaction[[#This Row],[DiscountAmount_Check2]]="Invalid",Transaction[[#This Row],[GrossRevenue_Analytical]]-Transaction[[#This Row],[NetRevenue_Analytical]],Transaction[[#This Row],[DiscountAmount_Clean]])</f>
        <v>252.68</v>
      </c>
      <c r="AD220">
        <v>1197.32</v>
      </c>
      <c r="AE220" t="str">
        <f>IF(ROUND(Transaction[[#This Row],[GrossRevenue_Analytical]]-Transaction[[#This Row],[NetRevenue_Analytical]],2)=ROUND(Transaction[[#This Row],[DiscountAmount_Clean]],2),"Valid","Invalid")</f>
        <v>Valid</v>
      </c>
      <c r="AF22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1197.32</v>
      </c>
      <c r="AG220">
        <f>IF(Transaction[[#This Row],[NetRevenue_Check]]="Invalid",(Transaction[[#This Row],[Quantity]]*Transaction[[#This Row],[UnitPrice_Clean]]),Transaction[[#This Row],[NetRevenue_Clean]])</f>
        <v>1197.32</v>
      </c>
      <c r="AH220" t="str">
        <f>IF(Transaction[[#This Row],[Quantity]]*Transaction[[#This Row],[UnitPrice_Clean]]=Transaction[[#This Row],[NetRevenue_Clean]],"Valid","Invalid")</f>
        <v>Valid</v>
      </c>
      <c r="AI220" t="s">
        <v>23</v>
      </c>
      <c r="AJ220" t="s">
        <v>2781</v>
      </c>
      <c r="AK220" t="str">
        <f>IF(Transaction[[#This Row],[Salesperson]]="","Missing Value",TRIM(PROPER(Transaction[[#This Row],[Salesperson]])))</f>
        <v>Rodgers-Na</v>
      </c>
      <c r="AL220" t="s">
        <v>55</v>
      </c>
      <c r="AM220" t="str">
        <f>IF(Transaction[[#This Row],[ContractType]]="","Missing Value",Transaction[[#This Row],[ContractType]])</f>
        <v>Spot</v>
      </c>
      <c r="AN220" t="s">
        <v>65</v>
      </c>
    </row>
    <row r="221" spans="1:40" x14ac:dyDescent="0.25">
      <c r="A221" t="s">
        <v>540</v>
      </c>
      <c r="B221" s="1">
        <v>45746</v>
      </c>
      <c r="C22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22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22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21" s="2">
        <f>IFERROR(DATE(Transaction[[#This Row],[TransactionDateY]],Transaction[[#This Row],[TransactionDateM]],Transaction[[#This Row],[TransactionDateD]]),"Missing Value")</f>
        <v>45746</v>
      </c>
      <c r="G221" t="s">
        <v>541</v>
      </c>
      <c r="H221" t="str">
        <f>IFERROR(VLOOKUP(Transaction[[#This Row],[CustomerID]],Custumer[],1,0),IF(LEN(Transaction[[#This Row],[CustomerID]])=7,LEFT(Transaction[[#This Row],[CustomerID]],6),"Invalid ID"))</f>
        <v>C-1075</v>
      </c>
      <c r="I221" t="s">
        <v>75</v>
      </c>
      <c r="J221" t="str">
        <f>TRIM(UPPER(Transaction[[#This Row],[ProductID]]))</f>
        <v>P-SA-005</v>
      </c>
      <c r="K221" t="str">
        <f>IFERROR(VLOOKUP(Transaction[[#This Row],[ProductID_Clean]],Product[],1,FALSE),"Invalid ID")</f>
        <v>P-SA-005</v>
      </c>
      <c r="L221" t="str">
        <f>TRIM(SUBSTITUTE(SUBSTITUTE(SUBSTITUTE(SUBSTITUTE(UPPER(Transaction[[#This Row],[Region]]),"EMEA REGION","EMEA"),"APAC REGION","APAC"),"NORTH AMERICA","N. AMERICA"),"N .AMERICA","N.AMERICA"))</f>
        <v>N. AMERICA</v>
      </c>
      <c r="M221" t="s">
        <v>20</v>
      </c>
      <c r="N221" t="s">
        <v>205</v>
      </c>
      <c r="O22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21" t="s">
        <v>40</v>
      </c>
      <c r="Q221" t="str">
        <f>IF(TRIM(Transaction[[#This Row],[SalesChannel]])="","Missing Value",TRIM(Transaction[[#This Row],[SalesChannel]]))</f>
        <v>Distributor</v>
      </c>
      <c r="R221" s="4">
        <v>2</v>
      </c>
      <c r="S221" s="4" t="str">
        <f>IF(Transaction[[#This Row],[Quantity]]&lt;0,"Negative-review","Valid")</f>
        <v>Valid</v>
      </c>
      <c r="T221">
        <v>2477.6799999999998</v>
      </c>
      <c r="U22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2477.6799999999998</v>
      </c>
      <c r="V221">
        <v>3200</v>
      </c>
      <c r="W221">
        <v>6400</v>
      </c>
      <c r="X22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6400</v>
      </c>
      <c r="Y221">
        <f>IF(Transaction[[#This Row],[GrossRevenue_Check]]="Invalid",Transaction[[#This Row],[ListPrice]]*Transaction[[#This Row],[Quantity]],Transaction[[#This Row],[GrossRevenue_Clean]])</f>
        <v>6400</v>
      </c>
      <c r="Z221" t="str">
        <f>IF(Transaction[[#This Row],[GrossRevenue_Clean]]=Transaction[[#This Row],[ListPrice]]*Transaction[[#This Row],[Quantity]],"Valid","Invalid")</f>
        <v>Valid</v>
      </c>
      <c r="AA221">
        <v>1444.64</v>
      </c>
      <c r="AB22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1444.64</v>
      </c>
      <c r="AC221">
        <f>IF(Transaction[[#This Row],[DiscountAmount_Check2]]="Invalid",Transaction[[#This Row],[GrossRevenue_Analytical]]-Transaction[[#This Row],[NetRevenue_Analytical]],Transaction[[#This Row],[DiscountAmount_Clean]])</f>
        <v>1444.64</v>
      </c>
      <c r="AD221">
        <v>4955.3599999999997</v>
      </c>
      <c r="AE221" t="str">
        <f>IF(ROUND(Transaction[[#This Row],[GrossRevenue_Analytical]]-Transaction[[#This Row],[NetRevenue_Analytical]],2)=ROUND(Transaction[[#This Row],[DiscountAmount_Clean]],2),"Valid","Invalid")</f>
        <v>Valid</v>
      </c>
      <c r="AF221">
        <f>VALUE(IF(ISNUMBER(Transaction[[#This Row],[NetRevenue]]),Transaction[[#This Row],[NetRevenue]],IFERROR(IF(FIND("$",Transaction[[#This Row],[NetRevenue]])&gt;0,MID(Transaction[[#This Row],[NetRevenue]],2,10)),Transaction[[#This Row],[NetRevenue]])))</f>
        <v>4955.3599999999997</v>
      </c>
      <c r="AG221">
        <f>IF(Transaction[[#This Row],[NetRevenue_Check]]="Invalid",(Transaction[[#This Row],[Quantity]]*Transaction[[#This Row],[UnitPrice_Clean]]),Transaction[[#This Row],[NetRevenue_Clean]])</f>
        <v>4955.3599999999997</v>
      </c>
      <c r="AH221" t="str">
        <f>IF(Transaction[[#This Row],[Quantity]]*Transaction[[#This Row],[UnitPrice_Clean]]=Transaction[[#This Row],[NetRevenue_Clean]],"Valid","Invalid")</f>
        <v>Valid</v>
      </c>
      <c r="AI221" t="s">
        <v>99</v>
      </c>
      <c r="AJ221" t="s">
        <v>542</v>
      </c>
      <c r="AK221" t="str">
        <f>IF(Transaction[[#This Row],[Salesperson]]="","Missing Value",TRIM(PROPER(Transaction[[#This Row],[Salesperson]])))</f>
        <v>Rose-Em</v>
      </c>
      <c r="AL221" t="s">
        <v>34</v>
      </c>
      <c r="AM221" t="str">
        <f>IF(Transaction[[#This Row],[ContractType]]="","Missing Value",Transaction[[#This Row],[ContractType]])</f>
        <v>Annual License</v>
      </c>
      <c r="AN221" t="s">
        <v>49</v>
      </c>
    </row>
    <row r="222" spans="1:40" x14ac:dyDescent="0.25">
      <c r="A222" t="s">
        <v>736</v>
      </c>
      <c r="B222" s="1">
        <v>45754</v>
      </c>
      <c r="C22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22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22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22" s="2">
        <f>IFERROR(DATE(Transaction[[#This Row],[TransactionDateY]],Transaction[[#This Row],[TransactionDateM]],Transaction[[#This Row],[TransactionDateD]]),"Missing Value")</f>
        <v>45754</v>
      </c>
      <c r="G222" t="s">
        <v>218</v>
      </c>
      <c r="H222" t="str">
        <f>IFERROR(VLOOKUP(Transaction[[#This Row],[CustomerID]],Custumer[],1,0),IF(LEN(Transaction[[#This Row],[CustomerID]])=7,LEFT(Transaction[[#This Row],[CustomerID]],6),"Invalid ID"))</f>
        <v>C-1098</v>
      </c>
      <c r="I222" t="s">
        <v>62</v>
      </c>
      <c r="J222" t="str">
        <f>TRIM(UPPER(Transaction[[#This Row],[ProductID]]))</f>
        <v>P-SI-004</v>
      </c>
      <c r="K222" t="str">
        <f>IFERROR(VLOOKUP(Transaction[[#This Row],[ProductID_Clean]],Product[],1,FALSE),"Invalid ID")</f>
        <v>P-SI-004</v>
      </c>
      <c r="L222" t="str">
        <f>TRIM(SUBSTITUTE(SUBSTITUTE(SUBSTITUTE(SUBSTITUTE(UPPER(Transaction[[#This Row],[Region]]),"EMEA REGION","EMEA"),"APAC REGION","APAC"),"NORTH AMERICA","N. AMERICA"),"N .AMERICA","N.AMERICA"))</f>
        <v>N. AMERICA</v>
      </c>
      <c r="M222" t="s">
        <v>168</v>
      </c>
      <c r="N222" t="s">
        <v>53</v>
      </c>
      <c r="O22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22" t="s">
        <v>22</v>
      </c>
      <c r="Q222" t="str">
        <f>IF(TRIM(Transaction[[#This Row],[SalesChannel]])="","Missing Value",TRIM(Transaction[[#This Row],[SalesChannel]]))</f>
        <v>Direct</v>
      </c>
      <c r="R222" s="4">
        <v>2</v>
      </c>
      <c r="S222" s="4" t="str">
        <f>IF(Transaction[[#This Row],[Quantity]]&lt;0,"Negative-review","Valid")</f>
        <v>Valid</v>
      </c>
      <c r="T222">
        <v>2342.92</v>
      </c>
      <c r="U22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2342.92</v>
      </c>
      <c r="V222">
        <v>2450</v>
      </c>
      <c r="W222">
        <v>4900</v>
      </c>
      <c r="X22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</v>
      </c>
      <c r="Y222">
        <f>IF(Transaction[[#This Row],[GrossRevenue_Check]]="Invalid",Transaction[[#This Row],[ListPrice]]*Transaction[[#This Row],[Quantity]],Transaction[[#This Row],[GrossRevenue_Clean]])</f>
        <v>4900</v>
      </c>
      <c r="Z222" t="str">
        <f>IF(Transaction[[#This Row],[GrossRevenue_Clean]]=Transaction[[#This Row],[ListPrice]]*Transaction[[#This Row],[Quantity]],"Valid","Invalid")</f>
        <v>Valid</v>
      </c>
      <c r="AA222">
        <v>214.16</v>
      </c>
      <c r="AB22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214.16</v>
      </c>
      <c r="AC222">
        <f>IF(Transaction[[#This Row],[DiscountAmount_Check2]]="Invalid",Transaction[[#This Row],[GrossRevenue_Analytical]]-Transaction[[#This Row],[NetRevenue_Analytical]],Transaction[[#This Row],[DiscountAmount_Clean]])</f>
        <v>214.16</v>
      </c>
      <c r="AD222">
        <v>4685.84</v>
      </c>
      <c r="AE222" t="str">
        <f>IF(ROUND(Transaction[[#This Row],[GrossRevenue_Analytical]]-Transaction[[#This Row],[NetRevenue_Analytical]],2)=ROUND(Transaction[[#This Row],[DiscountAmount_Clean]],2),"Valid","Invalid")</f>
        <v>Valid</v>
      </c>
      <c r="AF222">
        <f>VALUE(IF(ISNUMBER(Transaction[[#This Row],[NetRevenue]]),Transaction[[#This Row],[NetRevenue]],IFERROR(IF(FIND("$",Transaction[[#This Row],[NetRevenue]])&gt;0,MID(Transaction[[#This Row],[NetRevenue]],2,10)),Transaction[[#This Row],[NetRevenue]])))</f>
        <v>4685.84</v>
      </c>
      <c r="AG222">
        <f>IF(Transaction[[#This Row],[NetRevenue_Check]]="Invalid",(Transaction[[#This Row],[Quantity]]*Transaction[[#This Row],[UnitPrice_Clean]]),Transaction[[#This Row],[NetRevenue_Clean]])</f>
        <v>4685.84</v>
      </c>
      <c r="AH222" t="str">
        <f>IF(Transaction[[#This Row],[Quantity]]*Transaction[[#This Row],[UnitPrice_Clean]]=Transaction[[#This Row],[NetRevenue_Clean]],"Valid","Invalid")</f>
        <v>Valid</v>
      </c>
      <c r="AI222" t="s">
        <v>23</v>
      </c>
      <c r="AJ222" t="s">
        <v>737</v>
      </c>
      <c r="AK222" t="str">
        <f>IF(Transaction[[#This Row],[Salesperson]]="","Missing Value",TRIM(PROPER(Transaction[[#This Row],[Salesperson]])))</f>
        <v>Stanley-Na</v>
      </c>
      <c r="AL222" t="s">
        <v>42</v>
      </c>
      <c r="AM222" t="str">
        <f>IF(Transaction[[#This Row],[ContractType]]="","Missing Value",Transaction[[#This Row],[ContractType]])</f>
        <v>Standard PO</v>
      </c>
      <c r="AN222" t="s">
        <v>65</v>
      </c>
    </row>
    <row r="223" spans="1:40" x14ac:dyDescent="0.25">
      <c r="A223" t="s">
        <v>2252</v>
      </c>
      <c r="B223" s="1">
        <v>45740</v>
      </c>
      <c r="C22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22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22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23" s="2">
        <f>IFERROR(DATE(Transaction[[#This Row],[TransactionDateY]],Transaction[[#This Row],[TransactionDateM]],Transaction[[#This Row],[TransactionDateD]]),"Missing Value")</f>
        <v>45740</v>
      </c>
      <c r="G223" t="s">
        <v>146</v>
      </c>
      <c r="H223" t="str">
        <f>IFERROR(VLOOKUP(Transaction[[#This Row],[CustomerID]],Custumer[],1,0),IF(LEN(Transaction[[#This Row],[CustomerID]])=7,LEFT(Transaction[[#This Row],[CustomerID]],6),"Invalid ID"))</f>
        <v>C-1095</v>
      </c>
      <c r="I223" t="s">
        <v>97</v>
      </c>
      <c r="J223" t="str">
        <f>TRIM(UPPER(Transaction[[#This Row],[ProductID]]))</f>
        <v>P-SI-001</v>
      </c>
      <c r="K223" t="str">
        <f>IFERROR(VLOOKUP(Transaction[[#This Row],[ProductID_Clean]],Product[],1,FALSE),"Invalid ID")</f>
        <v>P-SI-001</v>
      </c>
      <c r="L223" t="str">
        <f>TRIM(SUBSTITUTE(SUBSTITUTE(SUBSTITUTE(SUBSTITUTE(UPPER(Transaction[[#This Row],[Region]]),"EMEA REGION","EMEA"),"APAC REGION","APAC"),"NORTH AMERICA","N. AMERICA"),"N .AMERICA","N.AMERICA"))</f>
        <v>LATIN AMERICA</v>
      </c>
      <c r="M223" t="s">
        <v>82</v>
      </c>
      <c r="N223" t="s">
        <v>98</v>
      </c>
      <c r="O22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23" t="s">
        <v>22</v>
      </c>
      <c r="Q223" t="str">
        <f>IF(TRIM(Transaction[[#This Row],[SalesChannel]])="","Missing Value",TRIM(Transaction[[#This Row],[SalesChannel]]))</f>
        <v>Direct</v>
      </c>
      <c r="R223" s="4">
        <v>15</v>
      </c>
      <c r="S223" s="4" t="str">
        <f>IF(Transaction[[#This Row],[Quantity]]&lt;0,"Negative-review","Valid")</f>
        <v>Valid</v>
      </c>
      <c r="T223">
        <v>407.86</v>
      </c>
      <c r="U22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407.86</v>
      </c>
      <c r="V223">
        <v>485</v>
      </c>
      <c r="W223">
        <v>7275</v>
      </c>
      <c r="X22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7275</v>
      </c>
      <c r="Y223">
        <f>IF(Transaction[[#This Row],[GrossRevenue_Check]]="Invalid",Transaction[[#This Row],[ListPrice]]*Transaction[[#This Row],[Quantity]],Transaction[[#This Row],[GrossRevenue_Clean]])</f>
        <v>7275</v>
      </c>
      <c r="Z223" t="str">
        <f>IF(Transaction[[#This Row],[GrossRevenue_Clean]]=Transaction[[#This Row],[ListPrice]]*Transaction[[#This Row],[Quantity]],"Valid","Invalid")</f>
        <v>Valid</v>
      </c>
      <c r="AA223">
        <v>1157.0999999999999</v>
      </c>
      <c r="AB22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1157.0999999999999</v>
      </c>
      <c r="AC223">
        <f>IF(Transaction[[#This Row],[DiscountAmount_Check2]]="Invalid",Transaction[[#This Row],[GrossRevenue_Analytical]]-Transaction[[#This Row],[NetRevenue_Analytical]],Transaction[[#This Row],[DiscountAmount_Clean]])</f>
        <v>1157.0999999999999</v>
      </c>
      <c r="AD223">
        <v>6117.9</v>
      </c>
      <c r="AE223" t="str">
        <f>IF(ROUND(Transaction[[#This Row],[GrossRevenue_Analytical]]-Transaction[[#This Row],[NetRevenue_Analytical]],2)=ROUND(Transaction[[#This Row],[DiscountAmount_Clean]],2),"Valid","Invalid")</f>
        <v>Valid</v>
      </c>
      <c r="AF223">
        <f>VALUE(IF(ISNUMBER(Transaction[[#This Row],[NetRevenue]]),Transaction[[#This Row],[NetRevenue]],IFERROR(IF(FIND("$",Transaction[[#This Row],[NetRevenue]])&gt;0,MID(Transaction[[#This Row],[NetRevenue]],2,10)),Transaction[[#This Row],[NetRevenue]])))</f>
        <v>6117.9</v>
      </c>
      <c r="AG223">
        <f>IF(Transaction[[#This Row],[NetRevenue_Check]]="Invalid",(Transaction[[#This Row],[Quantity]]*Transaction[[#This Row],[UnitPrice_Clean]]),Transaction[[#This Row],[NetRevenue_Clean]])</f>
        <v>6117.9</v>
      </c>
      <c r="AH223" t="str">
        <f>IF(Transaction[[#This Row],[Quantity]]*Transaction[[#This Row],[UnitPrice_Clean]]=Transaction[[#This Row],[NetRevenue_Clean]],"Valid","Invalid")</f>
        <v>Valid</v>
      </c>
      <c r="AI223" t="s">
        <v>23</v>
      </c>
      <c r="AJ223" t="s">
        <v>1305</v>
      </c>
      <c r="AK223" t="str">
        <f>IF(Transaction[[#This Row],[Salesperson]]="","Missing Value",TRIM(PROPER(Transaction[[#This Row],[Salesperson]])))</f>
        <v>Walter</v>
      </c>
      <c r="AM223" t="str">
        <f>IF(Transaction[[#This Row],[ContractType]]="","Missing Value",Transaction[[#This Row],[ContractType]])</f>
        <v>Missing Value</v>
      </c>
      <c r="AN223" t="s">
        <v>49</v>
      </c>
    </row>
    <row r="224" spans="1:40" x14ac:dyDescent="0.25">
      <c r="A224" t="s">
        <v>1720</v>
      </c>
      <c r="B224" s="1">
        <v>45836</v>
      </c>
      <c r="C22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22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22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24" s="2">
        <f>IFERROR(DATE(Transaction[[#This Row],[TransactionDateY]],Transaction[[#This Row],[TransactionDateM]],Transaction[[#This Row],[TransactionDateD]]),"Missing Value")</f>
        <v>45836</v>
      </c>
      <c r="G224" t="s">
        <v>86</v>
      </c>
      <c r="H224" t="str">
        <f>IFERROR(VLOOKUP(Transaction[[#This Row],[CustomerID]],Custumer[],1,0),IF(LEN(Transaction[[#This Row],[CustomerID]])=7,LEFT(Transaction[[#This Row],[CustomerID]],6),"Invalid ID"))</f>
        <v>C-1177</v>
      </c>
      <c r="I224" t="s">
        <v>71</v>
      </c>
      <c r="J224" t="str">
        <f>TRIM(UPPER(Transaction[[#This Row],[ProductID]]))</f>
        <v>P-SI-003</v>
      </c>
      <c r="K224" t="str">
        <f>IFERROR(VLOOKUP(Transaction[[#This Row],[ProductID_Clean]],Product[],1,FALSE),"Invalid ID")</f>
        <v>P-SI-003</v>
      </c>
      <c r="L224" t="str">
        <f>TRIM(SUBSTITUTE(SUBSTITUTE(SUBSTITUTE(SUBSTITUTE(UPPER(Transaction[[#This Row],[Region]]),"EMEA REGION","EMEA"),"APAC REGION","APAC"),"NORTH AMERICA","N. AMERICA"),"N .AMERICA","N.AMERICA"))</f>
        <v>EMEA</v>
      </c>
      <c r="M224" t="s">
        <v>76</v>
      </c>
      <c r="N224" t="s">
        <v>53</v>
      </c>
      <c r="O22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24" t="s">
        <v>40</v>
      </c>
      <c r="Q224" t="str">
        <f>IF(TRIM(Transaction[[#This Row],[SalesChannel]])="","Missing Value",TRIM(Transaction[[#This Row],[SalesChannel]]))</f>
        <v>Distributor</v>
      </c>
      <c r="R224" s="4">
        <v>4</v>
      </c>
      <c r="S224" s="4" t="str">
        <f>IF(Transaction[[#This Row],[Quantity]]&lt;0,"Negative-review","Valid")</f>
        <v>Valid</v>
      </c>
      <c r="T224">
        <v>1381.11</v>
      </c>
      <c r="U22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1381.11</v>
      </c>
      <c r="V224">
        <v>1890</v>
      </c>
      <c r="W224">
        <v>7560</v>
      </c>
      <c r="X22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7560</v>
      </c>
      <c r="Y224">
        <f>IF(Transaction[[#This Row],[GrossRevenue_Check]]="Invalid",Transaction[[#This Row],[ListPrice]]*Transaction[[#This Row],[Quantity]],Transaction[[#This Row],[GrossRevenue_Clean]])</f>
        <v>7560</v>
      </c>
      <c r="Z224" t="str">
        <f>IF(Transaction[[#This Row],[GrossRevenue_Clean]]=Transaction[[#This Row],[ListPrice]]*Transaction[[#This Row],[Quantity]],"Valid","Invalid")</f>
        <v>Valid</v>
      </c>
      <c r="AA224">
        <v>2035.56</v>
      </c>
      <c r="AB22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2035.56</v>
      </c>
      <c r="AC224">
        <f>IF(Transaction[[#This Row],[DiscountAmount_Check2]]="Invalid",Transaction[[#This Row],[GrossRevenue_Analytical]]-Transaction[[#This Row],[NetRevenue_Analytical]],Transaction[[#This Row],[DiscountAmount_Clean]])</f>
        <v>2035.56</v>
      </c>
      <c r="AD224">
        <v>5524.44</v>
      </c>
      <c r="AE224" t="str">
        <f>IF(ROUND(Transaction[[#This Row],[GrossRevenue_Analytical]]-Transaction[[#This Row],[NetRevenue_Analytical]],2)=ROUND(Transaction[[#This Row],[DiscountAmount_Clean]],2),"Valid","Invalid")</f>
        <v>Valid</v>
      </c>
      <c r="AF224">
        <f>VALUE(IF(ISNUMBER(Transaction[[#This Row],[NetRevenue]]),Transaction[[#This Row],[NetRevenue]],IFERROR(IF(FIND("$",Transaction[[#This Row],[NetRevenue]])&gt;0,MID(Transaction[[#This Row],[NetRevenue]],2,10)),Transaction[[#This Row],[NetRevenue]])))</f>
        <v>5524.44</v>
      </c>
      <c r="AG224">
        <f>IF(Transaction[[#This Row],[NetRevenue_Check]]="Invalid",(Transaction[[#This Row],[Quantity]]*Transaction[[#This Row],[UnitPrice_Clean]]),Transaction[[#This Row],[NetRevenue_Clean]])</f>
        <v>5524.44</v>
      </c>
      <c r="AH224" t="str">
        <f>IF(Transaction[[#This Row],[Quantity]]*Transaction[[#This Row],[UnitPrice_Clean]]=Transaction[[#This Row],[NetRevenue_Clean]],"Valid","Invalid")</f>
        <v>Valid</v>
      </c>
      <c r="AI224" t="s">
        <v>23</v>
      </c>
      <c r="AJ224" t="s">
        <v>1721</v>
      </c>
      <c r="AK224" t="str">
        <f>IF(Transaction[[#This Row],[Salesperson]]="","Missing Value",TRIM(PROPER(Transaction[[#This Row],[Salesperson]])))</f>
        <v>Williamson-Na</v>
      </c>
      <c r="AL224" t="s">
        <v>42</v>
      </c>
      <c r="AM224" t="str">
        <f>IF(Transaction[[#This Row],[ContractType]]="","Missing Value",Transaction[[#This Row],[ContractType]])</f>
        <v>Standard PO</v>
      </c>
      <c r="AN224" t="s">
        <v>49</v>
      </c>
    </row>
    <row r="225" spans="1:40" x14ac:dyDescent="0.25">
      <c r="A225" t="s">
        <v>1147</v>
      </c>
      <c r="B225" t="s">
        <v>1148</v>
      </c>
      <c r="C22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22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22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25" s="2">
        <f>IFERROR(DATE(Transaction[[#This Row],[TransactionDateY]],Transaction[[#This Row],[TransactionDateM]],Transaction[[#This Row],[TransactionDateD]]),"Missing Value")</f>
        <v>45717</v>
      </c>
      <c r="G225" t="s">
        <v>91</v>
      </c>
      <c r="H225" t="str">
        <f>IFERROR(VLOOKUP(Transaction[[#This Row],[CustomerID]],Custumer[],1,0),IF(LEN(Transaction[[#This Row],[CustomerID]])=7,LEFT(Transaction[[#This Row],[CustomerID]],6),"Invalid ID"))</f>
        <v>C-1147</v>
      </c>
      <c r="I225" t="s">
        <v>52</v>
      </c>
      <c r="J225" t="str">
        <f>TRIM(UPPER(Transaction[[#This Row],[ProductID]]))</f>
        <v>P-SI-002</v>
      </c>
      <c r="K225" t="str">
        <f>IFERROR(VLOOKUP(Transaction[[#This Row],[ProductID_Clean]],Product[],1,FALSE),"Invalid ID")</f>
        <v>P-SI-002</v>
      </c>
      <c r="L225" t="str">
        <f>TRIM(SUBSTITUTE(SUBSTITUTE(SUBSTITUTE(SUBSTITUTE(UPPER(Transaction[[#This Row],[Region]]),"EMEA REGION","EMEA"),"APAC REGION","APAC"),"NORTH AMERICA","N. AMERICA"),"N .AMERICA","N.AMERICA"))</f>
        <v>APAC</v>
      </c>
      <c r="M225" t="s">
        <v>30</v>
      </c>
      <c r="N225" t="s">
        <v>53</v>
      </c>
      <c r="O22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25" t="s">
        <v>40</v>
      </c>
      <c r="Q225" t="str">
        <f>IF(TRIM(Transaction[[#This Row],[SalesChannel]])="","Missing Value",TRIM(Transaction[[#This Row],[SalesChannel]]))</f>
        <v>Distributor</v>
      </c>
      <c r="R225" s="4">
        <v>2</v>
      </c>
      <c r="S225" s="4" t="str">
        <f>IF(Transaction[[#This Row],[Quantity]]&lt;0,"Negative-review","Valid")</f>
        <v>Valid</v>
      </c>
      <c r="T225">
        <v>536.84</v>
      </c>
      <c r="U22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536.84</v>
      </c>
      <c r="V225">
        <v>725</v>
      </c>
      <c r="W225" t="s">
        <v>1149</v>
      </c>
      <c r="X22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225">
        <f>IF(Transaction[[#This Row],[GrossRevenue_Check]]="Invalid",Transaction[[#This Row],[ListPrice]]*Transaction[[#This Row],[Quantity]],Transaction[[#This Row],[GrossRevenue_Clean]])</f>
        <v>1450</v>
      </c>
      <c r="Z225" t="str">
        <f>IF(Transaction[[#This Row],[GrossRevenue_Clean]]=Transaction[[#This Row],[ListPrice]]*Transaction[[#This Row],[Quantity]],"Valid","Invalid")</f>
        <v>Valid</v>
      </c>
      <c r="AA225">
        <v>376.32</v>
      </c>
      <c r="AB22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376.32</v>
      </c>
      <c r="AC225">
        <f>IF(Transaction[[#This Row],[DiscountAmount_Check2]]="Invalid",Transaction[[#This Row],[GrossRevenue_Analytical]]-Transaction[[#This Row],[NetRevenue_Analytical]],Transaction[[#This Row],[DiscountAmount_Clean]])</f>
        <v>376.32</v>
      </c>
      <c r="AD225">
        <v>1073.68</v>
      </c>
      <c r="AE225" t="str">
        <f>IF(ROUND(Transaction[[#This Row],[GrossRevenue_Analytical]]-Transaction[[#This Row],[NetRevenue_Analytical]],2)=ROUND(Transaction[[#This Row],[DiscountAmount_Clean]],2),"Valid","Invalid")</f>
        <v>Valid</v>
      </c>
      <c r="AF22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1073.68</v>
      </c>
      <c r="AG225">
        <f>IF(Transaction[[#This Row],[NetRevenue_Check]]="Invalid",(Transaction[[#This Row],[Quantity]]*Transaction[[#This Row],[UnitPrice_Clean]]),Transaction[[#This Row],[NetRevenue_Clean]])</f>
        <v>1073.68</v>
      </c>
      <c r="AH225" t="str">
        <f>IF(Transaction[[#This Row],[Quantity]]*Transaction[[#This Row],[UnitPrice_Clean]]=Transaction[[#This Row],[NetRevenue_Clean]],"Valid","Invalid")</f>
        <v>Valid</v>
      </c>
      <c r="AI225" t="s">
        <v>23</v>
      </c>
      <c r="AJ225" t="s">
        <v>1150</v>
      </c>
      <c r="AK225" t="str">
        <f>IF(Transaction[[#This Row],[Salesperson]]="","Missing Value",TRIM(PROPER(Transaction[[#This Row],[Salesperson]])))</f>
        <v>Harper-Na</v>
      </c>
      <c r="AL225" t="s">
        <v>42</v>
      </c>
      <c r="AM225" t="str">
        <f>IF(Transaction[[#This Row],[ContractType]]="","Missing Value",Transaction[[#This Row],[ContractType]])</f>
        <v>Standard PO</v>
      </c>
      <c r="AN225" t="s">
        <v>49</v>
      </c>
    </row>
    <row r="226" spans="1:40" x14ac:dyDescent="0.25">
      <c r="A226" t="s">
        <v>2618</v>
      </c>
      <c r="B226" t="s">
        <v>1822</v>
      </c>
      <c r="C22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22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22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26" s="2">
        <f>IFERROR(DATE(Transaction[[#This Row],[TransactionDateY]],Transaction[[#This Row],[TransactionDateM]],Transaction[[#This Row],[TransactionDateD]]),"Missing Value")</f>
        <v>45669</v>
      </c>
      <c r="G226" t="s">
        <v>1154</v>
      </c>
      <c r="H226" t="str">
        <f>IFERROR(VLOOKUP(Transaction[[#This Row],[CustomerID]],Custumer[],1,0),IF(LEN(Transaction[[#This Row],[CustomerID]])=7,LEFT(Transaction[[#This Row],[CustomerID]],6),"Invalid ID"))</f>
        <v>C-1014</v>
      </c>
      <c r="I226" t="s">
        <v>92</v>
      </c>
      <c r="J226" t="str">
        <f>TRIM(UPPER(Transaction[[#This Row],[ProductID]]))</f>
        <v>P-SI-008</v>
      </c>
      <c r="K226" t="str">
        <f>IFERROR(VLOOKUP(Transaction[[#This Row],[ProductID_Clean]],Product[],1,FALSE),"Invalid ID")</f>
        <v>P-SI-008</v>
      </c>
      <c r="L226" t="str">
        <f>TRIM(SUBSTITUTE(SUBSTITUTE(SUBSTITUTE(SUBSTITUTE(UPPER(Transaction[[#This Row],[Region]]),"EMEA REGION","EMEA"),"APAC REGION","APAC"),"NORTH AMERICA","N. AMERICA"),"N .AMERICA","N.AMERICA"))</f>
        <v>N. AMERICA</v>
      </c>
      <c r="M226" t="s">
        <v>20</v>
      </c>
      <c r="N226" t="s">
        <v>53</v>
      </c>
      <c r="O22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26" t="s">
        <v>40</v>
      </c>
      <c r="Q226" t="str">
        <f>IF(TRIM(Transaction[[#This Row],[SalesChannel]])="","Missing Value",TRIM(Transaction[[#This Row],[SalesChannel]]))</f>
        <v>Distributor</v>
      </c>
      <c r="R226" s="4">
        <v>4</v>
      </c>
      <c r="S226" s="4" t="str">
        <f>IF(Transaction[[#This Row],[Quantity]]&lt;0,"Negative-review","Valid")</f>
        <v>Valid</v>
      </c>
      <c r="T226">
        <v>866.36</v>
      </c>
      <c r="U22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866.36</v>
      </c>
      <c r="V226">
        <v>950</v>
      </c>
      <c r="W226">
        <v>3800</v>
      </c>
      <c r="X22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3800</v>
      </c>
      <c r="Y226">
        <f>IF(Transaction[[#This Row],[GrossRevenue_Check]]="Invalid",Transaction[[#This Row],[ListPrice]]*Transaction[[#This Row],[Quantity]],Transaction[[#This Row],[GrossRevenue_Clean]])</f>
        <v>3800</v>
      </c>
      <c r="Z226" t="str">
        <f>IF(Transaction[[#This Row],[GrossRevenue_Clean]]=Transaction[[#This Row],[ListPrice]]*Transaction[[#This Row],[Quantity]],"Valid","Invalid")</f>
        <v>Valid</v>
      </c>
      <c r="AA226">
        <v>334.56</v>
      </c>
      <c r="AB22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334.56</v>
      </c>
      <c r="AC226">
        <f>IF(Transaction[[#This Row],[DiscountAmount_Check2]]="Invalid",Transaction[[#This Row],[GrossRevenue_Analytical]]-Transaction[[#This Row],[NetRevenue_Analytical]],Transaction[[#This Row],[DiscountAmount_Clean]])</f>
        <v>334.56</v>
      </c>
      <c r="AD226">
        <v>3465.44</v>
      </c>
      <c r="AE226" t="str">
        <f>IF(ROUND(Transaction[[#This Row],[GrossRevenue_Analytical]]-Transaction[[#This Row],[NetRevenue_Analytical]],2)=ROUND(Transaction[[#This Row],[DiscountAmount_Clean]],2),"Valid","Invalid")</f>
        <v>Valid</v>
      </c>
      <c r="AF226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3465.44</v>
      </c>
      <c r="AG226">
        <f>IF(Transaction[[#This Row],[NetRevenue_Check]]="Invalid",(Transaction[[#This Row],[Quantity]]*Transaction[[#This Row],[UnitPrice_Clean]]),Transaction[[#This Row],[NetRevenue_Clean]])</f>
        <v>3465.44</v>
      </c>
      <c r="AH226" t="str">
        <f>IF(Transaction[[#This Row],[Quantity]]*Transaction[[#This Row],[UnitPrice_Clean]]=Transaction[[#This Row],[NetRevenue_Clean]],"Valid","Invalid")</f>
        <v>Valid</v>
      </c>
      <c r="AI226" t="s">
        <v>23</v>
      </c>
      <c r="AJ226" t="s">
        <v>389</v>
      </c>
      <c r="AK226" t="str">
        <f>IF(Transaction[[#This Row],[Salesperson]]="","Missing Value",TRIM(PROPER(Transaction[[#This Row],[Salesperson]])))</f>
        <v>Moore</v>
      </c>
      <c r="AL226" t="s">
        <v>42</v>
      </c>
      <c r="AM226" t="str">
        <f>IF(Transaction[[#This Row],[ContractType]]="","Missing Value",Transaction[[#This Row],[ContractType]])</f>
        <v>Standard PO</v>
      </c>
      <c r="AN226" t="s">
        <v>35</v>
      </c>
    </row>
    <row r="227" spans="1:40" x14ac:dyDescent="0.25">
      <c r="A227" t="s">
        <v>1835</v>
      </c>
      <c r="B227" t="s">
        <v>1836</v>
      </c>
      <c r="C22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22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02</v>
      </c>
      <c r="E22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27" s="2">
        <f>IFERROR(DATE(Transaction[[#This Row],[TransactionDateY]],Transaction[[#This Row],[TransactionDateM]],Transaction[[#This Row],[TransactionDateD]]),"Missing Value")</f>
        <v>45779</v>
      </c>
      <c r="G227" t="s">
        <v>336</v>
      </c>
      <c r="H227" t="str">
        <f>IFERROR(VLOOKUP(Transaction[[#This Row],[CustomerID]],Custumer[],1,0),IF(LEN(Transaction[[#This Row],[CustomerID]])=7,LEFT(Transaction[[#This Row],[CustomerID]],6),"Invalid ID"))</f>
        <v>C-1109</v>
      </c>
      <c r="I227" t="s">
        <v>62</v>
      </c>
      <c r="J227" t="str">
        <f>TRIM(UPPER(Transaction[[#This Row],[ProductID]]))</f>
        <v>P-SI-004</v>
      </c>
      <c r="K227" t="str">
        <f>IFERROR(VLOOKUP(Transaction[[#This Row],[ProductID_Clean]],Product[],1,FALSE),"Invalid ID")</f>
        <v>P-SI-004</v>
      </c>
      <c r="L227" t="str">
        <f>TRIM(SUBSTITUTE(SUBSTITUTE(SUBSTITUTE(SUBSTITUTE(UPPER(Transaction[[#This Row],[Region]]),"EMEA REGION","EMEA"),"APAC REGION","APAC"),"NORTH AMERICA","N. AMERICA"),"N .AMERICA","N.AMERICA"))</f>
        <v>EMEA</v>
      </c>
      <c r="M227" t="s">
        <v>76</v>
      </c>
      <c r="N227" t="s">
        <v>53</v>
      </c>
      <c r="O22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27" t="s">
        <v>22</v>
      </c>
      <c r="Q227" t="str">
        <f>IF(TRIM(Transaction[[#This Row],[SalesChannel]])="","Missing Value",TRIM(Transaction[[#This Row],[SalesChannel]]))</f>
        <v>Direct</v>
      </c>
      <c r="R227" s="4">
        <v>4</v>
      </c>
      <c r="S227" s="4" t="str">
        <f>IF(Transaction[[#This Row],[Quantity]]&lt;0,"Negative-review","Valid")</f>
        <v>Valid</v>
      </c>
      <c r="T227">
        <v>2142.73</v>
      </c>
      <c r="U22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2142.73</v>
      </c>
      <c r="V227">
        <v>2450</v>
      </c>
      <c r="W227">
        <v>9800</v>
      </c>
      <c r="X22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227">
        <f>IF(Transaction[[#This Row],[GrossRevenue_Check]]="Invalid",Transaction[[#This Row],[ListPrice]]*Transaction[[#This Row],[Quantity]],Transaction[[#This Row],[GrossRevenue_Clean]])</f>
        <v>9800</v>
      </c>
      <c r="Z227" t="str">
        <f>IF(Transaction[[#This Row],[GrossRevenue_Clean]]=Transaction[[#This Row],[ListPrice]]*Transaction[[#This Row],[Quantity]],"Valid","Invalid")</f>
        <v>Valid</v>
      </c>
      <c r="AA227">
        <v>1229.08</v>
      </c>
      <c r="AB22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1229.08</v>
      </c>
      <c r="AC227">
        <f>IF(Transaction[[#This Row],[DiscountAmount_Check2]]="Invalid",Transaction[[#This Row],[GrossRevenue_Analytical]]-Transaction[[#This Row],[NetRevenue_Analytical]],Transaction[[#This Row],[DiscountAmount_Clean]])</f>
        <v>1229.08</v>
      </c>
      <c r="AD227">
        <v>8570.92</v>
      </c>
      <c r="AE227" t="str">
        <f>IF(ROUND(Transaction[[#This Row],[GrossRevenue_Analytical]]-Transaction[[#This Row],[NetRevenue_Analytical]],2)=ROUND(Transaction[[#This Row],[DiscountAmount_Clean]],2),"Valid","Invalid")</f>
        <v>Valid</v>
      </c>
      <c r="AF227">
        <f>VALUE(IF(ISNUMBER(Transaction[[#This Row],[NetRevenue]]),Transaction[[#This Row],[NetRevenue]],IFERROR(IF(FIND("$",Transaction[[#This Row],[NetRevenue]])&gt;0,MID(Transaction[[#This Row],[NetRevenue]],2,10)),Transaction[[#This Row],[NetRevenue]])))</f>
        <v>8570.92</v>
      </c>
      <c r="AG227">
        <f>IF(Transaction[[#This Row],[NetRevenue_Check]]="Invalid",(Transaction[[#This Row],[Quantity]]*Transaction[[#This Row],[UnitPrice_Clean]]),Transaction[[#This Row],[NetRevenue_Clean]])</f>
        <v>8570.92</v>
      </c>
      <c r="AH227" t="str">
        <f>IF(Transaction[[#This Row],[Quantity]]*Transaction[[#This Row],[UnitPrice_Clean]]=Transaction[[#This Row],[NetRevenue_Clean]],"Valid","Invalid")</f>
        <v>Valid</v>
      </c>
      <c r="AI227" t="s">
        <v>23</v>
      </c>
      <c r="AJ227" t="s">
        <v>1817</v>
      </c>
      <c r="AK227" t="str">
        <f>IF(Transaction[[#This Row],[Salesperson]]="","Missing Value",TRIM(PROPER(Transaction[[#This Row],[Salesperson]])))</f>
        <v>White-Ap</v>
      </c>
      <c r="AL227" t="s">
        <v>42</v>
      </c>
      <c r="AM227" t="str">
        <f>IF(Transaction[[#This Row],[ContractType]]="","Missing Value",Transaction[[#This Row],[ContractType]])</f>
        <v>Standard PO</v>
      </c>
      <c r="AN227" t="s">
        <v>65</v>
      </c>
    </row>
    <row r="228" spans="1:40" x14ac:dyDescent="0.25">
      <c r="A228" t="s">
        <v>1311</v>
      </c>
      <c r="B228" s="1">
        <v>45755</v>
      </c>
      <c r="C22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22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22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28" s="2">
        <f>IFERROR(DATE(Transaction[[#This Row],[TransactionDateY]],Transaction[[#This Row],[TransactionDateM]],Transaction[[#This Row],[TransactionDateD]]),"Missing Value")</f>
        <v>45755</v>
      </c>
      <c r="G228" t="s">
        <v>139</v>
      </c>
      <c r="H228" t="str">
        <f>IFERROR(VLOOKUP(Transaction[[#This Row],[CustomerID]],Custumer[],1,0),IF(LEN(Transaction[[#This Row],[CustomerID]])=7,LEFT(Transaction[[#This Row],[CustomerID]],6),"Invalid ID"))</f>
        <v>C-1171</v>
      </c>
      <c r="I228" t="s">
        <v>75</v>
      </c>
      <c r="J228" t="str">
        <f>TRIM(UPPER(Transaction[[#This Row],[ProductID]]))</f>
        <v>P-SA-005</v>
      </c>
      <c r="K228" t="str">
        <f>IFERROR(VLOOKUP(Transaction[[#This Row],[ProductID_Clean]],Product[],1,FALSE),"Invalid ID")</f>
        <v>P-SA-005</v>
      </c>
      <c r="L228" t="str">
        <f>TRIM(SUBSTITUTE(SUBSTITUTE(SUBSTITUTE(SUBSTITUTE(UPPER(Transaction[[#This Row],[Region]]),"EMEA REGION","EMEA"),"APAC REGION","APAC"),"NORTH AMERICA","N. AMERICA"),"N .AMERICA","N.AMERICA"))</f>
        <v>APAC</v>
      </c>
      <c r="M228" t="s">
        <v>30</v>
      </c>
      <c r="N228" t="s">
        <v>1312</v>
      </c>
      <c r="O22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28" t="s">
        <v>22</v>
      </c>
      <c r="Q228" t="str">
        <f>IF(TRIM(Transaction[[#This Row],[SalesChannel]])="","Missing Value",TRIM(Transaction[[#This Row],[SalesChannel]]))</f>
        <v>Direct</v>
      </c>
      <c r="R228" s="4">
        <v>1</v>
      </c>
      <c r="S228" s="4" t="str">
        <f>IF(Transaction[[#This Row],[Quantity]]&lt;0,"Negative-review","Valid")</f>
        <v>Valid</v>
      </c>
      <c r="T228">
        <v>2590.59</v>
      </c>
      <c r="U22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2590.59</v>
      </c>
      <c r="V228">
        <v>3200</v>
      </c>
      <c r="W228">
        <v>3200</v>
      </c>
      <c r="X22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228">
        <f>IF(Transaction[[#This Row],[GrossRevenue_Check]]="Invalid",Transaction[[#This Row],[ListPrice]]*Transaction[[#This Row],[Quantity]],Transaction[[#This Row],[GrossRevenue_Clean]])</f>
        <v>3200</v>
      </c>
      <c r="Z228" t="str">
        <f>IF(Transaction[[#This Row],[GrossRevenue_Clean]]=Transaction[[#This Row],[ListPrice]]*Transaction[[#This Row],[Quantity]],"Valid","Invalid")</f>
        <v>Valid</v>
      </c>
      <c r="AA228">
        <v>609.41</v>
      </c>
      <c r="AB22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609.41</v>
      </c>
      <c r="AC228">
        <f>IF(Transaction[[#This Row],[DiscountAmount_Check2]]="Invalid",Transaction[[#This Row],[GrossRevenue_Analytical]]-Transaction[[#This Row],[NetRevenue_Analytical]],Transaction[[#This Row],[DiscountAmount_Clean]])</f>
        <v>609.41</v>
      </c>
      <c r="AD228">
        <v>2590.59</v>
      </c>
      <c r="AE228" t="str">
        <f>IF(ROUND(Transaction[[#This Row],[GrossRevenue_Analytical]]-Transaction[[#This Row],[NetRevenue_Analytical]],2)=ROUND(Transaction[[#This Row],[DiscountAmount_Clean]],2),"Valid","Invalid")</f>
        <v>Valid</v>
      </c>
      <c r="AF22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2590.59</v>
      </c>
      <c r="AG228">
        <f>IF(Transaction[[#This Row],[NetRevenue_Check]]="Invalid",(Transaction[[#This Row],[Quantity]]*Transaction[[#This Row],[UnitPrice_Clean]]),Transaction[[#This Row],[NetRevenue_Clean]])</f>
        <v>2590.59</v>
      </c>
      <c r="AH228" t="str">
        <f>IF(Transaction[[#This Row],[Quantity]]*Transaction[[#This Row],[UnitPrice_Clean]]=Transaction[[#This Row],[NetRevenue_Clean]],"Valid","Invalid")</f>
        <v>Valid</v>
      </c>
      <c r="AI228" t="s">
        <v>99</v>
      </c>
      <c r="AJ228" t="s">
        <v>1313</v>
      </c>
      <c r="AK228" t="str">
        <f>IF(Transaction[[#This Row],[Salesperson]]="","Missing Value",TRIM(PROPER(Transaction[[#This Row],[Salesperson]])))</f>
        <v>Schwartz-Na</v>
      </c>
      <c r="AL228" t="s">
        <v>113</v>
      </c>
      <c r="AM228" t="str">
        <f>IF(Transaction[[#This Row],[ContractType]]="","Missing Value",Transaction[[#This Row],[ContractType]])</f>
        <v>Subscription</v>
      </c>
      <c r="AN228" t="s">
        <v>49</v>
      </c>
    </row>
    <row r="229" spans="1:40" x14ac:dyDescent="0.25">
      <c r="A229" t="s">
        <v>1840</v>
      </c>
      <c r="B229" t="s">
        <v>1841</v>
      </c>
      <c r="C22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22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22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29" s="2">
        <f>IFERROR(DATE(Transaction[[#This Row],[TransactionDateY]],Transaction[[#This Row],[TransactionDateM]],Transaction[[#This Row],[TransactionDateD]]),"Missing Value")</f>
        <v>45827</v>
      </c>
      <c r="G229" t="s">
        <v>1417</v>
      </c>
      <c r="H229" t="str">
        <f>IFERROR(VLOOKUP(Transaction[[#This Row],[CustomerID]],Custumer[],1,0),IF(LEN(Transaction[[#This Row],[CustomerID]])=7,LEFT(Transaction[[#This Row],[CustomerID]],6),"Invalid ID"))</f>
        <v>C-1050</v>
      </c>
      <c r="I229" t="s">
        <v>75</v>
      </c>
      <c r="J229" t="str">
        <f>TRIM(UPPER(Transaction[[#This Row],[ProductID]]))</f>
        <v>P-SA-005</v>
      </c>
      <c r="K229" t="str">
        <f>IFERROR(VLOOKUP(Transaction[[#This Row],[ProductID_Clean]],Product[],1,FALSE),"Invalid ID")</f>
        <v>P-SA-005</v>
      </c>
      <c r="L229" t="str">
        <f>TRIM(SUBSTITUTE(SUBSTITUTE(SUBSTITUTE(SUBSTITUTE(UPPER(Transaction[[#This Row],[Region]]),"EMEA REGION","EMEA"),"APAC REGION","APAC"),"NORTH AMERICA","N. AMERICA"),"N .AMERICA","N.AMERICA"))</f>
        <v>EMEA</v>
      </c>
      <c r="M229" t="s">
        <v>76</v>
      </c>
      <c r="N229" t="s">
        <v>205</v>
      </c>
      <c r="O22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29" t="s">
        <v>22</v>
      </c>
      <c r="Q229" t="str">
        <f>IF(TRIM(Transaction[[#This Row],[SalesChannel]])="","Missing Value",TRIM(Transaction[[#This Row],[SalesChannel]]))</f>
        <v>Direct</v>
      </c>
      <c r="R229" s="4">
        <v>1</v>
      </c>
      <c r="S229" s="4" t="str">
        <f>IF(Transaction[[#This Row],[Quantity]]&lt;0,"Negative-review","Valid")</f>
        <v>Valid</v>
      </c>
      <c r="T229">
        <v>3171.15</v>
      </c>
      <c r="U22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3171.15</v>
      </c>
      <c r="V229">
        <v>3200</v>
      </c>
      <c r="W229">
        <v>3200</v>
      </c>
      <c r="X22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229">
        <f>IF(Transaction[[#This Row],[GrossRevenue_Check]]="Invalid",Transaction[[#This Row],[ListPrice]]*Transaction[[#This Row],[Quantity]],Transaction[[#This Row],[GrossRevenue_Clean]])</f>
        <v>3200</v>
      </c>
      <c r="Z229" t="str">
        <f>IF(Transaction[[#This Row],[GrossRevenue_Clean]]=Transaction[[#This Row],[ListPrice]]*Transaction[[#This Row],[Quantity]],"Valid","Invalid")</f>
        <v>Valid</v>
      </c>
      <c r="AA229">
        <v>28.85</v>
      </c>
      <c r="AB22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28.85</v>
      </c>
      <c r="AC229">
        <f>IF(Transaction[[#This Row],[DiscountAmount_Check2]]="Invalid",Transaction[[#This Row],[GrossRevenue_Analytical]]-Transaction[[#This Row],[NetRevenue_Analytical]],Transaction[[#This Row],[DiscountAmount_Clean]])</f>
        <v>28.85</v>
      </c>
      <c r="AD229">
        <v>3171.15</v>
      </c>
      <c r="AE229" t="str">
        <f>IF(ROUND(Transaction[[#This Row],[GrossRevenue_Analytical]]-Transaction[[#This Row],[NetRevenue_Analytical]],2)=ROUND(Transaction[[#This Row],[DiscountAmount_Clean]],2),"Valid","Invalid")</f>
        <v>Valid</v>
      </c>
      <c r="AF229">
        <f>VALUE(IF(ISNUMBER(Transaction[[#This Row],[NetRevenue]]),Transaction[[#This Row],[NetRevenue]],IFERROR(IF(FIND("$",Transaction[[#This Row],[NetRevenue]])&gt;0,MID(Transaction[[#This Row],[NetRevenue]],2,10)),Transaction[[#This Row],[NetRevenue]])))</f>
        <v>3171.15</v>
      </c>
      <c r="AG229">
        <f>IF(Transaction[[#This Row],[NetRevenue_Check]]="Invalid",(Transaction[[#This Row],[Quantity]]*Transaction[[#This Row],[UnitPrice_Clean]]),Transaction[[#This Row],[NetRevenue_Clean]])</f>
        <v>3171.15</v>
      </c>
      <c r="AH229" t="str">
        <f>IF(Transaction[[#This Row],[Quantity]]*Transaction[[#This Row],[UnitPrice_Clean]]=Transaction[[#This Row],[NetRevenue_Clean]],"Valid","Invalid")</f>
        <v>Valid</v>
      </c>
      <c r="AI229" t="s">
        <v>23</v>
      </c>
      <c r="AJ229" t="s">
        <v>698</v>
      </c>
      <c r="AK229" t="str">
        <f>IF(Transaction[[#This Row],[Salesperson]]="","Missing Value",TRIM(PROPER(Transaction[[#This Row],[Salesperson]])))</f>
        <v>Weber-Ap</v>
      </c>
      <c r="AL229" t="s">
        <v>113</v>
      </c>
      <c r="AM229" t="str">
        <f>IF(Transaction[[#This Row],[ContractType]]="","Missing Value",Transaction[[#This Row],[ContractType]])</f>
        <v>Subscription</v>
      </c>
      <c r="AN229" t="s">
        <v>65</v>
      </c>
    </row>
    <row r="230" spans="1:40" x14ac:dyDescent="0.25">
      <c r="A230" t="s">
        <v>2627</v>
      </c>
      <c r="B230" s="1">
        <v>45696</v>
      </c>
      <c r="C23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23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23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30" s="2">
        <f>IFERROR(DATE(Transaction[[#This Row],[TransactionDateY]],Transaction[[#This Row],[TransactionDateM]],Transaction[[#This Row],[TransactionDateD]]),"Missing Value")</f>
        <v>45696</v>
      </c>
      <c r="G230" t="s">
        <v>494</v>
      </c>
      <c r="H230" t="str">
        <f>IFERROR(VLOOKUP(Transaction[[#This Row],[CustomerID]],Custumer[],1,0),IF(LEN(Transaction[[#This Row],[CustomerID]])=7,LEFT(Transaction[[#This Row],[CustomerID]],6),"Invalid ID"))</f>
        <v>C-1132</v>
      </c>
      <c r="I230" t="s">
        <v>92</v>
      </c>
      <c r="J230" t="str">
        <f>TRIM(UPPER(Transaction[[#This Row],[ProductID]]))</f>
        <v>P-SI-008</v>
      </c>
      <c r="K230" t="str">
        <f>IFERROR(VLOOKUP(Transaction[[#This Row],[ProductID_Clean]],Product[],1,FALSE),"Invalid ID")</f>
        <v>P-SI-008</v>
      </c>
      <c r="L230" t="str">
        <f>TRIM(SUBSTITUTE(SUBSTITUTE(SUBSTITUTE(SUBSTITUTE(UPPER(Transaction[[#This Row],[Region]]),"EMEA REGION","EMEA"),"APAC REGION","APAC"),"NORTH AMERICA","N. AMERICA"),"N .AMERICA","N.AMERICA"))</f>
        <v>N. AMERICA</v>
      </c>
      <c r="M230" t="s">
        <v>495</v>
      </c>
      <c r="N230" t="s">
        <v>47</v>
      </c>
      <c r="O23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30" t="s">
        <v>22</v>
      </c>
      <c r="Q230" t="str">
        <f>IF(TRIM(Transaction[[#This Row],[SalesChannel]])="","Missing Value",TRIM(Transaction[[#This Row],[SalesChannel]]))</f>
        <v>Direct</v>
      </c>
      <c r="R230" s="4">
        <v>12</v>
      </c>
      <c r="S230" s="4" t="str">
        <f>IF(Transaction[[#This Row],[Quantity]]&lt;0,"Negative-review","Valid")</f>
        <v>Valid</v>
      </c>
      <c r="T230">
        <v>899.99</v>
      </c>
      <c r="U23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899.99</v>
      </c>
      <c r="V230">
        <v>950</v>
      </c>
      <c r="W230">
        <v>11400</v>
      </c>
      <c r="X23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11400</v>
      </c>
      <c r="Y230">
        <f>IF(Transaction[[#This Row],[GrossRevenue_Check]]="Invalid",Transaction[[#This Row],[ListPrice]]*Transaction[[#This Row],[Quantity]],Transaction[[#This Row],[GrossRevenue_Clean]])</f>
        <v>11400</v>
      </c>
      <c r="Z230" t="str">
        <f>IF(Transaction[[#This Row],[GrossRevenue_Clean]]=Transaction[[#This Row],[ListPrice]]*Transaction[[#This Row],[Quantity]],"Valid","Invalid")</f>
        <v>Valid</v>
      </c>
      <c r="AA230">
        <v>600.12</v>
      </c>
      <c r="AB23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600.12</v>
      </c>
      <c r="AC230">
        <f>IF(Transaction[[#This Row],[DiscountAmount_Check2]]="Invalid",Transaction[[#This Row],[GrossRevenue_Analytical]]-Transaction[[#This Row],[NetRevenue_Analytical]],Transaction[[#This Row],[DiscountAmount_Clean]])</f>
        <v>600.12</v>
      </c>
      <c r="AD230">
        <v>10799.88</v>
      </c>
      <c r="AE230" t="str">
        <f>IF(ROUND(Transaction[[#This Row],[GrossRevenue_Analytical]]-Transaction[[#This Row],[NetRevenue_Analytical]],2)=ROUND(Transaction[[#This Row],[DiscountAmount_Clean]],2),"Valid","Invalid")</f>
        <v>Valid</v>
      </c>
      <c r="AF23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10799.88</v>
      </c>
      <c r="AG230">
        <f>IF(Transaction[[#This Row],[NetRevenue_Check]]="Invalid",(Transaction[[#This Row],[Quantity]]*Transaction[[#This Row],[UnitPrice_Clean]]),Transaction[[#This Row],[NetRevenue_Clean]])</f>
        <v>10799.88</v>
      </c>
      <c r="AH230" t="str">
        <f>IF(Transaction[[#This Row],[Quantity]]*Transaction[[#This Row],[UnitPrice_Clean]]=Transaction[[#This Row],[NetRevenue_Clean]],"Valid","Invalid")</f>
        <v>Valid</v>
      </c>
      <c r="AI230" t="s">
        <v>23</v>
      </c>
      <c r="AJ230" t="s">
        <v>2628</v>
      </c>
      <c r="AK230" t="str">
        <f>IF(Transaction[[#This Row],[Salesperson]]="","Missing Value",TRIM(PROPER(Transaction[[#This Row],[Salesperson]])))</f>
        <v>Orr-Na</v>
      </c>
      <c r="AL230" t="s">
        <v>25</v>
      </c>
      <c r="AM230" t="str">
        <f>IF(Transaction[[#This Row],[ContractType]]="","Missing Value",Transaction[[#This Row],[ContractType]])</f>
        <v>Frame Agreement</v>
      </c>
      <c r="AN230" t="s">
        <v>49</v>
      </c>
    </row>
    <row r="231" spans="1:40" x14ac:dyDescent="0.25">
      <c r="A231" t="s">
        <v>2917</v>
      </c>
      <c r="B231" s="1">
        <v>45667</v>
      </c>
      <c r="C23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23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23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31" s="2">
        <f>IFERROR(DATE(Transaction[[#This Row],[TransactionDateY]],Transaction[[#This Row],[TransactionDateM]],Transaction[[#This Row],[TransactionDateD]]),"Missing Value")</f>
        <v>45667</v>
      </c>
      <c r="G231" t="s">
        <v>200</v>
      </c>
      <c r="H231" t="str">
        <f>IFERROR(VLOOKUP(Transaction[[#This Row],[CustomerID]],Custumer[],1,0),IF(LEN(Transaction[[#This Row],[CustomerID]])=7,LEFT(Transaction[[#This Row],[CustomerID]],6),"Invalid ID"))</f>
        <v>C-1070</v>
      </c>
      <c r="I231" t="s">
        <v>97</v>
      </c>
      <c r="J231" t="str">
        <f>TRIM(UPPER(Transaction[[#This Row],[ProductID]]))</f>
        <v>P-SI-001</v>
      </c>
      <c r="K231" t="str">
        <f>IFERROR(VLOOKUP(Transaction[[#This Row],[ProductID_Clean]],Product[],1,FALSE),"Invalid ID")</f>
        <v>P-SI-001</v>
      </c>
      <c r="L231" t="str">
        <f>TRIM(SUBSTITUTE(SUBSTITUTE(SUBSTITUTE(SUBSTITUTE(UPPER(Transaction[[#This Row],[Region]]),"EMEA REGION","EMEA"),"APAC REGION","APAC"),"NORTH AMERICA","N. AMERICA"),"N .AMERICA","N.AMERICA"))</f>
        <v>EMEA</v>
      </c>
      <c r="M231" t="s">
        <v>76</v>
      </c>
      <c r="N231" t="s">
        <v>272</v>
      </c>
      <c r="O23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31" t="s">
        <v>40</v>
      </c>
      <c r="Q231" t="str">
        <f>IF(TRIM(Transaction[[#This Row],[SalesChannel]])="","Missing Value",TRIM(Transaction[[#This Row],[SalesChannel]]))</f>
        <v>Distributor</v>
      </c>
      <c r="R231" s="4">
        <v>8</v>
      </c>
      <c r="S231" s="4" t="str">
        <f>IF(Transaction[[#This Row],[Quantity]]&lt;0,"Negative-review","Valid")</f>
        <v>Valid</v>
      </c>
      <c r="T231">
        <v>387.27</v>
      </c>
      <c r="U23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387.27</v>
      </c>
      <c r="V231">
        <v>485</v>
      </c>
      <c r="W231">
        <v>3880</v>
      </c>
      <c r="X23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3880</v>
      </c>
      <c r="Y231">
        <f>IF(Transaction[[#This Row],[GrossRevenue_Check]]="Invalid",Transaction[[#This Row],[ListPrice]]*Transaction[[#This Row],[Quantity]],Transaction[[#This Row],[GrossRevenue_Clean]])</f>
        <v>3880</v>
      </c>
      <c r="Z231" t="str">
        <f>IF(Transaction[[#This Row],[GrossRevenue_Clean]]=Transaction[[#This Row],[ListPrice]]*Transaction[[#This Row],[Quantity]],"Valid","Invalid")</f>
        <v>Valid</v>
      </c>
      <c r="AA231">
        <v>781.84</v>
      </c>
      <c r="AB23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781.84</v>
      </c>
      <c r="AC231">
        <f>IF(Transaction[[#This Row],[DiscountAmount_Check2]]="Invalid",Transaction[[#This Row],[GrossRevenue_Analytical]]-Transaction[[#This Row],[NetRevenue_Analytical]],Transaction[[#This Row],[DiscountAmount_Clean]])</f>
        <v>781.84</v>
      </c>
      <c r="AD231">
        <v>3098.16</v>
      </c>
      <c r="AE231" t="str">
        <f>IF(ROUND(Transaction[[#This Row],[GrossRevenue_Analytical]]-Transaction[[#This Row],[NetRevenue_Analytical]],2)=ROUND(Transaction[[#This Row],[DiscountAmount_Clean]],2),"Valid","Invalid")</f>
        <v>Valid</v>
      </c>
      <c r="AF231">
        <f>VALUE(IF(ISNUMBER(Transaction[[#This Row],[NetRevenue]]),Transaction[[#This Row],[NetRevenue]],IFERROR(IF(FIND("$",Transaction[[#This Row],[NetRevenue]])&gt;0,MID(Transaction[[#This Row],[NetRevenue]],2,10)),Transaction[[#This Row],[NetRevenue]])))</f>
        <v>3098.16</v>
      </c>
      <c r="AG231">
        <f>IF(Transaction[[#This Row],[NetRevenue_Check]]="Invalid",(Transaction[[#This Row],[Quantity]]*Transaction[[#This Row],[UnitPrice_Clean]]),Transaction[[#This Row],[NetRevenue_Clean]])</f>
        <v>3098.16</v>
      </c>
      <c r="AH231" t="str">
        <f>IF(Transaction[[#This Row],[Quantity]]*Transaction[[#This Row],[UnitPrice_Clean]]=Transaction[[#This Row],[NetRevenue_Clean]],"Valid","Invalid")</f>
        <v>Valid</v>
      </c>
      <c r="AI231" t="s">
        <v>23</v>
      </c>
      <c r="AJ231" t="s">
        <v>232</v>
      </c>
      <c r="AK231" t="str">
        <f>IF(Transaction[[#This Row],[Salesperson]]="","Missing Value",TRIM(PROPER(Transaction[[#This Row],[Salesperson]])))</f>
        <v>Griffith</v>
      </c>
      <c r="AL231" t="s">
        <v>42</v>
      </c>
      <c r="AM231" t="str">
        <f>IF(Transaction[[#This Row],[ContractType]]="","Missing Value",Transaction[[#This Row],[ContractType]])</f>
        <v>Standard PO</v>
      </c>
      <c r="AN231" t="s">
        <v>35</v>
      </c>
    </row>
    <row r="232" spans="1:40" x14ac:dyDescent="0.25">
      <c r="A232" t="s">
        <v>90</v>
      </c>
      <c r="B232" s="1">
        <v>45786</v>
      </c>
      <c r="C23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23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23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32" s="2">
        <f>IFERROR(DATE(Transaction[[#This Row],[TransactionDateY]],Transaction[[#This Row],[TransactionDateM]],Transaction[[#This Row],[TransactionDateD]]),"Missing Value")</f>
        <v>45786</v>
      </c>
      <c r="G232" t="s">
        <v>91</v>
      </c>
      <c r="H232" t="str">
        <f>IFERROR(VLOOKUP(Transaction[[#This Row],[CustomerID]],Custumer[],1,0),IF(LEN(Transaction[[#This Row],[CustomerID]])=7,LEFT(Transaction[[#This Row],[CustomerID]],6),"Invalid ID"))</f>
        <v>C-1147</v>
      </c>
      <c r="I232" t="s">
        <v>92</v>
      </c>
      <c r="J232" t="str">
        <f>TRIM(UPPER(Transaction[[#This Row],[ProductID]]))</f>
        <v>P-SI-008</v>
      </c>
      <c r="K232" t="str">
        <f>IFERROR(VLOOKUP(Transaction[[#This Row],[ProductID_Clean]],Product[],1,FALSE),"Invalid ID")</f>
        <v>P-SI-008</v>
      </c>
      <c r="L232" t="str">
        <f>TRIM(SUBSTITUTE(SUBSTITUTE(SUBSTITUTE(SUBSTITUTE(UPPER(Transaction[[#This Row],[Region]]),"EMEA REGION","EMEA"),"APAC REGION","APAC"),"NORTH AMERICA","N. AMERICA"),"N .AMERICA","N.AMERICA"))</f>
        <v>APAC</v>
      </c>
      <c r="M232" t="s">
        <v>30</v>
      </c>
      <c r="N232" t="s">
        <v>47</v>
      </c>
      <c r="O23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32" t="s">
        <v>93</v>
      </c>
      <c r="Q232" t="str">
        <f>IF(TRIM(Transaction[[#This Row],[SalesChannel]])="","Missing Value",TRIM(Transaction[[#This Row],[SalesChannel]]))</f>
        <v>direct</v>
      </c>
      <c r="R232" s="4">
        <v>12</v>
      </c>
      <c r="S232" s="4" t="str">
        <f>IF(Transaction[[#This Row],[Quantity]]&lt;0,"Negative-review","Valid")</f>
        <v>Valid</v>
      </c>
      <c r="T232">
        <v>898.98</v>
      </c>
      <c r="U23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898.98</v>
      </c>
      <c r="V232">
        <v>950</v>
      </c>
      <c r="W232">
        <v>11400</v>
      </c>
      <c r="X23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11400</v>
      </c>
      <c r="Y232">
        <f>IF(Transaction[[#This Row],[GrossRevenue_Check]]="Invalid",Transaction[[#This Row],[ListPrice]]*Transaction[[#This Row],[Quantity]],Transaction[[#This Row],[GrossRevenue_Clean]])</f>
        <v>11400</v>
      </c>
      <c r="Z232" t="str">
        <f>IF(Transaction[[#This Row],[GrossRevenue_Clean]]=Transaction[[#This Row],[ListPrice]]*Transaction[[#This Row],[Quantity]],"Valid","Invalid")</f>
        <v>Valid</v>
      </c>
      <c r="AA232">
        <v>612.24</v>
      </c>
      <c r="AB23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612.24</v>
      </c>
      <c r="AC232">
        <f>IF(Transaction[[#This Row],[DiscountAmount_Check2]]="Invalid",Transaction[[#This Row],[GrossRevenue_Analytical]]-Transaction[[#This Row],[NetRevenue_Analytical]],Transaction[[#This Row],[DiscountAmount_Clean]])</f>
        <v>612.24</v>
      </c>
      <c r="AD232">
        <v>10787.76</v>
      </c>
      <c r="AE232" t="str">
        <f>IF(ROUND(Transaction[[#This Row],[GrossRevenue_Analytical]]-Transaction[[#This Row],[NetRevenue_Analytical]],2)=ROUND(Transaction[[#This Row],[DiscountAmount_Clean]],2),"Valid","Invalid")</f>
        <v>Valid</v>
      </c>
      <c r="AF23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10787.76</v>
      </c>
      <c r="AG232">
        <f>IF(Transaction[[#This Row],[NetRevenue_Check]]="Invalid",(Transaction[[#This Row],[Quantity]]*Transaction[[#This Row],[UnitPrice_Clean]]),Transaction[[#This Row],[NetRevenue_Clean]])</f>
        <v>10787.76</v>
      </c>
      <c r="AH232" t="str">
        <f>IF(Transaction[[#This Row],[Quantity]]*Transaction[[#This Row],[UnitPrice_Clean]]=Transaction[[#This Row],[NetRevenue_Clean]],"Valid","Invalid")</f>
        <v>Valid</v>
      </c>
      <c r="AI232" t="s">
        <v>23</v>
      </c>
      <c r="AJ232" t="s">
        <v>94</v>
      </c>
      <c r="AK232" t="str">
        <f>IF(Transaction[[#This Row],[Salesperson]]="","Missing Value",TRIM(PROPER(Transaction[[#This Row],[Salesperson]])))</f>
        <v>Williams-Em</v>
      </c>
      <c r="AM232" t="str">
        <f>IF(Transaction[[#This Row],[ContractType]]="","Missing Value",Transaction[[#This Row],[ContractType]])</f>
        <v>Missing Value</v>
      </c>
      <c r="AN232" t="s">
        <v>49</v>
      </c>
    </row>
    <row r="233" spans="1:40" x14ac:dyDescent="0.25">
      <c r="A233" t="s">
        <v>2059</v>
      </c>
      <c r="B233" t="s">
        <v>2060</v>
      </c>
      <c r="C23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23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23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33" s="2">
        <f>IFERROR(DATE(Transaction[[#This Row],[TransactionDateY]],Transaction[[#This Row],[TransactionDateM]],Transaction[[#This Row],[TransactionDateD]]),"Missing Value")</f>
        <v>45742</v>
      </c>
      <c r="G233" t="s">
        <v>110</v>
      </c>
      <c r="H233" t="str">
        <f>IFERROR(VLOOKUP(Transaction[[#This Row],[CustomerID]],Custumer[],1,0),IF(LEN(Transaction[[#This Row],[CustomerID]])=7,LEFT(Transaction[[#This Row],[CustomerID]],6),"Invalid ID"))</f>
        <v>C-1100</v>
      </c>
      <c r="I233" t="s">
        <v>946</v>
      </c>
      <c r="J233" t="str">
        <f>TRIM(UPPER(Transaction[[#This Row],[ProductID]]))</f>
        <v>P-SI-006</v>
      </c>
      <c r="K233" t="str">
        <f>IFERROR(VLOOKUP(Transaction[[#This Row],[ProductID_Clean]],Product[],1,FALSE),"Invalid ID")</f>
        <v>P-SI-006</v>
      </c>
      <c r="L233" t="str">
        <f>TRIM(SUBSTITUTE(SUBSTITUTE(SUBSTITUTE(SUBSTITUTE(UPPER(Transaction[[#This Row],[Region]]),"EMEA REGION","EMEA"),"APAC REGION","APAC"),"NORTH AMERICA","N. AMERICA"),"N .AMERICA","N.AMERICA"))</f>
        <v>EMEA</v>
      </c>
      <c r="M233" t="s">
        <v>76</v>
      </c>
      <c r="N233" t="s">
        <v>53</v>
      </c>
      <c r="O23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33" t="s">
        <v>22</v>
      </c>
      <c r="Q233" t="str">
        <f>IF(TRIM(Transaction[[#This Row],[SalesChannel]])="","Missing Value",TRIM(Transaction[[#This Row],[SalesChannel]]))</f>
        <v>Direct</v>
      </c>
      <c r="R233" s="4">
        <v>1</v>
      </c>
      <c r="S233" s="4" t="str">
        <f>IF(Transaction[[#This Row],[Quantity]]&lt;0,"Negative-review","Valid")</f>
        <v>Valid</v>
      </c>
      <c r="T233" t="s">
        <v>2061</v>
      </c>
      <c r="U23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159.29</v>
      </c>
      <c r="V233">
        <v>215</v>
      </c>
      <c r="W233">
        <v>215</v>
      </c>
      <c r="X23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233">
        <f>IF(Transaction[[#This Row],[GrossRevenue_Check]]="Invalid",Transaction[[#This Row],[ListPrice]]*Transaction[[#This Row],[Quantity]],Transaction[[#This Row],[GrossRevenue_Clean]])</f>
        <v>215</v>
      </c>
      <c r="Z233" t="str">
        <f>IF(Transaction[[#This Row],[GrossRevenue_Clean]]=Transaction[[#This Row],[ListPrice]]*Transaction[[#This Row],[Quantity]],"Valid","Invalid")</f>
        <v>Valid</v>
      </c>
      <c r="AA233" t="s">
        <v>2062</v>
      </c>
      <c r="AB23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55.71</v>
      </c>
      <c r="AC233">
        <f>IF(Transaction[[#This Row],[DiscountAmount_Check2]]="Invalid",Transaction[[#This Row],[GrossRevenue_Analytical]]-Transaction[[#This Row],[NetRevenue_Analytical]],Transaction[[#This Row],[DiscountAmount_Clean]])</f>
        <v>55.71</v>
      </c>
      <c r="AD233">
        <v>159.29</v>
      </c>
      <c r="AE233" t="str">
        <f>IF(ROUND(Transaction[[#This Row],[GrossRevenue_Analytical]]-Transaction[[#This Row],[NetRevenue_Analytical]],2)=ROUND(Transaction[[#This Row],[DiscountAmount_Clean]],2),"Valid","Invalid")</f>
        <v>Valid</v>
      </c>
      <c r="AF23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159.29</v>
      </c>
      <c r="AG233">
        <f>IF(Transaction[[#This Row],[NetRevenue_Check]]="Invalid",(Transaction[[#This Row],[Quantity]]*Transaction[[#This Row],[UnitPrice_Clean]]),Transaction[[#This Row],[NetRevenue_Clean]])</f>
        <v>159.29</v>
      </c>
      <c r="AH233" t="str">
        <f>IF(Transaction[[#This Row],[Quantity]]*Transaction[[#This Row],[UnitPrice_Clean]]=Transaction[[#This Row],[NetRevenue_Clean]],"Valid","Invalid")</f>
        <v>Valid</v>
      </c>
      <c r="AI233" t="s">
        <v>23</v>
      </c>
      <c r="AJ233" t="s">
        <v>1600</v>
      </c>
      <c r="AK233" t="str">
        <f>IF(Transaction[[#This Row],[Salesperson]]="","Missing Value",TRIM(PROPER(Transaction[[#This Row],[Salesperson]])))</f>
        <v>Diaz-Na</v>
      </c>
      <c r="AL233" t="s">
        <v>55</v>
      </c>
      <c r="AM233" t="str">
        <f>IF(Transaction[[#This Row],[ContractType]]="","Missing Value",Transaction[[#This Row],[ContractType]])</f>
        <v>Spot</v>
      </c>
      <c r="AN233" t="s">
        <v>43</v>
      </c>
    </row>
    <row r="234" spans="1:40" x14ac:dyDescent="0.25">
      <c r="A234" t="s">
        <v>252</v>
      </c>
      <c r="B234" s="1">
        <v>45683</v>
      </c>
      <c r="C23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23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23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34" s="2">
        <f>IFERROR(DATE(Transaction[[#This Row],[TransactionDateY]],Transaction[[#This Row],[TransactionDateM]],Transaction[[#This Row],[TransactionDateD]]),"Missing Value")</f>
        <v>45683</v>
      </c>
      <c r="G234" t="s">
        <v>253</v>
      </c>
      <c r="H234" t="str">
        <f>IFERROR(VLOOKUP(Transaction[[#This Row],[CustomerID]],Custumer[],1,0),IF(LEN(Transaction[[#This Row],[CustomerID]])=7,LEFT(Transaction[[#This Row],[CustomerID]],6),"Invalid ID"))</f>
        <v>C-1144</v>
      </c>
      <c r="I234" t="s">
        <v>71</v>
      </c>
      <c r="J234" t="str">
        <f>TRIM(UPPER(Transaction[[#This Row],[ProductID]]))</f>
        <v>P-SI-003</v>
      </c>
      <c r="K234" t="str">
        <f>IFERROR(VLOOKUP(Transaction[[#This Row],[ProductID_Clean]],Product[],1,FALSE),"Invalid ID")</f>
        <v>P-SI-003</v>
      </c>
      <c r="L234" t="str">
        <f>TRIM(SUBSTITUTE(SUBSTITUTE(SUBSTITUTE(SUBSTITUTE(UPPER(Transaction[[#This Row],[Region]]),"EMEA REGION","EMEA"),"APAC REGION","APAC"),"NORTH AMERICA","N. AMERICA"),"N .AMERICA","N.AMERICA"))</f>
        <v>APAC</v>
      </c>
      <c r="M234" t="s">
        <v>30</v>
      </c>
      <c r="N234" t="s">
        <v>53</v>
      </c>
      <c r="O23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34" t="s">
        <v>40</v>
      </c>
      <c r="Q234" t="str">
        <f>IF(TRIM(Transaction[[#This Row],[SalesChannel]])="","Missing Value",TRIM(Transaction[[#This Row],[SalesChannel]]))</f>
        <v>Distributor</v>
      </c>
      <c r="R234" s="4">
        <v>4</v>
      </c>
      <c r="S234" s="4" t="str">
        <f>IF(Transaction[[#This Row],[Quantity]]&lt;0,"Negative-review","Valid")</f>
        <v>Valid</v>
      </c>
      <c r="T234">
        <v>1560.79</v>
      </c>
      <c r="U23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1560.79</v>
      </c>
      <c r="V234">
        <v>1890</v>
      </c>
      <c r="W234">
        <v>7560</v>
      </c>
      <c r="X23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7560</v>
      </c>
      <c r="Y234">
        <f>IF(Transaction[[#This Row],[GrossRevenue_Check]]="Invalid",Transaction[[#This Row],[ListPrice]]*Transaction[[#This Row],[Quantity]],Transaction[[#This Row],[GrossRevenue_Clean]])</f>
        <v>7560</v>
      </c>
      <c r="Z234" t="str">
        <f>IF(Transaction[[#This Row],[GrossRevenue_Clean]]=Transaction[[#This Row],[ListPrice]]*Transaction[[#This Row],[Quantity]],"Valid","Invalid")</f>
        <v>Valid</v>
      </c>
      <c r="AA234">
        <v>1316.84</v>
      </c>
      <c r="AB23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1316.84</v>
      </c>
      <c r="AC234">
        <f>IF(Transaction[[#This Row],[DiscountAmount_Check2]]="Invalid",Transaction[[#This Row],[GrossRevenue_Analytical]]-Transaction[[#This Row],[NetRevenue_Analytical]],Transaction[[#This Row],[DiscountAmount_Clean]])</f>
        <v>1316.84</v>
      </c>
      <c r="AD234">
        <v>6243.16</v>
      </c>
      <c r="AE234" t="str">
        <f>IF(ROUND(Transaction[[#This Row],[GrossRevenue_Analytical]]-Transaction[[#This Row],[NetRevenue_Analytical]],2)=ROUND(Transaction[[#This Row],[DiscountAmount_Clean]],2),"Valid","Invalid")</f>
        <v>Valid</v>
      </c>
      <c r="AF234">
        <f>VALUE(IF(ISNUMBER(Transaction[[#This Row],[NetRevenue]]),Transaction[[#This Row],[NetRevenue]],IFERROR(IF(FIND("$",Transaction[[#This Row],[NetRevenue]])&gt;0,MID(Transaction[[#This Row],[NetRevenue]],2,10)),Transaction[[#This Row],[NetRevenue]])))</f>
        <v>6243.16</v>
      </c>
      <c r="AG234">
        <f>IF(Transaction[[#This Row],[NetRevenue_Check]]="Invalid",(Transaction[[#This Row],[Quantity]]*Transaction[[#This Row],[UnitPrice_Clean]]),Transaction[[#This Row],[NetRevenue_Clean]])</f>
        <v>6243.16</v>
      </c>
      <c r="AH234" t="str">
        <f>IF(Transaction[[#This Row],[Quantity]]*Transaction[[#This Row],[UnitPrice_Clean]]=Transaction[[#This Row],[NetRevenue_Clean]],"Valid","Invalid")</f>
        <v>Valid</v>
      </c>
      <c r="AI234" t="s">
        <v>23</v>
      </c>
      <c r="AJ234" t="s">
        <v>254</v>
      </c>
      <c r="AK234" t="str">
        <f>IF(Transaction[[#This Row],[Salesperson]]="","Missing Value",TRIM(PROPER(Transaction[[#This Row],[Salesperson]])))</f>
        <v>Ball-Na</v>
      </c>
      <c r="AL234" t="s">
        <v>42</v>
      </c>
      <c r="AM234" t="str">
        <f>IF(Transaction[[#This Row],[ContractType]]="","Missing Value",Transaction[[#This Row],[ContractType]])</f>
        <v>Standard PO</v>
      </c>
      <c r="AN234" t="s">
        <v>65</v>
      </c>
    </row>
    <row r="235" spans="1:40" x14ac:dyDescent="0.25">
      <c r="A235" t="s">
        <v>1986</v>
      </c>
      <c r="B235" t="s">
        <v>185</v>
      </c>
      <c r="C23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23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04</v>
      </c>
      <c r="E23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35" s="2">
        <f>IFERROR(DATE(Transaction[[#This Row],[TransactionDateY]],Transaction[[#This Row],[TransactionDateM]],Transaction[[#This Row],[TransactionDateD]]),"Missing Value")</f>
        <v>45661</v>
      </c>
      <c r="G235" t="s">
        <v>580</v>
      </c>
      <c r="H235" t="str">
        <f>IFERROR(VLOOKUP(Transaction[[#This Row],[CustomerID]],Custumer[],1,0),IF(LEN(Transaction[[#This Row],[CustomerID]])=7,LEFT(Transaction[[#This Row],[CustomerID]],6),"Invalid ID"))</f>
        <v>C-1053</v>
      </c>
      <c r="I235" t="s">
        <v>58</v>
      </c>
      <c r="J235" t="str">
        <f>TRIM(UPPER(Transaction[[#This Row],[ProductID]]))</f>
        <v>P-SI-005</v>
      </c>
      <c r="K235" t="str">
        <f>IFERROR(VLOOKUP(Transaction[[#This Row],[ProductID_Clean]],Product[],1,FALSE),"Invalid ID")</f>
        <v>P-SI-005</v>
      </c>
      <c r="L235" t="str">
        <f>TRIM(SUBSTITUTE(SUBSTITUTE(SUBSTITUTE(SUBSTITUTE(UPPER(Transaction[[#This Row],[Region]]),"EMEA REGION","EMEA"),"APAC REGION","APAC"),"NORTH AMERICA","N. AMERICA"),"N .AMERICA","N.AMERICA"))</f>
        <v>LATIN AMERICA</v>
      </c>
      <c r="M235" t="s">
        <v>82</v>
      </c>
      <c r="N235" t="s">
        <v>98</v>
      </c>
      <c r="O23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35" t="s">
        <v>22</v>
      </c>
      <c r="Q235" t="str">
        <f>IF(TRIM(Transaction[[#This Row],[SalesChannel]])="","Missing Value",TRIM(Transaction[[#This Row],[SalesChannel]]))</f>
        <v>Direct</v>
      </c>
      <c r="R235" s="4">
        <v>2</v>
      </c>
      <c r="S235" s="4" t="str">
        <f>IF(Transaction[[#This Row],[Quantity]]&lt;0,"Negative-review","Valid")</f>
        <v>Valid</v>
      </c>
      <c r="T235">
        <v>919.25</v>
      </c>
      <c r="U23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919.25</v>
      </c>
      <c r="V235">
        <v>1120</v>
      </c>
      <c r="W235">
        <v>2240</v>
      </c>
      <c r="X23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2240</v>
      </c>
      <c r="Y235">
        <f>IF(Transaction[[#This Row],[GrossRevenue_Check]]="Invalid",Transaction[[#This Row],[ListPrice]]*Transaction[[#This Row],[Quantity]],Transaction[[#This Row],[GrossRevenue_Clean]])</f>
        <v>2240</v>
      </c>
      <c r="Z235" t="str">
        <f>IF(Transaction[[#This Row],[GrossRevenue_Clean]]=Transaction[[#This Row],[ListPrice]]*Transaction[[#This Row],[Quantity]],"Valid","Invalid")</f>
        <v>Valid</v>
      </c>
      <c r="AA235" t="s">
        <v>1987</v>
      </c>
      <c r="AB23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401.5</v>
      </c>
      <c r="AC235">
        <f>IF(Transaction[[#This Row],[DiscountAmount_Check2]]="Invalid",Transaction[[#This Row],[GrossRevenue_Analytical]]-Transaction[[#This Row],[NetRevenue_Analytical]],Transaction[[#This Row],[DiscountAmount_Clean]])</f>
        <v>401.5</v>
      </c>
      <c r="AD235">
        <v>1838.5</v>
      </c>
      <c r="AE235" t="str">
        <f>IF(ROUND(Transaction[[#This Row],[GrossRevenue_Analytical]]-Transaction[[#This Row],[NetRevenue_Analytical]],2)=ROUND(Transaction[[#This Row],[DiscountAmount_Clean]],2),"Valid","Invalid")</f>
        <v>Valid</v>
      </c>
      <c r="AF23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1838.5</v>
      </c>
      <c r="AG235">
        <f>IF(Transaction[[#This Row],[NetRevenue_Check]]="Invalid",(Transaction[[#This Row],[Quantity]]*Transaction[[#This Row],[UnitPrice_Clean]]),Transaction[[#This Row],[NetRevenue_Clean]])</f>
        <v>1838.5</v>
      </c>
      <c r="AH235" t="str">
        <f>IF(Transaction[[#This Row],[Quantity]]*Transaction[[#This Row],[UnitPrice_Clean]]=Transaction[[#This Row],[NetRevenue_Clean]],"Valid","Invalid")</f>
        <v>Valid</v>
      </c>
      <c r="AI235" t="s">
        <v>23</v>
      </c>
      <c r="AJ235" t="s">
        <v>1988</v>
      </c>
      <c r="AK235" t="str">
        <f>IF(Transaction[[#This Row],[Salesperson]]="","Missing Value",TRIM(PROPER(Transaction[[#This Row],[Salesperson]])))</f>
        <v>Montes-Ap</v>
      </c>
      <c r="AL235" t="s">
        <v>42</v>
      </c>
      <c r="AM235" t="str">
        <f>IF(Transaction[[#This Row],[ContractType]]="","Missing Value",Transaction[[#This Row],[ContractType]])</f>
        <v>Standard PO</v>
      </c>
      <c r="AN235" t="s">
        <v>35</v>
      </c>
    </row>
    <row r="236" spans="1:40" x14ac:dyDescent="0.25">
      <c r="A236" t="s">
        <v>2239</v>
      </c>
      <c r="B236" s="1">
        <v>45687</v>
      </c>
      <c r="C23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23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23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36" s="2">
        <f>IFERROR(DATE(Transaction[[#This Row],[TransactionDateY]],Transaction[[#This Row],[TransactionDateM]],Transaction[[#This Row],[TransactionDateD]]),"Missing Value")</f>
        <v>45687</v>
      </c>
      <c r="G236" t="s">
        <v>380</v>
      </c>
      <c r="H236" t="str">
        <f>IFERROR(VLOOKUP(Transaction[[#This Row],[CustomerID]],Custumer[],1,0),IF(LEN(Transaction[[#This Row],[CustomerID]])=7,LEFT(Transaction[[#This Row],[CustomerID]],6),"Invalid ID"))</f>
        <v>C-1029</v>
      </c>
      <c r="I236" t="s">
        <v>92</v>
      </c>
      <c r="J236" t="str">
        <f>TRIM(UPPER(Transaction[[#This Row],[ProductID]]))</f>
        <v>P-SI-008</v>
      </c>
      <c r="K236" t="str">
        <f>IFERROR(VLOOKUP(Transaction[[#This Row],[ProductID_Clean]],Product[],1,FALSE),"Invalid ID")</f>
        <v>P-SI-008</v>
      </c>
      <c r="L236" t="str">
        <f>TRIM(SUBSTITUTE(SUBSTITUTE(SUBSTITUTE(SUBSTITUTE(UPPER(Transaction[[#This Row],[Region]]),"EMEA REGION","EMEA"),"APAC REGION","APAC"),"NORTH AMERICA","N. AMERICA"),"N .AMERICA","N.AMERICA"))</f>
        <v>N. AMERICA</v>
      </c>
      <c r="M236" t="s">
        <v>20</v>
      </c>
      <c r="N236" t="s">
        <v>53</v>
      </c>
      <c r="O23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36" t="s">
        <v>40</v>
      </c>
      <c r="Q236" t="str">
        <f>IF(TRIM(Transaction[[#This Row],[SalesChannel]])="","Missing Value",TRIM(Transaction[[#This Row],[SalesChannel]]))</f>
        <v>Distributor</v>
      </c>
      <c r="R236" s="4">
        <v>-2</v>
      </c>
      <c r="S236" s="4" t="str">
        <f>IF(Transaction[[#This Row],[Quantity]]&lt;0,"Negative-review","Valid")</f>
        <v>Negative-review</v>
      </c>
      <c r="T236">
        <v>758.42</v>
      </c>
      <c r="U23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758.42</v>
      </c>
      <c r="V236">
        <v>950</v>
      </c>
      <c r="W236">
        <v>1900</v>
      </c>
      <c r="X23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1900</v>
      </c>
      <c r="Y236">
        <f>IF(Transaction[[#This Row],[GrossRevenue_Check]]="Invalid",Transaction[[#This Row],[ListPrice]]*Transaction[[#This Row],[Quantity]],Transaction[[#This Row],[GrossRevenue_Clean]])</f>
        <v>-1900</v>
      </c>
      <c r="Z236" t="str">
        <f>IF(Transaction[[#This Row],[GrossRevenue_Clean]]=Transaction[[#This Row],[ListPrice]]*Transaction[[#This Row],[Quantity]],"Valid","Invalid")</f>
        <v>Invalid</v>
      </c>
      <c r="AA236">
        <v>383.16</v>
      </c>
      <c r="AB23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383.16</v>
      </c>
      <c r="AC236">
        <f>IF(Transaction[[#This Row],[DiscountAmount_Check2]]="Invalid",Transaction[[#This Row],[GrossRevenue_Analytical]]-Transaction[[#This Row],[NetRevenue_Analytical]],Transaction[[#This Row],[DiscountAmount_Clean]])</f>
        <v>-383.16000000000008</v>
      </c>
      <c r="AD236">
        <v>1516.84</v>
      </c>
      <c r="AE236" t="str">
        <f>IF(ROUND(Transaction[[#This Row],[GrossRevenue_Analytical]]-Transaction[[#This Row],[NetRevenue_Analytical]],2)=ROUND(Transaction[[#This Row],[DiscountAmount_Clean]],2),"Valid","Invalid")</f>
        <v>Invalid</v>
      </c>
      <c r="AF23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1516.84</v>
      </c>
      <c r="AG236">
        <f>IF(Transaction[[#This Row],[NetRevenue_Check]]="Invalid",(Transaction[[#This Row],[Quantity]]*Transaction[[#This Row],[UnitPrice_Clean]]),Transaction[[#This Row],[NetRevenue_Clean]])</f>
        <v>-1516.84</v>
      </c>
      <c r="AH236" t="str">
        <f>IF(Transaction[[#This Row],[Quantity]]*Transaction[[#This Row],[UnitPrice_Clean]]=Transaction[[#This Row],[NetRevenue_Clean]],"Valid","Invalid")</f>
        <v>Invalid</v>
      </c>
      <c r="AI236" t="s">
        <v>23</v>
      </c>
      <c r="AJ236" t="s">
        <v>1165</v>
      </c>
      <c r="AK236" t="str">
        <f>IF(Transaction[[#This Row],[Salesperson]]="","Missing Value",TRIM(PROPER(Transaction[[#This Row],[Salesperson]])))</f>
        <v>Williams</v>
      </c>
      <c r="AM236" t="str">
        <f>IF(Transaction[[#This Row],[ContractType]]="","Missing Value",Transaction[[#This Row],[ContractType]])</f>
        <v>Missing Value</v>
      </c>
      <c r="AN236" t="s">
        <v>65</v>
      </c>
    </row>
    <row r="237" spans="1:40" x14ac:dyDescent="0.25">
      <c r="A237" t="s">
        <v>2344</v>
      </c>
      <c r="B237" s="1">
        <v>45825</v>
      </c>
      <c r="C23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23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23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37" s="2">
        <f>IFERROR(DATE(Transaction[[#This Row],[TransactionDateY]],Transaction[[#This Row],[TransactionDateM]],Transaction[[#This Row],[TransactionDateD]]),"Missing Value")</f>
        <v>45825</v>
      </c>
      <c r="G237" t="s">
        <v>131</v>
      </c>
      <c r="H237" t="str">
        <f>IFERROR(VLOOKUP(Transaction[[#This Row],[CustomerID]],Custumer[],1,0),IF(LEN(Transaction[[#This Row],[CustomerID]])=7,LEFT(Transaction[[#This Row],[CustomerID]],6),"Invalid ID"))</f>
        <v>C-1034</v>
      </c>
      <c r="I237" t="s">
        <v>46</v>
      </c>
      <c r="J237" t="str">
        <f>TRIM(UPPER(Transaction[[#This Row],[ProductID]]))</f>
        <v>P-SI-006</v>
      </c>
      <c r="K237" t="str">
        <f>IFERROR(VLOOKUP(Transaction[[#This Row],[ProductID_Clean]],Product[],1,FALSE),"Invalid ID")</f>
        <v>P-SI-006</v>
      </c>
      <c r="L237" t="str">
        <f>TRIM(SUBSTITUTE(SUBSTITUTE(SUBSTITUTE(SUBSTITUTE(UPPER(Transaction[[#This Row],[Region]]),"EMEA REGION","EMEA"),"APAC REGION","APAC"),"NORTH AMERICA","N. AMERICA"),"N .AMERICA","N.AMERICA"))</f>
        <v>N. AMERICA</v>
      </c>
      <c r="M237" t="s">
        <v>204</v>
      </c>
      <c r="N237" t="s">
        <v>53</v>
      </c>
      <c r="O23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37" t="s">
        <v>22</v>
      </c>
      <c r="Q237" t="str">
        <f>IF(TRIM(Transaction[[#This Row],[SalesChannel]])="","Missing Value",TRIM(Transaction[[#This Row],[SalesChannel]]))</f>
        <v>Direct</v>
      </c>
      <c r="R237" s="4">
        <v>5</v>
      </c>
      <c r="S237" s="4" t="str">
        <f>IF(Transaction[[#This Row],[Quantity]]&lt;0,"Negative-review","Valid")</f>
        <v>Valid</v>
      </c>
      <c r="T237" t="s">
        <v>2345</v>
      </c>
      <c r="U23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190.94</v>
      </c>
      <c r="V237">
        <v>215</v>
      </c>
      <c r="W237">
        <v>1075</v>
      </c>
      <c r="X23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1075</v>
      </c>
      <c r="Y237">
        <f>IF(Transaction[[#This Row],[GrossRevenue_Check]]="Invalid",Transaction[[#This Row],[ListPrice]]*Transaction[[#This Row],[Quantity]],Transaction[[#This Row],[GrossRevenue_Clean]])</f>
        <v>1075</v>
      </c>
      <c r="Z237" t="str">
        <f>IF(Transaction[[#This Row],[GrossRevenue_Clean]]=Transaction[[#This Row],[ListPrice]]*Transaction[[#This Row],[Quantity]],"Valid","Invalid")</f>
        <v>Valid</v>
      </c>
      <c r="AA237">
        <v>120.3</v>
      </c>
      <c r="AB23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120.3</v>
      </c>
      <c r="AC237">
        <f>IF(Transaction[[#This Row],[DiscountAmount_Check2]]="Invalid",Transaction[[#This Row],[GrossRevenue_Analytical]]-Transaction[[#This Row],[NetRevenue_Analytical]],Transaction[[#This Row],[DiscountAmount_Clean]])</f>
        <v>120.3</v>
      </c>
      <c r="AD237">
        <v>954.7</v>
      </c>
      <c r="AE237" t="str">
        <f>IF(ROUND(Transaction[[#This Row],[GrossRevenue_Analytical]]-Transaction[[#This Row],[NetRevenue_Analytical]],2)=ROUND(Transaction[[#This Row],[DiscountAmount_Clean]],2),"Valid","Invalid")</f>
        <v>Valid</v>
      </c>
      <c r="AF237">
        <f>VALUE(IF(ISNUMBER(Transaction[[#This Row],[NetRevenue]]),Transaction[[#This Row],[NetRevenue]],IFERROR(IF(FIND("$",Transaction[[#This Row],[NetRevenue]])&gt;0,MID(Transaction[[#This Row],[NetRevenue]],2,10)),Transaction[[#This Row],[NetRevenue]])))</f>
        <v>954.7</v>
      </c>
      <c r="AG237">
        <f>IF(Transaction[[#This Row],[NetRevenue_Check]]="Invalid",(Transaction[[#This Row],[Quantity]]*Transaction[[#This Row],[UnitPrice_Clean]]),Transaction[[#This Row],[NetRevenue_Clean]])</f>
        <v>954.7</v>
      </c>
      <c r="AH237" t="str">
        <f>IF(Transaction[[#This Row],[Quantity]]*Transaction[[#This Row],[UnitPrice_Clean]]=Transaction[[#This Row],[NetRevenue_Clean]],"Valid","Invalid")</f>
        <v>Valid</v>
      </c>
      <c r="AI237" t="s">
        <v>23</v>
      </c>
      <c r="AJ237" t="s">
        <v>2346</v>
      </c>
      <c r="AK237" t="str">
        <f>IF(Transaction[[#This Row],[Salesperson]]="","Missing Value",TRIM(PROPER(Transaction[[#This Row],[Salesperson]])))</f>
        <v>Goodwin</v>
      </c>
      <c r="AL237" t="s">
        <v>55</v>
      </c>
      <c r="AM237" t="str">
        <f>IF(Transaction[[#This Row],[ContractType]]="","Missing Value",Transaction[[#This Row],[ContractType]])</f>
        <v>Spot</v>
      </c>
      <c r="AN237" t="s">
        <v>26</v>
      </c>
    </row>
    <row r="238" spans="1:40" x14ac:dyDescent="0.25">
      <c r="A238" t="s">
        <v>1389</v>
      </c>
      <c r="B238" s="1">
        <v>45677</v>
      </c>
      <c r="C23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23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23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38" s="2">
        <f>IFERROR(DATE(Transaction[[#This Row],[TransactionDateY]],Transaction[[#This Row],[TransactionDateM]],Transaction[[#This Row],[TransactionDateD]]),"Missing Value")</f>
        <v>45677</v>
      </c>
      <c r="G238" t="s">
        <v>146</v>
      </c>
      <c r="H238" t="str">
        <f>IFERROR(VLOOKUP(Transaction[[#This Row],[CustomerID]],Custumer[],1,0),IF(LEN(Transaction[[#This Row],[CustomerID]])=7,LEFT(Transaction[[#This Row],[CustomerID]],6),"Invalid ID"))</f>
        <v>C-1095</v>
      </c>
      <c r="I238" t="s">
        <v>52</v>
      </c>
      <c r="J238" t="str">
        <f>TRIM(UPPER(Transaction[[#This Row],[ProductID]]))</f>
        <v>P-SI-002</v>
      </c>
      <c r="K238" t="str">
        <f>IFERROR(VLOOKUP(Transaction[[#This Row],[ProductID_Clean]],Product[],1,FALSE),"Invalid ID")</f>
        <v>P-SI-002</v>
      </c>
      <c r="L238" t="str">
        <f>TRIM(SUBSTITUTE(SUBSTITUTE(SUBSTITUTE(SUBSTITUTE(UPPER(Transaction[[#This Row],[Region]]),"EMEA REGION","EMEA"),"APAC REGION","APAC"),"NORTH AMERICA","N. AMERICA"),"N .AMERICA","N.AMERICA"))</f>
        <v>LATIN AMERICA</v>
      </c>
      <c r="M238" t="s">
        <v>82</v>
      </c>
      <c r="N238" t="s">
        <v>53</v>
      </c>
      <c r="O23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38" t="s">
        <v>22</v>
      </c>
      <c r="Q238" t="str">
        <f>IF(TRIM(Transaction[[#This Row],[SalesChannel]])="","Missing Value",TRIM(Transaction[[#This Row],[SalesChannel]]))</f>
        <v>Direct</v>
      </c>
      <c r="R238" s="4">
        <v>15</v>
      </c>
      <c r="S238" s="4" t="str">
        <f>IF(Transaction[[#This Row],[Quantity]]&lt;0,"Negative-review","Valid")</f>
        <v>Valid</v>
      </c>
      <c r="T238">
        <v>613.88</v>
      </c>
      <c r="U23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613.88</v>
      </c>
      <c r="V238">
        <v>725</v>
      </c>
      <c r="W238">
        <v>10875</v>
      </c>
      <c r="X23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10875</v>
      </c>
      <c r="Y238">
        <f>IF(Transaction[[#This Row],[GrossRevenue_Check]]="Invalid",Transaction[[#This Row],[ListPrice]]*Transaction[[#This Row],[Quantity]],Transaction[[#This Row],[GrossRevenue_Clean]])</f>
        <v>10875</v>
      </c>
      <c r="Z238" t="str">
        <f>IF(Transaction[[#This Row],[GrossRevenue_Clean]]=Transaction[[#This Row],[ListPrice]]*Transaction[[#This Row],[Quantity]],"Valid","Invalid")</f>
        <v>Valid</v>
      </c>
      <c r="AA238">
        <v>1666.8</v>
      </c>
      <c r="AB23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1666.8</v>
      </c>
      <c r="AC238">
        <f>IF(Transaction[[#This Row],[DiscountAmount_Check2]]="Invalid",Transaction[[#This Row],[GrossRevenue_Analytical]]-Transaction[[#This Row],[NetRevenue_Analytical]],Transaction[[#This Row],[DiscountAmount_Clean]])</f>
        <v>1666.8</v>
      </c>
      <c r="AD238">
        <v>9208.2000000000007</v>
      </c>
      <c r="AE238" t="str">
        <f>IF(ROUND(Transaction[[#This Row],[GrossRevenue_Analytical]]-Transaction[[#This Row],[NetRevenue_Analytical]],2)=ROUND(Transaction[[#This Row],[DiscountAmount_Clean]],2),"Valid","Invalid")</f>
        <v>Valid</v>
      </c>
      <c r="AF238">
        <f>VALUE(IF(ISNUMBER(Transaction[[#This Row],[NetRevenue]]),Transaction[[#This Row],[NetRevenue]],IFERROR(IF(FIND("$",Transaction[[#This Row],[NetRevenue]])&gt;0,MID(Transaction[[#This Row],[NetRevenue]],2,10)),Transaction[[#This Row],[NetRevenue]])))</f>
        <v>9208.2000000000007</v>
      </c>
      <c r="AG238">
        <f>IF(Transaction[[#This Row],[NetRevenue_Check]]="Invalid",(Transaction[[#This Row],[Quantity]]*Transaction[[#This Row],[UnitPrice_Clean]]),Transaction[[#This Row],[NetRevenue_Clean]])</f>
        <v>9208.2000000000007</v>
      </c>
      <c r="AH238" t="str">
        <f>IF(Transaction[[#This Row],[Quantity]]*Transaction[[#This Row],[UnitPrice_Clean]]=Transaction[[#This Row],[NetRevenue_Clean]],"Valid","Invalid")</f>
        <v>Valid</v>
      </c>
      <c r="AI238" t="s">
        <v>23</v>
      </c>
      <c r="AJ238" t="s">
        <v>1390</v>
      </c>
      <c r="AK238" t="str">
        <f>IF(Transaction[[#This Row],[Salesperson]]="","Missing Value",TRIM(PROPER(Transaction[[#This Row],[Salesperson]])))</f>
        <v>Bowers-Na</v>
      </c>
      <c r="AL238" t="s">
        <v>42</v>
      </c>
      <c r="AM238" t="str">
        <f>IF(Transaction[[#This Row],[ContractType]]="","Missing Value",Transaction[[#This Row],[ContractType]])</f>
        <v>Standard PO</v>
      </c>
      <c r="AN238" t="s">
        <v>49</v>
      </c>
    </row>
    <row r="239" spans="1:40" x14ac:dyDescent="0.25">
      <c r="A239" t="s">
        <v>1717</v>
      </c>
      <c r="B239" t="s">
        <v>1718</v>
      </c>
      <c r="C23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23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23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39" s="2">
        <f>IFERROR(DATE(Transaction[[#This Row],[TransactionDateY]],Transaction[[#This Row],[TransactionDateM]],Transaction[[#This Row],[TransactionDateD]]),"Missing Value")</f>
        <v>45725</v>
      </c>
      <c r="G239" t="s">
        <v>913</v>
      </c>
      <c r="H239" t="str">
        <f>IFERROR(VLOOKUP(Transaction[[#This Row],[CustomerID]],Custumer[],1,0),IF(LEN(Transaction[[#This Row],[CustomerID]])=7,LEFT(Transaction[[#This Row],[CustomerID]],6),"Invalid ID"))</f>
        <v>C-1073</v>
      </c>
      <c r="I239" t="s">
        <v>1719</v>
      </c>
      <c r="J239" t="str">
        <f>TRIM(UPPER(Transaction[[#This Row],[ProductID]]))</f>
        <v>P-SI-999</v>
      </c>
      <c r="K239" t="str">
        <f>IFERROR(VLOOKUP(Transaction[[#This Row],[ProductID_Clean]],Product[],1,FALSE),"Invalid ID")</f>
        <v>Invalid ID</v>
      </c>
      <c r="L239" t="str">
        <f>TRIM(SUBSTITUTE(SUBSTITUTE(SUBSTITUTE(SUBSTITUTE(UPPER(Transaction[[#This Row],[Region]]),"EMEA REGION","EMEA"),"APAC REGION","APAC"),"NORTH AMERICA","N. AMERICA"),"N .AMERICA","N.AMERICA"))</f>
        <v>EMEA</v>
      </c>
      <c r="M239" t="s">
        <v>76</v>
      </c>
      <c r="N239" t="s">
        <v>53</v>
      </c>
      <c r="O23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39" t="s">
        <v>22</v>
      </c>
      <c r="Q239" t="str">
        <f>IF(TRIM(Transaction[[#This Row],[SalesChannel]])="","Missing Value",TRIM(Transaction[[#This Row],[SalesChannel]]))</f>
        <v>Direct</v>
      </c>
      <c r="R239" s="4">
        <v>1</v>
      </c>
      <c r="S239" s="4" t="str">
        <f>IF(Transaction[[#This Row],[Quantity]]&lt;0,"Negative-review","Valid")</f>
        <v>Valid</v>
      </c>
      <c r="T239">
        <v>2214.67</v>
      </c>
      <c r="U23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2214.67</v>
      </c>
      <c r="V239">
        <v>2450</v>
      </c>
      <c r="W239">
        <v>2450</v>
      </c>
      <c r="X23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239">
        <f>IF(Transaction[[#This Row],[GrossRevenue_Check]]="Invalid",Transaction[[#This Row],[ListPrice]]*Transaction[[#This Row],[Quantity]],Transaction[[#This Row],[GrossRevenue_Clean]])</f>
        <v>2450</v>
      </c>
      <c r="Z239" t="str">
        <f>IF(Transaction[[#This Row],[GrossRevenue_Clean]]=Transaction[[#This Row],[ListPrice]]*Transaction[[#This Row],[Quantity]],"Valid","Invalid")</f>
        <v>Valid</v>
      </c>
      <c r="AA239">
        <v>235.33</v>
      </c>
      <c r="AB23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235.33</v>
      </c>
      <c r="AC239">
        <f>IF(Transaction[[#This Row],[DiscountAmount_Check2]]="Invalid",Transaction[[#This Row],[GrossRevenue_Analytical]]-Transaction[[#This Row],[NetRevenue_Analytical]],Transaction[[#This Row],[DiscountAmount_Clean]])</f>
        <v>235.33</v>
      </c>
      <c r="AD239">
        <v>2214.67</v>
      </c>
      <c r="AE239" t="str">
        <f>IF(ROUND(Transaction[[#This Row],[GrossRevenue_Analytical]]-Transaction[[#This Row],[NetRevenue_Analytical]],2)=ROUND(Transaction[[#This Row],[DiscountAmount_Clean]],2),"Valid","Invalid")</f>
        <v>Valid</v>
      </c>
      <c r="AF23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2214.67</v>
      </c>
      <c r="AG239">
        <f>IF(Transaction[[#This Row],[NetRevenue_Check]]="Invalid",(Transaction[[#This Row],[Quantity]]*Transaction[[#This Row],[UnitPrice_Clean]]),Transaction[[#This Row],[NetRevenue_Clean]])</f>
        <v>2214.67</v>
      </c>
      <c r="AH239" t="str">
        <f>IF(Transaction[[#This Row],[Quantity]]*Transaction[[#This Row],[UnitPrice_Clean]]=Transaction[[#This Row],[NetRevenue_Clean]],"Valid","Invalid")</f>
        <v>Valid</v>
      </c>
      <c r="AI239" t="s">
        <v>128</v>
      </c>
      <c r="AJ239" t="s">
        <v>838</v>
      </c>
      <c r="AK239" t="str">
        <f>IF(Transaction[[#This Row],[Salesperson]]="","Missing Value",TRIM(PROPER(Transaction[[#This Row],[Salesperson]])))</f>
        <v>Young</v>
      </c>
      <c r="AL239" t="s">
        <v>25</v>
      </c>
      <c r="AM239" t="str">
        <f>IF(Transaction[[#This Row],[ContractType]]="","Missing Value",Transaction[[#This Row],[ContractType]])</f>
        <v>Frame Agreement</v>
      </c>
      <c r="AN239" t="s">
        <v>43</v>
      </c>
    </row>
    <row r="240" spans="1:40" x14ac:dyDescent="0.25">
      <c r="A240" t="s">
        <v>815</v>
      </c>
      <c r="B240" s="1">
        <v>45817</v>
      </c>
      <c r="C24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24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24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40" s="2">
        <f>IFERROR(DATE(Transaction[[#This Row],[TransactionDateY]],Transaction[[#This Row],[TransactionDateM]],Transaction[[#This Row],[TransactionDateD]]),"Missing Value")</f>
        <v>45817</v>
      </c>
      <c r="G240" t="s">
        <v>336</v>
      </c>
      <c r="H240" t="str">
        <f>IFERROR(VLOOKUP(Transaction[[#This Row],[CustomerID]],Custumer[],1,0),IF(LEN(Transaction[[#This Row],[CustomerID]])=7,LEFT(Transaction[[#This Row],[CustomerID]],6),"Invalid ID"))</f>
        <v>C-1109</v>
      </c>
      <c r="I240" t="s">
        <v>97</v>
      </c>
      <c r="J240" t="str">
        <f>TRIM(UPPER(Transaction[[#This Row],[ProductID]]))</f>
        <v>P-SI-001</v>
      </c>
      <c r="K240" t="str">
        <f>IFERROR(VLOOKUP(Transaction[[#This Row],[ProductID_Clean]],Product[],1,FALSE),"Invalid ID")</f>
        <v>P-SI-001</v>
      </c>
      <c r="L240" t="str">
        <f>TRIM(SUBSTITUTE(SUBSTITUTE(SUBSTITUTE(SUBSTITUTE(UPPER(Transaction[[#This Row],[Region]]),"EMEA REGION","EMEA"),"APAC REGION","APAC"),"NORTH AMERICA","N. AMERICA"),"N .AMERICA","N.AMERICA"))</f>
        <v>EMEA</v>
      </c>
      <c r="M240" t="s">
        <v>76</v>
      </c>
      <c r="N240" t="s">
        <v>816</v>
      </c>
      <c r="O24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40" t="s">
        <v>22</v>
      </c>
      <c r="Q240" t="str">
        <f>IF(TRIM(Transaction[[#This Row],[SalesChannel]])="","Missing Value",TRIM(Transaction[[#This Row],[SalesChannel]]))</f>
        <v>Direct</v>
      </c>
      <c r="R240" s="4">
        <v>1</v>
      </c>
      <c r="S240" s="4" t="str">
        <f>IF(Transaction[[#This Row],[Quantity]]&lt;0,"Negative-review","Valid")</f>
        <v>Valid</v>
      </c>
      <c r="T240" t="s">
        <v>817</v>
      </c>
      <c r="U24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407.84</v>
      </c>
      <c r="V240">
        <v>485</v>
      </c>
      <c r="W240">
        <v>485</v>
      </c>
      <c r="X24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240">
        <f>IF(Transaction[[#This Row],[GrossRevenue_Check]]="Invalid",Transaction[[#This Row],[ListPrice]]*Transaction[[#This Row],[Quantity]],Transaction[[#This Row],[GrossRevenue_Clean]])</f>
        <v>485</v>
      </c>
      <c r="Z240" t="str">
        <f>IF(Transaction[[#This Row],[GrossRevenue_Clean]]=Transaction[[#This Row],[ListPrice]]*Transaction[[#This Row],[Quantity]],"Valid","Invalid")</f>
        <v>Valid</v>
      </c>
      <c r="AA240">
        <v>77.16</v>
      </c>
      <c r="AB24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77.16</v>
      </c>
      <c r="AC240">
        <f>IF(Transaction[[#This Row],[DiscountAmount_Check2]]="Invalid",Transaction[[#This Row],[GrossRevenue_Analytical]]-Transaction[[#This Row],[NetRevenue_Analytical]],Transaction[[#This Row],[DiscountAmount_Clean]])</f>
        <v>77.16</v>
      </c>
      <c r="AD240">
        <v>407.84</v>
      </c>
      <c r="AE240" t="str">
        <f>IF(ROUND(Transaction[[#This Row],[GrossRevenue_Analytical]]-Transaction[[#This Row],[NetRevenue_Analytical]],2)=ROUND(Transaction[[#This Row],[DiscountAmount_Clean]],2),"Valid","Invalid")</f>
        <v>Valid</v>
      </c>
      <c r="AF240">
        <f>VALUE(IF(ISNUMBER(Transaction[[#This Row],[NetRevenue]]),Transaction[[#This Row],[NetRevenue]],IFERROR(IF(FIND("$",Transaction[[#This Row],[NetRevenue]])&gt;0,MID(Transaction[[#This Row],[NetRevenue]],2,10)),Transaction[[#This Row],[NetRevenue]])))</f>
        <v>407.84</v>
      </c>
      <c r="AG240">
        <f>IF(Transaction[[#This Row],[NetRevenue_Check]]="Invalid",(Transaction[[#This Row],[Quantity]]*Transaction[[#This Row],[UnitPrice_Clean]]),Transaction[[#This Row],[NetRevenue_Clean]])</f>
        <v>407.84</v>
      </c>
      <c r="AH240" t="str">
        <f>IF(Transaction[[#This Row],[Quantity]]*Transaction[[#This Row],[UnitPrice_Clean]]=Transaction[[#This Row],[NetRevenue_Clean]],"Valid","Invalid")</f>
        <v>Valid</v>
      </c>
      <c r="AI240" t="s">
        <v>23</v>
      </c>
      <c r="AJ240" t="s">
        <v>818</v>
      </c>
      <c r="AK240" t="str">
        <f>IF(Transaction[[#This Row],[Salesperson]]="","Missing Value",TRIM(PROPER(Transaction[[#This Row],[Salesperson]])))</f>
        <v>Allen-Ap</v>
      </c>
      <c r="AL240" t="s">
        <v>42</v>
      </c>
      <c r="AM240" t="str">
        <f>IF(Transaction[[#This Row],[ContractType]]="","Missing Value",Transaction[[#This Row],[ContractType]])</f>
        <v>Standard PO</v>
      </c>
      <c r="AN240" t="s">
        <v>65</v>
      </c>
    </row>
    <row r="241" spans="1:40" x14ac:dyDescent="0.25">
      <c r="A241" t="s">
        <v>794</v>
      </c>
      <c r="B241" t="s">
        <v>283</v>
      </c>
      <c r="C24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24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24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41" s="2">
        <f>IFERROR(DATE(Transaction[[#This Row],[TransactionDateY]],Transaction[[#This Row],[TransactionDateM]],Transaction[[#This Row],[TransactionDateD]]),"Missing Value")</f>
        <v>45759</v>
      </c>
      <c r="G241" t="s">
        <v>795</v>
      </c>
      <c r="H241" t="str">
        <f>IFERROR(VLOOKUP(Transaction[[#This Row],[CustomerID]],Custumer[],1,0),IF(LEN(Transaction[[#This Row],[CustomerID]])=7,LEFT(Transaction[[#This Row],[CustomerID]],6),"Invalid ID"))</f>
        <v>C-1118</v>
      </c>
      <c r="I241" t="s">
        <v>62</v>
      </c>
      <c r="J241" t="str">
        <f>TRIM(UPPER(Transaction[[#This Row],[ProductID]]))</f>
        <v>P-SI-004</v>
      </c>
      <c r="K241" t="str">
        <f>IFERROR(VLOOKUP(Transaction[[#This Row],[ProductID_Clean]],Product[],1,FALSE),"Invalid ID")</f>
        <v>P-SI-004</v>
      </c>
      <c r="L241" t="str">
        <f>TRIM(SUBSTITUTE(SUBSTITUTE(SUBSTITUTE(SUBSTITUTE(UPPER(Transaction[[#This Row],[Region]]),"EMEA REGION","EMEA"),"APAC REGION","APAC"),"NORTH AMERICA","N. AMERICA"),"N .AMERICA","N.AMERICA"))</f>
        <v>N. AMERICA</v>
      </c>
      <c r="M241" t="s">
        <v>20</v>
      </c>
      <c r="N241" t="s">
        <v>53</v>
      </c>
      <c r="O24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41" t="s">
        <v>22</v>
      </c>
      <c r="Q241" t="str">
        <f>IF(TRIM(Transaction[[#This Row],[SalesChannel]])="","Missing Value",TRIM(Transaction[[#This Row],[SalesChannel]]))</f>
        <v>Direct</v>
      </c>
      <c r="R241" s="4">
        <v>1</v>
      </c>
      <c r="S241" s="4" t="str">
        <f>IF(Transaction[[#This Row],[Quantity]]&lt;0,"Negative-review","Valid")</f>
        <v>Valid</v>
      </c>
      <c r="T241">
        <v>2105.79</v>
      </c>
      <c r="U24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2105.79</v>
      </c>
      <c r="V241">
        <v>2450</v>
      </c>
      <c r="W241">
        <v>2450</v>
      </c>
      <c r="X24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241">
        <f>IF(Transaction[[#This Row],[GrossRevenue_Check]]="Invalid",Transaction[[#This Row],[ListPrice]]*Transaction[[#This Row],[Quantity]],Transaction[[#This Row],[GrossRevenue_Clean]])</f>
        <v>2450</v>
      </c>
      <c r="Z241" t="str">
        <f>IF(Transaction[[#This Row],[GrossRevenue_Clean]]=Transaction[[#This Row],[ListPrice]]*Transaction[[#This Row],[Quantity]],"Valid","Invalid")</f>
        <v>Valid</v>
      </c>
      <c r="AA241">
        <v>344.21</v>
      </c>
      <c r="AB24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344.21</v>
      </c>
      <c r="AC241">
        <f>IF(Transaction[[#This Row],[DiscountAmount_Check2]]="Invalid",Transaction[[#This Row],[GrossRevenue_Analytical]]-Transaction[[#This Row],[NetRevenue_Analytical]],Transaction[[#This Row],[DiscountAmount_Clean]])</f>
        <v>344.21</v>
      </c>
      <c r="AD241">
        <v>2105.79</v>
      </c>
      <c r="AE241" t="str">
        <f>IF(ROUND(Transaction[[#This Row],[GrossRevenue_Analytical]]-Transaction[[#This Row],[NetRevenue_Analytical]],2)=ROUND(Transaction[[#This Row],[DiscountAmount_Clean]],2),"Valid","Invalid")</f>
        <v>Valid</v>
      </c>
      <c r="AF24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2105.79</v>
      </c>
      <c r="AG241">
        <f>IF(Transaction[[#This Row],[NetRevenue_Check]]="Invalid",(Transaction[[#This Row],[Quantity]]*Transaction[[#This Row],[UnitPrice_Clean]]),Transaction[[#This Row],[NetRevenue_Clean]])</f>
        <v>2105.79</v>
      </c>
      <c r="AH241" t="str">
        <f>IF(Transaction[[#This Row],[Quantity]]*Transaction[[#This Row],[UnitPrice_Clean]]=Transaction[[#This Row],[NetRevenue_Clean]],"Valid","Invalid")</f>
        <v>Valid</v>
      </c>
      <c r="AI241" t="s">
        <v>23</v>
      </c>
      <c r="AJ241" t="s">
        <v>796</v>
      </c>
      <c r="AK241" t="str">
        <f>IF(Transaction[[#This Row],[Salesperson]]="","Missing Value",TRIM(PROPER(Transaction[[#This Row],[Salesperson]])))</f>
        <v>Sheppard-Ap</v>
      </c>
      <c r="AL241" t="s">
        <v>25</v>
      </c>
      <c r="AM241" t="str">
        <f>IF(Transaction[[#This Row],[ContractType]]="","Missing Value",Transaction[[#This Row],[ContractType]])</f>
        <v>Frame Agreement</v>
      </c>
      <c r="AN241" t="s">
        <v>49</v>
      </c>
    </row>
    <row r="242" spans="1:40" x14ac:dyDescent="0.25">
      <c r="A242" t="s">
        <v>3006</v>
      </c>
      <c r="B242" s="1">
        <v>45678</v>
      </c>
      <c r="C24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24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24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42" s="2">
        <f>IFERROR(DATE(Transaction[[#This Row],[TransactionDateY]],Transaction[[#This Row],[TransactionDateM]],Transaction[[#This Row],[TransactionDateD]]),"Missing Value")</f>
        <v>45678</v>
      </c>
      <c r="G242" t="s">
        <v>571</v>
      </c>
      <c r="H242" t="str">
        <f>IFERROR(VLOOKUP(Transaction[[#This Row],[CustomerID]],Custumer[],1,0),IF(LEN(Transaction[[#This Row],[CustomerID]])=7,LEFT(Transaction[[#This Row],[CustomerID]],6),"Invalid ID"))</f>
        <v>C-1060</v>
      </c>
      <c r="I242" t="s">
        <v>62</v>
      </c>
      <c r="J242" t="str">
        <f>TRIM(UPPER(Transaction[[#This Row],[ProductID]]))</f>
        <v>P-SI-004</v>
      </c>
      <c r="K242" t="str">
        <f>IFERROR(VLOOKUP(Transaction[[#This Row],[ProductID_Clean]],Product[],1,FALSE),"Invalid ID")</f>
        <v>P-SI-004</v>
      </c>
      <c r="L242" t="str">
        <f>TRIM(SUBSTITUTE(SUBSTITUTE(SUBSTITUTE(SUBSTITUTE(UPPER(Transaction[[#This Row],[Region]]),"EMEA REGION","EMEA"),"APAC REGION","APAC"),"NORTH AMERICA","N. AMERICA"),"N .AMERICA","N.AMERICA"))</f>
        <v>APAC</v>
      </c>
      <c r="M242" t="s">
        <v>30</v>
      </c>
      <c r="N242" t="s">
        <v>53</v>
      </c>
      <c r="O24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42" t="s">
        <v>181</v>
      </c>
      <c r="Q242" t="str">
        <f>IF(TRIM(Transaction[[#This Row],[SalesChannel]])="","Missing Value",TRIM(Transaction[[#This Row],[SalesChannel]]))</f>
        <v>Partner Portal</v>
      </c>
      <c r="R242" s="4">
        <v>3</v>
      </c>
      <c r="S242" s="4" t="str">
        <f>IF(Transaction[[#This Row],[Quantity]]&lt;0,"Negative-review","Valid")</f>
        <v>Valid</v>
      </c>
      <c r="T242">
        <v>2016.82</v>
      </c>
      <c r="U24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2016.82</v>
      </c>
      <c r="V242">
        <v>2450</v>
      </c>
      <c r="W242">
        <v>7350</v>
      </c>
      <c r="X24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7350</v>
      </c>
      <c r="Y242">
        <f>IF(Transaction[[#This Row],[GrossRevenue_Check]]="Invalid",Transaction[[#This Row],[ListPrice]]*Transaction[[#This Row],[Quantity]],Transaction[[#This Row],[GrossRevenue_Clean]])</f>
        <v>7350</v>
      </c>
      <c r="Z242" t="str">
        <f>IF(Transaction[[#This Row],[GrossRevenue_Clean]]=Transaction[[#This Row],[ListPrice]]*Transaction[[#This Row],[Quantity]],"Valid","Invalid")</f>
        <v>Valid</v>
      </c>
      <c r="AA242">
        <v>1299.54</v>
      </c>
      <c r="AB24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1299.54</v>
      </c>
      <c r="AC242">
        <f>IF(Transaction[[#This Row],[DiscountAmount_Check2]]="Invalid",Transaction[[#This Row],[GrossRevenue_Analytical]]-Transaction[[#This Row],[NetRevenue_Analytical]],Transaction[[#This Row],[DiscountAmount_Clean]])</f>
        <v>1299.54</v>
      </c>
      <c r="AD242" t="s">
        <v>3007</v>
      </c>
      <c r="AE242" t="str">
        <f>IF(ROUND(Transaction[[#This Row],[GrossRevenue_Analytical]]-Transaction[[#This Row],[NetRevenue_Analytical]],2)=ROUND(Transaction[[#This Row],[DiscountAmount_Clean]],2),"Valid","Invalid")</f>
        <v>Valid</v>
      </c>
      <c r="AF242">
        <f>VALUE(IF(ISNUMBER(Transaction[[#This Row],[NetRevenue]]),Transaction[[#This Row],[NetRevenue]],IFERROR(IF(FIND("$",Transaction[[#This Row],[NetRevenue]])&gt;0,MID(Transaction[[#This Row],[NetRevenue]],2,10)),Transaction[[#This Row],[NetRevenue]])))</f>
        <v>6050.46</v>
      </c>
      <c r="AG242">
        <f>IF(Transaction[[#This Row],[NetRevenue_Check]]="Invalid",(Transaction[[#This Row],[Quantity]]*Transaction[[#This Row],[UnitPrice_Clean]]),Transaction[[#This Row],[NetRevenue_Clean]])</f>
        <v>6050.46</v>
      </c>
      <c r="AH242" t="str">
        <f>IF(Transaction[[#This Row],[Quantity]]*Transaction[[#This Row],[UnitPrice_Clean]]=Transaction[[#This Row],[NetRevenue_Clean]],"Valid","Invalid")</f>
        <v>Valid</v>
      </c>
      <c r="AI242" t="s">
        <v>99</v>
      </c>
      <c r="AJ242" t="s">
        <v>3008</v>
      </c>
      <c r="AK242" t="str">
        <f>IF(Transaction[[#This Row],[Salesperson]]="","Missing Value",TRIM(PROPER(Transaction[[#This Row],[Salesperson]])))</f>
        <v>Mueller</v>
      </c>
      <c r="AL242" t="s">
        <v>25</v>
      </c>
      <c r="AM242" t="str">
        <f>IF(Transaction[[#This Row],[ContractType]]="","Missing Value",Transaction[[#This Row],[ContractType]])</f>
        <v>Frame Agreement</v>
      </c>
      <c r="AN242" t="s">
        <v>43</v>
      </c>
    </row>
    <row r="243" spans="1:40" x14ac:dyDescent="0.25">
      <c r="A243" t="s">
        <v>1227</v>
      </c>
      <c r="C24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24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24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243" s="2" t="str">
        <f>IFERROR(DATE(Transaction[[#This Row],[TransactionDateY]],Transaction[[#This Row],[TransactionDateM]],Transaction[[#This Row],[TransactionDateD]]),"Missing Value")</f>
        <v>Missing Value</v>
      </c>
      <c r="G243" t="s">
        <v>57</v>
      </c>
      <c r="H243" t="str">
        <f>IFERROR(VLOOKUP(Transaction[[#This Row],[CustomerID]],Custumer[],1,0),IF(LEN(Transaction[[#This Row],[CustomerID]])=7,LEFT(Transaction[[#This Row],[CustomerID]],6),"Invalid ID"))</f>
        <v>C-1035</v>
      </c>
      <c r="I243" t="s">
        <v>92</v>
      </c>
      <c r="J243" t="str">
        <f>TRIM(UPPER(Transaction[[#This Row],[ProductID]]))</f>
        <v>P-SI-008</v>
      </c>
      <c r="K243" t="str">
        <f>IFERROR(VLOOKUP(Transaction[[#This Row],[ProductID_Clean]],Product[],1,FALSE),"Invalid ID")</f>
        <v>P-SI-008</v>
      </c>
      <c r="L243" t="str">
        <f>TRIM(SUBSTITUTE(SUBSTITUTE(SUBSTITUTE(SUBSTITUTE(UPPER(Transaction[[#This Row],[Region]]),"EMEA REGION","EMEA"),"APAC REGION","APAC"),"NORTH AMERICA","N. AMERICA"),"N .AMERICA","N.AMERICA"))</f>
        <v>N. AMERICA</v>
      </c>
      <c r="M243" t="s">
        <v>20</v>
      </c>
      <c r="N243" t="s">
        <v>98</v>
      </c>
      <c r="O24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43" t="s">
        <v>22</v>
      </c>
      <c r="Q243" t="str">
        <f>IF(TRIM(Transaction[[#This Row],[SalesChannel]])="","Missing Value",TRIM(Transaction[[#This Row],[SalesChannel]]))</f>
        <v>Direct</v>
      </c>
      <c r="R243" s="4">
        <v>4</v>
      </c>
      <c r="S243" s="4" t="str">
        <f>IF(Transaction[[#This Row],[Quantity]]&lt;0,"Negative-review","Valid")</f>
        <v>Valid</v>
      </c>
      <c r="T243">
        <v>880.9</v>
      </c>
      <c r="U24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880.9</v>
      </c>
      <c r="V243">
        <v>950</v>
      </c>
      <c r="W243">
        <v>3800</v>
      </c>
      <c r="X24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3800</v>
      </c>
      <c r="Y243">
        <f>IF(Transaction[[#This Row],[GrossRevenue_Check]]="Invalid",Transaction[[#This Row],[ListPrice]]*Transaction[[#This Row],[Quantity]],Transaction[[#This Row],[GrossRevenue_Clean]])</f>
        <v>3800</v>
      </c>
      <c r="Z243" t="str">
        <f>IF(Transaction[[#This Row],[GrossRevenue_Clean]]=Transaction[[#This Row],[ListPrice]]*Transaction[[#This Row],[Quantity]],"Valid","Invalid")</f>
        <v>Valid</v>
      </c>
      <c r="AA243">
        <v>276.39999999999998</v>
      </c>
      <c r="AB24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276.39999999999998</v>
      </c>
      <c r="AC243">
        <f>IF(Transaction[[#This Row],[DiscountAmount_Check2]]="Invalid",Transaction[[#This Row],[GrossRevenue_Analytical]]-Transaction[[#This Row],[NetRevenue_Analytical]],Transaction[[#This Row],[DiscountAmount_Clean]])</f>
        <v>276.39999999999998</v>
      </c>
      <c r="AD243">
        <v>3523.6</v>
      </c>
      <c r="AE243" t="str">
        <f>IF(ROUND(Transaction[[#This Row],[GrossRevenue_Analytical]]-Transaction[[#This Row],[NetRevenue_Analytical]],2)=ROUND(Transaction[[#This Row],[DiscountAmount_Clean]],2),"Valid","Invalid")</f>
        <v>Valid</v>
      </c>
      <c r="AF24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3523.6</v>
      </c>
      <c r="AG243">
        <f>IF(Transaction[[#This Row],[NetRevenue_Check]]="Invalid",(Transaction[[#This Row],[Quantity]]*Transaction[[#This Row],[UnitPrice_Clean]]),Transaction[[#This Row],[NetRevenue_Clean]])</f>
        <v>3523.6</v>
      </c>
      <c r="AH243" t="str">
        <f>IF(Transaction[[#This Row],[Quantity]]*Transaction[[#This Row],[UnitPrice_Clean]]=Transaction[[#This Row],[NetRevenue_Clean]],"Valid","Invalid")</f>
        <v>Valid</v>
      </c>
      <c r="AI243" t="s">
        <v>23</v>
      </c>
      <c r="AJ243" t="s">
        <v>1228</v>
      </c>
      <c r="AK243" t="str">
        <f>IF(Transaction[[#This Row],[Salesperson]]="","Missing Value",TRIM(PROPER(Transaction[[#This Row],[Salesperson]])))</f>
        <v>Mckee-Em</v>
      </c>
      <c r="AL243" t="s">
        <v>42</v>
      </c>
      <c r="AM243" t="str">
        <f>IF(Transaction[[#This Row],[ContractType]]="","Missing Value",Transaction[[#This Row],[ContractType]])</f>
        <v>Standard PO</v>
      </c>
      <c r="AN243" t="s">
        <v>35</v>
      </c>
    </row>
    <row r="244" spans="1:40" x14ac:dyDescent="0.25">
      <c r="A244" t="s">
        <v>376</v>
      </c>
      <c r="B244" s="1">
        <v>45755</v>
      </c>
      <c r="C24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24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24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44" s="2">
        <f>IFERROR(DATE(Transaction[[#This Row],[TransactionDateY]],Transaction[[#This Row],[TransactionDateM]],Transaction[[#This Row],[TransactionDateD]]),"Missing Value")</f>
        <v>45755</v>
      </c>
      <c r="G244" t="s">
        <v>289</v>
      </c>
      <c r="H244" t="str">
        <f>IFERROR(VLOOKUP(Transaction[[#This Row],[CustomerID]],Custumer[],1,0),IF(LEN(Transaction[[#This Row],[CustomerID]])=7,LEFT(Transaction[[#This Row],[CustomerID]],6),"Invalid ID"))</f>
        <v>C-1081</v>
      </c>
      <c r="I244" t="s">
        <v>103</v>
      </c>
      <c r="J244" t="str">
        <f>TRIM(UPPER(Transaction[[#This Row],[ProductID]]))</f>
        <v>P-FS-005</v>
      </c>
      <c r="K244" t="str">
        <f>IFERROR(VLOOKUP(Transaction[[#This Row],[ProductID_Clean]],Product[],1,FALSE),"Invalid ID")</f>
        <v>P-FS-005</v>
      </c>
      <c r="L244" t="str">
        <f>TRIM(SUBSTITUTE(SUBSTITUTE(SUBSTITUTE(SUBSTITUTE(UPPER(Transaction[[#This Row],[Region]]),"EMEA REGION","EMEA"),"APAC REGION","APAC"),"NORTH AMERICA","N. AMERICA"),"N .AMERICA","N.AMERICA"))</f>
        <v>LATIN AMERICA</v>
      </c>
      <c r="M244" t="s">
        <v>82</v>
      </c>
      <c r="N244" t="s">
        <v>21</v>
      </c>
      <c r="O24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244" t="s">
        <v>22</v>
      </c>
      <c r="Q244" t="str">
        <f>IF(TRIM(Transaction[[#This Row],[SalesChannel]])="","Missing Value",TRIM(Transaction[[#This Row],[SalesChannel]]))</f>
        <v>Direct</v>
      </c>
      <c r="R244" s="4">
        <v>1</v>
      </c>
      <c r="S244" s="4" t="str">
        <f>IF(Transaction[[#This Row],[Quantity]]&lt;0,"Negative-review","Valid")</f>
        <v>Valid</v>
      </c>
      <c r="T244">
        <v>723.66</v>
      </c>
      <c r="U24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723.66</v>
      </c>
      <c r="V244">
        <v>950</v>
      </c>
      <c r="W244">
        <v>950</v>
      </c>
      <c r="X24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244">
        <f>IF(Transaction[[#This Row],[GrossRevenue_Check]]="Invalid",Transaction[[#This Row],[ListPrice]]*Transaction[[#This Row],[Quantity]],Transaction[[#This Row],[GrossRevenue_Clean]])</f>
        <v>950</v>
      </c>
      <c r="Z244" t="str">
        <f>IF(Transaction[[#This Row],[GrossRevenue_Clean]]=Transaction[[#This Row],[ListPrice]]*Transaction[[#This Row],[Quantity]],"Valid","Invalid")</f>
        <v>Valid</v>
      </c>
      <c r="AA244">
        <v>226.34</v>
      </c>
      <c r="AB24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226.34</v>
      </c>
      <c r="AC244">
        <f>IF(Transaction[[#This Row],[DiscountAmount_Check2]]="Invalid",Transaction[[#This Row],[GrossRevenue_Analytical]]-Transaction[[#This Row],[NetRevenue_Analytical]],Transaction[[#This Row],[DiscountAmount_Clean]])</f>
        <v>226.34</v>
      </c>
      <c r="AD244">
        <v>723.66</v>
      </c>
      <c r="AE244" t="str">
        <f>IF(ROUND(Transaction[[#This Row],[GrossRevenue_Analytical]]-Transaction[[#This Row],[NetRevenue_Analytical]],2)=ROUND(Transaction[[#This Row],[DiscountAmount_Clean]],2),"Valid","Invalid")</f>
        <v>Valid</v>
      </c>
      <c r="AF244">
        <f>VALUE(IF(ISNUMBER(Transaction[[#This Row],[NetRevenue]]),Transaction[[#This Row],[NetRevenue]],IFERROR(IF(FIND("$",Transaction[[#This Row],[NetRevenue]])&gt;0,MID(Transaction[[#This Row],[NetRevenue]],2,10)),Transaction[[#This Row],[NetRevenue]])))</f>
        <v>723.66</v>
      </c>
      <c r="AG244">
        <f>IF(Transaction[[#This Row],[NetRevenue_Check]]="Invalid",(Transaction[[#This Row],[Quantity]]*Transaction[[#This Row],[UnitPrice_Clean]]),Transaction[[#This Row],[NetRevenue_Clean]])</f>
        <v>723.66</v>
      </c>
      <c r="AH244" t="str">
        <f>IF(Transaction[[#This Row],[Quantity]]*Transaction[[#This Row],[UnitPrice_Clean]]=Transaction[[#This Row],[NetRevenue_Clean]],"Valid","Invalid")</f>
        <v>Valid</v>
      </c>
      <c r="AI244" t="s">
        <v>23</v>
      </c>
      <c r="AJ244" t="s">
        <v>377</v>
      </c>
      <c r="AK244" t="str">
        <f>IF(Transaction[[#This Row],[Salesperson]]="","Missing Value",TRIM(PROPER(Transaction[[#This Row],[Salesperson]])))</f>
        <v>Lee</v>
      </c>
      <c r="AL244" t="s">
        <v>42</v>
      </c>
      <c r="AM244" t="str">
        <f>IF(Transaction[[#This Row],[ContractType]]="","Missing Value",Transaction[[#This Row],[ContractType]])</f>
        <v>Standard PO</v>
      </c>
      <c r="AN244" t="s">
        <v>49</v>
      </c>
    </row>
    <row r="245" spans="1:40" x14ac:dyDescent="0.25">
      <c r="A245" t="s">
        <v>472</v>
      </c>
      <c r="B245" s="1">
        <v>45818</v>
      </c>
      <c r="C24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24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24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45" s="2">
        <f>IFERROR(DATE(Transaction[[#This Row],[TransactionDateY]],Transaction[[#This Row],[TransactionDateM]],Transaction[[#This Row],[TransactionDateD]]),"Missing Value")</f>
        <v>45818</v>
      </c>
      <c r="G245" t="s">
        <v>473</v>
      </c>
      <c r="H245" t="str">
        <f>IFERROR(VLOOKUP(Transaction[[#This Row],[CustomerID]],Custumer[],1,0),IF(LEN(Transaction[[#This Row],[CustomerID]])=7,LEFT(Transaction[[#This Row],[CustomerID]],6),"Invalid ID"))</f>
        <v>C-1016</v>
      </c>
      <c r="I245" t="s">
        <v>258</v>
      </c>
      <c r="J245" t="str">
        <f>TRIM(UPPER(Transaction[[#This Row],[ProductID]]))</f>
        <v>P-SA-003</v>
      </c>
      <c r="K245" t="str">
        <f>IFERROR(VLOOKUP(Transaction[[#This Row],[ProductID_Clean]],Product[],1,FALSE),"Invalid ID")</f>
        <v>P-SA-003</v>
      </c>
      <c r="L245" t="str">
        <f>TRIM(SUBSTITUTE(SUBSTITUTE(SUBSTITUTE(SUBSTITUTE(UPPER(Transaction[[#This Row],[Region]]),"EMEA REGION","EMEA"),"APAC REGION","APAC"),"NORTH AMERICA","N. AMERICA"),"N .AMERICA","N.AMERICA"))</f>
        <v>APAC</v>
      </c>
      <c r="M245" t="s">
        <v>30</v>
      </c>
      <c r="N245" t="s">
        <v>31</v>
      </c>
      <c r="O24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45" t="s">
        <v>22</v>
      </c>
      <c r="Q245" t="str">
        <f>IF(TRIM(Transaction[[#This Row],[SalesChannel]])="","Missing Value",TRIM(Transaction[[#This Row],[SalesChannel]]))</f>
        <v>Direct</v>
      </c>
      <c r="R245" s="4">
        <v>3</v>
      </c>
      <c r="S245" s="4" t="str">
        <f>IF(Transaction[[#This Row],[Quantity]]&lt;0,"Negative-review","Valid")</f>
        <v>Valid</v>
      </c>
      <c r="T245">
        <v>2256.21</v>
      </c>
      <c r="U24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2256.21</v>
      </c>
      <c r="V245">
        <v>2750</v>
      </c>
      <c r="W245">
        <v>8250</v>
      </c>
      <c r="X24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8250</v>
      </c>
      <c r="Y245">
        <f>IF(Transaction[[#This Row],[GrossRevenue_Check]]="Invalid",Transaction[[#This Row],[ListPrice]]*Transaction[[#This Row],[Quantity]],Transaction[[#This Row],[GrossRevenue_Clean]])</f>
        <v>8250</v>
      </c>
      <c r="Z245" t="str">
        <f>IF(Transaction[[#This Row],[GrossRevenue_Clean]]=Transaction[[#This Row],[ListPrice]]*Transaction[[#This Row],[Quantity]],"Valid","Invalid")</f>
        <v>Valid</v>
      </c>
      <c r="AA245">
        <v>1481.37</v>
      </c>
      <c r="AB24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1481.37</v>
      </c>
      <c r="AC245">
        <f>IF(Transaction[[#This Row],[DiscountAmount_Check2]]="Invalid",Transaction[[#This Row],[GrossRevenue_Analytical]]-Transaction[[#This Row],[NetRevenue_Analytical]],Transaction[[#This Row],[DiscountAmount_Clean]])</f>
        <v>1481.37</v>
      </c>
      <c r="AD245">
        <v>6768.63</v>
      </c>
      <c r="AE245" t="str">
        <f>IF(ROUND(Transaction[[#This Row],[GrossRevenue_Analytical]]-Transaction[[#This Row],[NetRevenue_Analytical]],2)=ROUND(Transaction[[#This Row],[DiscountAmount_Clean]],2),"Valid","Invalid")</f>
        <v>Valid</v>
      </c>
      <c r="AF245">
        <f>VALUE(IF(ISNUMBER(Transaction[[#This Row],[NetRevenue]]),Transaction[[#This Row],[NetRevenue]],IFERROR(IF(FIND("$",Transaction[[#This Row],[NetRevenue]])&gt;0,MID(Transaction[[#This Row],[NetRevenue]],2,10)),Transaction[[#This Row],[NetRevenue]])))</f>
        <v>6768.63</v>
      </c>
      <c r="AG245">
        <f>IF(Transaction[[#This Row],[NetRevenue_Check]]="Invalid",(Transaction[[#This Row],[Quantity]]*Transaction[[#This Row],[UnitPrice_Clean]]),Transaction[[#This Row],[NetRevenue_Clean]])</f>
        <v>6768.63</v>
      </c>
      <c r="AH245" t="str">
        <f>IF(Transaction[[#This Row],[Quantity]]*Transaction[[#This Row],[UnitPrice_Clean]]=Transaction[[#This Row],[NetRevenue_Clean]],"Valid","Invalid")</f>
        <v>Valid</v>
      </c>
      <c r="AI245" t="s">
        <v>23</v>
      </c>
      <c r="AJ245" t="s">
        <v>474</v>
      </c>
      <c r="AK245" t="str">
        <f>IF(Transaction[[#This Row],[Salesperson]]="","Missing Value",TRIM(PROPER(Transaction[[#This Row],[Salesperson]])))</f>
        <v>Gregory-Ap</v>
      </c>
      <c r="AL245" t="s">
        <v>34</v>
      </c>
      <c r="AM245" t="str">
        <f>IF(Transaction[[#This Row],[ContractType]]="","Missing Value",Transaction[[#This Row],[ContractType]])</f>
        <v>Annual License</v>
      </c>
      <c r="AN245" t="s">
        <v>26</v>
      </c>
    </row>
    <row r="246" spans="1:40" x14ac:dyDescent="0.25">
      <c r="A246" t="s">
        <v>2546</v>
      </c>
      <c r="B246" s="1">
        <v>45782</v>
      </c>
      <c r="C24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24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24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46" s="2">
        <f>IFERROR(DATE(Transaction[[#This Row],[TransactionDateY]],Transaction[[#This Row],[TransactionDateM]],Transaction[[#This Row],[TransactionDateD]]),"Missing Value")</f>
        <v>45782</v>
      </c>
      <c r="G246" t="s">
        <v>135</v>
      </c>
      <c r="H246" t="str">
        <f>IFERROR(VLOOKUP(Transaction[[#This Row],[CustomerID]],Custumer[],1,0),IF(LEN(Transaction[[#This Row],[CustomerID]])=7,LEFT(Transaction[[#This Row],[CustomerID]],6),"Invalid ID"))</f>
        <v>C-1112</v>
      </c>
      <c r="I246" t="s">
        <v>29</v>
      </c>
      <c r="J246" t="str">
        <f>TRIM(UPPER(Transaction[[#This Row],[ProductID]]))</f>
        <v>P-SA-001</v>
      </c>
      <c r="K246" t="str">
        <f>IFERROR(VLOOKUP(Transaction[[#This Row],[ProductID_Clean]],Product[],1,FALSE),"Invalid ID")</f>
        <v>P-SA-001</v>
      </c>
      <c r="L246" t="str">
        <f>TRIM(SUBSTITUTE(SUBSTITUTE(SUBSTITUTE(SUBSTITUTE(UPPER(Transaction[[#This Row],[Region]]),"EMEA REGION","EMEA"),"APAC REGION","APAC"),"NORTH AMERICA","N. AMERICA"),"N .AMERICA","N.AMERICA"))</f>
        <v>N. AMERICA</v>
      </c>
      <c r="M246" t="s">
        <v>20</v>
      </c>
      <c r="N246" t="s">
        <v>31</v>
      </c>
      <c r="O24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46" t="s">
        <v>22</v>
      </c>
      <c r="Q246" t="str">
        <f>IF(TRIM(Transaction[[#This Row],[SalesChannel]])="","Missing Value",TRIM(Transaction[[#This Row],[SalesChannel]]))</f>
        <v>Direct</v>
      </c>
      <c r="R246" s="4">
        <v>1</v>
      </c>
      <c r="S246" s="4" t="str">
        <f>IF(Transaction[[#This Row],[Quantity]]&lt;0,"Negative-review","Valid")</f>
        <v>Valid</v>
      </c>
      <c r="T246">
        <v>3402.71</v>
      </c>
      <c r="U24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3402.71</v>
      </c>
      <c r="V246">
        <v>4200</v>
      </c>
      <c r="W246">
        <v>4200</v>
      </c>
      <c r="X24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246">
        <f>IF(Transaction[[#This Row],[GrossRevenue_Check]]="Invalid",Transaction[[#This Row],[ListPrice]]*Transaction[[#This Row],[Quantity]],Transaction[[#This Row],[GrossRevenue_Clean]])</f>
        <v>4200</v>
      </c>
      <c r="Z246" t="str">
        <f>IF(Transaction[[#This Row],[GrossRevenue_Clean]]=Transaction[[#This Row],[ListPrice]]*Transaction[[#This Row],[Quantity]],"Valid","Invalid")</f>
        <v>Valid</v>
      </c>
      <c r="AA246">
        <v>797.29</v>
      </c>
      <c r="AB24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797.29</v>
      </c>
      <c r="AC246">
        <f>IF(Transaction[[#This Row],[DiscountAmount_Check2]]="Invalid",Transaction[[#This Row],[GrossRevenue_Analytical]]-Transaction[[#This Row],[NetRevenue_Analytical]],Transaction[[#This Row],[DiscountAmount_Clean]])</f>
        <v>797.29</v>
      </c>
      <c r="AD246">
        <v>3402.71</v>
      </c>
      <c r="AE246" t="str">
        <f>IF(ROUND(Transaction[[#This Row],[GrossRevenue_Analytical]]-Transaction[[#This Row],[NetRevenue_Analytical]],2)=ROUND(Transaction[[#This Row],[DiscountAmount_Clean]],2),"Valid","Invalid")</f>
        <v>Valid</v>
      </c>
      <c r="AF246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3402.71</v>
      </c>
      <c r="AG246">
        <f>IF(Transaction[[#This Row],[NetRevenue_Check]]="Invalid",(Transaction[[#This Row],[Quantity]]*Transaction[[#This Row],[UnitPrice_Clean]]),Transaction[[#This Row],[NetRevenue_Clean]])</f>
        <v>3402.71</v>
      </c>
      <c r="AH246" t="str">
        <f>IF(Transaction[[#This Row],[Quantity]]*Transaction[[#This Row],[UnitPrice_Clean]]=Transaction[[#This Row],[NetRevenue_Clean]],"Valid","Invalid")</f>
        <v>Valid</v>
      </c>
      <c r="AI246" t="s">
        <v>23</v>
      </c>
      <c r="AJ246" t="s">
        <v>2547</v>
      </c>
      <c r="AK246" t="str">
        <f>IF(Transaction[[#This Row],[Salesperson]]="","Missing Value",TRIM(PROPER(Transaction[[#This Row],[Salesperson]])))</f>
        <v>Hudson-Em</v>
      </c>
      <c r="AL246" t="s">
        <v>113</v>
      </c>
      <c r="AM246" t="str">
        <f>IF(Transaction[[#This Row],[ContractType]]="","Missing Value",Transaction[[#This Row],[ContractType]])</f>
        <v>Subscription</v>
      </c>
      <c r="AN246" t="s">
        <v>43</v>
      </c>
    </row>
    <row r="247" spans="1:40" x14ac:dyDescent="0.25">
      <c r="A247" t="s">
        <v>2770</v>
      </c>
      <c r="B247" s="1">
        <v>45667</v>
      </c>
      <c r="C24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24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24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47" s="2">
        <f>IFERROR(DATE(Transaction[[#This Row],[TransactionDateY]],Transaction[[#This Row],[TransactionDateM]],Transaction[[#This Row],[TransactionDateD]]),"Missing Value")</f>
        <v>45667</v>
      </c>
      <c r="G247" t="s">
        <v>203</v>
      </c>
      <c r="H247" t="str">
        <f>IFERROR(VLOOKUP(Transaction[[#This Row],[CustomerID]],Custumer[],1,0),IF(LEN(Transaction[[#This Row],[CustomerID]])=7,LEFT(Transaction[[#This Row],[CustomerID]],6),"Invalid ID"))</f>
        <v>C-1005</v>
      </c>
      <c r="I247" t="s">
        <v>71</v>
      </c>
      <c r="J247" t="str">
        <f>TRIM(UPPER(Transaction[[#This Row],[ProductID]]))</f>
        <v>P-SI-003</v>
      </c>
      <c r="K247" t="str">
        <f>IFERROR(VLOOKUP(Transaction[[#This Row],[ProductID_Clean]],Product[],1,FALSE),"Invalid ID")</f>
        <v>P-SI-003</v>
      </c>
      <c r="L247" t="str">
        <f>TRIM(SUBSTITUTE(SUBSTITUTE(SUBSTITUTE(SUBSTITUTE(UPPER(Transaction[[#This Row],[Region]]),"EMEA REGION","EMEA"),"APAC REGION","APAC"),"NORTH AMERICA","N. AMERICA"),"N .AMERICA","N.AMERICA"))</f>
        <v>N. AMERICA</v>
      </c>
      <c r="M247" t="s">
        <v>20</v>
      </c>
      <c r="N247" t="s">
        <v>53</v>
      </c>
      <c r="O24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47" t="s">
        <v>22</v>
      </c>
      <c r="Q247" t="str">
        <f>IF(TRIM(Transaction[[#This Row],[SalesChannel]])="","Missing Value",TRIM(Transaction[[#This Row],[SalesChannel]]))</f>
        <v>Direct</v>
      </c>
      <c r="R247" s="4">
        <v>1</v>
      </c>
      <c r="S247" s="4" t="str">
        <f>IF(Transaction[[#This Row],[Quantity]]&lt;0,"Negative-review","Valid")</f>
        <v>Valid</v>
      </c>
      <c r="T247">
        <v>1713.79</v>
      </c>
      <c r="U24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1713.79</v>
      </c>
      <c r="V247">
        <v>1890</v>
      </c>
      <c r="W247">
        <v>1890</v>
      </c>
      <c r="X24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247">
        <f>IF(Transaction[[#This Row],[GrossRevenue_Check]]="Invalid",Transaction[[#This Row],[ListPrice]]*Transaction[[#This Row],[Quantity]],Transaction[[#This Row],[GrossRevenue_Clean]])</f>
        <v>1890</v>
      </c>
      <c r="Z247" t="str">
        <f>IF(Transaction[[#This Row],[GrossRevenue_Clean]]=Transaction[[#This Row],[ListPrice]]*Transaction[[#This Row],[Quantity]],"Valid","Invalid")</f>
        <v>Valid</v>
      </c>
      <c r="AA247">
        <v>176.21</v>
      </c>
      <c r="AB24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176.21</v>
      </c>
      <c r="AC247">
        <f>IF(Transaction[[#This Row],[DiscountAmount_Check2]]="Invalid",Transaction[[#This Row],[GrossRevenue_Analytical]]-Transaction[[#This Row],[NetRevenue_Analytical]],Transaction[[#This Row],[DiscountAmount_Clean]])</f>
        <v>176.21</v>
      </c>
      <c r="AD247">
        <v>1713.79</v>
      </c>
      <c r="AE247" t="str">
        <f>IF(ROUND(Transaction[[#This Row],[GrossRevenue_Analytical]]-Transaction[[#This Row],[NetRevenue_Analytical]],2)=ROUND(Transaction[[#This Row],[DiscountAmount_Clean]],2),"Valid","Invalid")</f>
        <v>Valid</v>
      </c>
      <c r="AF24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1713.79</v>
      </c>
      <c r="AG247">
        <f>IF(Transaction[[#This Row],[NetRevenue_Check]]="Invalid",(Transaction[[#This Row],[Quantity]]*Transaction[[#This Row],[UnitPrice_Clean]]),Transaction[[#This Row],[NetRevenue_Clean]])</f>
        <v>1713.79</v>
      </c>
      <c r="AH247" t="str">
        <f>IF(Transaction[[#This Row],[Quantity]]*Transaction[[#This Row],[UnitPrice_Clean]]=Transaction[[#This Row],[NetRevenue_Clean]],"Valid","Invalid")</f>
        <v>Valid</v>
      </c>
      <c r="AI247" t="s">
        <v>23</v>
      </c>
      <c r="AJ247" t="s">
        <v>2771</v>
      </c>
      <c r="AK247" t="str">
        <f>IF(Transaction[[#This Row],[Salesperson]]="","Missing Value",TRIM(PROPER(Transaction[[#This Row],[Salesperson]])))</f>
        <v>Alexander-Em</v>
      </c>
      <c r="AL247" t="s">
        <v>42</v>
      </c>
      <c r="AM247" t="str">
        <f>IF(Transaction[[#This Row],[ContractType]]="","Missing Value",Transaction[[#This Row],[ContractType]])</f>
        <v>Standard PO</v>
      </c>
      <c r="AN247" t="s">
        <v>35</v>
      </c>
    </row>
    <row r="248" spans="1:40" x14ac:dyDescent="0.25">
      <c r="A248" t="s">
        <v>398</v>
      </c>
      <c r="B248" s="1">
        <v>45675</v>
      </c>
      <c r="C24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24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24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48" s="2">
        <f>IFERROR(DATE(Transaction[[#This Row],[TransactionDateY]],Transaction[[#This Row],[TransactionDateM]],Transaction[[#This Row],[TransactionDateD]]),"Missing Value")</f>
        <v>45675</v>
      </c>
      <c r="G248" t="s">
        <v>399</v>
      </c>
      <c r="H248" t="str">
        <f>IFERROR(VLOOKUP(Transaction[[#This Row],[CustomerID]],Custumer[],1,0),IF(LEN(Transaction[[#This Row],[CustomerID]])=7,LEFT(Transaction[[#This Row],[CustomerID]],6),"Invalid ID"))</f>
        <v>C-1110</v>
      </c>
      <c r="I248" t="s">
        <v>29</v>
      </c>
      <c r="J248" t="str">
        <f>TRIM(UPPER(Transaction[[#This Row],[ProductID]]))</f>
        <v>P-SA-001</v>
      </c>
      <c r="K248" t="str">
        <f>IFERROR(VLOOKUP(Transaction[[#This Row],[ProductID_Clean]],Product[],1,FALSE),"Invalid ID")</f>
        <v>P-SA-001</v>
      </c>
      <c r="L248" t="str">
        <f>TRIM(SUBSTITUTE(SUBSTITUTE(SUBSTITUTE(SUBSTITUTE(UPPER(Transaction[[#This Row],[Region]]),"EMEA REGION","EMEA"),"APAC REGION","APAC"),"NORTH AMERICA","N. AMERICA"),"N .AMERICA","N.AMERICA"))</f>
        <v>N. AMERICA</v>
      </c>
      <c r="M248" t="s">
        <v>20</v>
      </c>
      <c r="N248" t="s">
        <v>31</v>
      </c>
      <c r="O24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48" t="s">
        <v>173</v>
      </c>
      <c r="Q248" t="str">
        <f>IF(TRIM(Transaction[[#This Row],[SalesChannel]])="","Missing Value",TRIM(Transaction[[#This Row],[SalesChannel]]))</f>
        <v>Distributor</v>
      </c>
      <c r="R248" s="4">
        <v>1</v>
      </c>
      <c r="S248" s="4" t="str">
        <f>IF(Transaction[[#This Row],[Quantity]]&lt;0,"Negative-review","Valid")</f>
        <v>Valid</v>
      </c>
      <c r="T248">
        <v>3226.83</v>
      </c>
      <c r="U24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3226.83</v>
      </c>
      <c r="V248">
        <v>4200</v>
      </c>
      <c r="W248">
        <v>4200</v>
      </c>
      <c r="X24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248">
        <f>IF(Transaction[[#This Row],[GrossRevenue_Check]]="Invalid",Transaction[[#This Row],[ListPrice]]*Transaction[[#This Row],[Quantity]],Transaction[[#This Row],[GrossRevenue_Clean]])</f>
        <v>4200</v>
      </c>
      <c r="Z248" t="str">
        <f>IF(Transaction[[#This Row],[GrossRevenue_Clean]]=Transaction[[#This Row],[ListPrice]]*Transaction[[#This Row],[Quantity]],"Valid","Invalid")</f>
        <v>Valid</v>
      </c>
      <c r="AA248">
        <v>973.17</v>
      </c>
      <c r="AB24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973.17</v>
      </c>
      <c r="AC248">
        <f>IF(Transaction[[#This Row],[DiscountAmount_Check2]]="Invalid",Transaction[[#This Row],[GrossRevenue_Analytical]]-Transaction[[#This Row],[NetRevenue_Analytical]],Transaction[[#This Row],[DiscountAmount_Clean]])</f>
        <v>973.17</v>
      </c>
      <c r="AD248">
        <v>3226.83</v>
      </c>
      <c r="AE248" t="str">
        <f>IF(ROUND(Transaction[[#This Row],[GrossRevenue_Analytical]]-Transaction[[#This Row],[NetRevenue_Analytical]],2)=ROUND(Transaction[[#This Row],[DiscountAmount_Clean]],2),"Valid","Invalid")</f>
        <v>Valid</v>
      </c>
      <c r="AF248">
        <f>VALUE(IF(ISNUMBER(Transaction[[#This Row],[NetRevenue]]),Transaction[[#This Row],[NetRevenue]],IFERROR(IF(FIND("$",Transaction[[#This Row],[NetRevenue]])&gt;0,MID(Transaction[[#This Row],[NetRevenue]],2,10)),Transaction[[#This Row],[NetRevenue]])))</f>
        <v>3226.83</v>
      </c>
      <c r="AG248">
        <f>IF(Transaction[[#This Row],[NetRevenue_Check]]="Invalid",(Transaction[[#This Row],[Quantity]]*Transaction[[#This Row],[UnitPrice_Clean]]),Transaction[[#This Row],[NetRevenue_Clean]])</f>
        <v>3226.83</v>
      </c>
      <c r="AH248" t="str">
        <f>IF(Transaction[[#This Row],[Quantity]]*Transaction[[#This Row],[UnitPrice_Clean]]=Transaction[[#This Row],[NetRevenue_Clean]],"Valid","Invalid")</f>
        <v>Valid</v>
      </c>
      <c r="AI248" t="s">
        <v>23</v>
      </c>
      <c r="AJ248" t="s">
        <v>400</v>
      </c>
      <c r="AK248" t="str">
        <f>IF(Transaction[[#This Row],[Salesperson]]="","Missing Value",TRIM(PROPER(Transaction[[#This Row],[Salesperson]])))</f>
        <v>Hammond</v>
      </c>
      <c r="AL248" t="s">
        <v>113</v>
      </c>
      <c r="AM248" t="str">
        <f>IF(Transaction[[#This Row],[ContractType]]="","Missing Value",Transaction[[#This Row],[ContractType]])</f>
        <v>Subscription</v>
      </c>
      <c r="AN248" t="s">
        <v>43</v>
      </c>
    </row>
    <row r="249" spans="1:40" x14ac:dyDescent="0.25">
      <c r="A249" t="s">
        <v>1586</v>
      </c>
      <c r="B249" s="1">
        <v>45819</v>
      </c>
      <c r="C24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24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24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49" s="2">
        <f>IFERROR(DATE(Transaction[[#This Row],[TransactionDateY]],Transaction[[#This Row],[TransactionDateM]],Transaction[[#This Row],[TransactionDateD]]),"Missing Value")</f>
        <v>45819</v>
      </c>
      <c r="G249" t="s">
        <v>131</v>
      </c>
      <c r="H249" t="str">
        <f>IFERROR(VLOOKUP(Transaction[[#This Row],[CustomerID]],Custumer[],1,0),IF(LEN(Transaction[[#This Row],[CustomerID]])=7,LEFT(Transaction[[#This Row],[CustomerID]],6),"Invalid ID"))</f>
        <v>C-1034</v>
      </c>
      <c r="I249" t="s">
        <v>29</v>
      </c>
      <c r="J249" t="str">
        <f>TRIM(UPPER(Transaction[[#This Row],[ProductID]]))</f>
        <v>P-SA-001</v>
      </c>
      <c r="K249" t="str">
        <f>IFERROR(VLOOKUP(Transaction[[#This Row],[ProductID_Clean]],Product[],1,FALSE),"Invalid ID")</f>
        <v>P-SA-001</v>
      </c>
      <c r="L249" t="str">
        <f>TRIM(SUBSTITUTE(SUBSTITUTE(SUBSTITUTE(SUBSTITUTE(UPPER(Transaction[[#This Row],[Region]]),"EMEA REGION","EMEA"),"APAC REGION","APAC"),"NORTH AMERICA","N. AMERICA"),"N .AMERICA","N.AMERICA"))</f>
        <v>N. AMERICA</v>
      </c>
      <c r="M249" t="s">
        <v>168</v>
      </c>
      <c r="N249" t="s">
        <v>31</v>
      </c>
      <c r="O24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49" t="s">
        <v>22</v>
      </c>
      <c r="Q249" t="str">
        <f>IF(TRIM(Transaction[[#This Row],[SalesChannel]])="","Missing Value",TRIM(Transaction[[#This Row],[SalesChannel]]))</f>
        <v>Direct</v>
      </c>
      <c r="R249" s="4">
        <v>1</v>
      </c>
      <c r="S249" s="4" t="str">
        <f>IF(Transaction[[#This Row],[Quantity]]&lt;0,"Negative-review","Valid")</f>
        <v>Valid</v>
      </c>
      <c r="T249">
        <v>3616.55</v>
      </c>
      <c r="U24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3616.55</v>
      </c>
      <c r="V249">
        <v>4200</v>
      </c>
      <c r="W249">
        <v>4200</v>
      </c>
      <c r="X24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249">
        <f>IF(Transaction[[#This Row],[GrossRevenue_Check]]="Invalid",Transaction[[#This Row],[ListPrice]]*Transaction[[#This Row],[Quantity]],Transaction[[#This Row],[GrossRevenue_Clean]])</f>
        <v>4200</v>
      </c>
      <c r="Z249" t="str">
        <f>IF(Transaction[[#This Row],[GrossRevenue_Clean]]=Transaction[[#This Row],[ListPrice]]*Transaction[[#This Row],[Quantity]],"Valid","Invalid")</f>
        <v>Valid</v>
      </c>
      <c r="AA249">
        <v>583.45000000000005</v>
      </c>
      <c r="AB24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583.45000000000005</v>
      </c>
      <c r="AC249">
        <f>IF(Transaction[[#This Row],[DiscountAmount_Check2]]="Invalid",Transaction[[#This Row],[GrossRevenue_Analytical]]-Transaction[[#This Row],[NetRevenue_Analytical]],Transaction[[#This Row],[DiscountAmount_Clean]])</f>
        <v>583.45000000000005</v>
      </c>
      <c r="AD249">
        <v>3616.55</v>
      </c>
      <c r="AE249" t="str">
        <f>IF(ROUND(Transaction[[#This Row],[GrossRevenue_Analytical]]-Transaction[[#This Row],[NetRevenue_Analytical]],2)=ROUND(Transaction[[#This Row],[DiscountAmount_Clean]],2),"Valid","Invalid")</f>
        <v>Valid</v>
      </c>
      <c r="AF249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3616.55</v>
      </c>
      <c r="AG249">
        <f>IF(Transaction[[#This Row],[NetRevenue_Check]]="Invalid",(Transaction[[#This Row],[Quantity]]*Transaction[[#This Row],[UnitPrice_Clean]]),Transaction[[#This Row],[NetRevenue_Clean]])</f>
        <v>3616.55</v>
      </c>
      <c r="AH249" t="str">
        <f>IF(Transaction[[#This Row],[Quantity]]*Transaction[[#This Row],[UnitPrice_Clean]]=Transaction[[#This Row],[NetRevenue_Clean]],"Valid","Invalid")</f>
        <v>Valid</v>
      </c>
      <c r="AI249" t="s">
        <v>99</v>
      </c>
      <c r="AJ249" t="s">
        <v>1587</v>
      </c>
      <c r="AK249" t="str">
        <f>IF(Transaction[[#This Row],[Salesperson]]="","Missing Value",TRIM(PROPER(Transaction[[#This Row],[Salesperson]])))</f>
        <v>Strickland-Ap</v>
      </c>
      <c r="AL249" t="s">
        <v>34</v>
      </c>
      <c r="AM249" t="str">
        <f>IF(Transaction[[#This Row],[ContractType]]="","Missing Value",Transaction[[#This Row],[ContractType]])</f>
        <v>Annual License</v>
      </c>
      <c r="AN249" t="s">
        <v>26</v>
      </c>
    </row>
    <row r="250" spans="1:40" x14ac:dyDescent="0.25">
      <c r="A250" t="s">
        <v>1639</v>
      </c>
      <c r="B250" s="1">
        <v>45731</v>
      </c>
      <c r="C25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25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25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50" s="2">
        <f>IFERROR(DATE(Transaction[[#This Row],[TransactionDateY]],Transaction[[#This Row],[TransactionDateM]],Transaction[[#This Row],[TransactionDateD]]),"Missing Value")</f>
        <v>45731</v>
      </c>
      <c r="G250" t="s">
        <v>916</v>
      </c>
      <c r="H250" t="str">
        <f>IFERROR(VLOOKUP(Transaction[[#This Row],[CustomerID]],Custumer[],1,0),IF(LEN(Transaction[[#This Row],[CustomerID]])=7,LEFT(Transaction[[#This Row],[CustomerID]],6),"Invalid ID"))</f>
        <v>C-1106</v>
      </c>
      <c r="I250" t="s">
        <v>117</v>
      </c>
      <c r="J250" t="str">
        <f>TRIM(UPPER(Transaction[[#This Row],[ProductID]]))</f>
        <v>P-SI-007</v>
      </c>
      <c r="K250" t="str">
        <f>IFERROR(VLOOKUP(Transaction[[#This Row],[ProductID_Clean]],Product[],1,FALSE),"Invalid ID")</f>
        <v>P-SI-007</v>
      </c>
      <c r="L250" t="str">
        <f>TRIM(SUBSTITUTE(SUBSTITUTE(SUBSTITUTE(SUBSTITUTE(UPPER(Transaction[[#This Row],[Region]]),"EMEA REGION","EMEA"),"APAC REGION","APAC"),"NORTH AMERICA","N. AMERICA"),"N .AMERICA","N.AMERICA"))</f>
        <v>N. AMERICA</v>
      </c>
      <c r="M250" t="s">
        <v>20</v>
      </c>
      <c r="N250" t="s">
        <v>53</v>
      </c>
      <c r="O25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50" t="s">
        <v>181</v>
      </c>
      <c r="Q250" t="str">
        <f>IF(TRIM(Transaction[[#This Row],[SalesChannel]])="","Missing Value",TRIM(Transaction[[#This Row],[SalesChannel]]))</f>
        <v>Partner Portal</v>
      </c>
      <c r="R250" s="4">
        <v>2</v>
      </c>
      <c r="S250" s="4" t="str">
        <f>IF(Transaction[[#This Row],[Quantity]]&lt;0,"Negative-review","Valid")</f>
        <v>Valid</v>
      </c>
      <c r="T250">
        <v>852.32</v>
      </c>
      <c r="U25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852.32</v>
      </c>
      <c r="V250">
        <v>980</v>
      </c>
      <c r="W250">
        <v>1960</v>
      </c>
      <c r="X25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</v>
      </c>
      <c r="Y250">
        <f>IF(Transaction[[#This Row],[GrossRevenue_Check]]="Invalid",Transaction[[#This Row],[ListPrice]]*Transaction[[#This Row],[Quantity]],Transaction[[#This Row],[GrossRevenue_Clean]])</f>
        <v>1960</v>
      </c>
      <c r="Z250" t="str">
        <f>IF(Transaction[[#This Row],[GrossRevenue_Clean]]=Transaction[[#This Row],[ListPrice]]*Transaction[[#This Row],[Quantity]],"Valid","Invalid")</f>
        <v>Valid</v>
      </c>
      <c r="AA250">
        <v>255.36</v>
      </c>
      <c r="AB25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255.36</v>
      </c>
      <c r="AC250">
        <f>IF(Transaction[[#This Row],[DiscountAmount_Check2]]="Invalid",Transaction[[#This Row],[GrossRevenue_Analytical]]-Transaction[[#This Row],[NetRevenue_Analytical]],Transaction[[#This Row],[DiscountAmount_Clean]])</f>
        <v>255.36</v>
      </c>
      <c r="AD250" t="s">
        <v>1640</v>
      </c>
      <c r="AE250" t="str">
        <f>IF(ROUND(Transaction[[#This Row],[GrossRevenue_Analytical]]-Transaction[[#This Row],[NetRevenue_Analytical]],2)=ROUND(Transaction[[#This Row],[DiscountAmount_Clean]],2),"Valid","Invalid")</f>
        <v>Valid</v>
      </c>
      <c r="AF25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1704.64</v>
      </c>
      <c r="AG250">
        <f>IF(Transaction[[#This Row],[NetRevenue_Check]]="Invalid",(Transaction[[#This Row],[Quantity]]*Transaction[[#This Row],[UnitPrice_Clean]]),Transaction[[#This Row],[NetRevenue_Clean]])</f>
        <v>1704.64</v>
      </c>
      <c r="AH250" t="str">
        <f>IF(Transaction[[#This Row],[Quantity]]*Transaction[[#This Row],[UnitPrice_Clean]]=Transaction[[#This Row],[NetRevenue_Clean]],"Valid","Invalid")</f>
        <v>Valid</v>
      </c>
      <c r="AI250" t="s">
        <v>23</v>
      </c>
      <c r="AK250" t="str">
        <f>IF(Transaction[[#This Row],[Salesperson]]="","Missing Value",TRIM(PROPER(Transaction[[#This Row],[Salesperson]])))</f>
        <v>Missing Value</v>
      </c>
      <c r="AL250" t="s">
        <v>42</v>
      </c>
      <c r="AM250" t="str">
        <f>IF(Transaction[[#This Row],[ContractType]]="","Missing Value",Transaction[[#This Row],[ContractType]])</f>
        <v>Standard PO</v>
      </c>
      <c r="AN250" t="s">
        <v>43</v>
      </c>
    </row>
    <row r="251" spans="1:40" x14ac:dyDescent="0.25">
      <c r="A251" t="s">
        <v>1731</v>
      </c>
      <c r="B251" t="s">
        <v>952</v>
      </c>
      <c r="C25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25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25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51" s="2">
        <f>IFERROR(DATE(Transaction[[#This Row],[TransactionDateY]],Transaction[[#This Row],[TransactionDateM]],Transaction[[#This Row],[TransactionDateD]]),"Missing Value")</f>
        <v>45681</v>
      </c>
      <c r="G251" t="s">
        <v>247</v>
      </c>
      <c r="H251" t="str">
        <f>IFERROR(VLOOKUP(Transaction[[#This Row],[CustomerID]],Custumer[],1,0),IF(LEN(Transaction[[#This Row],[CustomerID]])=7,LEFT(Transaction[[#This Row],[CustomerID]],6),"Invalid ID"))</f>
        <v>C-1045</v>
      </c>
      <c r="I251" t="s">
        <v>226</v>
      </c>
      <c r="J251" t="str">
        <f>TRIM(UPPER(Transaction[[#This Row],[ProductID]]))</f>
        <v>P-SA-002</v>
      </c>
      <c r="K251" t="str">
        <f>IFERROR(VLOOKUP(Transaction[[#This Row],[ProductID_Clean]],Product[],1,FALSE),"Invalid ID")</f>
        <v>P-SA-002</v>
      </c>
      <c r="L251" t="str">
        <f>TRIM(SUBSTITUTE(SUBSTITUTE(SUBSTITUTE(SUBSTITUTE(UPPER(Transaction[[#This Row],[Region]]),"EMEA REGION","EMEA"),"APAC REGION","APAC"),"NORTH AMERICA","N. AMERICA"),"N .AMERICA","N.AMERICA"))</f>
        <v>EMEA</v>
      </c>
      <c r="M251" t="s">
        <v>76</v>
      </c>
      <c r="N251" t="s">
        <v>31</v>
      </c>
      <c r="O25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Q251" t="str">
        <f>IF(TRIM(Transaction[[#This Row],[SalesChannel]])="","Missing Value",TRIM(Transaction[[#This Row],[SalesChannel]]))</f>
        <v>Missing Value</v>
      </c>
      <c r="R251" s="4">
        <v>1</v>
      </c>
      <c r="S251" s="4" t="str">
        <f>IF(Transaction[[#This Row],[Quantity]]&lt;0,"Negative-review","Valid")</f>
        <v>Valid</v>
      </c>
      <c r="T251" t="s">
        <v>1732</v>
      </c>
      <c r="U25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7149.64</v>
      </c>
      <c r="V251">
        <v>9800</v>
      </c>
      <c r="W251">
        <v>9800</v>
      </c>
      <c r="X25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251">
        <f>IF(Transaction[[#This Row],[GrossRevenue_Check]]="Invalid",Transaction[[#This Row],[ListPrice]]*Transaction[[#This Row],[Quantity]],Transaction[[#This Row],[GrossRevenue_Clean]])</f>
        <v>9800</v>
      </c>
      <c r="Z251" t="str">
        <f>IF(Transaction[[#This Row],[GrossRevenue_Clean]]=Transaction[[#This Row],[ListPrice]]*Transaction[[#This Row],[Quantity]],"Valid","Invalid")</f>
        <v>Valid</v>
      </c>
      <c r="AA251">
        <v>2650.36</v>
      </c>
      <c r="AB25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2650.36</v>
      </c>
      <c r="AC251">
        <f>IF(Transaction[[#This Row],[DiscountAmount_Check2]]="Invalid",Transaction[[#This Row],[GrossRevenue_Analytical]]-Transaction[[#This Row],[NetRevenue_Analytical]],Transaction[[#This Row],[DiscountAmount_Clean]])</f>
        <v>2650.36</v>
      </c>
      <c r="AD251" t="s">
        <v>1733</v>
      </c>
      <c r="AE251" t="str">
        <f>IF(ROUND(Transaction[[#This Row],[GrossRevenue_Analytical]]-Transaction[[#This Row],[NetRevenue_Analytical]],2)=ROUND(Transaction[[#This Row],[DiscountAmount_Clean]],2),"Valid","Invalid")</f>
        <v>Valid</v>
      </c>
      <c r="AF251">
        <f>VALUE(IF(ISNUMBER(Transaction[[#This Row],[NetRevenue]]),Transaction[[#This Row],[NetRevenue]],IFERROR(IF(FIND("$",Transaction[[#This Row],[NetRevenue]])&gt;0,MID(Transaction[[#This Row],[NetRevenue]],2,10)),Transaction[[#This Row],[NetRevenue]])))</f>
        <v>7149.64</v>
      </c>
      <c r="AG251">
        <f>IF(Transaction[[#This Row],[NetRevenue_Check]]="Invalid",(Transaction[[#This Row],[Quantity]]*Transaction[[#This Row],[UnitPrice_Clean]]),Transaction[[#This Row],[NetRevenue_Clean]])</f>
        <v>7149.64</v>
      </c>
      <c r="AH251" t="str">
        <f>IF(Transaction[[#This Row],[Quantity]]*Transaction[[#This Row],[UnitPrice_Clean]]=Transaction[[#This Row],[NetRevenue_Clean]],"Valid","Invalid")</f>
        <v>Valid</v>
      </c>
      <c r="AI251" t="s">
        <v>23</v>
      </c>
      <c r="AJ251" t="s">
        <v>1734</v>
      </c>
      <c r="AK251" t="str">
        <f>IF(Transaction[[#This Row],[Salesperson]]="","Missing Value",TRIM(PROPER(Transaction[[#This Row],[Salesperson]])))</f>
        <v>Barnes-Na</v>
      </c>
      <c r="AL251" t="s">
        <v>113</v>
      </c>
      <c r="AM251" t="str">
        <f>IF(Transaction[[#This Row],[ContractType]]="","Missing Value",Transaction[[#This Row],[ContractType]])</f>
        <v>Subscription</v>
      </c>
      <c r="AN251" t="s">
        <v>35</v>
      </c>
    </row>
    <row r="252" spans="1:40" x14ac:dyDescent="0.25">
      <c r="A252" t="s">
        <v>2427</v>
      </c>
      <c r="B252" s="1">
        <v>45651</v>
      </c>
      <c r="C25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12</v>
      </c>
      <c r="D25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25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2024</v>
      </c>
      <c r="F252" s="2">
        <f>IFERROR(DATE(Transaction[[#This Row],[TransactionDateY]],Transaction[[#This Row],[TransactionDateM]],Transaction[[#This Row],[TransactionDateD]]),"Missing Value")</f>
        <v>45651</v>
      </c>
      <c r="G252" t="s">
        <v>267</v>
      </c>
      <c r="H252" t="str">
        <f>IFERROR(VLOOKUP(Transaction[[#This Row],[CustomerID]],Custumer[],1,0),IF(LEN(Transaction[[#This Row],[CustomerID]])=7,LEFT(Transaction[[#This Row],[CustomerID]],6),"Invalid ID"))</f>
        <v>C-1119</v>
      </c>
      <c r="I252" t="s">
        <v>29</v>
      </c>
      <c r="J252" t="str">
        <f>TRIM(UPPER(Transaction[[#This Row],[ProductID]]))</f>
        <v>P-SA-001</v>
      </c>
      <c r="K252" t="str">
        <f>IFERROR(VLOOKUP(Transaction[[#This Row],[ProductID_Clean]],Product[],1,FALSE),"Invalid ID")</f>
        <v>P-SA-001</v>
      </c>
      <c r="L252" t="str">
        <f>TRIM(SUBSTITUTE(SUBSTITUTE(SUBSTITUTE(SUBSTITUTE(UPPER(Transaction[[#This Row],[Region]]),"EMEA REGION","EMEA"),"APAC REGION","APAC"),"NORTH AMERICA","N. AMERICA"),"N .AMERICA","N.AMERICA"))</f>
        <v>EMEA</v>
      </c>
      <c r="M252" t="s">
        <v>76</v>
      </c>
      <c r="N252" t="s">
        <v>572</v>
      </c>
      <c r="O25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52" t="s">
        <v>181</v>
      </c>
      <c r="Q252" t="str">
        <f>IF(TRIM(Transaction[[#This Row],[SalesChannel]])="","Missing Value",TRIM(Transaction[[#This Row],[SalesChannel]]))</f>
        <v>Partner Portal</v>
      </c>
      <c r="R252" s="4">
        <v>2</v>
      </c>
      <c r="S252" s="4" t="str">
        <f>IF(Transaction[[#This Row],[Quantity]]&lt;0,"Negative-review","Valid")</f>
        <v>Valid</v>
      </c>
      <c r="T252">
        <v>3690.74</v>
      </c>
      <c r="U25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3690.74</v>
      </c>
      <c r="V252">
        <v>4200</v>
      </c>
      <c r="W252">
        <v>8400</v>
      </c>
      <c r="X25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8400</v>
      </c>
      <c r="Y252">
        <f>IF(Transaction[[#This Row],[GrossRevenue_Check]]="Invalid",Transaction[[#This Row],[ListPrice]]*Transaction[[#This Row],[Quantity]],Transaction[[#This Row],[GrossRevenue_Clean]])</f>
        <v>8400</v>
      </c>
      <c r="Z252" t="str">
        <f>IF(Transaction[[#This Row],[GrossRevenue_Clean]]=Transaction[[#This Row],[ListPrice]]*Transaction[[#This Row],[Quantity]],"Valid","Invalid")</f>
        <v>Valid</v>
      </c>
      <c r="AA252">
        <v>1018.52</v>
      </c>
      <c r="AB25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1018.52</v>
      </c>
      <c r="AC252">
        <f>IF(Transaction[[#This Row],[DiscountAmount_Check2]]="Invalid",Transaction[[#This Row],[GrossRevenue_Analytical]]-Transaction[[#This Row],[NetRevenue_Analytical]],Transaction[[#This Row],[DiscountAmount_Clean]])</f>
        <v>1018.52</v>
      </c>
      <c r="AD252">
        <v>7381.48</v>
      </c>
      <c r="AE252" t="str">
        <f>IF(ROUND(Transaction[[#This Row],[GrossRevenue_Analytical]]-Transaction[[#This Row],[NetRevenue_Analytical]],2)=ROUND(Transaction[[#This Row],[DiscountAmount_Clean]],2),"Valid","Invalid")</f>
        <v>Valid</v>
      </c>
      <c r="AF252">
        <f>VALUE(IF(ISNUMBER(Transaction[[#This Row],[NetRevenue]]),Transaction[[#This Row],[NetRevenue]],IFERROR(IF(FIND("$",Transaction[[#This Row],[NetRevenue]])&gt;0,MID(Transaction[[#This Row],[NetRevenue]],2,10)),Transaction[[#This Row],[NetRevenue]])))</f>
        <v>7381.48</v>
      </c>
      <c r="AG252">
        <f>IF(Transaction[[#This Row],[NetRevenue_Check]]="Invalid",(Transaction[[#This Row],[Quantity]]*Transaction[[#This Row],[UnitPrice_Clean]]),Transaction[[#This Row],[NetRevenue_Clean]])</f>
        <v>7381.48</v>
      </c>
      <c r="AH252" t="str">
        <f>IF(Transaction[[#This Row],[Quantity]]*Transaction[[#This Row],[UnitPrice_Clean]]=Transaction[[#This Row],[NetRevenue_Clean]],"Valid","Invalid")</f>
        <v>Valid</v>
      </c>
      <c r="AI252" t="s">
        <v>23</v>
      </c>
      <c r="AJ252" t="s">
        <v>2428</v>
      </c>
      <c r="AK252" t="str">
        <f>IF(Transaction[[#This Row],[Salesperson]]="","Missing Value",TRIM(PROPER(Transaction[[#This Row],[Salesperson]])))</f>
        <v>Carlson-Ap</v>
      </c>
      <c r="AL252" t="s">
        <v>210</v>
      </c>
      <c r="AM252" t="str">
        <f>IF(Transaction[[#This Row],[ContractType]]="","Missing Value",Transaction[[#This Row],[ContractType]])</f>
        <v>Perpetual</v>
      </c>
      <c r="AN252" t="s">
        <v>49</v>
      </c>
    </row>
    <row r="253" spans="1:40" x14ac:dyDescent="0.25">
      <c r="A253" t="s">
        <v>1913</v>
      </c>
      <c r="B253" s="1">
        <v>45683</v>
      </c>
      <c r="C25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25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25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53" s="2">
        <f>IFERROR(DATE(Transaction[[#This Row],[TransactionDateY]],Transaction[[#This Row],[TransactionDateM]],Transaction[[#This Row],[TransactionDateD]]),"Missing Value")</f>
        <v>45683</v>
      </c>
      <c r="G253" t="s">
        <v>1914</v>
      </c>
      <c r="H253" t="str">
        <f>IFERROR(VLOOKUP(Transaction[[#This Row],[CustomerID]],Custumer[],1,0),IF(LEN(Transaction[[#This Row],[CustomerID]])=7,LEFT(Transaction[[#This Row],[CustomerID]],6),"Invalid ID"))</f>
        <v>C-1080</v>
      </c>
      <c r="I253" t="s">
        <v>304</v>
      </c>
      <c r="J253" t="str">
        <f>TRIM(UPPER(Transaction[[#This Row],[ProductID]]))</f>
        <v>P-XX-999</v>
      </c>
      <c r="K253" t="str">
        <f>IFERROR(VLOOKUP(Transaction[[#This Row],[ProductID_Clean]],Product[],1,FALSE),"Invalid ID")</f>
        <v>Invalid ID</v>
      </c>
      <c r="L253" t="str">
        <f>TRIM(SUBSTITUTE(SUBSTITUTE(SUBSTITUTE(SUBSTITUTE(UPPER(Transaction[[#This Row],[Region]]),"EMEA REGION","EMEA"),"APAC REGION","APAC"),"NORTH AMERICA","N. AMERICA"),"N .AMERICA","N.AMERICA"))</f>
        <v>APAC</v>
      </c>
      <c r="M253" t="s">
        <v>30</v>
      </c>
      <c r="N253" t="s">
        <v>53</v>
      </c>
      <c r="O25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53" t="s">
        <v>22</v>
      </c>
      <c r="Q253" t="str">
        <f>IF(TRIM(Transaction[[#This Row],[SalesChannel]])="","Missing Value",TRIM(Transaction[[#This Row],[SalesChannel]]))</f>
        <v>Direct</v>
      </c>
      <c r="R253" s="4">
        <v>2</v>
      </c>
      <c r="S253" s="4" t="str">
        <f>IF(Transaction[[#This Row],[Quantity]]&lt;0,"Negative-review","Valid")</f>
        <v>Valid</v>
      </c>
      <c r="T253">
        <v>449.05</v>
      </c>
      <c r="U25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449.05</v>
      </c>
      <c r="V253">
        <v>485</v>
      </c>
      <c r="W253" t="s">
        <v>154</v>
      </c>
      <c r="X25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253">
        <f>IF(Transaction[[#This Row],[GrossRevenue_Check]]="Invalid",Transaction[[#This Row],[ListPrice]]*Transaction[[#This Row],[Quantity]],Transaction[[#This Row],[GrossRevenue_Clean]])</f>
        <v>970</v>
      </c>
      <c r="Z253" t="str">
        <f>IF(Transaction[[#This Row],[GrossRevenue_Clean]]=Transaction[[#This Row],[ListPrice]]*Transaction[[#This Row],[Quantity]],"Valid","Invalid")</f>
        <v>Valid</v>
      </c>
      <c r="AA253">
        <v>71.900000000000006</v>
      </c>
      <c r="AB25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71.900000000000006</v>
      </c>
      <c r="AC253">
        <f>IF(Transaction[[#This Row],[DiscountAmount_Check2]]="Invalid",Transaction[[#This Row],[GrossRevenue_Analytical]]-Transaction[[#This Row],[NetRevenue_Analytical]],Transaction[[#This Row],[DiscountAmount_Clean]])</f>
        <v>71.900000000000006</v>
      </c>
      <c r="AD253">
        <v>898.1</v>
      </c>
      <c r="AE253" t="str">
        <f>IF(ROUND(Transaction[[#This Row],[GrossRevenue_Analytical]]-Transaction[[#This Row],[NetRevenue_Analytical]],2)=ROUND(Transaction[[#This Row],[DiscountAmount_Clean]],2),"Valid","Invalid")</f>
        <v>Valid</v>
      </c>
      <c r="AF253">
        <f>VALUE(IF(ISNUMBER(Transaction[[#This Row],[NetRevenue]]),Transaction[[#This Row],[NetRevenue]],IFERROR(IF(FIND("$",Transaction[[#This Row],[NetRevenue]])&gt;0,MID(Transaction[[#This Row],[NetRevenue]],2,10)),Transaction[[#This Row],[NetRevenue]])))</f>
        <v>898.1</v>
      </c>
      <c r="AG253">
        <f>IF(Transaction[[#This Row],[NetRevenue_Check]]="Invalid",(Transaction[[#This Row],[Quantity]]*Transaction[[#This Row],[UnitPrice_Clean]]),Transaction[[#This Row],[NetRevenue_Clean]])</f>
        <v>898.1</v>
      </c>
      <c r="AH253" t="str">
        <f>IF(Transaction[[#This Row],[Quantity]]*Transaction[[#This Row],[UnitPrice_Clean]]=Transaction[[#This Row],[NetRevenue_Clean]],"Valid","Invalid")</f>
        <v>Valid</v>
      </c>
      <c r="AI253" t="s">
        <v>23</v>
      </c>
      <c r="AJ253" t="s">
        <v>1915</v>
      </c>
      <c r="AK253" t="str">
        <f>IF(Transaction[[#This Row],[Salesperson]]="","Missing Value",TRIM(PROPER(Transaction[[#This Row],[Salesperson]])))</f>
        <v>Martin-Ap</v>
      </c>
      <c r="AL253" t="s">
        <v>42</v>
      </c>
      <c r="AM253" t="str">
        <f>IF(Transaction[[#This Row],[ContractType]]="","Missing Value",Transaction[[#This Row],[ContractType]])</f>
        <v>Standard PO</v>
      </c>
      <c r="AN253" t="s">
        <v>65</v>
      </c>
    </row>
    <row r="254" spans="1:40" x14ac:dyDescent="0.25">
      <c r="A254" t="s">
        <v>3050</v>
      </c>
      <c r="B254" s="1">
        <v>45683</v>
      </c>
      <c r="C25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25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25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54" s="2">
        <f>IFERROR(DATE(Transaction[[#This Row],[TransactionDateY]],Transaction[[#This Row],[TransactionDateM]],Transaction[[#This Row],[TransactionDateD]]),"Missing Value")</f>
        <v>45683</v>
      </c>
      <c r="G254" t="s">
        <v>541</v>
      </c>
      <c r="H254" t="str">
        <f>IFERROR(VLOOKUP(Transaction[[#This Row],[CustomerID]],Custumer[],1,0),IF(LEN(Transaction[[#This Row],[CustomerID]])=7,LEFT(Transaction[[#This Row],[CustomerID]],6),"Invalid ID"))</f>
        <v>C-1075</v>
      </c>
      <c r="I254" t="s">
        <v>29</v>
      </c>
      <c r="J254" t="str">
        <f>TRIM(UPPER(Transaction[[#This Row],[ProductID]]))</f>
        <v>P-SA-001</v>
      </c>
      <c r="K254" t="str">
        <f>IFERROR(VLOOKUP(Transaction[[#This Row],[ProductID_Clean]],Product[],1,FALSE),"Invalid ID")</f>
        <v>P-SA-001</v>
      </c>
      <c r="L254" t="str">
        <f>TRIM(SUBSTITUTE(SUBSTITUTE(SUBSTITUTE(SUBSTITUTE(UPPER(Transaction[[#This Row],[Region]]),"EMEA REGION","EMEA"),"APAC REGION","APAC"),"NORTH AMERICA","N. AMERICA"),"N .AMERICA","N.AMERICA"))</f>
        <v>N. AMERICA</v>
      </c>
      <c r="M254" t="s">
        <v>20</v>
      </c>
      <c r="N254" t="s">
        <v>31</v>
      </c>
      <c r="O25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54" t="s">
        <v>22</v>
      </c>
      <c r="Q254" t="str">
        <f>IF(TRIM(Transaction[[#This Row],[SalesChannel]])="","Missing Value",TRIM(Transaction[[#This Row],[SalesChannel]]))</f>
        <v>Direct</v>
      </c>
      <c r="R254" s="4">
        <v>1</v>
      </c>
      <c r="S254" s="4" t="str">
        <f>IF(Transaction[[#This Row],[Quantity]]&lt;0,"Negative-review","Valid")</f>
        <v>Valid</v>
      </c>
      <c r="T254">
        <v>3705.44</v>
      </c>
      <c r="U25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3705.44</v>
      </c>
      <c r="V254">
        <v>4200</v>
      </c>
      <c r="W254">
        <v>4200</v>
      </c>
      <c r="X25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254">
        <f>IF(Transaction[[#This Row],[GrossRevenue_Check]]="Invalid",Transaction[[#This Row],[ListPrice]]*Transaction[[#This Row],[Quantity]],Transaction[[#This Row],[GrossRevenue_Clean]])</f>
        <v>4200</v>
      </c>
      <c r="Z254" t="str">
        <f>IF(Transaction[[#This Row],[GrossRevenue_Clean]]=Transaction[[#This Row],[ListPrice]]*Transaction[[#This Row],[Quantity]],"Valid","Invalid")</f>
        <v>Valid</v>
      </c>
      <c r="AA254">
        <v>494.56</v>
      </c>
      <c r="AB25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494.56</v>
      </c>
      <c r="AC254">
        <f>IF(Transaction[[#This Row],[DiscountAmount_Check2]]="Invalid",Transaction[[#This Row],[GrossRevenue_Analytical]]-Transaction[[#This Row],[NetRevenue_Analytical]],Transaction[[#This Row],[DiscountAmount_Clean]])</f>
        <v>494.56</v>
      </c>
      <c r="AD254">
        <v>3705.44</v>
      </c>
      <c r="AE254" t="str">
        <f>IF(ROUND(Transaction[[#This Row],[GrossRevenue_Analytical]]-Transaction[[#This Row],[NetRevenue_Analytical]],2)=ROUND(Transaction[[#This Row],[DiscountAmount_Clean]],2),"Valid","Invalid")</f>
        <v>Valid</v>
      </c>
      <c r="AF254">
        <f>VALUE(IF(ISNUMBER(Transaction[[#This Row],[NetRevenue]]),Transaction[[#This Row],[NetRevenue]],IFERROR(IF(FIND("$",Transaction[[#This Row],[NetRevenue]])&gt;0,MID(Transaction[[#This Row],[NetRevenue]],2,10)),Transaction[[#This Row],[NetRevenue]])))</f>
        <v>3705.44</v>
      </c>
      <c r="AG254">
        <f>IF(Transaction[[#This Row],[NetRevenue_Check]]="Invalid",(Transaction[[#This Row],[Quantity]]*Transaction[[#This Row],[UnitPrice_Clean]]),Transaction[[#This Row],[NetRevenue_Clean]])</f>
        <v>3705.44</v>
      </c>
      <c r="AH254" t="str">
        <f>IF(Transaction[[#This Row],[Quantity]]*Transaction[[#This Row],[UnitPrice_Clean]]=Transaction[[#This Row],[NetRevenue_Clean]],"Valid","Invalid")</f>
        <v>Valid</v>
      </c>
      <c r="AI254" t="s">
        <v>23</v>
      </c>
      <c r="AJ254" t="s">
        <v>1977</v>
      </c>
      <c r="AK254" t="str">
        <f>IF(Transaction[[#This Row],[Salesperson]]="","Missing Value",TRIM(PROPER(Transaction[[#This Row],[Salesperson]])))</f>
        <v>Gonzalez-Ap</v>
      </c>
      <c r="AL254" t="s">
        <v>34</v>
      </c>
      <c r="AM254" t="str">
        <f>IF(Transaction[[#This Row],[ContractType]]="","Missing Value",Transaction[[#This Row],[ContractType]])</f>
        <v>Annual License</v>
      </c>
      <c r="AN254" t="s">
        <v>49</v>
      </c>
    </row>
    <row r="255" spans="1:40" x14ac:dyDescent="0.25">
      <c r="A255" t="s">
        <v>2701</v>
      </c>
      <c r="C25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25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25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255" s="2" t="str">
        <f>IFERROR(DATE(Transaction[[#This Row],[TransactionDateY]],Transaction[[#This Row],[TransactionDateM]],Transaction[[#This Row],[TransactionDateD]]),"Missing Value")</f>
        <v>Missing Value</v>
      </c>
      <c r="G255" t="s">
        <v>405</v>
      </c>
      <c r="H255" t="str">
        <f>IFERROR(VLOOKUP(Transaction[[#This Row],[CustomerID]],Custumer[],1,0),IF(LEN(Transaction[[#This Row],[CustomerID]])=7,LEFT(Transaction[[#This Row],[CustomerID]],6),"Invalid ID"))</f>
        <v>C-1163</v>
      </c>
      <c r="I255" t="s">
        <v>75</v>
      </c>
      <c r="J255" t="str">
        <f>TRIM(UPPER(Transaction[[#This Row],[ProductID]]))</f>
        <v>P-SA-005</v>
      </c>
      <c r="K255" t="str">
        <f>IFERROR(VLOOKUP(Transaction[[#This Row],[ProductID_Clean]],Product[],1,FALSE),"Invalid ID")</f>
        <v>P-SA-005</v>
      </c>
      <c r="L255" t="str">
        <f>TRIM(SUBSTITUTE(SUBSTITUTE(SUBSTITUTE(SUBSTITUTE(UPPER(Transaction[[#This Row],[Region]]),"EMEA REGION","EMEA"),"APAC REGION","APAC"),"NORTH AMERICA","N. AMERICA"),"N .AMERICA","N.AMERICA"))</f>
        <v>APAC</v>
      </c>
      <c r="M255" t="s">
        <v>30</v>
      </c>
      <c r="N255" t="s">
        <v>31</v>
      </c>
      <c r="O25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55" t="s">
        <v>22</v>
      </c>
      <c r="Q255" t="str">
        <f>IF(TRIM(Transaction[[#This Row],[SalesChannel]])="","Missing Value",TRIM(Transaction[[#This Row],[SalesChannel]]))</f>
        <v>Direct</v>
      </c>
      <c r="R255" s="4">
        <v>1</v>
      </c>
      <c r="S255" s="4" t="str">
        <f>IF(Transaction[[#This Row],[Quantity]]&lt;0,"Negative-review","Valid")</f>
        <v>Valid</v>
      </c>
      <c r="T255">
        <v>2852.36</v>
      </c>
      <c r="U25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2852.36</v>
      </c>
      <c r="V255">
        <v>3200</v>
      </c>
      <c r="W255">
        <v>3200</v>
      </c>
      <c r="X25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255">
        <f>IF(Transaction[[#This Row],[GrossRevenue_Check]]="Invalid",Transaction[[#This Row],[ListPrice]]*Transaction[[#This Row],[Quantity]],Transaction[[#This Row],[GrossRevenue_Clean]])</f>
        <v>3200</v>
      </c>
      <c r="Z255" t="str">
        <f>IF(Transaction[[#This Row],[GrossRevenue_Clean]]=Transaction[[#This Row],[ListPrice]]*Transaction[[#This Row],[Quantity]],"Valid","Invalid")</f>
        <v>Valid</v>
      </c>
      <c r="AA255">
        <v>347.64</v>
      </c>
      <c r="AB25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347.64</v>
      </c>
      <c r="AC255">
        <f>IF(Transaction[[#This Row],[DiscountAmount_Check2]]="Invalid",Transaction[[#This Row],[GrossRevenue_Analytical]]-Transaction[[#This Row],[NetRevenue_Analytical]],Transaction[[#This Row],[DiscountAmount_Clean]])</f>
        <v>347.64</v>
      </c>
      <c r="AD255">
        <v>2852.36</v>
      </c>
      <c r="AE255" t="str">
        <f>IF(ROUND(Transaction[[#This Row],[GrossRevenue_Analytical]]-Transaction[[#This Row],[NetRevenue_Analytical]],2)=ROUND(Transaction[[#This Row],[DiscountAmount_Clean]],2),"Valid","Invalid")</f>
        <v>Valid</v>
      </c>
      <c r="AF255">
        <f>VALUE(IF(ISNUMBER(Transaction[[#This Row],[NetRevenue]]),Transaction[[#This Row],[NetRevenue]],IFERROR(IF(FIND("$",Transaction[[#This Row],[NetRevenue]])&gt;0,MID(Transaction[[#This Row],[NetRevenue]],2,10)),Transaction[[#This Row],[NetRevenue]])))</f>
        <v>2852.36</v>
      </c>
      <c r="AG255">
        <f>IF(Transaction[[#This Row],[NetRevenue_Check]]="Invalid",(Transaction[[#This Row],[Quantity]]*Transaction[[#This Row],[UnitPrice_Clean]]),Transaction[[#This Row],[NetRevenue_Clean]])</f>
        <v>2852.36</v>
      </c>
      <c r="AH255" t="str">
        <f>IF(Transaction[[#This Row],[Quantity]]*Transaction[[#This Row],[UnitPrice_Clean]]=Transaction[[#This Row],[NetRevenue_Clean]],"Valid","Invalid")</f>
        <v>Valid</v>
      </c>
      <c r="AI255" t="s">
        <v>23</v>
      </c>
      <c r="AJ255" t="s">
        <v>966</v>
      </c>
      <c r="AK255" t="str">
        <f>IF(Transaction[[#This Row],[Salesperson]]="","Missing Value",TRIM(PROPER(Transaction[[#This Row],[Salesperson]])))</f>
        <v>Jacobs</v>
      </c>
      <c r="AL255" t="s">
        <v>34</v>
      </c>
      <c r="AM255" t="str">
        <f>IF(Transaction[[#This Row],[ContractType]]="","Missing Value",Transaction[[#This Row],[ContractType]])</f>
        <v>Annual License</v>
      </c>
      <c r="AN255" t="s">
        <v>65</v>
      </c>
    </row>
    <row r="256" spans="1:40" x14ac:dyDescent="0.25">
      <c r="A256" t="s">
        <v>359</v>
      </c>
      <c r="B256" s="1">
        <v>45669</v>
      </c>
      <c r="C25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25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25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56" s="2">
        <f>IFERROR(DATE(Transaction[[#This Row],[TransactionDateY]],Transaction[[#This Row],[TransactionDateM]],Transaction[[#This Row],[TransactionDateD]]),"Missing Value")</f>
        <v>45669</v>
      </c>
      <c r="G256" t="s">
        <v>360</v>
      </c>
      <c r="H256" t="str">
        <f>IFERROR(VLOOKUP(Transaction[[#This Row],[CustomerID]],Custumer[],1,0),IF(LEN(Transaction[[#This Row],[CustomerID]])=7,LEFT(Transaction[[#This Row],[CustomerID]],6),"Invalid ID"))</f>
        <v>C-1067</v>
      </c>
      <c r="I256" t="s">
        <v>58</v>
      </c>
      <c r="J256" t="str">
        <f>TRIM(UPPER(Transaction[[#This Row],[ProductID]]))</f>
        <v>P-SI-005</v>
      </c>
      <c r="K256" t="str">
        <f>IFERROR(VLOOKUP(Transaction[[#This Row],[ProductID_Clean]],Product[],1,FALSE),"Invalid ID")</f>
        <v>P-SI-005</v>
      </c>
      <c r="L256" t="str">
        <f>TRIM(SUBSTITUTE(SUBSTITUTE(SUBSTITUTE(SUBSTITUTE(UPPER(Transaction[[#This Row],[Region]]),"EMEA REGION","EMEA"),"APAC REGION","APAC"),"NORTH AMERICA","N. AMERICA"),"N .AMERICA","N.AMERICA"))</f>
        <v>APAC</v>
      </c>
      <c r="M256" t="s">
        <v>30</v>
      </c>
      <c r="N256" t="s">
        <v>98</v>
      </c>
      <c r="O25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56" t="s">
        <v>22</v>
      </c>
      <c r="Q256" t="str">
        <f>IF(TRIM(Transaction[[#This Row],[SalesChannel]])="","Missing Value",TRIM(Transaction[[#This Row],[SalesChannel]]))</f>
        <v>Direct</v>
      </c>
      <c r="R256" s="4">
        <v>8</v>
      </c>
      <c r="S256" s="4" t="str">
        <f>IF(Transaction[[#This Row],[Quantity]]&lt;0,"Negative-review","Valid")</f>
        <v>Valid</v>
      </c>
      <c r="T256">
        <v>837.74</v>
      </c>
      <c r="U25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837.74</v>
      </c>
      <c r="V256">
        <v>1120</v>
      </c>
      <c r="W256">
        <v>8960</v>
      </c>
      <c r="X25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8960</v>
      </c>
      <c r="Y256">
        <f>IF(Transaction[[#This Row],[GrossRevenue_Check]]="Invalid",Transaction[[#This Row],[ListPrice]]*Transaction[[#This Row],[Quantity]],Transaction[[#This Row],[GrossRevenue_Clean]])</f>
        <v>8960</v>
      </c>
      <c r="Z256" t="str">
        <f>IF(Transaction[[#This Row],[GrossRevenue_Clean]]=Transaction[[#This Row],[ListPrice]]*Transaction[[#This Row],[Quantity]],"Valid","Invalid")</f>
        <v>Valid</v>
      </c>
      <c r="AA256">
        <v>2258.08</v>
      </c>
      <c r="AB25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2258.08</v>
      </c>
      <c r="AC256">
        <f>IF(Transaction[[#This Row],[DiscountAmount_Check2]]="Invalid",Transaction[[#This Row],[GrossRevenue_Analytical]]-Transaction[[#This Row],[NetRevenue_Analytical]],Transaction[[#This Row],[DiscountAmount_Clean]])</f>
        <v>2258.08</v>
      </c>
      <c r="AD256">
        <v>6701.92</v>
      </c>
      <c r="AE256" t="str">
        <f>IF(ROUND(Transaction[[#This Row],[GrossRevenue_Analytical]]-Transaction[[#This Row],[NetRevenue_Analytical]],2)=ROUND(Transaction[[#This Row],[DiscountAmount_Clean]],2),"Valid","Invalid")</f>
        <v>Valid</v>
      </c>
      <c r="AF256">
        <f>VALUE(IF(ISNUMBER(Transaction[[#This Row],[NetRevenue]]),Transaction[[#This Row],[NetRevenue]],IFERROR(IF(FIND("$",Transaction[[#This Row],[NetRevenue]])&gt;0,MID(Transaction[[#This Row],[NetRevenue]],2,10)),Transaction[[#This Row],[NetRevenue]])))</f>
        <v>6701.92</v>
      </c>
      <c r="AG256">
        <f>IF(Transaction[[#This Row],[NetRevenue_Check]]="Invalid",(Transaction[[#This Row],[Quantity]]*Transaction[[#This Row],[UnitPrice_Clean]]),Transaction[[#This Row],[NetRevenue_Clean]])</f>
        <v>6701.92</v>
      </c>
      <c r="AH256" t="str">
        <f>IF(Transaction[[#This Row],[Quantity]]*Transaction[[#This Row],[UnitPrice_Clean]]=Transaction[[#This Row],[NetRevenue_Clean]],"Valid","Invalid")</f>
        <v>Valid</v>
      </c>
      <c r="AI256" t="s">
        <v>23</v>
      </c>
      <c r="AJ256" t="s">
        <v>361</v>
      </c>
      <c r="AK256" t="str">
        <f>IF(Transaction[[#This Row],[Salesperson]]="","Missing Value",TRIM(PROPER(Transaction[[#This Row],[Salesperson]])))</f>
        <v>Salas</v>
      </c>
      <c r="AL256" t="s">
        <v>42</v>
      </c>
      <c r="AM256" t="str">
        <f>IF(Transaction[[#This Row],[ContractType]]="","Missing Value",Transaction[[#This Row],[ContractType]])</f>
        <v>Standard PO</v>
      </c>
      <c r="AN256" t="s">
        <v>43</v>
      </c>
    </row>
    <row r="257" spans="1:40" x14ac:dyDescent="0.25">
      <c r="A257" t="s">
        <v>1741</v>
      </c>
      <c r="B257" s="1">
        <v>45672</v>
      </c>
      <c r="C25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25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25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57" s="2">
        <f>IFERROR(DATE(Transaction[[#This Row],[TransactionDateY]],Transaction[[#This Row],[TransactionDateM]],Transaction[[#This Row],[TransactionDateD]]),"Missing Value")</f>
        <v>45672</v>
      </c>
      <c r="G257" t="s">
        <v>239</v>
      </c>
      <c r="H257" t="str">
        <f>IFERROR(VLOOKUP(Transaction[[#This Row],[CustomerID]],Custumer[],1,0),IF(LEN(Transaction[[#This Row],[CustomerID]])=7,LEFT(Transaction[[#This Row],[CustomerID]],6),"Invalid ID"))</f>
        <v>C-1092</v>
      </c>
      <c r="I257" t="s">
        <v>19</v>
      </c>
      <c r="J257" t="str">
        <f>TRIM(UPPER(Transaction[[#This Row],[ProductID]]))</f>
        <v>P-FS-004</v>
      </c>
      <c r="K257" t="str">
        <f>IFERROR(VLOOKUP(Transaction[[#This Row],[ProductID_Clean]],Product[],1,FALSE),"Invalid ID")</f>
        <v>P-FS-004</v>
      </c>
      <c r="L257" t="str">
        <f>TRIM(SUBSTITUTE(SUBSTITUTE(SUBSTITUTE(SUBSTITUTE(UPPER(Transaction[[#This Row],[Region]]),"EMEA REGION","EMEA"),"APAC REGION","APAC"),"NORTH AMERICA","N. AMERICA"),"N .AMERICA","N.AMERICA"))</f>
        <v>N. AMERICA</v>
      </c>
      <c r="M257" t="s">
        <v>20</v>
      </c>
      <c r="N257" t="s">
        <v>21</v>
      </c>
      <c r="O257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257" t="s">
        <v>93</v>
      </c>
      <c r="Q257" t="str">
        <f>IF(TRIM(Transaction[[#This Row],[SalesChannel]])="","Missing Value",TRIM(Transaction[[#This Row],[SalesChannel]]))</f>
        <v>direct</v>
      </c>
      <c r="R257" s="4">
        <v>1</v>
      </c>
      <c r="S257" s="4" t="str">
        <f>IF(Transaction[[#This Row],[Quantity]]&lt;0,"Negative-review","Valid")</f>
        <v>Valid</v>
      </c>
      <c r="T257">
        <v>3045.67</v>
      </c>
      <c r="U25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3045.67</v>
      </c>
      <c r="V257">
        <v>3200</v>
      </c>
      <c r="W257">
        <v>3200</v>
      </c>
      <c r="X25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257">
        <f>IF(Transaction[[#This Row],[GrossRevenue_Check]]="Invalid",Transaction[[#This Row],[ListPrice]]*Transaction[[#This Row],[Quantity]],Transaction[[#This Row],[GrossRevenue_Clean]])</f>
        <v>3200</v>
      </c>
      <c r="Z257" t="str">
        <f>IF(Transaction[[#This Row],[GrossRevenue_Clean]]=Transaction[[#This Row],[ListPrice]]*Transaction[[#This Row],[Quantity]],"Valid","Invalid")</f>
        <v>Valid</v>
      </c>
      <c r="AA257">
        <v>154.33000000000001</v>
      </c>
      <c r="AB25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154.33000000000001</v>
      </c>
      <c r="AC257">
        <f>IF(Transaction[[#This Row],[DiscountAmount_Check2]]="Invalid",Transaction[[#This Row],[GrossRevenue_Analytical]]-Transaction[[#This Row],[NetRevenue_Analytical]],Transaction[[#This Row],[DiscountAmount_Clean]])</f>
        <v>154.33000000000001</v>
      </c>
      <c r="AD257" t="s">
        <v>1742</v>
      </c>
      <c r="AE257" t="str">
        <f>IF(ROUND(Transaction[[#This Row],[GrossRevenue_Analytical]]-Transaction[[#This Row],[NetRevenue_Analytical]],2)=ROUND(Transaction[[#This Row],[DiscountAmount_Clean]],2),"Valid","Invalid")</f>
        <v>Valid</v>
      </c>
      <c r="AF25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3045.67</v>
      </c>
      <c r="AG257">
        <f>IF(Transaction[[#This Row],[NetRevenue_Check]]="Invalid",(Transaction[[#This Row],[Quantity]]*Transaction[[#This Row],[UnitPrice_Clean]]),Transaction[[#This Row],[NetRevenue_Clean]])</f>
        <v>3045.67</v>
      </c>
      <c r="AH257" t="str">
        <f>IF(Transaction[[#This Row],[Quantity]]*Transaction[[#This Row],[UnitPrice_Clean]]=Transaction[[#This Row],[NetRevenue_Clean]],"Valid","Invalid")</f>
        <v>Valid</v>
      </c>
      <c r="AI257" t="s">
        <v>23</v>
      </c>
      <c r="AJ257" t="s">
        <v>1165</v>
      </c>
      <c r="AK257" t="str">
        <f>IF(Transaction[[#This Row],[Salesperson]]="","Missing Value",TRIM(PROPER(Transaction[[#This Row],[Salesperson]])))</f>
        <v>Williams</v>
      </c>
      <c r="AL257" t="s">
        <v>42</v>
      </c>
      <c r="AM257" t="str">
        <f>IF(Transaction[[#This Row],[ContractType]]="","Missing Value",Transaction[[#This Row],[ContractType]])</f>
        <v>Standard PO</v>
      </c>
      <c r="AN257" t="s">
        <v>43</v>
      </c>
    </row>
    <row r="258" spans="1:40" x14ac:dyDescent="0.25">
      <c r="A258" t="s">
        <v>1459</v>
      </c>
      <c r="B258" t="s">
        <v>1460</v>
      </c>
      <c r="C25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25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02</v>
      </c>
      <c r="E25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58" s="2">
        <f>IFERROR(DATE(Transaction[[#This Row],[TransactionDateY]],Transaction[[#This Row],[TransactionDateM]],Transaction[[#This Row],[TransactionDateD]]),"Missing Value")</f>
        <v>45749</v>
      </c>
      <c r="G258" t="s">
        <v>630</v>
      </c>
      <c r="H258" t="str">
        <f>IFERROR(VLOOKUP(Transaction[[#This Row],[CustomerID]],Custumer[],1,0),IF(LEN(Transaction[[#This Row],[CustomerID]])=7,LEFT(Transaction[[#This Row],[CustomerID]],6),"Invalid ID"))</f>
        <v>C-1157</v>
      </c>
      <c r="I258" t="s">
        <v>226</v>
      </c>
      <c r="J258" t="str">
        <f>TRIM(UPPER(Transaction[[#This Row],[ProductID]]))</f>
        <v>P-SA-002</v>
      </c>
      <c r="K258" t="str">
        <f>IFERROR(VLOOKUP(Transaction[[#This Row],[ProductID_Clean]],Product[],1,FALSE),"Invalid ID")</f>
        <v>P-SA-002</v>
      </c>
      <c r="L258" t="str">
        <f>TRIM(SUBSTITUTE(SUBSTITUTE(SUBSTITUTE(SUBSTITUTE(UPPER(Transaction[[#This Row],[Region]]),"EMEA REGION","EMEA"),"APAC REGION","APAC"),"NORTH AMERICA","N. AMERICA"),"N .AMERICA","N.AMERICA"))</f>
        <v>EMEA</v>
      </c>
      <c r="M258" t="s">
        <v>76</v>
      </c>
      <c r="N258" t="s">
        <v>31</v>
      </c>
      <c r="O25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58" t="s">
        <v>40</v>
      </c>
      <c r="Q258" t="str">
        <f>IF(TRIM(Transaction[[#This Row],[SalesChannel]])="","Missing Value",TRIM(Transaction[[#This Row],[SalesChannel]]))</f>
        <v>Distributor</v>
      </c>
      <c r="R258" s="4">
        <v>2</v>
      </c>
      <c r="S258" s="4" t="str">
        <f>IF(Transaction[[#This Row],[Quantity]]&lt;0,"Negative-review","Valid")</f>
        <v>Valid</v>
      </c>
      <c r="T258">
        <v>7711.06</v>
      </c>
      <c r="U25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7711.06</v>
      </c>
      <c r="V258">
        <v>9800</v>
      </c>
      <c r="W258">
        <v>19600</v>
      </c>
      <c r="X25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19600</v>
      </c>
      <c r="Y258">
        <f>IF(Transaction[[#This Row],[GrossRevenue_Check]]="Invalid",Transaction[[#This Row],[ListPrice]]*Transaction[[#This Row],[Quantity]],Transaction[[#This Row],[GrossRevenue_Clean]])</f>
        <v>19600</v>
      </c>
      <c r="Z258" t="str">
        <f>IF(Transaction[[#This Row],[GrossRevenue_Clean]]=Transaction[[#This Row],[ListPrice]]*Transaction[[#This Row],[Quantity]],"Valid","Invalid")</f>
        <v>Valid</v>
      </c>
      <c r="AA258">
        <v>4177.88</v>
      </c>
      <c r="AB25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4177.88</v>
      </c>
      <c r="AC258">
        <f>IF(Transaction[[#This Row],[DiscountAmount_Check2]]="Invalid",Transaction[[#This Row],[GrossRevenue_Analytical]]-Transaction[[#This Row],[NetRevenue_Analytical]],Transaction[[#This Row],[DiscountAmount_Clean]])</f>
        <v>4177.88</v>
      </c>
      <c r="AD258" t="s">
        <v>1461</v>
      </c>
      <c r="AE258" t="str">
        <f>IF(ROUND(Transaction[[#This Row],[GrossRevenue_Analytical]]-Transaction[[#This Row],[NetRevenue_Analytical]],2)=ROUND(Transaction[[#This Row],[DiscountAmount_Clean]],2),"Valid","Invalid")</f>
        <v>Valid</v>
      </c>
      <c r="AF25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15422.12</v>
      </c>
      <c r="AG258">
        <f>IF(Transaction[[#This Row],[NetRevenue_Check]]="Invalid",(Transaction[[#This Row],[Quantity]]*Transaction[[#This Row],[UnitPrice_Clean]]),Transaction[[#This Row],[NetRevenue_Clean]])</f>
        <v>15422.12</v>
      </c>
      <c r="AH258" t="str">
        <f>IF(Transaction[[#This Row],[Quantity]]*Transaction[[#This Row],[UnitPrice_Clean]]=Transaction[[#This Row],[NetRevenue_Clean]],"Valid","Invalid")</f>
        <v>Valid</v>
      </c>
      <c r="AI258" t="s">
        <v>23</v>
      </c>
      <c r="AJ258" t="s">
        <v>1462</v>
      </c>
      <c r="AK258" t="str">
        <f>IF(Transaction[[#This Row],[Salesperson]]="","Missing Value",TRIM(PROPER(Transaction[[#This Row],[Salesperson]])))</f>
        <v>Castillo</v>
      </c>
      <c r="AL258" t="s">
        <v>34</v>
      </c>
      <c r="AM258" t="str">
        <f>IF(Transaction[[#This Row],[ContractType]]="","Missing Value",Transaction[[#This Row],[ContractType]])</f>
        <v>Annual License</v>
      </c>
      <c r="AN258" t="s">
        <v>35</v>
      </c>
    </row>
    <row r="259" spans="1:40" x14ac:dyDescent="0.25">
      <c r="A259" t="s">
        <v>2228</v>
      </c>
      <c r="B259" s="1">
        <v>45768</v>
      </c>
      <c r="C25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25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25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59" s="2">
        <f>IFERROR(DATE(Transaction[[#This Row],[TransactionDateY]],Transaction[[#This Row],[TransactionDateM]],Transaction[[#This Row],[TransactionDateD]]),"Missing Value")</f>
        <v>45768</v>
      </c>
      <c r="G259" t="s">
        <v>1578</v>
      </c>
      <c r="H259" t="str">
        <f>IFERROR(VLOOKUP(Transaction[[#This Row],[CustomerID]],Custumer[],1,0),IF(LEN(Transaction[[#This Row],[CustomerID]])=7,LEFT(Transaction[[#This Row],[CustomerID]],6),"Invalid ID"))</f>
        <v>C-1031</v>
      </c>
      <c r="I259" t="s">
        <v>226</v>
      </c>
      <c r="J259" t="str">
        <f>TRIM(UPPER(Transaction[[#This Row],[ProductID]]))</f>
        <v>P-SA-002</v>
      </c>
      <c r="K259" t="str">
        <f>IFERROR(VLOOKUP(Transaction[[#This Row],[ProductID_Clean]],Product[],1,FALSE),"Invalid ID")</f>
        <v>P-SA-002</v>
      </c>
      <c r="L259" t="str">
        <f>TRIM(SUBSTITUTE(SUBSTITUTE(SUBSTITUTE(SUBSTITUTE(UPPER(Transaction[[#This Row],[Region]]),"EMEA REGION","EMEA"),"APAC REGION","APAC"),"NORTH AMERICA","N. AMERICA"),"N .AMERICA","N.AMERICA"))</f>
        <v>N. AMERICA</v>
      </c>
      <c r="M259" t="s">
        <v>204</v>
      </c>
      <c r="N259" t="s">
        <v>572</v>
      </c>
      <c r="O25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59" t="s">
        <v>22</v>
      </c>
      <c r="Q259" t="str">
        <f>IF(TRIM(Transaction[[#This Row],[SalesChannel]])="","Missing Value",TRIM(Transaction[[#This Row],[SalesChannel]]))</f>
        <v>Direct</v>
      </c>
      <c r="R259" s="4">
        <v>1</v>
      </c>
      <c r="S259" s="4" t="str">
        <f>IF(Transaction[[#This Row],[Quantity]]&lt;0,"Negative-review","Valid")</f>
        <v>Valid</v>
      </c>
      <c r="T259">
        <v>9011.64</v>
      </c>
      <c r="U25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9011.64</v>
      </c>
      <c r="V259">
        <v>9800</v>
      </c>
      <c r="W259">
        <v>9800</v>
      </c>
      <c r="X25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259">
        <f>IF(Transaction[[#This Row],[GrossRevenue_Check]]="Invalid",Transaction[[#This Row],[ListPrice]]*Transaction[[#This Row],[Quantity]],Transaction[[#This Row],[GrossRevenue_Clean]])</f>
        <v>9800</v>
      </c>
      <c r="Z259" t="str">
        <f>IF(Transaction[[#This Row],[GrossRevenue_Clean]]=Transaction[[#This Row],[ListPrice]]*Transaction[[#This Row],[Quantity]],"Valid","Invalid")</f>
        <v>Valid</v>
      </c>
      <c r="AA259">
        <v>788.36</v>
      </c>
      <c r="AB25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788.36</v>
      </c>
      <c r="AC259">
        <f>IF(Transaction[[#This Row],[DiscountAmount_Check2]]="Invalid",Transaction[[#This Row],[GrossRevenue_Analytical]]-Transaction[[#This Row],[NetRevenue_Analytical]],Transaction[[#This Row],[DiscountAmount_Clean]])</f>
        <v>788.36</v>
      </c>
      <c r="AD259">
        <v>9011.64</v>
      </c>
      <c r="AE259" t="str">
        <f>IF(ROUND(Transaction[[#This Row],[GrossRevenue_Analytical]]-Transaction[[#This Row],[NetRevenue_Analytical]],2)=ROUND(Transaction[[#This Row],[DiscountAmount_Clean]],2),"Valid","Invalid")</f>
        <v>Valid</v>
      </c>
      <c r="AF259">
        <f>VALUE(IF(ISNUMBER(Transaction[[#This Row],[NetRevenue]]),Transaction[[#This Row],[NetRevenue]],IFERROR(IF(FIND("$",Transaction[[#This Row],[NetRevenue]])&gt;0,MID(Transaction[[#This Row],[NetRevenue]],2,10)),Transaction[[#This Row],[NetRevenue]])))</f>
        <v>9011.64</v>
      </c>
      <c r="AG259">
        <f>IF(Transaction[[#This Row],[NetRevenue_Check]]="Invalid",(Transaction[[#This Row],[Quantity]]*Transaction[[#This Row],[UnitPrice_Clean]]),Transaction[[#This Row],[NetRevenue_Clean]])</f>
        <v>9011.64</v>
      </c>
      <c r="AH259" t="str">
        <f>IF(Transaction[[#This Row],[Quantity]]*Transaction[[#This Row],[UnitPrice_Clean]]=Transaction[[#This Row],[NetRevenue_Clean]],"Valid","Invalid")</f>
        <v>Valid</v>
      </c>
      <c r="AI259" t="s">
        <v>23</v>
      </c>
      <c r="AJ259" t="s">
        <v>2229</v>
      </c>
      <c r="AK259" t="str">
        <f>IF(Transaction[[#This Row],[Salesperson]]="","Missing Value",TRIM(PROPER(Transaction[[#This Row],[Salesperson]])))</f>
        <v>Watson</v>
      </c>
      <c r="AL259" t="s">
        <v>113</v>
      </c>
      <c r="AM259" t="str">
        <f>IF(Transaction[[#This Row],[ContractType]]="","Missing Value",Transaction[[#This Row],[ContractType]])</f>
        <v>Subscription</v>
      </c>
      <c r="AN259" t="s">
        <v>65</v>
      </c>
    </row>
    <row r="260" spans="1:40" x14ac:dyDescent="0.25">
      <c r="A260" t="s">
        <v>1801</v>
      </c>
      <c r="B260" s="1">
        <v>45720</v>
      </c>
      <c r="C26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26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26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60" s="2">
        <f>IFERROR(DATE(Transaction[[#This Row],[TransactionDateY]],Transaction[[#This Row],[TransactionDateM]],Transaction[[#This Row],[TransactionDateD]]),"Missing Value")</f>
        <v>45720</v>
      </c>
      <c r="G260" t="s">
        <v>146</v>
      </c>
      <c r="H260" t="str">
        <f>IFERROR(VLOOKUP(Transaction[[#This Row],[CustomerID]],Custumer[],1,0),IF(LEN(Transaction[[#This Row],[CustomerID]])=7,LEFT(Transaction[[#This Row],[CustomerID]],6),"Invalid ID"))</f>
        <v>C-1095</v>
      </c>
      <c r="I260" t="s">
        <v>196</v>
      </c>
      <c r="J260" t="str">
        <f>TRIM(UPPER(Transaction[[#This Row],[ProductID]]))</f>
        <v>P-SI-002</v>
      </c>
      <c r="K260" t="str">
        <f>IFERROR(VLOOKUP(Transaction[[#This Row],[ProductID_Clean]],Product[],1,FALSE),"Invalid ID")</f>
        <v>P-SI-002</v>
      </c>
      <c r="L260" t="str">
        <f>TRIM(SUBSTITUTE(SUBSTITUTE(SUBSTITUTE(SUBSTITUTE(UPPER(Transaction[[#This Row],[Region]]),"EMEA REGION","EMEA"),"APAC REGION","APAC"),"NORTH AMERICA","N. AMERICA"),"N .AMERICA","N.AMERICA"))</f>
        <v>LATIN AMERICA</v>
      </c>
      <c r="M260" t="s">
        <v>82</v>
      </c>
      <c r="N260" t="s">
        <v>47</v>
      </c>
      <c r="O26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60" t="s">
        <v>22</v>
      </c>
      <c r="Q260" t="str">
        <f>IF(TRIM(Transaction[[#This Row],[SalesChannel]])="","Missing Value",TRIM(Transaction[[#This Row],[SalesChannel]]))</f>
        <v>Direct</v>
      </c>
      <c r="R260" s="4">
        <v>1</v>
      </c>
      <c r="S260" s="4" t="str">
        <f>IF(Transaction[[#This Row],[Quantity]]&lt;0,"Negative-review","Valid")</f>
        <v>Valid</v>
      </c>
      <c r="T260">
        <v>605.48</v>
      </c>
      <c r="U26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605.48</v>
      </c>
      <c r="V260">
        <v>725</v>
      </c>
      <c r="W260">
        <v>725</v>
      </c>
      <c r="X26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260">
        <f>IF(Transaction[[#This Row],[GrossRevenue_Check]]="Invalid",Transaction[[#This Row],[ListPrice]]*Transaction[[#This Row],[Quantity]],Transaction[[#This Row],[GrossRevenue_Clean]])</f>
        <v>725</v>
      </c>
      <c r="Z260" t="str">
        <f>IF(Transaction[[#This Row],[GrossRevenue_Clean]]=Transaction[[#This Row],[ListPrice]]*Transaction[[#This Row],[Quantity]],"Valid","Invalid")</f>
        <v>Valid</v>
      </c>
      <c r="AA260" t="s">
        <v>1802</v>
      </c>
      <c r="AB26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119.52</v>
      </c>
      <c r="AC260">
        <f>IF(Transaction[[#This Row],[DiscountAmount_Check2]]="Invalid",Transaction[[#This Row],[GrossRevenue_Analytical]]-Transaction[[#This Row],[NetRevenue_Analytical]],Transaction[[#This Row],[DiscountAmount_Clean]])</f>
        <v>119.52</v>
      </c>
      <c r="AD260">
        <v>605.48</v>
      </c>
      <c r="AE260" t="str">
        <f>IF(ROUND(Transaction[[#This Row],[GrossRevenue_Analytical]]-Transaction[[#This Row],[NetRevenue_Analytical]],2)=ROUND(Transaction[[#This Row],[DiscountAmount_Clean]],2),"Valid","Invalid")</f>
        <v>Valid</v>
      </c>
      <c r="AF260">
        <f>VALUE(IF(ISNUMBER(Transaction[[#This Row],[NetRevenue]]),Transaction[[#This Row],[NetRevenue]],IFERROR(IF(FIND("$",Transaction[[#This Row],[NetRevenue]])&gt;0,MID(Transaction[[#This Row],[NetRevenue]],2,10)),Transaction[[#This Row],[NetRevenue]])))</f>
        <v>605.48</v>
      </c>
      <c r="AG260">
        <f>IF(Transaction[[#This Row],[NetRevenue_Check]]="Invalid",(Transaction[[#This Row],[Quantity]]*Transaction[[#This Row],[UnitPrice_Clean]]),Transaction[[#This Row],[NetRevenue_Clean]])</f>
        <v>605.48</v>
      </c>
      <c r="AH260" t="str">
        <f>IF(Transaction[[#This Row],[Quantity]]*Transaction[[#This Row],[UnitPrice_Clean]]=Transaction[[#This Row],[NetRevenue_Clean]],"Valid","Invalid")</f>
        <v>Valid</v>
      </c>
      <c r="AI260" t="s">
        <v>23</v>
      </c>
      <c r="AJ260" t="s">
        <v>1803</v>
      </c>
      <c r="AK260" t="str">
        <f>IF(Transaction[[#This Row],[Salesperson]]="","Missing Value",TRIM(PROPER(Transaction[[#This Row],[Salesperson]])))</f>
        <v>Villa-Em</v>
      </c>
      <c r="AL260" t="s">
        <v>42</v>
      </c>
      <c r="AM260" t="str">
        <f>IF(Transaction[[#This Row],[ContractType]]="","Missing Value",Transaction[[#This Row],[ContractType]])</f>
        <v>Standard PO</v>
      </c>
      <c r="AN260" t="s">
        <v>49</v>
      </c>
    </row>
    <row r="261" spans="1:40" x14ac:dyDescent="0.25">
      <c r="A261" t="s">
        <v>576</v>
      </c>
      <c r="B261" t="s">
        <v>577</v>
      </c>
      <c r="C26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26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26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61" s="2">
        <f>IFERROR(DATE(Transaction[[#This Row],[TransactionDateY]],Transaction[[#This Row],[TransactionDateM]],Transaction[[#This Row],[TransactionDateD]]),"Missing Value")</f>
        <v>45763</v>
      </c>
      <c r="G261" t="s">
        <v>402</v>
      </c>
      <c r="H261" t="str">
        <f>IFERROR(VLOOKUP(Transaction[[#This Row],[CustomerID]],Custumer[],1,0),IF(LEN(Transaction[[#This Row],[CustomerID]])=7,LEFT(Transaction[[#This Row],[CustomerID]],6),"Invalid ID"))</f>
        <v>C-1041</v>
      </c>
      <c r="I261" t="s">
        <v>117</v>
      </c>
      <c r="J261" t="str">
        <f>TRIM(UPPER(Transaction[[#This Row],[ProductID]]))</f>
        <v>P-SI-007</v>
      </c>
      <c r="K261" t="str">
        <f>IFERROR(VLOOKUP(Transaction[[#This Row],[ProductID_Clean]],Product[],1,FALSE),"Invalid ID")</f>
        <v>P-SI-007</v>
      </c>
      <c r="L261" t="str">
        <f>TRIM(SUBSTITUTE(SUBSTITUTE(SUBSTITUTE(SUBSTITUTE(UPPER(Transaction[[#This Row],[Region]]),"EMEA REGION","EMEA"),"APAC REGION","APAC"),"NORTH AMERICA","N. AMERICA"),"N .AMERICA","N.AMERICA"))</f>
        <v>N. AMERICA</v>
      </c>
      <c r="M261" t="s">
        <v>20</v>
      </c>
      <c r="N261" t="s">
        <v>53</v>
      </c>
      <c r="O26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61" t="s">
        <v>22</v>
      </c>
      <c r="Q261" t="str">
        <f>IF(TRIM(Transaction[[#This Row],[SalesChannel]])="","Missing Value",TRIM(Transaction[[#This Row],[SalesChannel]]))</f>
        <v>Direct</v>
      </c>
      <c r="R261" s="4">
        <v>4</v>
      </c>
      <c r="S261" s="4" t="str">
        <f>IF(Transaction[[#This Row],[Quantity]]&lt;0,"Negative-review","Valid")</f>
        <v>Valid</v>
      </c>
      <c r="T261">
        <v>903</v>
      </c>
      <c r="U26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903</v>
      </c>
      <c r="V261">
        <v>980</v>
      </c>
      <c r="W261">
        <v>3920</v>
      </c>
      <c r="X26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3920</v>
      </c>
      <c r="Y261">
        <f>IF(Transaction[[#This Row],[GrossRevenue_Check]]="Invalid",Transaction[[#This Row],[ListPrice]]*Transaction[[#This Row],[Quantity]],Transaction[[#This Row],[GrossRevenue_Clean]])</f>
        <v>3920</v>
      </c>
      <c r="Z261" t="str">
        <f>IF(Transaction[[#This Row],[GrossRevenue_Clean]]=Transaction[[#This Row],[ListPrice]]*Transaction[[#This Row],[Quantity]],"Valid","Invalid")</f>
        <v>Valid</v>
      </c>
      <c r="AA261">
        <v>308</v>
      </c>
      <c r="AB26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308</v>
      </c>
      <c r="AC261">
        <f>IF(Transaction[[#This Row],[DiscountAmount_Check2]]="Invalid",Transaction[[#This Row],[GrossRevenue_Analytical]]-Transaction[[#This Row],[NetRevenue_Analytical]],Transaction[[#This Row],[DiscountAmount_Clean]])</f>
        <v>308</v>
      </c>
      <c r="AD261">
        <v>3612</v>
      </c>
      <c r="AE261" t="str">
        <f>IF(ROUND(Transaction[[#This Row],[GrossRevenue_Analytical]]-Transaction[[#This Row],[NetRevenue_Analytical]],2)=ROUND(Transaction[[#This Row],[DiscountAmount_Clean]],2),"Valid","Invalid")</f>
        <v>Valid</v>
      </c>
      <c r="AF261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3612</v>
      </c>
      <c r="AG261">
        <f>IF(Transaction[[#This Row],[NetRevenue_Check]]="Invalid",(Transaction[[#This Row],[Quantity]]*Transaction[[#This Row],[UnitPrice_Clean]]),Transaction[[#This Row],[NetRevenue_Clean]])</f>
        <v>3612</v>
      </c>
      <c r="AH261" t="str">
        <f>IF(Transaction[[#This Row],[Quantity]]*Transaction[[#This Row],[UnitPrice_Clean]]=Transaction[[#This Row],[NetRevenue_Clean]],"Valid","Invalid")</f>
        <v>Valid</v>
      </c>
      <c r="AI261" t="s">
        <v>23</v>
      </c>
      <c r="AJ261" t="s">
        <v>578</v>
      </c>
      <c r="AK261" t="str">
        <f>IF(Transaction[[#This Row],[Salesperson]]="","Missing Value",TRIM(PROPER(Transaction[[#This Row],[Salesperson]])))</f>
        <v>Dawson-Em</v>
      </c>
      <c r="AL261" t="s">
        <v>42</v>
      </c>
      <c r="AM261" t="str">
        <f>IF(Transaction[[#This Row],[ContractType]]="","Missing Value",Transaction[[#This Row],[ContractType]])</f>
        <v>Standard PO</v>
      </c>
      <c r="AN261" t="s">
        <v>35</v>
      </c>
    </row>
    <row r="262" spans="1:40" x14ac:dyDescent="0.25">
      <c r="A262" t="s">
        <v>1106</v>
      </c>
      <c r="B262" s="1">
        <v>45832</v>
      </c>
      <c r="C26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26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26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62" s="2">
        <f>IFERROR(DATE(Transaction[[#This Row],[TransactionDateY]],Transaction[[#This Row],[TransactionDateM]],Transaction[[#This Row],[TransactionDateD]]),"Missing Value")</f>
        <v>45832</v>
      </c>
      <c r="G262" t="s">
        <v>86</v>
      </c>
      <c r="H262" t="str">
        <f>IFERROR(VLOOKUP(Transaction[[#This Row],[CustomerID]],Custumer[],1,0),IF(LEN(Transaction[[#This Row],[CustomerID]])=7,LEFT(Transaction[[#This Row],[CustomerID]],6),"Invalid ID"))</f>
        <v>C-1177</v>
      </c>
      <c r="I262" t="s">
        <v>29</v>
      </c>
      <c r="J262" t="str">
        <f>TRIM(UPPER(Transaction[[#This Row],[ProductID]]))</f>
        <v>P-SA-001</v>
      </c>
      <c r="K262" t="str">
        <f>IFERROR(VLOOKUP(Transaction[[#This Row],[ProductID_Clean]],Product[],1,FALSE),"Invalid ID")</f>
        <v>P-SA-001</v>
      </c>
      <c r="L262" t="str">
        <f>TRIM(SUBSTITUTE(SUBSTITUTE(SUBSTITUTE(SUBSTITUTE(UPPER(Transaction[[#This Row],[Region]]),"EMEA REGION","EMEA"),"APAC REGION","APAC"),"NORTH AMERICA","N. AMERICA"),"N .AMERICA","N.AMERICA"))</f>
        <v>EMEA</v>
      </c>
      <c r="M262" t="s">
        <v>76</v>
      </c>
      <c r="N262" t="s">
        <v>31</v>
      </c>
      <c r="O26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62" t="s">
        <v>32</v>
      </c>
      <c r="Q262" t="str">
        <f>IF(TRIM(Transaction[[#This Row],[SalesChannel]])="","Missing Value",TRIM(Transaction[[#This Row],[SalesChannel]]))</f>
        <v>Direct</v>
      </c>
      <c r="R262" s="4">
        <v>1</v>
      </c>
      <c r="S262" s="4" t="str">
        <f>IF(Transaction[[#This Row],[Quantity]]&lt;0,"Negative-review","Valid")</f>
        <v>Valid</v>
      </c>
      <c r="T262">
        <v>3625.45</v>
      </c>
      <c r="U26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3625.45</v>
      </c>
      <c r="V262">
        <v>4200</v>
      </c>
      <c r="W262">
        <v>4200</v>
      </c>
      <c r="X26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262">
        <f>IF(Transaction[[#This Row],[GrossRevenue_Check]]="Invalid",Transaction[[#This Row],[ListPrice]]*Transaction[[#This Row],[Quantity]],Transaction[[#This Row],[GrossRevenue_Clean]])</f>
        <v>4200</v>
      </c>
      <c r="Z262" t="str">
        <f>IF(Transaction[[#This Row],[GrossRevenue_Clean]]=Transaction[[#This Row],[ListPrice]]*Transaction[[#This Row],[Quantity]],"Valid","Invalid")</f>
        <v>Valid</v>
      </c>
      <c r="AA262">
        <v>574.54999999999995</v>
      </c>
      <c r="AB26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574.54999999999995</v>
      </c>
      <c r="AC262">
        <f>IF(Transaction[[#This Row],[DiscountAmount_Check2]]="Invalid",Transaction[[#This Row],[GrossRevenue_Analytical]]-Transaction[[#This Row],[NetRevenue_Analytical]],Transaction[[#This Row],[DiscountAmount_Clean]])</f>
        <v>574.54999999999995</v>
      </c>
      <c r="AD262">
        <v>3625.45</v>
      </c>
      <c r="AE262" t="str">
        <f>IF(ROUND(Transaction[[#This Row],[GrossRevenue_Analytical]]-Transaction[[#This Row],[NetRevenue_Analytical]],2)=ROUND(Transaction[[#This Row],[DiscountAmount_Clean]],2),"Valid","Invalid")</f>
        <v>Valid</v>
      </c>
      <c r="AF262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3625.45</v>
      </c>
      <c r="AG262">
        <f>IF(Transaction[[#This Row],[NetRevenue_Check]]="Invalid",(Transaction[[#This Row],[Quantity]]*Transaction[[#This Row],[UnitPrice_Clean]]),Transaction[[#This Row],[NetRevenue_Clean]])</f>
        <v>3625.45</v>
      </c>
      <c r="AH262" t="str">
        <f>IF(Transaction[[#This Row],[Quantity]]*Transaction[[#This Row],[UnitPrice_Clean]]=Transaction[[#This Row],[NetRevenue_Clean]],"Valid","Invalid")</f>
        <v>Valid</v>
      </c>
      <c r="AI262" t="s">
        <v>23</v>
      </c>
      <c r="AJ262" t="s">
        <v>1107</v>
      </c>
      <c r="AK262" t="str">
        <f>IF(Transaction[[#This Row],[Salesperson]]="","Missing Value",TRIM(PROPER(Transaction[[#This Row],[Salesperson]])))</f>
        <v>Black</v>
      </c>
      <c r="AL262" t="s">
        <v>210</v>
      </c>
      <c r="AM262" t="str">
        <f>IF(Transaction[[#This Row],[ContractType]]="","Missing Value",Transaction[[#This Row],[ContractType]])</f>
        <v>Perpetual</v>
      </c>
      <c r="AN262" t="s">
        <v>49</v>
      </c>
    </row>
    <row r="263" spans="1:40" x14ac:dyDescent="0.25">
      <c r="A263" t="s">
        <v>378</v>
      </c>
      <c r="B263" t="s">
        <v>379</v>
      </c>
      <c r="C26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26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26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63" s="2">
        <f>IFERROR(DATE(Transaction[[#This Row],[TransactionDateY]],Transaction[[#This Row],[TransactionDateM]],Transaction[[#This Row],[TransactionDateD]]),"Missing Value")</f>
        <v>45701</v>
      </c>
      <c r="G263" t="s">
        <v>380</v>
      </c>
      <c r="H263" t="str">
        <f>IFERROR(VLOOKUP(Transaction[[#This Row],[CustomerID]],Custumer[],1,0),IF(LEN(Transaction[[#This Row],[CustomerID]])=7,LEFT(Transaction[[#This Row],[CustomerID]],6),"Invalid ID"))</f>
        <v>C-1029</v>
      </c>
      <c r="I263" t="s">
        <v>117</v>
      </c>
      <c r="J263" t="str">
        <f>TRIM(UPPER(Transaction[[#This Row],[ProductID]]))</f>
        <v>P-SI-007</v>
      </c>
      <c r="K263" t="str">
        <f>IFERROR(VLOOKUP(Transaction[[#This Row],[ProductID_Clean]],Product[],1,FALSE),"Invalid ID")</f>
        <v>P-SI-007</v>
      </c>
      <c r="L263" t="str">
        <f>TRIM(SUBSTITUTE(SUBSTITUTE(SUBSTITUTE(SUBSTITUTE(UPPER(Transaction[[#This Row],[Region]]),"EMEA REGION","EMEA"),"APAC REGION","APAC"),"NORTH AMERICA","N. AMERICA"),"N .AMERICA","N.AMERICA"))</f>
        <v>N. AMERICA</v>
      </c>
      <c r="M263" t="s">
        <v>20</v>
      </c>
      <c r="N263" t="s">
        <v>53</v>
      </c>
      <c r="O26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63" t="s">
        <v>40</v>
      </c>
      <c r="Q263" t="str">
        <f>IF(TRIM(Transaction[[#This Row],[SalesChannel]])="","Missing Value",TRIM(Transaction[[#This Row],[SalesChannel]]))</f>
        <v>Distributor</v>
      </c>
      <c r="R263" s="4">
        <v>2</v>
      </c>
      <c r="S263" s="4" t="str">
        <f>IF(Transaction[[#This Row],[Quantity]]&lt;0,"Negative-review","Valid")</f>
        <v>Valid</v>
      </c>
      <c r="T263">
        <v>813.51</v>
      </c>
      <c r="U26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813.51</v>
      </c>
      <c r="V263">
        <v>980</v>
      </c>
      <c r="W263">
        <v>1960</v>
      </c>
      <c r="X26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</v>
      </c>
      <c r="Y263">
        <f>IF(Transaction[[#This Row],[GrossRevenue_Check]]="Invalid",Transaction[[#This Row],[ListPrice]]*Transaction[[#This Row],[Quantity]],Transaction[[#This Row],[GrossRevenue_Clean]])</f>
        <v>1960</v>
      </c>
      <c r="Z263" t="str">
        <f>IF(Transaction[[#This Row],[GrossRevenue_Clean]]=Transaction[[#This Row],[ListPrice]]*Transaction[[#This Row],[Quantity]],"Valid","Invalid")</f>
        <v>Valid</v>
      </c>
      <c r="AA263">
        <v>332.98</v>
      </c>
      <c r="AB26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332.98</v>
      </c>
      <c r="AC263">
        <f>IF(Transaction[[#This Row],[DiscountAmount_Check2]]="Invalid",Transaction[[#This Row],[GrossRevenue_Analytical]]-Transaction[[#This Row],[NetRevenue_Analytical]],Transaction[[#This Row],[DiscountAmount_Clean]])</f>
        <v>332.98</v>
      </c>
      <c r="AD263">
        <v>1627.02</v>
      </c>
      <c r="AE263" t="str">
        <f>IF(ROUND(Transaction[[#This Row],[GrossRevenue_Analytical]]-Transaction[[#This Row],[NetRevenue_Analytical]],2)=ROUND(Transaction[[#This Row],[DiscountAmount_Clean]],2),"Valid","Invalid")</f>
        <v>Valid</v>
      </c>
      <c r="AF26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1627.02</v>
      </c>
      <c r="AG263">
        <f>IF(Transaction[[#This Row],[NetRevenue_Check]]="Invalid",(Transaction[[#This Row],[Quantity]]*Transaction[[#This Row],[UnitPrice_Clean]]),Transaction[[#This Row],[NetRevenue_Clean]])</f>
        <v>1627.02</v>
      </c>
      <c r="AH263" t="str">
        <f>IF(Transaction[[#This Row],[Quantity]]*Transaction[[#This Row],[UnitPrice_Clean]]=Transaction[[#This Row],[NetRevenue_Clean]],"Valid","Invalid")</f>
        <v>Valid</v>
      </c>
      <c r="AI263" t="s">
        <v>23</v>
      </c>
      <c r="AJ263" t="s">
        <v>269</v>
      </c>
      <c r="AK263" t="str">
        <f>IF(Transaction[[#This Row],[Salesperson]]="","Missing Value",TRIM(PROPER(Transaction[[#This Row],[Salesperson]])))</f>
        <v>Martinez</v>
      </c>
      <c r="AL263" t="s">
        <v>25</v>
      </c>
      <c r="AM263" t="str">
        <f>IF(Transaction[[#This Row],[ContractType]]="","Missing Value",Transaction[[#This Row],[ContractType]])</f>
        <v>Frame Agreement</v>
      </c>
      <c r="AN263" t="s">
        <v>65</v>
      </c>
    </row>
    <row r="264" spans="1:40" x14ac:dyDescent="0.25">
      <c r="A264" t="s">
        <v>2713</v>
      </c>
      <c r="B264" t="s">
        <v>2714</v>
      </c>
      <c r="C26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26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26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64" s="2">
        <f>IFERROR(DATE(Transaction[[#This Row],[TransactionDateY]],Transaction[[#This Row],[TransactionDateM]],Transaction[[#This Row],[TransactionDateD]]),"Missing Value")</f>
        <v>45678</v>
      </c>
      <c r="G264" t="s">
        <v>186</v>
      </c>
      <c r="H264" t="str">
        <f>IFERROR(VLOOKUP(Transaction[[#This Row],[CustomerID]],Custumer[],1,0),IF(LEN(Transaction[[#This Row],[CustomerID]])=7,LEFT(Transaction[[#This Row],[CustomerID]],6),"Invalid ID"))</f>
        <v>C-1063</v>
      </c>
      <c r="I264" t="s">
        <v>52</v>
      </c>
      <c r="J264" t="str">
        <f>TRIM(UPPER(Transaction[[#This Row],[ProductID]]))</f>
        <v>P-SI-002</v>
      </c>
      <c r="K264" t="str">
        <f>IFERROR(VLOOKUP(Transaction[[#This Row],[ProductID_Clean]],Product[],1,FALSE),"Invalid ID")</f>
        <v>P-SI-002</v>
      </c>
      <c r="L264" t="str">
        <f>TRIM(SUBSTITUTE(SUBSTITUTE(SUBSTITUTE(SUBSTITUTE(UPPER(Transaction[[#This Row],[Region]]),"EMEA REGION","EMEA"),"APAC REGION","APAC"),"NORTH AMERICA","N. AMERICA"),"N .AMERICA","N.AMERICA"))</f>
        <v>N. AMERICA</v>
      </c>
      <c r="M264" t="s">
        <v>20</v>
      </c>
      <c r="N264" t="s">
        <v>53</v>
      </c>
      <c r="O26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64" t="s">
        <v>22</v>
      </c>
      <c r="Q264" t="str">
        <f>IF(TRIM(Transaction[[#This Row],[SalesChannel]])="","Missing Value",TRIM(Transaction[[#This Row],[SalesChannel]]))</f>
        <v>Direct</v>
      </c>
      <c r="R264" s="4">
        <v>4</v>
      </c>
      <c r="S264" s="4" t="str">
        <f>IF(Transaction[[#This Row],[Quantity]]&lt;0,"Negative-review","Valid")</f>
        <v>Valid</v>
      </c>
      <c r="T264">
        <v>656.29</v>
      </c>
      <c r="U26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656.29</v>
      </c>
      <c r="V264">
        <v>725</v>
      </c>
      <c r="W264" t="s">
        <v>1779</v>
      </c>
      <c r="X26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2900</v>
      </c>
      <c r="Y264">
        <f>IF(Transaction[[#This Row],[GrossRevenue_Check]]="Invalid",Transaction[[#This Row],[ListPrice]]*Transaction[[#This Row],[Quantity]],Transaction[[#This Row],[GrossRevenue_Clean]])</f>
        <v>2900</v>
      </c>
      <c r="Z264" t="str">
        <f>IF(Transaction[[#This Row],[GrossRevenue_Clean]]=Transaction[[#This Row],[ListPrice]]*Transaction[[#This Row],[Quantity]],"Valid","Invalid")</f>
        <v>Valid</v>
      </c>
      <c r="AA264">
        <v>274.83999999999997</v>
      </c>
      <c r="AB26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274.83999999999997</v>
      </c>
      <c r="AC264">
        <f>IF(Transaction[[#This Row],[DiscountAmount_Check2]]="Invalid",Transaction[[#This Row],[GrossRevenue_Analytical]]-Transaction[[#This Row],[NetRevenue_Analytical]],Transaction[[#This Row],[DiscountAmount_Clean]])</f>
        <v>274.83999999999997</v>
      </c>
      <c r="AD264">
        <v>2625.16</v>
      </c>
      <c r="AE264" t="str">
        <f>IF(ROUND(Transaction[[#This Row],[GrossRevenue_Analytical]]-Transaction[[#This Row],[NetRevenue_Analytical]],2)=ROUND(Transaction[[#This Row],[DiscountAmount_Clean]],2),"Valid","Invalid")</f>
        <v>Valid</v>
      </c>
      <c r="AF26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2625.16</v>
      </c>
      <c r="AG264">
        <f>IF(Transaction[[#This Row],[NetRevenue_Check]]="Invalid",(Transaction[[#This Row],[Quantity]]*Transaction[[#This Row],[UnitPrice_Clean]]),Transaction[[#This Row],[NetRevenue_Clean]])</f>
        <v>2625.16</v>
      </c>
      <c r="AH264" t="str">
        <f>IF(Transaction[[#This Row],[Quantity]]*Transaction[[#This Row],[UnitPrice_Clean]]=Transaction[[#This Row],[NetRevenue_Clean]],"Valid","Invalid")</f>
        <v>Valid</v>
      </c>
      <c r="AI264" t="s">
        <v>23</v>
      </c>
      <c r="AJ264" t="s">
        <v>1374</v>
      </c>
      <c r="AK264" t="str">
        <f>IF(Transaction[[#This Row],[Salesperson]]="","Missing Value",TRIM(PROPER(Transaction[[#This Row],[Salesperson]])))</f>
        <v>Miller-Em</v>
      </c>
      <c r="AL264" t="s">
        <v>42</v>
      </c>
      <c r="AM264" t="str">
        <f>IF(Transaction[[#This Row],[ContractType]]="","Missing Value",Transaction[[#This Row],[ContractType]])</f>
        <v>Standard PO</v>
      </c>
      <c r="AN264" t="s">
        <v>43</v>
      </c>
    </row>
    <row r="265" spans="1:40" x14ac:dyDescent="0.25">
      <c r="A265" t="s">
        <v>2445</v>
      </c>
      <c r="B265" s="1">
        <v>45755</v>
      </c>
      <c r="C26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26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26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65" s="2">
        <f>IFERROR(DATE(Transaction[[#This Row],[TransactionDateY]],Transaction[[#This Row],[TransactionDateM]],Transaction[[#This Row],[TransactionDateD]]),"Missing Value")</f>
        <v>45755</v>
      </c>
      <c r="G265" t="s">
        <v>208</v>
      </c>
      <c r="H265" t="str">
        <f>IFERROR(VLOOKUP(Transaction[[#This Row],[CustomerID]],Custumer[],1,0),IF(LEN(Transaction[[#This Row],[CustomerID]])=7,LEFT(Transaction[[#This Row],[CustomerID]],6),"Invalid ID"))</f>
        <v>C-1076</v>
      </c>
      <c r="I265" t="s">
        <v>285</v>
      </c>
      <c r="J265" t="str">
        <f>TRIM(UPPER(Transaction[[#This Row],[ProductID]]))</f>
        <v>P-SI-001</v>
      </c>
      <c r="K265" t="str">
        <f>IFERROR(VLOOKUP(Transaction[[#This Row],[ProductID_Clean]],Product[],1,FALSE),"Invalid ID")</f>
        <v>P-SI-001</v>
      </c>
      <c r="L265" t="str">
        <f>TRIM(SUBSTITUTE(SUBSTITUTE(SUBSTITUTE(SUBSTITUTE(UPPER(Transaction[[#This Row],[Region]]),"EMEA REGION","EMEA"),"APAC REGION","APAC"),"NORTH AMERICA","N. AMERICA"),"N .AMERICA","N.AMERICA"))</f>
        <v>APAC</v>
      </c>
      <c r="M265" t="s">
        <v>30</v>
      </c>
      <c r="N265" t="s">
        <v>53</v>
      </c>
      <c r="O26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65" t="s">
        <v>22</v>
      </c>
      <c r="Q265" t="str">
        <f>IF(TRIM(Transaction[[#This Row],[SalesChannel]])="","Missing Value",TRIM(Transaction[[#This Row],[SalesChannel]]))</f>
        <v>Direct</v>
      </c>
      <c r="R265" s="4">
        <v>5</v>
      </c>
      <c r="S265" s="4" t="str">
        <f>IF(Transaction[[#This Row],[Quantity]]&lt;0,"Negative-review","Valid")</f>
        <v>Valid</v>
      </c>
      <c r="T265">
        <v>417.63</v>
      </c>
      <c r="U26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417.63</v>
      </c>
      <c r="V265">
        <v>485</v>
      </c>
      <c r="W265">
        <v>2425</v>
      </c>
      <c r="X26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2425</v>
      </c>
      <c r="Y265">
        <f>IF(Transaction[[#This Row],[GrossRevenue_Check]]="Invalid",Transaction[[#This Row],[ListPrice]]*Transaction[[#This Row],[Quantity]],Transaction[[#This Row],[GrossRevenue_Clean]])</f>
        <v>2425</v>
      </c>
      <c r="Z265" t="str">
        <f>IF(Transaction[[#This Row],[GrossRevenue_Clean]]=Transaction[[#This Row],[ListPrice]]*Transaction[[#This Row],[Quantity]],"Valid","Invalid")</f>
        <v>Valid</v>
      </c>
      <c r="AA265">
        <v>336.85</v>
      </c>
      <c r="AB26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336.85</v>
      </c>
      <c r="AC265">
        <f>IF(Transaction[[#This Row],[DiscountAmount_Check2]]="Invalid",Transaction[[#This Row],[GrossRevenue_Analytical]]-Transaction[[#This Row],[NetRevenue_Analytical]],Transaction[[#This Row],[DiscountAmount_Clean]])</f>
        <v>336.85</v>
      </c>
      <c r="AD265">
        <v>2088.15</v>
      </c>
      <c r="AE265" t="str">
        <f>IF(ROUND(Transaction[[#This Row],[GrossRevenue_Analytical]]-Transaction[[#This Row],[NetRevenue_Analytical]],2)=ROUND(Transaction[[#This Row],[DiscountAmount_Clean]],2),"Valid","Invalid")</f>
        <v>Valid</v>
      </c>
      <c r="AF265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2088.15</v>
      </c>
      <c r="AG265">
        <f>IF(Transaction[[#This Row],[NetRevenue_Check]]="Invalid",(Transaction[[#This Row],[Quantity]]*Transaction[[#This Row],[UnitPrice_Clean]]),Transaction[[#This Row],[NetRevenue_Clean]])</f>
        <v>2088.15</v>
      </c>
      <c r="AH265" t="str">
        <f>IF(Transaction[[#This Row],[Quantity]]*Transaction[[#This Row],[UnitPrice_Clean]]=Transaction[[#This Row],[NetRevenue_Clean]],"Valid","Invalid")</f>
        <v>Valid</v>
      </c>
      <c r="AI265" t="s">
        <v>23</v>
      </c>
      <c r="AJ265" t="s">
        <v>2446</v>
      </c>
      <c r="AK265" t="str">
        <f>IF(Transaction[[#This Row],[Salesperson]]="","Missing Value",TRIM(PROPER(Transaction[[#This Row],[Salesperson]])))</f>
        <v>Martin-Em</v>
      </c>
      <c r="AL265" t="s">
        <v>25</v>
      </c>
      <c r="AM265" t="str">
        <f>IF(Transaction[[#This Row],[ContractType]]="","Missing Value",Transaction[[#This Row],[ContractType]])</f>
        <v>Frame Agreement</v>
      </c>
      <c r="AN265" t="s">
        <v>49</v>
      </c>
    </row>
    <row r="266" spans="1:40" x14ac:dyDescent="0.25">
      <c r="A266" t="s">
        <v>2056</v>
      </c>
      <c r="B266" s="1">
        <v>45832</v>
      </c>
      <c r="C26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26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26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66" s="2">
        <f>IFERROR(DATE(Transaction[[#This Row],[TransactionDateY]],Transaction[[#This Row],[TransactionDateM]],Transaction[[#This Row],[TransactionDateD]]),"Missing Value")</f>
        <v>45832</v>
      </c>
      <c r="G266" t="s">
        <v>351</v>
      </c>
      <c r="H266" t="str">
        <f>IFERROR(VLOOKUP(Transaction[[#This Row],[CustomerID]],Custumer[],1,0),IF(LEN(Transaction[[#This Row],[CustomerID]])=7,LEFT(Transaction[[#This Row],[CustomerID]],6),"Invalid ID"))</f>
        <v>C-1004</v>
      </c>
      <c r="I266" t="s">
        <v>258</v>
      </c>
      <c r="J266" t="str">
        <f>TRIM(UPPER(Transaction[[#This Row],[ProductID]]))</f>
        <v>P-SA-003</v>
      </c>
      <c r="K266" t="str">
        <f>IFERROR(VLOOKUP(Transaction[[#This Row],[ProductID_Clean]],Product[],1,FALSE),"Invalid ID")</f>
        <v>P-SA-003</v>
      </c>
      <c r="L266" t="str">
        <f>TRIM(SUBSTITUTE(SUBSTITUTE(SUBSTITUTE(SUBSTITUTE(UPPER(Transaction[[#This Row],[Region]]),"EMEA REGION","EMEA"),"APAC REGION","APAC"),"NORTH AMERICA","N. AMERICA"),"N .AMERICA","N.AMERICA"))</f>
        <v>N. AMERICA</v>
      </c>
      <c r="M266" t="s">
        <v>20</v>
      </c>
      <c r="N266" t="s">
        <v>31</v>
      </c>
      <c r="O26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66" t="s">
        <v>40</v>
      </c>
      <c r="Q266" t="str">
        <f>IF(TRIM(Transaction[[#This Row],[SalesChannel]])="","Missing Value",TRIM(Transaction[[#This Row],[SalesChannel]]))</f>
        <v>Distributor</v>
      </c>
      <c r="R266" s="4">
        <v>1</v>
      </c>
      <c r="S266" s="4" t="str">
        <f>IF(Transaction[[#This Row],[Quantity]]&lt;0,"Negative-review","Valid")</f>
        <v>Valid</v>
      </c>
      <c r="T266">
        <v>2264.86</v>
      </c>
      <c r="U26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2264.86</v>
      </c>
      <c r="V266">
        <v>2750</v>
      </c>
      <c r="W266">
        <v>2750</v>
      </c>
      <c r="X26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266">
        <f>IF(Transaction[[#This Row],[GrossRevenue_Check]]="Invalid",Transaction[[#This Row],[ListPrice]]*Transaction[[#This Row],[Quantity]],Transaction[[#This Row],[GrossRevenue_Clean]])</f>
        <v>2750</v>
      </c>
      <c r="Z266" t="str">
        <f>IF(Transaction[[#This Row],[GrossRevenue_Clean]]=Transaction[[#This Row],[ListPrice]]*Transaction[[#This Row],[Quantity]],"Valid","Invalid")</f>
        <v>Valid</v>
      </c>
      <c r="AA266">
        <v>485.14</v>
      </c>
      <c r="AB26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485.14</v>
      </c>
      <c r="AC266">
        <f>IF(Transaction[[#This Row],[DiscountAmount_Check2]]="Invalid",Transaction[[#This Row],[GrossRevenue_Analytical]]-Transaction[[#This Row],[NetRevenue_Analytical]],Transaction[[#This Row],[DiscountAmount_Clean]])</f>
        <v>485.14</v>
      </c>
      <c r="AD266">
        <v>2264.86</v>
      </c>
      <c r="AE266" t="str">
        <f>IF(ROUND(Transaction[[#This Row],[GrossRevenue_Analytical]]-Transaction[[#This Row],[NetRevenue_Analytical]],2)=ROUND(Transaction[[#This Row],[DiscountAmount_Clean]],2),"Valid","Invalid")</f>
        <v>Valid</v>
      </c>
      <c r="AF266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2264.86</v>
      </c>
      <c r="AG266">
        <f>IF(Transaction[[#This Row],[NetRevenue_Check]]="Invalid",(Transaction[[#This Row],[Quantity]]*Transaction[[#This Row],[UnitPrice_Clean]]),Transaction[[#This Row],[NetRevenue_Clean]])</f>
        <v>2264.86</v>
      </c>
      <c r="AH266" t="str">
        <f>IF(Transaction[[#This Row],[Quantity]]*Transaction[[#This Row],[UnitPrice_Clean]]=Transaction[[#This Row],[NetRevenue_Clean]],"Valid","Invalid")</f>
        <v>Valid</v>
      </c>
      <c r="AI266" t="s">
        <v>23</v>
      </c>
      <c r="AJ266" t="s">
        <v>368</v>
      </c>
      <c r="AK266" t="str">
        <f>IF(Transaction[[#This Row],[Salesperson]]="","Missing Value",TRIM(PROPER(Transaction[[#This Row],[Salesperson]])))</f>
        <v>Cole</v>
      </c>
      <c r="AL266" t="s">
        <v>34</v>
      </c>
      <c r="AM266" t="str">
        <f>IF(Transaction[[#This Row],[ContractType]]="","Missing Value",Transaction[[#This Row],[ContractType]])</f>
        <v>Annual License</v>
      </c>
      <c r="AN266" t="s">
        <v>49</v>
      </c>
    </row>
    <row r="267" spans="1:40" x14ac:dyDescent="0.25">
      <c r="A267" t="s">
        <v>658</v>
      </c>
      <c r="B267" s="1">
        <v>45785</v>
      </c>
      <c r="C26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26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26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67" s="2">
        <f>IFERROR(DATE(Transaction[[#This Row],[TransactionDateY]],Transaction[[#This Row],[TransactionDateM]],Transaction[[#This Row],[TransactionDateD]]),"Missing Value")</f>
        <v>45785</v>
      </c>
      <c r="G267" t="s">
        <v>190</v>
      </c>
      <c r="H267" t="str">
        <f>IFERROR(VLOOKUP(Transaction[[#This Row],[CustomerID]],Custumer[],1,0),IF(LEN(Transaction[[#This Row],[CustomerID]])=7,LEFT(Transaction[[#This Row],[CustomerID]],6),"Invalid ID"))</f>
        <v>C-1082</v>
      </c>
      <c r="I267" t="s">
        <v>52</v>
      </c>
      <c r="J267" t="str">
        <f>TRIM(UPPER(Transaction[[#This Row],[ProductID]]))</f>
        <v>P-SI-002</v>
      </c>
      <c r="K267" t="str">
        <f>IFERROR(VLOOKUP(Transaction[[#This Row],[ProductID_Clean]],Product[],1,FALSE),"Invalid ID")</f>
        <v>P-SI-002</v>
      </c>
      <c r="L267" t="str">
        <f>TRIM(SUBSTITUTE(SUBSTITUTE(SUBSTITUTE(SUBSTITUTE(UPPER(Transaction[[#This Row],[Region]]),"EMEA REGION","EMEA"),"APAC REGION","APAC"),"NORTH AMERICA","N. AMERICA"),"N .AMERICA","N.AMERICA"))</f>
        <v>N. AMERICA</v>
      </c>
      <c r="M267" t="s">
        <v>204</v>
      </c>
      <c r="N267" t="s">
        <v>53</v>
      </c>
      <c r="O26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67" t="s">
        <v>22</v>
      </c>
      <c r="Q267" t="str">
        <f>IF(TRIM(Transaction[[#This Row],[SalesChannel]])="","Missing Value",TRIM(Transaction[[#This Row],[SalesChannel]]))</f>
        <v>Direct</v>
      </c>
      <c r="R267" s="4">
        <v>8</v>
      </c>
      <c r="S267" s="4" t="str">
        <f>IF(Transaction[[#This Row],[Quantity]]&lt;0,"Negative-review","Valid")</f>
        <v>Valid</v>
      </c>
      <c r="T267">
        <v>567.62</v>
      </c>
      <c r="U26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567.62</v>
      </c>
      <c r="V267">
        <v>725</v>
      </c>
      <c r="W267">
        <v>5800</v>
      </c>
      <c r="X26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5800</v>
      </c>
      <c r="Y267">
        <f>IF(Transaction[[#This Row],[GrossRevenue_Check]]="Invalid",Transaction[[#This Row],[ListPrice]]*Transaction[[#This Row],[Quantity]],Transaction[[#This Row],[GrossRevenue_Clean]])</f>
        <v>5800</v>
      </c>
      <c r="Z267" t="str">
        <f>IF(Transaction[[#This Row],[GrossRevenue_Clean]]=Transaction[[#This Row],[ListPrice]]*Transaction[[#This Row],[Quantity]],"Valid","Invalid")</f>
        <v>Valid</v>
      </c>
      <c r="AA267">
        <v>1259.04</v>
      </c>
      <c r="AB26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1259.04</v>
      </c>
      <c r="AC267">
        <f>IF(Transaction[[#This Row],[DiscountAmount_Check2]]="Invalid",Transaction[[#This Row],[GrossRevenue_Analytical]]-Transaction[[#This Row],[NetRevenue_Analytical]],Transaction[[#This Row],[DiscountAmount_Clean]])</f>
        <v>1259.04</v>
      </c>
      <c r="AD267">
        <v>4540.96</v>
      </c>
      <c r="AE267" t="str">
        <f>IF(ROUND(Transaction[[#This Row],[GrossRevenue_Analytical]]-Transaction[[#This Row],[NetRevenue_Analytical]],2)=ROUND(Transaction[[#This Row],[DiscountAmount_Clean]],2),"Valid","Invalid")</f>
        <v>Valid</v>
      </c>
      <c r="AF267">
        <f>VALUE(IF(ISNUMBER(Transaction[[#This Row],[NetRevenue]]),Transaction[[#This Row],[NetRevenue]],IFERROR(IF(FIND("$",Transaction[[#This Row],[NetRevenue]])&gt;0,MID(Transaction[[#This Row],[NetRevenue]],2,10)),Transaction[[#This Row],[NetRevenue]])))</f>
        <v>4540.96</v>
      </c>
      <c r="AG267">
        <f>IF(Transaction[[#This Row],[NetRevenue_Check]]="Invalid",(Transaction[[#This Row],[Quantity]]*Transaction[[#This Row],[UnitPrice_Clean]]),Transaction[[#This Row],[NetRevenue_Clean]])</f>
        <v>4540.96</v>
      </c>
      <c r="AH267" t="str">
        <f>IF(Transaction[[#This Row],[Quantity]]*Transaction[[#This Row],[UnitPrice_Clean]]=Transaction[[#This Row],[NetRevenue_Clean]],"Valid","Invalid")</f>
        <v>Valid</v>
      </c>
      <c r="AI267" t="s">
        <v>23</v>
      </c>
      <c r="AJ267" t="s">
        <v>659</v>
      </c>
      <c r="AK267" t="str">
        <f>IF(Transaction[[#This Row],[Salesperson]]="","Missing Value",TRIM(PROPER(Transaction[[#This Row],[Salesperson]])))</f>
        <v>Palmer-Em</v>
      </c>
      <c r="AL267" t="s">
        <v>42</v>
      </c>
      <c r="AM267" t="str">
        <f>IF(Transaction[[#This Row],[ContractType]]="","Missing Value",Transaction[[#This Row],[ContractType]])</f>
        <v>Standard PO</v>
      </c>
      <c r="AN267" t="s">
        <v>65</v>
      </c>
    </row>
    <row r="268" spans="1:40" x14ac:dyDescent="0.25">
      <c r="A268" t="s">
        <v>1033</v>
      </c>
      <c r="B268" s="1">
        <v>45694</v>
      </c>
      <c r="C26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26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26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68" s="2">
        <f>IFERROR(DATE(Transaction[[#This Row],[TransactionDateY]],Transaction[[#This Row],[TransactionDateM]],Transaction[[#This Row],[TransactionDateD]]),"Missing Value")</f>
        <v>45694</v>
      </c>
      <c r="G268" t="s">
        <v>613</v>
      </c>
      <c r="H268" t="str">
        <f>IFERROR(VLOOKUP(Transaction[[#This Row],[CustomerID]],Custumer[],1,0),IF(LEN(Transaction[[#This Row],[CustomerID]])=7,LEFT(Transaction[[#This Row],[CustomerID]],6),"Invalid ID"))</f>
        <v>C-1166</v>
      </c>
      <c r="I268" t="s">
        <v>71</v>
      </c>
      <c r="J268" t="str">
        <f>TRIM(UPPER(Transaction[[#This Row],[ProductID]]))</f>
        <v>P-SI-003</v>
      </c>
      <c r="K268" t="str">
        <f>IFERROR(VLOOKUP(Transaction[[#This Row],[ProductID_Clean]],Product[],1,FALSE),"Invalid ID")</f>
        <v>P-SI-003</v>
      </c>
      <c r="L268" t="str">
        <f>TRIM(SUBSTITUTE(SUBSTITUTE(SUBSTITUTE(SUBSTITUTE(UPPER(Transaction[[#This Row],[Region]]),"EMEA REGION","EMEA"),"APAC REGION","APAC"),"NORTH AMERICA","N. AMERICA"),"N .AMERICA","N.AMERICA"))</f>
        <v>N. AMERICA</v>
      </c>
      <c r="M268" t="s">
        <v>204</v>
      </c>
      <c r="N268" t="s">
        <v>53</v>
      </c>
      <c r="O26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68" t="s">
        <v>22</v>
      </c>
      <c r="Q268" t="str">
        <f>IF(TRIM(Transaction[[#This Row],[SalesChannel]])="","Missing Value",TRIM(Transaction[[#This Row],[SalesChannel]]))</f>
        <v>Direct</v>
      </c>
      <c r="R268" s="4">
        <v>1</v>
      </c>
      <c r="S268" s="4" t="str">
        <f>IF(Transaction[[#This Row],[Quantity]]&lt;0,"Negative-review","Valid")</f>
        <v>Valid</v>
      </c>
      <c r="T268">
        <v>1760.28</v>
      </c>
      <c r="U26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1760.28</v>
      </c>
      <c r="V268">
        <v>1890</v>
      </c>
      <c r="W268">
        <v>1890</v>
      </c>
      <c r="X26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268">
        <f>IF(Transaction[[#This Row],[GrossRevenue_Check]]="Invalid",Transaction[[#This Row],[ListPrice]]*Transaction[[#This Row],[Quantity]],Transaction[[#This Row],[GrossRevenue_Clean]])</f>
        <v>1890</v>
      </c>
      <c r="Z268" t="str">
        <f>IF(Transaction[[#This Row],[GrossRevenue_Clean]]=Transaction[[#This Row],[ListPrice]]*Transaction[[#This Row],[Quantity]],"Valid","Invalid")</f>
        <v>Valid</v>
      </c>
      <c r="AA268">
        <v>129.72</v>
      </c>
      <c r="AB26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129.72</v>
      </c>
      <c r="AC268">
        <f>IF(Transaction[[#This Row],[DiscountAmount_Check2]]="Invalid",Transaction[[#This Row],[GrossRevenue_Analytical]]-Transaction[[#This Row],[NetRevenue_Analytical]],Transaction[[#This Row],[DiscountAmount_Clean]])</f>
        <v>129.72</v>
      </c>
      <c r="AD268">
        <v>1760.28</v>
      </c>
      <c r="AE268" t="str">
        <f>IF(ROUND(Transaction[[#This Row],[GrossRevenue_Analytical]]-Transaction[[#This Row],[NetRevenue_Analytical]],2)=ROUND(Transaction[[#This Row],[DiscountAmount_Clean]],2),"Valid","Invalid")</f>
        <v>Valid</v>
      </c>
      <c r="AF26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1760.28</v>
      </c>
      <c r="AG268">
        <f>IF(Transaction[[#This Row],[NetRevenue_Check]]="Invalid",(Transaction[[#This Row],[Quantity]]*Transaction[[#This Row],[UnitPrice_Clean]]),Transaction[[#This Row],[NetRevenue_Clean]])</f>
        <v>1760.28</v>
      </c>
      <c r="AH268" t="str">
        <f>IF(Transaction[[#This Row],[Quantity]]*Transaction[[#This Row],[UnitPrice_Clean]]=Transaction[[#This Row],[NetRevenue_Clean]],"Valid","Invalid")</f>
        <v>Valid</v>
      </c>
      <c r="AI268" t="s">
        <v>23</v>
      </c>
      <c r="AJ268" t="s">
        <v>322</v>
      </c>
      <c r="AK268" t="str">
        <f>IF(Transaction[[#This Row],[Salesperson]]="","Missing Value",TRIM(PROPER(Transaction[[#This Row],[Salesperson]])))</f>
        <v>Guerra</v>
      </c>
      <c r="AL268" t="s">
        <v>55</v>
      </c>
      <c r="AM268" t="str">
        <f>IF(Transaction[[#This Row],[ContractType]]="","Missing Value",Transaction[[#This Row],[ContractType]])</f>
        <v>Spot</v>
      </c>
      <c r="AN268" t="s">
        <v>65</v>
      </c>
    </row>
    <row r="269" spans="1:40" x14ac:dyDescent="0.25">
      <c r="A269" t="s">
        <v>2198</v>
      </c>
      <c r="B269" t="s">
        <v>2199</v>
      </c>
      <c r="C26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26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29</v>
      </c>
      <c r="E26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69" s="2">
        <f>IFERROR(DATE(Transaction[[#This Row],[TransactionDateY]],Transaction[[#This Row],[TransactionDateM]],Transaction[[#This Row],[TransactionDateD]]),"Missing Value")</f>
        <v>45776</v>
      </c>
      <c r="G269" t="s">
        <v>795</v>
      </c>
      <c r="H269" t="str">
        <f>IFERROR(VLOOKUP(Transaction[[#This Row],[CustomerID]],Custumer[],1,0),IF(LEN(Transaction[[#This Row],[CustomerID]])=7,LEFT(Transaction[[#This Row],[CustomerID]],6),"Invalid ID"))</f>
        <v>C-1118</v>
      </c>
      <c r="I269" t="s">
        <v>97</v>
      </c>
      <c r="J269" t="str">
        <f>TRIM(UPPER(Transaction[[#This Row],[ProductID]]))</f>
        <v>P-SI-001</v>
      </c>
      <c r="K269" t="str">
        <f>IFERROR(VLOOKUP(Transaction[[#This Row],[ProductID_Clean]],Product[],1,FALSE),"Invalid ID")</f>
        <v>P-SI-001</v>
      </c>
      <c r="L269" t="str">
        <f>TRIM(SUBSTITUTE(SUBSTITUTE(SUBSTITUTE(SUBSTITUTE(UPPER(Transaction[[#This Row],[Region]]),"EMEA REGION","EMEA"),"APAC REGION","APAC"),"NORTH AMERICA","N. AMERICA"),"N .AMERICA","N.AMERICA"))</f>
        <v>N. AMERICA</v>
      </c>
      <c r="M269" t="s">
        <v>20</v>
      </c>
      <c r="N269" t="s">
        <v>53</v>
      </c>
      <c r="O26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69" t="s">
        <v>22</v>
      </c>
      <c r="Q269" t="str">
        <f>IF(TRIM(Transaction[[#This Row],[SalesChannel]])="","Missing Value",TRIM(Transaction[[#This Row],[SalesChannel]]))</f>
        <v>Direct</v>
      </c>
      <c r="R269" s="4">
        <v>2</v>
      </c>
      <c r="S269" s="4" t="str">
        <f>IF(Transaction[[#This Row],[Quantity]]&lt;0,"Negative-review","Valid")</f>
        <v>Valid</v>
      </c>
      <c r="T269">
        <v>430.15</v>
      </c>
      <c r="U26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430.15</v>
      </c>
      <c r="V269">
        <v>485</v>
      </c>
      <c r="W269">
        <v>970</v>
      </c>
      <c r="X26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269">
        <f>IF(Transaction[[#This Row],[GrossRevenue_Check]]="Invalid",Transaction[[#This Row],[ListPrice]]*Transaction[[#This Row],[Quantity]],Transaction[[#This Row],[GrossRevenue_Clean]])</f>
        <v>970</v>
      </c>
      <c r="Z269" t="str">
        <f>IF(Transaction[[#This Row],[GrossRevenue_Clean]]=Transaction[[#This Row],[ListPrice]]*Transaction[[#This Row],[Quantity]],"Valid","Invalid")</f>
        <v>Valid</v>
      </c>
      <c r="AA269">
        <v>109.7</v>
      </c>
      <c r="AB26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109.7</v>
      </c>
      <c r="AC269">
        <f>IF(Transaction[[#This Row],[DiscountAmount_Check2]]="Invalid",Transaction[[#This Row],[GrossRevenue_Analytical]]-Transaction[[#This Row],[NetRevenue_Analytical]],Transaction[[#This Row],[DiscountAmount_Clean]])</f>
        <v>109.7</v>
      </c>
      <c r="AD269">
        <v>860.3</v>
      </c>
      <c r="AE269" t="str">
        <f>IF(ROUND(Transaction[[#This Row],[GrossRevenue_Analytical]]-Transaction[[#This Row],[NetRevenue_Analytical]],2)=ROUND(Transaction[[#This Row],[DiscountAmount_Clean]],2),"Valid","Invalid")</f>
        <v>Valid</v>
      </c>
      <c r="AF269">
        <f>VALUE(IF(ISNUMBER(Transaction[[#This Row],[NetRevenue]]),Transaction[[#This Row],[NetRevenue]],IFERROR(IF(FIND("$",Transaction[[#This Row],[NetRevenue]])&gt;0,MID(Transaction[[#This Row],[NetRevenue]],2,10)),Transaction[[#This Row],[NetRevenue]])))</f>
        <v>860.3</v>
      </c>
      <c r="AG269">
        <f>IF(Transaction[[#This Row],[NetRevenue_Check]]="Invalid",(Transaction[[#This Row],[Quantity]]*Transaction[[#This Row],[UnitPrice_Clean]]),Transaction[[#This Row],[NetRevenue_Clean]])</f>
        <v>860.3</v>
      </c>
      <c r="AH269" t="str">
        <f>IF(Transaction[[#This Row],[Quantity]]*Transaction[[#This Row],[UnitPrice_Clean]]=Transaction[[#This Row],[NetRevenue_Clean]],"Valid","Invalid")</f>
        <v>Valid</v>
      </c>
      <c r="AI269" t="s">
        <v>23</v>
      </c>
      <c r="AK269" t="str">
        <f>IF(Transaction[[#This Row],[Salesperson]]="","Missing Value",TRIM(PROPER(Transaction[[#This Row],[Salesperson]])))</f>
        <v>Missing Value</v>
      </c>
      <c r="AL269" t="s">
        <v>42</v>
      </c>
      <c r="AM269" t="str">
        <f>IF(Transaction[[#This Row],[ContractType]]="","Missing Value",Transaction[[#This Row],[ContractType]])</f>
        <v>Standard PO</v>
      </c>
      <c r="AN269" t="s">
        <v>49</v>
      </c>
    </row>
    <row r="270" spans="1:40" x14ac:dyDescent="0.25">
      <c r="A270" t="s">
        <v>2413</v>
      </c>
      <c r="B270" s="1">
        <v>45723</v>
      </c>
      <c r="C27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27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27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70" s="2">
        <f>IFERROR(DATE(Transaction[[#This Row],[TransactionDateY]],Transaction[[#This Row],[TransactionDateM]],Transaction[[#This Row],[TransactionDateD]]),"Missing Value")</f>
        <v>45723</v>
      </c>
      <c r="G270" t="s">
        <v>402</v>
      </c>
      <c r="H270" t="str">
        <f>IFERROR(VLOOKUP(Transaction[[#This Row],[CustomerID]],Custumer[],1,0),IF(LEN(Transaction[[#This Row],[CustomerID]])=7,LEFT(Transaction[[#This Row],[CustomerID]],6),"Invalid ID"))</f>
        <v>C-1041</v>
      </c>
      <c r="I270" t="s">
        <v>58</v>
      </c>
      <c r="J270" t="str">
        <f>TRIM(UPPER(Transaction[[#This Row],[ProductID]]))</f>
        <v>P-SI-005</v>
      </c>
      <c r="K270" t="str">
        <f>IFERROR(VLOOKUP(Transaction[[#This Row],[ProductID_Clean]],Product[],1,FALSE),"Invalid ID")</f>
        <v>P-SI-005</v>
      </c>
      <c r="L270" t="str">
        <f>TRIM(SUBSTITUTE(SUBSTITUTE(SUBSTITUTE(SUBSTITUTE(UPPER(Transaction[[#This Row],[Region]]),"EMEA REGION","EMEA"),"APAC REGION","APAC"),"NORTH AMERICA","N. AMERICA"),"N .AMERICA","N.AMERICA"))</f>
        <v>N. AMERICA</v>
      </c>
      <c r="M270" t="s">
        <v>20</v>
      </c>
      <c r="N270" t="s">
        <v>53</v>
      </c>
      <c r="O27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70" t="s">
        <v>93</v>
      </c>
      <c r="Q270" t="str">
        <f>IF(TRIM(Transaction[[#This Row],[SalesChannel]])="","Missing Value",TRIM(Transaction[[#This Row],[SalesChannel]]))</f>
        <v>direct</v>
      </c>
      <c r="R270" s="4">
        <v>2</v>
      </c>
      <c r="S270" s="4" t="str">
        <f>IF(Transaction[[#This Row],[Quantity]]&lt;0,"Negative-review","Valid")</f>
        <v>Valid</v>
      </c>
      <c r="T270">
        <v>1054.79</v>
      </c>
      <c r="U27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1054.79</v>
      </c>
      <c r="V270">
        <v>1120</v>
      </c>
      <c r="W270">
        <v>2240</v>
      </c>
      <c r="X27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2240</v>
      </c>
      <c r="Y270">
        <f>IF(Transaction[[#This Row],[GrossRevenue_Check]]="Invalid",Transaction[[#This Row],[ListPrice]]*Transaction[[#This Row],[Quantity]],Transaction[[#This Row],[GrossRevenue_Clean]])</f>
        <v>2240</v>
      </c>
      <c r="Z270" t="str">
        <f>IF(Transaction[[#This Row],[GrossRevenue_Clean]]=Transaction[[#This Row],[ListPrice]]*Transaction[[#This Row],[Quantity]],"Valid","Invalid")</f>
        <v>Valid</v>
      </c>
      <c r="AA270">
        <v>130.41999999999999</v>
      </c>
      <c r="AB27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130.41999999999999</v>
      </c>
      <c r="AC270">
        <f>IF(Transaction[[#This Row],[DiscountAmount_Check2]]="Invalid",Transaction[[#This Row],[GrossRevenue_Analytical]]-Transaction[[#This Row],[NetRevenue_Analytical]],Transaction[[#This Row],[DiscountAmount_Clean]])</f>
        <v>130.41999999999999</v>
      </c>
      <c r="AD270">
        <v>2109.58</v>
      </c>
      <c r="AE270" t="str">
        <f>IF(ROUND(Transaction[[#This Row],[GrossRevenue_Analytical]]-Transaction[[#This Row],[NetRevenue_Analytical]],2)=ROUND(Transaction[[#This Row],[DiscountAmount_Clean]],2),"Valid","Invalid")</f>
        <v>Valid</v>
      </c>
      <c r="AF27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2109.58</v>
      </c>
      <c r="AG270">
        <f>IF(Transaction[[#This Row],[NetRevenue_Check]]="Invalid",(Transaction[[#This Row],[Quantity]]*Transaction[[#This Row],[UnitPrice_Clean]]),Transaction[[#This Row],[NetRevenue_Clean]])</f>
        <v>2109.58</v>
      </c>
      <c r="AH270" t="str">
        <f>IF(Transaction[[#This Row],[Quantity]]*Transaction[[#This Row],[UnitPrice_Clean]]=Transaction[[#This Row],[NetRevenue_Clean]],"Valid","Invalid")</f>
        <v>Valid</v>
      </c>
      <c r="AI270" t="s">
        <v>23</v>
      </c>
      <c r="AJ270" t="s">
        <v>2414</v>
      </c>
      <c r="AK270" t="str">
        <f>IF(Transaction[[#This Row],[Salesperson]]="","Missing Value",TRIM(PROPER(Transaction[[#This Row],[Salesperson]])))</f>
        <v>Lozano-Ap</v>
      </c>
      <c r="AL270" t="s">
        <v>25</v>
      </c>
      <c r="AM270" t="str">
        <f>IF(Transaction[[#This Row],[ContractType]]="","Missing Value",Transaction[[#This Row],[ContractType]])</f>
        <v>Frame Agreement</v>
      </c>
      <c r="AN270" t="s">
        <v>35</v>
      </c>
    </row>
    <row r="271" spans="1:40" x14ac:dyDescent="0.25">
      <c r="A271" t="s">
        <v>2967</v>
      </c>
      <c r="B271" s="1">
        <v>45660</v>
      </c>
      <c r="C27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27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27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71" s="2">
        <f>IFERROR(DATE(Transaction[[#This Row],[TransactionDateY]],Transaction[[#This Row],[TransactionDateM]],Transaction[[#This Row],[TransactionDateD]]),"Missing Value")</f>
        <v>45660</v>
      </c>
      <c r="G271" t="s">
        <v>394</v>
      </c>
      <c r="H271" t="str">
        <f>IFERROR(VLOOKUP(Transaction[[#This Row],[CustomerID]],Custumer[],1,0),IF(LEN(Transaction[[#This Row],[CustomerID]])=7,LEFT(Transaction[[#This Row],[CustomerID]],6),"Invalid ID"))</f>
        <v>C-1128</v>
      </c>
      <c r="I271" t="s">
        <v>97</v>
      </c>
      <c r="J271" t="str">
        <f>TRIM(UPPER(Transaction[[#This Row],[ProductID]]))</f>
        <v>P-SI-001</v>
      </c>
      <c r="K271" t="str">
        <f>IFERROR(VLOOKUP(Transaction[[#This Row],[ProductID_Clean]],Product[],1,FALSE),"Invalid ID")</f>
        <v>P-SI-001</v>
      </c>
      <c r="L271" t="str">
        <f>TRIM(SUBSTITUTE(SUBSTITUTE(SUBSTITUTE(SUBSTITUTE(UPPER(Transaction[[#This Row],[Region]]),"EMEA REGION","EMEA"),"APAC REGION","APAC"),"NORTH AMERICA","N. AMERICA"),"N .AMERICA","N.AMERICA"))</f>
        <v>EMEA</v>
      </c>
      <c r="M271" t="s">
        <v>76</v>
      </c>
      <c r="N271" t="s">
        <v>53</v>
      </c>
      <c r="O27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71" t="s">
        <v>22</v>
      </c>
      <c r="Q271" t="str">
        <f>IF(TRIM(Transaction[[#This Row],[SalesChannel]])="","Missing Value",TRIM(Transaction[[#This Row],[SalesChannel]]))</f>
        <v>Direct</v>
      </c>
      <c r="R271" s="4">
        <v>1</v>
      </c>
      <c r="S271" s="4" t="str">
        <f>IF(Transaction[[#This Row],[Quantity]]&lt;0,"Negative-review","Valid")</f>
        <v>Valid</v>
      </c>
      <c r="T271">
        <v>420.18</v>
      </c>
      <c r="U27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420.18</v>
      </c>
      <c r="V271">
        <v>485</v>
      </c>
      <c r="W271">
        <v>485</v>
      </c>
      <c r="X27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271">
        <f>IF(Transaction[[#This Row],[GrossRevenue_Check]]="Invalid",Transaction[[#This Row],[ListPrice]]*Transaction[[#This Row],[Quantity]],Transaction[[#This Row],[GrossRevenue_Clean]])</f>
        <v>485</v>
      </c>
      <c r="Z271" t="str">
        <f>IF(Transaction[[#This Row],[GrossRevenue_Clean]]=Transaction[[#This Row],[ListPrice]]*Transaction[[#This Row],[Quantity]],"Valid","Invalid")</f>
        <v>Valid</v>
      </c>
      <c r="AA271">
        <v>64.819999999999993</v>
      </c>
      <c r="AB27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64.819999999999993</v>
      </c>
      <c r="AC271">
        <f>IF(Transaction[[#This Row],[DiscountAmount_Check2]]="Invalid",Transaction[[#This Row],[GrossRevenue_Analytical]]-Transaction[[#This Row],[NetRevenue_Analytical]],Transaction[[#This Row],[DiscountAmount_Clean]])</f>
        <v>64.819999999999993</v>
      </c>
      <c r="AD271">
        <v>420.18</v>
      </c>
      <c r="AE271" t="str">
        <f>IF(ROUND(Transaction[[#This Row],[GrossRevenue_Analytical]]-Transaction[[#This Row],[NetRevenue_Analytical]],2)=ROUND(Transaction[[#This Row],[DiscountAmount_Clean]],2),"Valid","Invalid")</f>
        <v>Valid</v>
      </c>
      <c r="AF271">
        <f>VALUE(IF(ISNUMBER(Transaction[[#This Row],[NetRevenue]]),Transaction[[#This Row],[NetRevenue]],IFERROR(IF(FIND("$",Transaction[[#This Row],[NetRevenue]])&gt;0,MID(Transaction[[#This Row],[NetRevenue]],2,10)),Transaction[[#This Row],[NetRevenue]])))</f>
        <v>420.18</v>
      </c>
      <c r="AG271">
        <f>IF(Transaction[[#This Row],[NetRevenue_Check]]="Invalid",(Transaction[[#This Row],[Quantity]]*Transaction[[#This Row],[UnitPrice_Clean]]),Transaction[[#This Row],[NetRevenue_Clean]])</f>
        <v>420.18</v>
      </c>
      <c r="AH271" t="str">
        <f>IF(Transaction[[#This Row],[Quantity]]*Transaction[[#This Row],[UnitPrice_Clean]]=Transaction[[#This Row],[NetRevenue_Clean]],"Valid","Invalid")</f>
        <v>Valid</v>
      </c>
      <c r="AI271" t="s">
        <v>23</v>
      </c>
      <c r="AJ271" t="s">
        <v>2968</v>
      </c>
      <c r="AK271" t="str">
        <f>IF(Transaction[[#This Row],[Salesperson]]="","Missing Value",TRIM(PROPER(Transaction[[#This Row],[Salesperson]])))</f>
        <v>Velasquez-Na</v>
      </c>
      <c r="AL271" t="s">
        <v>25</v>
      </c>
      <c r="AM271" t="str">
        <f>IF(Transaction[[#This Row],[ContractType]]="","Missing Value",Transaction[[#This Row],[ContractType]])</f>
        <v>Frame Agreement</v>
      </c>
      <c r="AN271" t="s">
        <v>43</v>
      </c>
    </row>
    <row r="272" spans="1:40" x14ac:dyDescent="0.25">
      <c r="A272" t="s">
        <v>729</v>
      </c>
      <c r="B272" s="1">
        <v>45731</v>
      </c>
      <c r="C27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27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27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72" s="2">
        <f>IFERROR(DATE(Transaction[[#This Row],[TransactionDateY]],Transaction[[#This Row],[TransactionDateM]],Transaction[[#This Row],[TransactionDateD]]),"Missing Value")</f>
        <v>45731</v>
      </c>
      <c r="G272" t="s">
        <v>172</v>
      </c>
      <c r="H272" t="str">
        <f>IFERROR(VLOOKUP(Transaction[[#This Row],[CustomerID]],Custumer[],1,0),IF(LEN(Transaction[[#This Row],[CustomerID]])=7,LEFT(Transaction[[#This Row],[CustomerID]],6),"Invalid ID"))</f>
        <v>C-1099</v>
      </c>
      <c r="I272" t="s">
        <v>97</v>
      </c>
      <c r="J272" t="str">
        <f>TRIM(UPPER(Transaction[[#This Row],[ProductID]]))</f>
        <v>P-SI-001</v>
      </c>
      <c r="K272" t="str">
        <f>IFERROR(VLOOKUP(Transaction[[#This Row],[ProductID_Clean]],Product[],1,FALSE),"Invalid ID")</f>
        <v>P-SI-001</v>
      </c>
      <c r="L272" t="str">
        <f>TRIM(SUBSTITUTE(SUBSTITUTE(SUBSTITUTE(SUBSTITUTE(UPPER(Transaction[[#This Row],[Region]]),"EMEA REGION","EMEA"),"APAC REGION","APAC"),"NORTH AMERICA","N. AMERICA"),"N .AMERICA","N.AMERICA"))</f>
        <v>EMEA</v>
      </c>
      <c r="M272" t="s">
        <v>76</v>
      </c>
      <c r="N272" t="s">
        <v>53</v>
      </c>
      <c r="O27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72" t="s">
        <v>40</v>
      </c>
      <c r="Q272" t="str">
        <f>IF(TRIM(Transaction[[#This Row],[SalesChannel]])="","Missing Value",TRIM(Transaction[[#This Row],[SalesChannel]]))</f>
        <v>Distributor</v>
      </c>
      <c r="R272" s="4">
        <v>5</v>
      </c>
      <c r="S272" s="4" t="str">
        <f>IF(Transaction[[#This Row],[Quantity]]&lt;0,"Negative-review","Valid")</f>
        <v>Valid</v>
      </c>
      <c r="T272">
        <v>387.31</v>
      </c>
      <c r="U27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387.31</v>
      </c>
      <c r="V272">
        <v>485</v>
      </c>
      <c r="W272">
        <v>2425</v>
      </c>
      <c r="X27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2425</v>
      </c>
      <c r="Y272">
        <f>IF(Transaction[[#This Row],[GrossRevenue_Check]]="Invalid",Transaction[[#This Row],[ListPrice]]*Transaction[[#This Row],[Quantity]],Transaction[[#This Row],[GrossRevenue_Clean]])</f>
        <v>2425</v>
      </c>
      <c r="Z272" t="str">
        <f>IF(Transaction[[#This Row],[GrossRevenue_Clean]]=Transaction[[#This Row],[ListPrice]]*Transaction[[#This Row],[Quantity]],"Valid","Invalid")</f>
        <v>Valid</v>
      </c>
      <c r="AA272">
        <v>488.45</v>
      </c>
      <c r="AB27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488.45</v>
      </c>
      <c r="AC272">
        <f>IF(Transaction[[#This Row],[DiscountAmount_Check2]]="Invalid",Transaction[[#This Row],[GrossRevenue_Analytical]]-Transaction[[#This Row],[NetRevenue_Analytical]],Transaction[[#This Row],[DiscountAmount_Clean]])</f>
        <v>488.45</v>
      </c>
      <c r="AD272">
        <v>1936.55</v>
      </c>
      <c r="AE272" t="str">
        <f>IF(ROUND(Transaction[[#This Row],[GrossRevenue_Analytical]]-Transaction[[#This Row],[NetRevenue_Analytical]],2)=ROUND(Transaction[[#This Row],[DiscountAmount_Clean]],2),"Valid","Invalid")</f>
        <v>Valid</v>
      </c>
      <c r="AF27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1936.55</v>
      </c>
      <c r="AG272">
        <f>IF(Transaction[[#This Row],[NetRevenue_Check]]="Invalid",(Transaction[[#This Row],[Quantity]]*Transaction[[#This Row],[UnitPrice_Clean]]),Transaction[[#This Row],[NetRevenue_Clean]])</f>
        <v>1936.55</v>
      </c>
      <c r="AH272" t="str">
        <f>IF(Transaction[[#This Row],[Quantity]]*Transaction[[#This Row],[UnitPrice_Clean]]=Transaction[[#This Row],[NetRevenue_Clean]],"Valid","Invalid")</f>
        <v>Valid</v>
      </c>
      <c r="AI272" t="s">
        <v>23</v>
      </c>
      <c r="AJ272" t="s">
        <v>730</v>
      </c>
      <c r="AK272" t="str">
        <f>IF(Transaction[[#This Row],[Salesperson]]="","Missing Value",TRIM(PROPER(Transaction[[#This Row],[Salesperson]])))</f>
        <v>Wilkerson-Ap</v>
      </c>
      <c r="AL272" t="s">
        <v>42</v>
      </c>
      <c r="AM272" t="str">
        <f>IF(Transaction[[#This Row],[ContractType]]="","Missing Value",Transaction[[#This Row],[ContractType]])</f>
        <v>Standard PO</v>
      </c>
      <c r="AN272" t="s">
        <v>43</v>
      </c>
    </row>
    <row r="273" spans="1:40" x14ac:dyDescent="0.25">
      <c r="A273" t="s">
        <v>2340</v>
      </c>
      <c r="B273" s="1">
        <v>45797</v>
      </c>
      <c r="C27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27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27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73" s="2">
        <f>IFERROR(DATE(Transaction[[#This Row],[TransactionDateY]],Transaction[[#This Row],[TransactionDateM]],Transaction[[#This Row],[TransactionDateD]]),"Missing Value")</f>
        <v>45797</v>
      </c>
      <c r="G273" t="s">
        <v>423</v>
      </c>
      <c r="H273" t="str">
        <f>IFERROR(VLOOKUP(Transaction[[#This Row],[CustomerID]],Custumer[],1,0),IF(LEN(Transaction[[#This Row],[CustomerID]])=7,LEFT(Transaction[[#This Row],[CustomerID]],6),"Invalid ID"))</f>
        <v>C-1121</v>
      </c>
      <c r="I273" t="s">
        <v>29</v>
      </c>
      <c r="J273" t="str">
        <f>TRIM(UPPER(Transaction[[#This Row],[ProductID]]))</f>
        <v>P-SA-001</v>
      </c>
      <c r="K273" t="str">
        <f>IFERROR(VLOOKUP(Transaction[[#This Row],[ProductID_Clean]],Product[],1,FALSE),"Invalid ID")</f>
        <v>P-SA-001</v>
      </c>
      <c r="L273" t="str">
        <f>TRIM(SUBSTITUTE(SUBSTITUTE(SUBSTITUTE(SUBSTITUTE(UPPER(Transaction[[#This Row],[Region]]),"EMEA REGION","EMEA"),"APAC REGION","APAC"),"NORTH AMERICA","N. AMERICA"),"N .AMERICA","N.AMERICA"))</f>
        <v>N. AMERICA</v>
      </c>
      <c r="M273" t="s">
        <v>20</v>
      </c>
      <c r="N273" t="s">
        <v>31</v>
      </c>
      <c r="O27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73" t="s">
        <v>22</v>
      </c>
      <c r="Q273" t="str">
        <f>IF(TRIM(Transaction[[#This Row],[SalesChannel]])="","Missing Value",TRIM(Transaction[[#This Row],[SalesChannel]]))</f>
        <v>Direct</v>
      </c>
      <c r="R273" s="4">
        <v>1</v>
      </c>
      <c r="S273" s="4" t="str">
        <f>IF(Transaction[[#This Row],[Quantity]]&lt;0,"Negative-review","Valid")</f>
        <v>Valid</v>
      </c>
      <c r="T273" t="s">
        <v>1168</v>
      </c>
      <c r="U27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3979.85</v>
      </c>
      <c r="V273">
        <v>4200</v>
      </c>
      <c r="W273">
        <v>4200</v>
      </c>
      <c r="X27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273">
        <f>IF(Transaction[[#This Row],[GrossRevenue_Check]]="Invalid",Transaction[[#This Row],[ListPrice]]*Transaction[[#This Row],[Quantity]],Transaction[[#This Row],[GrossRevenue_Clean]])</f>
        <v>4200</v>
      </c>
      <c r="Z273" t="str">
        <f>IF(Transaction[[#This Row],[GrossRevenue_Clean]]=Transaction[[#This Row],[ListPrice]]*Transaction[[#This Row],[Quantity]],"Valid","Invalid")</f>
        <v>Valid</v>
      </c>
      <c r="AA273">
        <v>220.15</v>
      </c>
      <c r="AB27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220.15</v>
      </c>
      <c r="AC273">
        <f>IF(Transaction[[#This Row],[DiscountAmount_Check2]]="Invalid",Transaction[[#This Row],[GrossRevenue_Analytical]]-Transaction[[#This Row],[NetRevenue_Analytical]],Transaction[[#This Row],[DiscountAmount_Clean]])</f>
        <v>220.15</v>
      </c>
      <c r="AD273" t="s">
        <v>1169</v>
      </c>
      <c r="AE273" t="str">
        <f>IF(ROUND(Transaction[[#This Row],[GrossRevenue_Analytical]]-Transaction[[#This Row],[NetRevenue_Analytical]],2)=ROUND(Transaction[[#This Row],[DiscountAmount_Clean]],2),"Valid","Invalid")</f>
        <v>Valid</v>
      </c>
      <c r="AF27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3979.85</v>
      </c>
      <c r="AG273">
        <f>IF(Transaction[[#This Row],[NetRevenue_Check]]="Invalid",(Transaction[[#This Row],[Quantity]]*Transaction[[#This Row],[UnitPrice_Clean]]),Transaction[[#This Row],[NetRevenue_Clean]])</f>
        <v>3979.85</v>
      </c>
      <c r="AH273" t="str">
        <f>IF(Transaction[[#This Row],[Quantity]]*Transaction[[#This Row],[UnitPrice_Clean]]=Transaction[[#This Row],[NetRevenue_Clean]],"Valid","Invalid")</f>
        <v>Valid</v>
      </c>
      <c r="AI273" t="s">
        <v>99</v>
      </c>
      <c r="AJ273" t="s">
        <v>1170</v>
      </c>
      <c r="AK273" t="str">
        <f>IF(Transaction[[#This Row],[Salesperson]]="","Missing Value",TRIM(PROPER(Transaction[[#This Row],[Salesperson]])))</f>
        <v>Arias</v>
      </c>
      <c r="AL273" t="s">
        <v>113</v>
      </c>
      <c r="AM273" t="str">
        <f>IF(Transaction[[#This Row],[ContractType]]="","Missing Value",Transaction[[#This Row],[ContractType]])</f>
        <v>Subscription</v>
      </c>
      <c r="AN273" t="s">
        <v>49</v>
      </c>
    </row>
    <row r="274" spans="1:40" x14ac:dyDescent="0.25">
      <c r="A274" t="s">
        <v>2084</v>
      </c>
      <c r="B274" s="1">
        <v>45676</v>
      </c>
      <c r="C27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27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27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74" s="2">
        <f>IFERROR(DATE(Transaction[[#This Row],[TransactionDateY]],Transaction[[#This Row],[TransactionDateM]],Transaction[[#This Row],[TransactionDateD]]),"Missing Value")</f>
        <v>45676</v>
      </c>
      <c r="G274" t="s">
        <v>1000</v>
      </c>
      <c r="H274" t="str">
        <f>IFERROR(VLOOKUP(Transaction[[#This Row],[CustomerID]],Custumer[],1,0),IF(LEN(Transaction[[#This Row],[CustomerID]])=7,LEFT(Transaction[[#This Row],[CustomerID]],6),"Invalid ID"))</f>
        <v>C-1137</v>
      </c>
      <c r="I274" t="s">
        <v>92</v>
      </c>
      <c r="J274" t="str">
        <f>TRIM(UPPER(Transaction[[#This Row],[ProductID]]))</f>
        <v>P-SI-008</v>
      </c>
      <c r="K274" t="str">
        <f>IFERROR(VLOOKUP(Transaction[[#This Row],[ProductID_Clean]],Product[],1,FALSE),"Invalid ID")</f>
        <v>P-SI-008</v>
      </c>
      <c r="L274" t="str">
        <f>TRIM(SUBSTITUTE(SUBSTITUTE(SUBSTITUTE(SUBSTITUTE(UPPER(Transaction[[#This Row],[Region]]),"EMEA REGION","EMEA"),"APAC REGION","APAC"),"NORTH AMERICA","N. AMERICA"),"N .AMERICA","N.AMERICA"))</f>
        <v>N. AMERICA</v>
      </c>
      <c r="M274" t="s">
        <v>20</v>
      </c>
      <c r="N274" t="s">
        <v>53</v>
      </c>
      <c r="O27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74" t="s">
        <v>173</v>
      </c>
      <c r="Q274" t="str">
        <f>IF(TRIM(Transaction[[#This Row],[SalesChannel]])="","Missing Value",TRIM(Transaction[[#This Row],[SalesChannel]]))</f>
        <v>Distributor</v>
      </c>
      <c r="R274" s="4">
        <v>4</v>
      </c>
      <c r="S274" s="4" t="str">
        <f>IF(Transaction[[#This Row],[Quantity]]&lt;0,"Negative-review","Valid")</f>
        <v>Valid</v>
      </c>
      <c r="T274">
        <v>718.47</v>
      </c>
      <c r="U27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718.47</v>
      </c>
      <c r="V274">
        <v>950</v>
      </c>
      <c r="W274">
        <v>3800</v>
      </c>
      <c r="X27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3800</v>
      </c>
      <c r="Y274">
        <f>IF(Transaction[[#This Row],[GrossRevenue_Check]]="Invalid",Transaction[[#This Row],[ListPrice]]*Transaction[[#This Row],[Quantity]],Transaction[[#This Row],[GrossRevenue_Clean]])</f>
        <v>3800</v>
      </c>
      <c r="Z274" t="str">
        <f>IF(Transaction[[#This Row],[GrossRevenue_Clean]]=Transaction[[#This Row],[ListPrice]]*Transaction[[#This Row],[Quantity]],"Valid","Invalid")</f>
        <v>Valid</v>
      </c>
      <c r="AA274">
        <v>926.12</v>
      </c>
      <c r="AB27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926.12</v>
      </c>
      <c r="AC274">
        <f>IF(Transaction[[#This Row],[DiscountAmount_Check2]]="Invalid",Transaction[[#This Row],[GrossRevenue_Analytical]]-Transaction[[#This Row],[NetRevenue_Analytical]],Transaction[[#This Row],[DiscountAmount_Clean]])</f>
        <v>926.12</v>
      </c>
      <c r="AD274">
        <v>2873.88</v>
      </c>
      <c r="AE274" t="str">
        <f>IF(ROUND(Transaction[[#This Row],[GrossRevenue_Analytical]]-Transaction[[#This Row],[NetRevenue_Analytical]],2)=ROUND(Transaction[[#This Row],[DiscountAmount_Clean]],2),"Valid","Invalid")</f>
        <v>Valid</v>
      </c>
      <c r="AF27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2873.88</v>
      </c>
      <c r="AG274">
        <f>IF(Transaction[[#This Row],[NetRevenue_Check]]="Invalid",(Transaction[[#This Row],[Quantity]]*Transaction[[#This Row],[UnitPrice_Clean]]),Transaction[[#This Row],[NetRevenue_Clean]])</f>
        <v>2873.88</v>
      </c>
      <c r="AH274" t="str">
        <f>IF(Transaction[[#This Row],[Quantity]]*Transaction[[#This Row],[UnitPrice_Clean]]=Transaction[[#This Row],[NetRevenue_Clean]],"Valid","Invalid")</f>
        <v>Valid</v>
      </c>
      <c r="AI274" t="s">
        <v>23</v>
      </c>
      <c r="AJ274" t="s">
        <v>2085</v>
      </c>
      <c r="AK274" t="str">
        <f>IF(Transaction[[#This Row],[Salesperson]]="","Missing Value",TRIM(PROPER(Transaction[[#This Row],[Salesperson]])))</f>
        <v>Perry-Na</v>
      </c>
      <c r="AL274" t="s">
        <v>42</v>
      </c>
      <c r="AM274" t="str">
        <f>IF(Transaction[[#This Row],[ContractType]]="","Missing Value",Transaction[[#This Row],[ContractType]])</f>
        <v>Standard PO</v>
      </c>
      <c r="AN274" t="s">
        <v>26</v>
      </c>
    </row>
    <row r="275" spans="1:40" x14ac:dyDescent="0.25">
      <c r="A275" t="s">
        <v>1380</v>
      </c>
      <c r="B275" t="s">
        <v>1381</v>
      </c>
      <c r="C27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27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27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75" s="2">
        <f>IFERROR(DATE(Transaction[[#This Row],[TransactionDateY]],Transaction[[#This Row],[TransactionDateM]],Transaction[[#This Row],[TransactionDateD]]),"Missing Value")</f>
        <v>45746</v>
      </c>
      <c r="G275" t="s">
        <v>652</v>
      </c>
      <c r="H275" t="str">
        <f>IFERROR(VLOOKUP(Transaction[[#This Row],[CustomerID]],Custumer[],1,0),IF(LEN(Transaction[[#This Row],[CustomerID]])=7,LEFT(Transaction[[#This Row],[CustomerID]],6),"Invalid ID"))</f>
        <v>C-1049</v>
      </c>
      <c r="I275" t="s">
        <v>71</v>
      </c>
      <c r="J275" t="str">
        <f>TRIM(UPPER(Transaction[[#This Row],[ProductID]]))</f>
        <v>P-SI-003</v>
      </c>
      <c r="K275" t="str">
        <f>IFERROR(VLOOKUP(Transaction[[#This Row],[ProductID_Clean]],Product[],1,FALSE),"Invalid ID")</f>
        <v>P-SI-003</v>
      </c>
      <c r="L275" t="str">
        <f>TRIM(SUBSTITUTE(SUBSTITUTE(SUBSTITUTE(SUBSTITUTE(UPPER(Transaction[[#This Row],[Region]]),"EMEA REGION","EMEA"),"APAC REGION","APAC"),"NORTH AMERICA","N. AMERICA"),"N .AMERICA","N.AMERICA"))</f>
        <v>LATIN AMERICA</v>
      </c>
      <c r="M275" t="s">
        <v>82</v>
      </c>
      <c r="N275" t="s">
        <v>53</v>
      </c>
      <c r="O27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75" t="s">
        <v>22</v>
      </c>
      <c r="Q275" t="str">
        <f>IF(TRIM(Transaction[[#This Row],[SalesChannel]])="","Missing Value",TRIM(Transaction[[#This Row],[SalesChannel]]))</f>
        <v>Direct</v>
      </c>
      <c r="R275" s="4">
        <v>2</v>
      </c>
      <c r="S275" s="4" t="str">
        <f>IF(Transaction[[#This Row],[Quantity]]&lt;0,"Negative-review","Valid")</f>
        <v>Valid</v>
      </c>
      <c r="T275">
        <v>1796.34</v>
      </c>
      <c r="U27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1796.34</v>
      </c>
      <c r="V275">
        <v>1890</v>
      </c>
      <c r="W275">
        <v>3780</v>
      </c>
      <c r="X27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3780</v>
      </c>
      <c r="Y275">
        <f>IF(Transaction[[#This Row],[GrossRevenue_Check]]="Invalid",Transaction[[#This Row],[ListPrice]]*Transaction[[#This Row],[Quantity]],Transaction[[#This Row],[GrossRevenue_Clean]])</f>
        <v>3780</v>
      </c>
      <c r="Z275" t="str">
        <f>IF(Transaction[[#This Row],[GrossRevenue_Clean]]=Transaction[[#This Row],[ListPrice]]*Transaction[[#This Row],[Quantity]],"Valid","Invalid")</f>
        <v>Valid</v>
      </c>
      <c r="AA275">
        <v>187.32</v>
      </c>
      <c r="AB27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187.32</v>
      </c>
      <c r="AC275">
        <f>IF(Transaction[[#This Row],[DiscountAmount_Check2]]="Invalid",Transaction[[#This Row],[GrossRevenue_Analytical]]-Transaction[[#This Row],[NetRevenue_Analytical]],Transaction[[#This Row],[DiscountAmount_Clean]])</f>
        <v>187.32</v>
      </c>
      <c r="AD275" t="s">
        <v>1382</v>
      </c>
      <c r="AE275" t="str">
        <f>IF(ROUND(Transaction[[#This Row],[GrossRevenue_Analytical]]-Transaction[[#This Row],[NetRevenue_Analytical]],2)=ROUND(Transaction[[#This Row],[DiscountAmount_Clean]],2),"Valid","Invalid")</f>
        <v>Valid</v>
      </c>
      <c r="AF27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3592.68</v>
      </c>
      <c r="AG275">
        <f>IF(Transaction[[#This Row],[NetRevenue_Check]]="Invalid",(Transaction[[#This Row],[Quantity]]*Transaction[[#This Row],[UnitPrice_Clean]]),Transaction[[#This Row],[NetRevenue_Clean]])</f>
        <v>3592.68</v>
      </c>
      <c r="AH275" t="str">
        <f>IF(Transaction[[#This Row],[Quantity]]*Transaction[[#This Row],[UnitPrice_Clean]]=Transaction[[#This Row],[NetRevenue_Clean]],"Valid","Invalid")</f>
        <v>Valid</v>
      </c>
      <c r="AI275" t="s">
        <v>23</v>
      </c>
      <c r="AJ275" t="s">
        <v>294</v>
      </c>
      <c r="AK275" t="str">
        <f>IF(Transaction[[#This Row],[Salesperson]]="","Missing Value",TRIM(PROPER(Transaction[[#This Row],[Salesperson]])))</f>
        <v>Sanders</v>
      </c>
      <c r="AL275" t="s">
        <v>42</v>
      </c>
      <c r="AM275" t="str">
        <f>IF(Transaction[[#This Row],[ContractType]]="","Missing Value",Transaction[[#This Row],[ContractType]])</f>
        <v>Standard PO</v>
      </c>
      <c r="AN275" t="s">
        <v>65</v>
      </c>
    </row>
    <row r="276" spans="1:40" x14ac:dyDescent="0.25">
      <c r="A276" t="s">
        <v>1153</v>
      </c>
      <c r="B276" s="1">
        <v>45821</v>
      </c>
      <c r="C27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27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27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76" s="2">
        <f>IFERROR(DATE(Transaction[[#This Row],[TransactionDateY]],Transaction[[#This Row],[TransactionDateM]],Transaction[[#This Row],[TransactionDateD]]),"Missing Value")</f>
        <v>45821</v>
      </c>
      <c r="G276" t="s">
        <v>1154</v>
      </c>
      <c r="H276" t="str">
        <f>IFERROR(VLOOKUP(Transaction[[#This Row],[CustomerID]],Custumer[],1,0),IF(LEN(Transaction[[#This Row],[CustomerID]])=7,LEFT(Transaction[[#This Row],[CustomerID]],6),"Invalid ID"))</f>
        <v>C-1014</v>
      </c>
      <c r="I276" t="s">
        <v>226</v>
      </c>
      <c r="J276" t="str">
        <f>TRIM(UPPER(Transaction[[#This Row],[ProductID]]))</f>
        <v>P-SA-002</v>
      </c>
      <c r="K276" t="str">
        <f>IFERROR(VLOOKUP(Transaction[[#This Row],[ProductID_Clean]],Product[],1,FALSE),"Invalid ID")</f>
        <v>P-SA-002</v>
      </c>
      <c r="L276" t="str">
        <f>TRIM(SUBSTITUTE(SUBSTITUTE(SUBSTITUTE(SUBSTITUTE(UPPER(Transaction[[#This Row],[Region]]),"EMEA REGION","EMEA"),"APAC REGION","APAC"),"NORTH AMERICA","N. AMERICA"),"N .AMERICA","N.AMERICA"))</f>
        <v>N. AMERICA</v>
      </c>
      <c r="M276" t="s">
        <v>20</v>
      </c>
      <c r="N276" t="s">
        <v>205</v>
      </c>
      <c r="O27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76" t="s">
        <v>40</v>
      </c>
      <c r="Q276" t="str">
        <f>IF(TRIM(Transaction[[#This Row],[SalesChannel]])="","Missing Value",TRIM(Transaction[[#This Row],[SalesChannel]]))</f>
        <v>Distributor</v>
      </c>
      <c r="R276" s="4">
        <v>1</v>
      </c>
      <c r="S276" s="4" t="str">
        <f>IF(Transaction[[#This Row],[Quantity]]&lt;0,"Negative-review","Valid")</f>
        <v>Valid</v>
      </c>
      <c r="T276">
        <v>8045.4</v>
      </c>
      <c r="U27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8045.4</v>
      </c>
      <c r="V276">
        <v>9800</v>
      </c>
      <c r="W276">
        <v>9800</v>
      </c>
      <c r="X27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276">
        <f>IF(Transaction[[#This Row],[GrossRevenue_Check]]="Invalid",Transaction[[#This Row],[ListPrice]]*Transaction[[#This Row],[Quantity]],Transaction[[#This Row],[GrossRevenue_Clean]])</f>
        <v>9800</v>
      </c>
      <c r="Z276" t="str">
        <f>IF(Transaction[[#This Row],[GrossRevenue_Clean]]=Transaction[[#This Row],[ListPrice]]*Transaction[[#This Row],[Quantity]],"Valid","Invalid")</f>
        <v>Valid</v>
      </c>
      <c r="AA276">
        <v>1754.6</v>
      </c>
      <c r="AB27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1754.6</v>
      </c>
      <c r="AC276">
        <f>IF(Transaction[[#This Row],[DiscountAmount_Check2]]="Invalid",Transaction[[#This Row],[GrossRevenue_Analytical]]-Transaction[[#This Row],[NetRevenue_Analytical]],Transaction[[#This Row],[DiscountAmount_Clean]])</f>
        <v>1754.6</v>
      </c>
      <c r="AD276">
        <v>8045.4</v>
      </c>
      <c r="AE276" t="str">
        <f>IF(ROUND(Transaction[[#This Row],[GrossRevenue_Analytical]]-Transaction[[#This Row],[NetRevenue_Analytical]],2)=ROUND(Transaction[[#This Row],[DiscountAmount_Clean]],2),"Valid","Invalid")</f>
        <v>Valid</v>
      </c>
      <c r="AF276">
        <f>VALUE(IF(ISNUMBER(Transaction[[#This Row],[NetRevenue]]),Transaction[[#This Row],[NetRevenue]],IFERROR(IF(FIND("$",Transaction[[#This Row],[NetRevenue]])&gt;0,MID(Transaction[[#This Row],[NetRevenue]],2,10)),Transaction[[#This Row],[NetRevenue]])))</f>
        <v>8045.4</v>
      </c>
      <c r="AG276">
        <f>IF(Transaction[[#This Row],[NetRevenue_Check]]="Invalid",(Transaction[[#This Row],[Quantity]]*Transaction[[#This Row],[UnitPrice_Clean]]),Transaction[[#This Row],[NetRevenue_Clean]])</f>
        <v>8045.4</v>
      </c>
      <c r="AH276" t="str">
        <f>IF(Transaction[[#This Row],[Quantity]]*Transaction[[#This Row],[UnitPrice_Clean]]=Transaction[[#This Row],[NetRevenue_Clean]],"Valid","Invalid")</f>
        <v>Valid</v>
      </c>
      <c r="AI276" t="s">
        <v>23</v>
      </c>
      <c r="AJ276" t="s">
        <v>1155</v>
      </c>
      <c r="AK276" t="str">
        <f>IF(Transaction[[#This Row],[Salesperson]]="","Missing Value",TRIM(PROPER(Transaction[[#This Row],[Salesperson]])))</f>
        <v>Brooks-Na</v>
      </c>
      <c r="AM276" t="str">
        <f>IF(Transaction[[#This Row],[ContractType]]="","Missing Value",Transaction[[#This Row],[ContractType]])</f>
        <v>Missing Value</v>
      </c>
      <c r="AN276" t="s">
        <v>35</v>
      </c>
    </row>
    <row r="277" spans="1:40" x14ac:dyDescent="0.25">
      <c r="A277" t="s">
        <v>517</v>
      </c>
      <c r="B277" s="1">
        <v>45834</v>
      </c>
      <c r="C27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27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27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77" s="2">
        <f>IFERROR(DATE(Transaction[[#This Row],[TransactionDateY]],Transaction[[#This Row],[TransactionDateM]],Transaction[[#This Row],[TransactionDateD]]),"Missing Value")</f>
        <v>45834</v>
      </c>
      <c r="G277" t="s">
        <v>518</v>
      </c>
      <c r="H277" t="str">
        <f>IFERROR(VLOOKUP(Transaction[[#This Row],[CustomerID]],Custumer[],1,0),IF(LEN(Transaction[[#This Row],[CustomerID]])=7,LEFT(Transaction[[#This Row],[CustomerID]],6),"Invalid ID"))</f>
        <v>C-1173</v>
      </c>
      <c r="I277" t="s">
        <v>29</v>
      </c>
      <c r="J277" t="str">
        <f>TRIM(UPPER(Transaction[[#This Row],[ProductID]]))</f>
        <v>P-SA-001</v>
      </c>
      <c r="K277" t="str">
        <f>IFERROR(VLOOKUP(Transaction[[#This Row],[ProductID_Clean]],Product[],1,FALSE),"Invalid ID")</f>
        <v>P-SA-001</v>
      </c>
      <c r="L277" t="str">
        <f>TRIM(SUBSTITUTE(SUBSTITUTE(SUBSTITUTE(SUBSTITUTE(UPPER(Transaction[[#This Row],[Region]]),"EMEA REGION","EMEA"),"APAC REGION","APAC"),"NORTH AMERICA","N. AMERICA"),"N .AMERICA","N.AMERICA"))</f>
        <v>EMEA</v>
      </c>
      <c r="M277" t="s">
        <v>177</v>
      </c>
      <c r="N277" t="s">
        <v>31</v>
      </c>
      <c r="O27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77" t="s">
        <v>22</v>
      </c>
      <c r="Q277" t="str">
        <f>IF(TRIM(Transaction[[#This Row],[SalesChannel]])="","Missing Value",TRIM(Transaction[[#This Row],[SalesChannel]]))</f>
        <v>Direct</v>
      </c>
      <c r="R277" s="4">
        <v>1</v>
      </c>
      <c r="S277" s="4" t="str">
        <f>IF(Transaction[[#This Row],[Quantity]]&lt;0,"Negative-review","Valid")</f>
        <v>Valid</v>
      </c>
      <c r="T277">
        <v>3949.32</v>
      </c>
      <c r="U27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3949.32</v>
      </c>
      <c r="V277">
        <v>4200</v>
      </c>
      <c r="W277">
        <v>4200</v>
      </c>
      <c r="X27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277">
        <f>IF(Transaction[[#This Row],[GrossRevenue_Check]]="Invalid",Transaction[[#This Row],[ListPrice]]*Transaction[[#This Row],[Quantity]],Transaction[[#This Row],[GrossRevenue_Clean]])</f>
        <v>4200</v>
      </c>
      <c r="Z277" t="str">
        <f>IF(Transaction[[#This Row],[GrossRevenue_Clean]]=Transaction[[#This Row],[ListPrice]]*Transaction[[#This Row],[Quantity]],"Valid","Invalid")</f>
        <v>Valid</v>
      </c>
      <c r="AA277">
        <v>250.68</v>
      </c>
      <c r="AB27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250.68</v>
      </c>
      <c r="AC277">
        <f>IF(Transaction[[#This Row],[DiscountAmount_Check2]]="Invalid",Transaction[[#This Row],[GrossRevenue_Analytical]]-Transaction[[#This Row],[NetRevenue_Analytical]],Transaction[[#This Row],[DiscountAmount_Clean]])</f>
        <v>250.68</v>
      </c>
      <c r="AD277">
        <v>3949.32</v>
      </c>
      <c r="AE277" t="str">
        <f>IF(ROUND(Transaction[[#This Row],[GrossRevenue_Analytical]]-Transaction[[#This Row],[NetRevenue_Analytical]],2)=ROUND(Transaction[[#This Row],[DiscountAmount_Clean]],2),"Valid","Invalid")</f>
        <v>Valid</v>
      </c>
      <c r="AF27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3949.32</v>
      </c>
      <c r="AG277">
        <f>IF(Transaction[[#This Row],[NetRevenue_Check]]="Invalid",(Transaction[[#This Row],[Quantity]]*Transaction[[#This Row],[UnitPrice_Clean]]),Transaction[[#This Row],[NetRevenue_Clean]])</f>
        <v>3949.32</v>
      </c>
      <c r="AH277" t="str">
        <f>IF(Transaction[[#This Row],[Quantity]]*Transaction[[#This Row],[UnitPrice_Clean]]=Transaction[[#This Row],[NetRevenue_Clean]],"Valid","Invalid")</f>
        <v>Valid</v>
      </c>
      <c r="AI277" t="s">
        <v>23</v>
      </c>
      <c r="AJ277" t="s">
        <v>519</v>
      </c>
      <c r="AK277" t="str">
        <f>IF(Transaction[[#This Row],[Salesperson]]="","Missing Value",TRIM(PROPER(Transaction[[#This Row],[Salesperson]])))</f>
        <v>Hughes</v>
      </c>
      <c r="AL277" t="s">
        <v>34</v>
      </c>
      <c r="AM277" t="str">
        <f>IF(Transaction[[#This Row],[ContractType]]="","Missing Value",Transaction[[#This Row],[ContractType]])</f>
        <v>Annual License</v>
      </c>
      <c r="AN277" t="s">
        <v>26</v>
      </c>
    </row>
    <row r="278" spans="1:40" x14ac:dyDescent="0.25">
      <c r="A278" t="s">
        <v>3056</v>
      </c>
      <c r="B278" s="1">
        <v>45708</v>
      </c>
      <c r="C27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27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27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78" s="2">
        <f>IFERROR(DATE(Transaction[[#This Row],[TransactionDateY]],Transaction[[#This Row],[TransactionDateM]],Transaction[[#This Row],[TransactionDateD]]),"Missing Value")</f>
        <v>45708</v>
      </c>
      <c r="G278" t="s">
        <v>18</v>
      </c>
      <c r="H278" t="str">
        <f>IFERROR(VLOOKUP(Transaction[[#This Row],[CustomerID]],Custumer[],1,0),IF(LEN(Transaction[[#This Row],[CustomerID]])=7,LEFT(Transaction[[#This Row],[CustomerID]],6),"Invalid ID"))</f>
        <v>C-1048</v>
      </c>
      <c r="I278" t="s">
        <v>29</v>
      </c>
      <c r="J278" t="str">
        <f>TRIM(UPPER(Transaction[[#This Row],[ProductID]]))</f>
        <v>P-SA-001</v>
      </c>
      <c r="K278" t="str">
        <f>IFERROR(VLOOKUP(Transaction[[#This Row],[ProductID_Clean]],Product[],1,FALSE),"Invalid ID")</f>
        <v>P-SA-001</v>
      </c>
      <c r="L278" t="str">
        <f>TRIM(SUBSTITUTE(SUBSTITUTE(SUBSTITUTE(SUBSTITUTE(UPPER(Transaction[[#This Row],[Region]]),"EMEA REGION","EMEA"),"APAC REGION","APAC"),"NORTH AMERICA","N. AMERICA"),"N .AMERICA","N.AMERICA"))</f>
        <v>N. AMERICA</v>
      </c>
      <c r="M278" t="s">
        <v>168</v>
      </c>
      <c r="N278" t="s">
        <v>31</v>
      </c>
      <c r="O27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78" t="s">
        <v>40</v>
      </c>
      <c r="Q278" t="str">
        <f>IF(TRIM(Transaction[[#This Row],[SalesChannel]])="","Missing Value",TRIM(Transaction[[#This Row],[SalesChannel]]))</f>
        <v>Distributor</v>
      </c>
      <c r="R278" s="4">
        <v>2</v>
      </c>
      <c r="S278" s="4" t="str">
        <f>IF(Transaction[[#This Row],[Quantity]]&lt;0,"Negative-review","Valid")</f>
        <v>Valid</v>
      </c>
      <c r="T278">
        <v>3089.61</v>
      </c>
      <c r="U27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3089.61</v>
      </c>
      <c r="V278">
        <v>4200</v>
      </c>
      <c r="W278">
        <v>8400</v>
      </c>
      <c r="X27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8400</v>
      </c>
      <c r="Y278">
        <f>IF(Transaction[[#This Row],[GrossRevenue_Check]]="Invalid",Transaction[[#This Row],[ListPrice]]*Transaction[[#This Row],[Quantity]],Transaction[[#This Row],[GrossRevenue_Clean]])</f>
        <v>8400</v>
      </c>
      <c r="Z278" t="str">
        <f>IF(Transaction[[#This Row],[GrossRevenue_Clean]]=Transaction[[#This Row],[ListPrice]]*Transaction[[#This Row],[Quantity]],"Valid","Invalid")</f>
        <v>Valid</v>
      </c>
      <c r="AA278">
        <v>2220.7800000000002</v>
      </c>
      <c r="AB27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2220.7800000000002</v>
      </c>
      <c r="AC278">
        <f>IF(Transaction[[#This Row],[DiscountAmount_Check2]]="Invalid",Transaction[[#This Row],[GrossRevenue_Analytical]]-Transaction[[#This Row],[NetRevenue_Analytical]],Transaction[[#This Row],[DiscountAmount_Clean]])</f>
        <v>2220.7800000000002</v>
      </c>
      <c r="AD278">
        <v>6179.22</v>
      </c>
      <c r="AE278" t="str">
        <f>IF(ROUND(Transaction[[#This Row],[GrossRevenue_Analytical]]-Transaction[[#This Row],[NetRevenue_Analytical]],2)=ROUND(Transaction[[#This Row],[DiscountAmount_Clean]],2),"Valid","Invalid")</f>
        <v>Valid</v>
      </c>
      <c r="AF278">
        <f>VALUE(IF(ISNUMBER(Transaction[[#This Row],[NetRevenue]]),Transaction[[#This Row],[NetRevenue]],IFERROR(IF(FIND("$",Transaction[[#This Row],[NetRevenue]])&gt;0,MID(Transaction[[#This Row],[NetRevenue]],2,10)),Transaction[[#This Row],[NetRevenue]])))</f>
        <v>6179.22</v>
      </c>
      <c r="AG278">
        <f>IF(Transaction[[#This Row],[NetRevenue_Check]]="Invalid",(Transaction[[#This Row],[Quantity]]*Transaction[[#This Row],[UnitPrice_Clean]]),Transaction[[#This Row],[NetRevenue_Clean]])</f>
        <v>6179.22</v>
      </c>
      <c r="AH278" t="str">
        <f>IF(Transaction[[#This Row],[Quantity]]*Transaction[[#This Row],[UnitPrice_Clean]]=Transaction[[#This Row],[NetRevenue_Clean]],"Valid","Invalid")</f>
        <v>Valid</v>
      </c>
      <c r="AI278" t="s">
        <v>23</v>
      </c>
      <c r="AJ278" t="s">
        <v>1865</v>
      </c>
      <c r="AK278" t="str">
        <f>IF(Transaction[[#This Row],[Salesperson]]="","Missing Value",TRIM(PROPER(Transaction[[#This Row],[Salesperson]])))</f>
        <v>Miller-Na</v>
      </c>
      <c r="AL278" t="s">
        <v>210</v>
      </c>
      <c r="AM278" t="str">
        <f>IF(Transaction[[#This Row],[ContractType]]="","Missing Value",Transaction[[#This Row],[ContractType]])</f>
        <v>Perpetual</v>
      </c>
      <c r="AN278" t="s">
        <v>26</v>
      </c>
    </row>
    <row r="279" spans="1:40" x14ac:dyDescent="0.25">
      <c r="A279" t="s">
        <v>356</v>
      </c>
      <c r="B279" s="1">
        <v>45781</v>
      </c>
      <c r="C27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27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27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79" s="2">
        <f>IFERROR(DATE(Transaction[[#This Row],[TransactionDateY]],Transaction[[#This Row],[TransactionDateM]],Transaction[[#This Row],[TransactionDateD]]),"Missing Value")</f>
        <v>45781</v>
      </c>
      <c r="G279" t="s">
        <v>357</v>
      </c>
      <c r="H279" t="str">
        <f>IFERROR(VLOOKUP(Transaction[[#This Row],[CustomerID]],Custumer[],1,0),IF(LEN(Transaction[[#This Row],[CustomerID]])=7,LEFT(Transaction[[#This Row],[CustomerID]],6),"Invalid ID"))</f>
        <v>C-1078</v>
      </c>
      <c r="I279" t="s">
        <v>97</v>
      </c>
      <c r="J279" t="str">
        <f>TRIM(UPPER(Transaction[[#This Row],[ProductID]]))</f>
        <v>P-SI-001</v>
      </c>
      <c r="K279" t="str">
        <f>IFERROR(VLOOKUP(Transaction[[#This Row],[ProductID_Clean]],Product[],1,FALSE),"Invalid ID")</f>
        <v>P-SI-001</v>
      </c>
      <c r="L279" t="str">
        <f>TRIM(SUBSTITUTE(SUBSTITUTE(SUBSTITUTE(SUBSTITUTE(UPPER(Transaction[[#This Row],[Region]]),"EMEA REGION","EMEA"),"APAC REGION","APAC"),"NORTH AMERICA","N. AMERICA"),"N .AMERICA","N.AMERICA"))</f>
        <v>N. AMERICA</v>
      </c>
      <c r="M279" t="s">
        <v>20</v>
      </c>
      <c r="N279" t="s">
        <v>53</v>
      </c>
      <c r="O27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79" t="s">
        <v>181</v>
      </c>
      <c r="Q279" t="str">
        <f>IF(TRIM(Transaction[[#This Row],[SalesChannel]])="","Missing Value",TRIM(Transaction[[#This Row],[SalesChannel]]))</f>
        <v>Partner Portal</v>
      </c>
      <c r="R279" s="4">
        <v>2</v>
      </c>
      <c r="S279" s="4" t="str">
        <f>IF(Transaction[[#This Row],[Quantity]]&lt;0,"Negative-review","Valid")</f>
        <v>Valid</v>
      </c>
      <c r="T279">
        <v>444.53</v>
      </c>
      <c r="U27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444.53</v>
      </c>
      <c r="V279">
        <v>485</v>
      </c>
      <c r="W279" t="s">
        <v>154</v>
      </c>
      <c r="X27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279">
        <f>IF(Transaction[[#This Row],[GrossRevenue_Check]]="Invalid",Transaction[[#This Row],[ListPrice]]*Transaction[[#This Row],[Quantity]],Transaction[[#This Row],[GrossRevenue_Clean]])</f>
        <v>970</v>
      </c>
      <c r="Z279" t="str">
        <f>IF(Transaction[[#This Row],[GrossRevenue_Clean]]=Transaction[[#This Row],[ListPrice]]*Transaction[[#This Row],[Quantity]],"Valid","Invalid")</f>
        <v>Valid</v>
      </c>
      <c r="AA279">
        <v>80.94</v>
      </c>
      <c r="AB27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80.94</v>
      </c>
      <c r="AC279">
        <f>IF(Transaction[[#This Row],[DiscountAmount_Check2]]="Invalid",Transaction[[#This Row],[GrossRevenue_Analytical]]-Transaction[[#This Row],[NetRevenue_Analytical]],Transaction[[#This Row],[DiscountAmount_Clean]])</f>
        <v>80.94</v>
      </c>
      <c r="AD279">
        <v>889.06</v>
      </c>
      <c r="AE279" t="str">
        <f>IF(ROUND(Transaction[[#This Row],[GrossRevenue_Analytical]]-Transaction[[#This Row],[NetRevenue_Analytical]],2)=ROUND(Transaction[[#This Row],[DiscountAmount_Clean]],2),"Valid","Invalid")</f>
        <v>Valid</v>
      </c>
      <c r="AF279">
        <f>VALUE(IF(ISNUMBER(Transaction[[#This Row],[NetRevenue]]),Transaction[[#This Row],[NetRevenue]],IFERROR(IF(FIND("$",Transaction[[#This Row],[NetRevenue]])&gt;0,MID(Transaction[[#This Row],[NetRevenue]],2,10)),Transaction[[#This Row],[NetRevenue]])))</f>
        <v>889.06</v>
      </c>
      <c r="AG279">
        <f>IF(Transaction[[#This Row],[NetRevenue_Check]]="Invalid",(Transaction[[#This Row],[Quantity]]*Transaction[[#This Row],[UnitPrice_Clean]]),Transaction[[#This Row],[NetRevenue_Clean]])</f>
        <v>889.06</v>
      </c>
      <c r="AH279" t="str">
        <f>IF(Transaction[[#This Row],[Quantity]]*Transaction[[#This Row],[UnitPrice_Clean]]=Transaction[[#This Row],[NetRevenue_Clean]],"Valid","Invalid")</f>
        <v>Valid</v>
      </c>
      <c r="AI279" t="s">
        <v>23</v>
      </c>
      <c r="AJ279" t="s">
        <v>358</v>
      </c>
      <c r="AK279" t="str">
        <f>IF(Transaction[[#This Row],[Salesperson]]="","Missing Value",TRIM(PROPER(Transaction[[#This Row],[Salesperson]])))</f>
        <v>Walker</v>
      </c>
      <c r="AM279" t="str">
        <f>IF(Transaction[[#This Row],[ContractType]]="","Missing Value",Transaction[[#This Row],[ContractType]])</f>
        <v>Missing Value</v>
      </c>
      <c r="AN279" t="s">
        <v>26</v>
      </c>
    </row>
    <row r="280" spans="1:40" x14ac:dyDescent="0.25">
      <c r="A280" t="s">
        <v>2089</v>
      </c>
      <c r="B280" t="s">
        <v>2090</v>
      </c>
      <c r="C28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28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28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80" s="2">
        <f>IFERROR(DATE(Transaction[[#This Row],[TransactionDateY]],Transaction[[#This Row],[TransactionDateM]],Transaction[[#This Row],[TransactionDateD]]),"Missing Value")</f>
        <v>45718</v>
      </c>
      <c r="G280" t="s">
        <v>176</v>
      </c>
      <c r="H280" t="str">
        <f>IFERROR(VLOOKUP(Transaction[[#This Row],[CustomerID]],Custumer[],1,0),IF(LEN(Transaction[[#This Row],[CustomerID]])=7,LEFT(Transaction[[#This Row],[CustomerID]],6),"Invalid ID"))</f>
        <v>C-1062</v>
      </c>
      <c r="I280" t="s">
        <v>268</v>
      </c>
      <c r="J280" t="str">
        <f>TRIM(UPPER(Transaction[[#This Row],[ProductID]]))</f>
        <v>P-FS-002</v>
      </c>
      <c r="K280" t="str">
        <f>IFERROR(VLOOKUP(Transaction[[#This Row],[ProductID_Clean]],Product[],1,FALSE),"Invalid ID")</f>
        <v>P-FS-002</v>
      </c>
      <c r="L280" t="str">
        <f>TRIM(SUBSTITUTE(SUBSTITUTE(SUBSTITUTE(SUBSTITUTE(UPPER(Transaction[[#This Row],[Region]]),"EMEA REGION","EMEA"),"APAC REGION","APAC"),"NORTH AMERICA","N. AMERICA"),"N .AMERICA","N.AMERICA"))</f>
        <v>EMEA</v>
      </c>
      <c r="M280" t="s">
        <v>87</v>
      </c>
      <c r="N280" t="s">
        <v>21</v>
      </c>
      <c r="O280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280" t="s">
        <v>181</v>
      </c>
      <c r="Q280" t="str">
        <f>IF(TRIM(Transaction[[#This Row],[SalesChannel]])="","Missing Value",TRIM(Transaction[[#This Row],[SalesChannel]]))</f>
        <v>Partner Portal</v>
      </c>
      <c r="R280" s="4">
        <v>1</v>
      </c>
      <c r="S280" s="4" t="str">
        <f>IF(Transaction[[#This Row],[Quantity]]&lt;0,"Negative-review","Valid")</f>
        <v>Valid</v>
      </c>
      <c r="T280">
        <v>2060.87</v>
      </c>
      <c r="U28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2060.87</v>
      </c>
      <c r="V280">
        <v>2400</v>
      </c>
      <c r="W280">
        <v>2400</v>
      </c>
      <c r="X28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280">
        <f>IF(Transaction[[#This Row],[GrossRevenue_Check]]="Invalid",Transaction[[#This Row],[ListPrice]]*Transaction[[#This Row],[Quantity]],Transaction[[#This Row],[GrossRevenue_Clean]])</f>
        <v>2400</v>
      </c>
      <c r="Z280" t="str">
        <f>IF(Transaction[[#This Row],[GrossRevenue_Clean]]=Transaction[[#This Row],[ListPrice]]*Transaction[[#This Row],[Quantity]],"Valid","Invalid")</f>
        <v>Valid</v>
      </c>
      <c r="AA280">
        <v>339.13</v>
      </c>
      <c r="AB28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339.13</v>
      </c>
      <c r="AC280">
        <f>IF(Transaction[[#This Row],[DiscountAmount_Check2]]="Invalid",Transaction[[#This Row],[GrossRevenue_Analytical]]-Transaction[[#This Row],[NetRevenue_Analytical]],Transaction[[#This Row],[DiscountAmount_Clean]])</f>
        <v>339.13</v>
      </c>
      <c r="AD280">
        <v>2060.87</v>
      </c>
      <c r="AE280" t="str">
        <f>IF(ROUND(Transaction[[#This Row],[GrossRevenue_Analytical]]-Transaction[[#This Row],[NetRevenue_Analytical]],2)=ROUND(Transaction[[#This Row],[DiscountAmount_Clean]],2),"Valid","Invalid")</f>
        <v>Valid</v>
      </c>
      <c r="AF28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2060.87</v>
      </c>
      <c r="AG280">
        <f>IF(Transaction[[#This Row],[NetRevenue_Check]]="Invalid",(Transaction[[#This Row],[Quantity]]*Transaction[[#This Row],[UnitPrice_Clean]]),Transaction[[#This Row],[NetRevenue_Clean]])</f>
        <v>2060.87</v>
      </c>
      <c r="AH280" t="str">
        <f>IF(Transaction[[#This Row],[Quantity]]*Transaction[[#This Row],[UnitPrice_Clean]]=Transaction[[#This Row],[NetRevenue_Clean]],"Valid","Invalid")</f>
        <v>Valid</v>
      </c>
      <c r="AI280" t="s">
        <v>23</v>
      </c>
      <c r="AK280" t="str">
        <f>IF(Transaction[[#This Row],[Salesperson]]="","Missing Value",TRIM(PROPER(Transaction[[#This Row],[Salesperson]])))</f>
        <v>Missing Value</v>
      </c>
      <c r="AL280" t="s">
        <v>295</v>
      </c>
      <c r="AM280" t="str">
        <f>IF(Transaction[[#This Row],[ContractType]]="","Missing Value",Transaction[[#This Row],[ContractType]])</f>
        <v>Multi-Year</v>
      </c>
      <c r="AN280" t="s">
        <v>65</v>
      </c>
    </row>
    <row r="281" spans="1:40" x14ac:dyDescent="0.25">
      <c r="A281" t="s">
        <v>2755</v>
      </c>
      <c r="B281" t="s">
        <v>2756</v>
      </c>
      <c r="C28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28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28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81" s="2">
        <f>IFERROR(DATE(Transaction[[#This Row],[TransactionDateY]],Transaction[[#This Row],[TransactionDateM]],Transaction[[#This Row],[TransactionDateD]]),"Missing Value")</f>
        <v>45804</v>
      </c>
      <c r="G281" t="s">
        <v>484</v>
      </c>
      <c r="H281" t="str">
        <f>IFERROR(VLOOKUP(Transaction[[#This Row],[CustomerID]],Custumer[],1,0),IF(LEN(Transaction[[#This Row],[CustomerID]])=7,LEFT(Transaction[[#This Row],[CustomerID]],6),"Invalid ID"))</f>
        <v>C-1104</v>
      </c>
      <c r="I281" t="s">
        <v>97</v>
      </c>
      <c r="J281" t="str">
        <f>TRIM(UPPER(Transaction[[#This Row],[ProductID]]))</f>
        <v>P-SI-001</v>
      </c>
      <c r="K281" t="str">
        <f>IFERROR(VLOOKUP(Transaction[[#This Row],[ProductID_Clean]],Product[],1,FALSE),"Invalid ID")</f>
        <v>P-SI-001</v>
      </c>
      <c r="L281" t="str">
        <f>TRIM(SUBSTITUTE(SUBSTITUTE(SUBSTITUTE(SUBSTITUTE(UPPER(Transaction[[#This Row],[Region]]),"EMEA REGION","EMEA"),"APAC REGION","APAC"),"NORTH AMERICA","N. AMERICA"),"N .AMERICA","N.AMERICA"))</f>
        <v>N. AMERICA</v>
      </c>
      <c r="M281" t="s">
        <v>20</v>
      </c>
      <c r="N281" t="s">
        <v>53</v>
      </c>
      <c r="O28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81" t="s">
        <v>22</v>
      </c>
      <c r="Q281" t="str">
        <f>IF(TRIM(Transaction[[#This Row],[SalesChannel]])="","Missing Value",TRIM(Transaction[[#This Row],[SalesChannel]]))</f>
        <v>Direct</v>
      </c>
      <c r="R281" s="4">
        <v>1</v>
      </c>
      <c r="S281" s="4" t="str">
        <f>IF(Transaction[[#This Row],[Quantity]]&lt;0,"Negative-review","Valid")</f>
        <v>Valid</v>
      </c>
      <c r="T281">
        <v>450.67</v>
      </c>
      <c r="U28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450.67</v>
      </c>
      <c r="V281">
        <v>485</v>
      </c>
      <c r="W281">
        <v>485</v>
      </c>
      <c r="X28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281">
        <f>IF(Transaction[[#This Row],[GrossRevenue_Check]]="Invalid",Transaction[[#This Row],[ListPrice]]*Transaction[[#This Row],[Quantity]],Transaction[[#This Row],[GrossRevenue_Clean]])</f>
        <v>485</v>
      </c>
      <c r="Z281" t="str">
        <f>IF(Transaction[[#This Row],[GrossRevenue_Clean]]=Transaction[[#This Row],[ListPrice]]*Transaction[[#This Row],[Quantity]],"Valid","Invalid")</f>
        <v>Valid</v>
      </c>
      <c r="AA281">
        <v>34.33</v>
      </c>
      <c r="AB28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34.33</v>
      </c>
      <c r="AC281">
        <f>IF(Transaction[[#This Row],[DiscountAmount_Check2]]="Invalid",Transaction[[#This Row],[GrossRevenue_Analytical]]-Transaction[[#This Row],[NetRevenue_Analytical]],Transaction[[#This Row],[DiscountAmount_Clean]])</f>
        <v>34.33</v>
      </c>
      <c r="AD281">
        <v>450.67</v>
      </c>
      <c r="AE281" t="str">
        <f>IF(ROUND(Transaction[[#This Row],[GrossRevenue_Analytical]]-Transaction[[#This Row],[NetRevenue_Analytical]],2)=ROUND(Transaction[[#This Row],[DiscountAmount_Clean]],2),"Valid","Invalid")</f>
        <v>Valid</v>
      </c>
      <c r="AF281">
        <f>VALUE(IF(ISNUMBER(Transaction[[#This Row],[NetRevenue]]),Transaction[[#This Row],[NetRevenue]],IFERROR(IF(FIND("$",Transaction[[#This Row],[NetRevenue]])&gt;0,MID(Transaction[[#This Row],[NetRevenue]],2,10)),Transaction[[#This Row],[NetRevenue]])))</f>
        <v>450.67</v>
      </c>
      <c r="AG281">
        <f>IF(Transaction[[#This Row],[NetRevenue_Check]]="Invalid",(Transaction[[#This Row],[Quantity]]*Transaction[[#This Row],[UnitPrice_Clean]]),Transaction[[#This Row],[NetRevenue_Clean]])</f>
        <v>450.67</v>
      </c>
      <c r="AH281" t="str">
        <f>IF(Transaction[[#This Row],[Quantity]]*Transaction[[#This Row],[UnitPrice_Clean]]=Transaction[[#This Row],[NetRevenue_Clean]],"Valid","Invalid")</f>
        <v>Valid</v>
      </c>
      <c r="AI281" t="s">
        <v>99</v>
      </c>
      <c r="AJ281" t="s">
        <v>643</v>
      </c>
      <c r="AK281" t="str">
        <f>IF(Transaction[[#This Row],[Salesperson]]="","Missing Value",TRIM(PROPER(Transaction[[#This Row],[Salesperson]])))</f>
        <v>Garcia</v>
      </c>
      <c r="AL281" t="s">
        <v>25</v>
      </c>
      <c r="AM281" t="str">
        <f>IF(Transaction[[#This Row],[ContractType]]="","Missing Value",Transaction[[#This Row],[ContractType]])</f>
        <v>Frame Agreement</v>
      </c>
      <c r="AN281" t="s">
        <v>49</v>
      </c>
    </row>
    <row r="282" spans="1:40" x14ac:dyDescent="0.25">
      <c r="A282" t="s">
        <v>615</v>
      </c>
      <c r="B282" t="s">
        <v>616</v>
      </c>
      <c r="C28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28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28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82" s="2">
        <f>IFERROR(DATE(Transaction[[#This Row],[TransactionDateY]],Transaction[[#This Row],[TransactionDateM]],Transaction[[#This Row],[TransactionDateD]]),"Missing Value")</f>
        <v>45690</v>
      </c>
      <c r="G282" t="s">
        <v>617</v>
      </c>
      <c r="H282" t="str">
        <f>IFERROR(VLOOKUP(Transaction[[#This Row],[CustomerID]],Custumer[],1,0),IF(LEN(Transaction[[#This Row],[CustomerID]])=7,LEFT(Transaction[[#This Row],[CustomerID]],6),"Invalid ID"))</f>
        <v>C-1011</v>
      </c>
      <c r="I282" t="s">
        <v>92</v>
      </c>
      <c r="J282" t="str">
        <f>TRIM(UPPER(Transaction[[#This Row],[ProductID]]))</f>
        <v>P-SI-008</v>
      </c>
      <c r="K282" t="str">
        <f>IFERROR(VLOOKUP(Transaction[[#This Row],[ProductID_Clean]],Product[],1,FALSE),"Invalid ID")</f>
        <v>P-SI-008</v>
      </c>
      <c r="L282" t="str">
        <f>TRIM(SUBSTITUTE(SUBSTITUTE(SUBSTITUTE(SUBSTITUTE(UPPER(Transaction[[#This Row],[Region]]),"EMEA REGION","EMEA"),"APAC REGION","APAC"),"NORTH AMERICA","N. AMERICA"),"N .AMERICA","N.AMERICA"))</f>
        <v>APAC</v>
      </c>
      <c r="M282" t="s">
        <v>127</v>
      </c>
      <c r="N282" t="s">
        <v>53</v>
      </c>
      <c r="O28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82" t="s">
        <v>40</v>
      </c>
      <c r="Q282" t="str">
        <f>IF(TRIM(Transaction[[#This Row],[SalesChannel]])="","Missing Value",TRIM(Transaction[[#This Row],[SalesChannel]]))</f>
        <v>Distributor</v>
      </c>
      <c r="R282" s="4">
        <v>3</v>
      </c>
      <c r="S282" s="4" t="str">
        <f>IF(Transaction[[#This Row],[Quantity]]&lt;0,"Negative-review","Valid")</f>
        <v>Valid</v>
      </c>
      <c r="T282">
        <v>743.11</v>
      </c>
      <c r="U28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743.11</v>
      </c>
      <c r="V282">
        <v>950</v>
      </c>
      <c r="W282">
        <v>2850</v>
      </c>
      <c r="X28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2850</v>
      </c>
      <c r="Y282">
        <f>IF(Transaction[[#This Row],[GrossRevenue_Check]]="Invalid",Transaction[[#This Row],[ListPrice]]*Transaction[[#This Row],[Quantity]],Transaction[[#This Row],[GrossRevenue_Clean]])</f>
        <v>2850</v>
      </c>
      <c r="Z282" t="str">
        <f>IF(Transaction[[#This Row],[GrossRevenue_Clean]]=Transaction[[#This Row],[ListPrice]]*Transaction[[#This Row],[Quantity]],"Valid","Invalid")</f>
        <v>Valid</v>
      </c>
      <c r="AB28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282">
        <f>IF(Transaction[[#This Row],[DiscountAmount_Check2]]="Invalid",Transaction[[#This Row],[GrossRevenue_Analytical]]-Transaction[[#This Row],[NetRevenue_Analytical]],Transaction[[#This Row],[DiscountAmount_Clean]])</f>
        <v>620.67000000000007</v>
      </c>
      <c r="AD282" t="s">
        <v>618</v>
      </c>
      <c r="AE282" t="str">
        <f>IF(ROUND(Transaction[[#This Row],[GrossRevenue_Analytical]]-Transaction[[#This Row],[NetRevenue_Analytical]],2)=ROUND(Transaction[[#This Row],[DiscountAmount_Clean]],2),"Valid","Invalid")</f>
        <v>Invalid</v>
      </c>
      <c r="AF28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2229.33</v>
      </c>
      <c r="AG282">
        <f>IF(Transaction[[#This Row],[NetRevenue_Check]]="Invalid",(Transaction[[#This Row],[Quantity]]*Transaction[[#This Row],[UnitPrice_Clean]]),Transaction[[#This Row],[NetRevenue_Clean]])</f>
        <v>2229.33</v>
      </c>
      <c r="AH282" t="str">
        <f>IF(Transaction[[#This Row],[Quantity]]*Transaction[[#This Row],[UnitPrice_Clean]]=Transaction[[#This Row],[NetRevenue_Clean]],"Valid","Invalid")</f>
        <v>Valid</v>
      </c>
      <c r="AI282" t="s">
        <v>23</v>
      </c>
      <c r="AJ282" t="s">
        <v>619</v>
      </c>
      <c r="AK282" t="str">
        <f>IF(Transaction[[#This Row],[Salesperson]]="","Missing Value",TRIM(PROPER(Transaction[[#This Row],[Salesperson]])))</f>
        <v>Mullen-Ap</v>
      </c>
      <c r="AL282" t="s">
        <v>25</v>
      </c>
      <c r="AM282" t="str">
        <f>IF(Transaction[[#This Row],[ContractType]]="","Missing Value",Transaction[[#This Row],[ContractType]])</f>
        <v>Frame Agreement</v>
      </c>
      <c r="AN282" t="s">
        <v>65</v>
      </c>
    </row>
    <row r="283" spans="1:40" x14ac:dyDescent="0.25">
      <c r="A283" t="s">
        <v>1712</v>
      </c>
      <c r="B283" s="1">
        <v>45759</v>
      </c>
      <c r="C28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28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28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83" s="2">
        <f>IFERROR(DATE(Transaction[[#This Row],[TransactionDateY]],Transaction[[#This Row],[TransactionDateM]],Transaction[[#This Row],[TransactionDateD]]),"Missing Value")</f>
        <v>45759</v>
      </c>
      <c r="G283" t="s">
        <v>284</v>
      </c>
      <c r="H283" t="str">
        <f>IFERROR(VLOOKUP(Transaction[[#This Row],[CustomerID]],Custumer[],1,0),IF(LEN(Transaction[[#This Row],[CustomerID]])=7,LEFT(Transaction[[#This Row],[CustomerID]],6),"Invalid ID"))</f>
        <v>C-1101</v>
      </c>
      <c r="I283" t="s">
        <v>58</v>
      </c>
      <c r="J283" t="str">
        <f>TRIM(UPPER(Transaction[[#This Row],[ProductID]]))</f>
        <v>P-SI-005</v>
      </c>
      <c r="K283" t="str">
        <f>IFERROR(VLOOKUP(Transaction[[#This Row],[ProductID_Clean]],Product[],1,FALSE),"Invalid ID")</f>
        <v>P-SI-005</v>
      </c>
      <c r="L283" t="str">
        <f>TRIM(SUBSTITUTE(SUBSTITUTE(SUBSTITUTE(SUBSTITUTE(UPPER(Transaction[[#This Row],[Region]]),"EMEA REGION","EMEA"),"APAC REGION","APAC"),"NORTH AMERICA","N. AMERICA"),"N .AMERICA","N.AMERICA"))</f>
        <v>EMEA</v>
      </c>
      <c r="M283" t="s">
        <v>76</v>
      </c>
      <c r="N283" t="s">
        <v>53</v>
      </c>
      <c r="O28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83" t="s">
        <v>22</v>
      </c>
      <c r="Q283" t="str">
        <f>IF(TRIM(Transaction[[#This Row],[SalesChannel]])="","Missing Value",TRIM(Transaction[[#This Row],[SalesChannel]]))</f>
        <v>Direct</v>
      </c>
      <c r="R283" s="4">
        <v>4</v>
      </c>
      <c r="S283" s="4" t="str">
        <f>IF(Transaction[[#This Row],[Quantity]]&lt;0,"Negative-review","Valid")</f>
        <v>Valid</v>
      </c>
      <c r="T283">
        <v>1048.99</v>
      </c>
      <c r="U28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1048.99</v>
      </c>
      <c r="V283">
        <v>1120</v>
      </c>
      <c r="W283">
        <v>4480</v>
      </c>
      <c r="X28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4480</v>
      </c>
      <c r="Y283">
        <f>IF(Transaction[[#This Row],[GrossRevenue_Check]]="Invalid",Transaction[[#This Row],[ListPrice]]*Transaction[[#This Row],[Quantity]],Transaction[[#This Row],[GrossRevenue_Clean]])</f>
        <v>4480</v>
      </c>
      <c r="Z283" t="str">
        <f>IF(Transaction[[#This Row],[GrossRevenue_Clean]]=Transaction[[#This Row],[ListPrice]]*Transaction[[#This Row],[Quantity]],"Valid","Invalid")</f>
        <v>Valid</v>
      </c>
      <c r="AA283">
        <v>284.04000000000002</v>
      </c>
      <c r="AB28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284.04000000000002</v>
      </c>
      <c r="AC283">
        <f>IF(Transaction[[#This Row],[DiscountAmount_Check2]]="Invalid",Transaction[[#This Row],[GrossRevenue_Analytical]]-Transaction[[#This Row],[NetRevenue_Analytical]],Transaction[[#This Row],[DiscountAmount_Clean]])</f>
        <v>284.04000000000002</v>
      </c>
      <c r="AD283">
        <v>4195.96</v>
      </c>
      <c r="AE283" t="str">
        <f>IF(ROUND(Transaction[[#This Row],[GrossRevenue_Analytical]]-Transaction[[#This Row],[NetRevenue_Analytical]],2)=ROUND(Transaction[[#This Row],[DiscountAmount_Clean]],2),"Valid","Invalid")</f>
        <v>Valid</v>
      </c>
      <c r="AF283">
        <f>VALUE(IF(ISNUMBER(Transaction[[#This Row],[NetRevenue]]),Transaction[[#This Row],[NetRevenue]],IFERROR(IF(FIND("$",Transaction[[#This Row],[NetRevenue]])&gt;0,MID(Transaction[[#This Row],[NetRevenue]],2,10)),Transaction[[#This Row],[NetRevenue]])))</f>
        <v>4195.96</v>
      </c>
      <c r="AG283">
        <f>IF(Transaction[[#This Row],[NetRevenue_Check]]="Invalid",(Transaction[[#This Row],[Quantity]]*Transaction[[#This Row],[UnitPrice_Clean]]),Transaction[[#This Row],[NetRevenue_Clean]])</f>
        <v>4195.96</v>
      </c>
      <c r="AH283" t="str">
        <f>IF(Transaction[[#This Row],[Quantity]]*Transaction[[#This Row],[UnitPrice_Clean]]=Transaction[[#This Row],[NetRevenue_Clean]],"Valid","Invalid")</f>
        <v>Valid</v>
      </c>
      <c r="AI283" t="s">
        <v>23</v>
      </c>
      <c r="AJ283" t="s">
        <v>1713</v>
      </c>
      <c r="AK283" t="str">
        <f>IF(Transaction[[#This Row],[Salesperson]]="","Missing Value",TRIM(PROPER(Transaction[[#This Row],[Salesperson]])))</f>
        <v>Rogers</v>
      </c>
      <c r="AL283" t="s">
        <v>25</v>
      </c>
      <c r="AM283" t="str">
        <f>IF(Transaction[[#This Row],[ContractType]]="","Missing Value",Transaction[[#This Row],[ContractType]])</f>
        <v>Frame Agreement</v>
      </c>
      <c r="AN283" t="s">
        <v>35</v>
      </c>
    </row>
    <row r="284" spans="1:40" x14ac:dyDescent="0.25">
      <c r="A284" t="s">
        <v>425</v>
      </c>
      <c r="B284" s="1">
        <v>45660</v>
      </c>
      <c r="C28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28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28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84" s="2">
        <f>IFERROR(DATE(Transaction[[#This Row],[TransactionDateY]],Transaction[[#This Row],[TransactionDateM]],Transaction[[#This Row],[TransactionDateD]]),"Missing Value")</f>
        <v>45660</v>
      </c>
      <c r="G284" t="s">
        <v>167</v>
      </c>
      <c r="H284" t="str">
        <f>IFERROR(VLOOKUP(Transaction[[#This Row],[CustomerID]],Custumer[],1,0),IF(LEN(Transaction[[#This Row],[CustomerID]])=7,LEFT(Transaction[[#This Row],[CustomerID]],6),"Invalid ID"))</f>
        <v>C-1008</v>
      </c>
      <c r="I284" t="s">
        <v>121</v>
      </c>
      <c r="J284" t="str">
        <f>TRIM(UPPER(Transaction[[#This Row],[ProductID]]))</f>
        <v>P-FS-001</v>
      </c>
      <c r="K284" t="str">
        <f>IFERROR(VLOOKUP(Transaction[[#This Row],[ProductID_Clean]],Product[],1,FALSE),"Invalid ID")</f>
        <v>P-FS-001</v>
      </c>
      <c r="L284" t="str">
        <f>TRIM(SUBSTITUTE(SUBSTITUTE(SUBSTITUTE(SUBSTITUTE(UPPER(Transaction[[#This Row],[Region]]),"EMEA REGION","EMEA"),"APAC REGION","APAC"),"NORTH AMERICA","N. AMERICA"),"N .AMERICA","N.AMERICA"))</f>
        <v>N. AMERICA</v>
      </c>
      <c r="M284" t="s">
        <v>20</v>
      </c>
      <c r="N284" t="s">
        <v>21</v>
      </c>
      <c r="O28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284" t="s">
        <v>40</v>
      </c>
      <c r="Q284" t="str">
        <f>IF(TRIM(Transaction[[#This Row],[SalesChannel]])="","Missing Value",TRIM(Transaction[[#This Row],[SalesChannel]]))</f>
        <v>Distributor</v>
      </c>
      <c r="R284" s="4">
        <v>1</v>
      </c>
      <c r="S284" s="4" t="str">
        <f>IF(Transaction[[#This Row],[Quantity]]&lt;0,"Negative-review","Valid")</f>
        <v>Valid</v>
      </c>
      <c r="T284">
        <v>1224.08</v>
      </c>
      <c r="U28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1224.08</v>
      </c>
      <c r="V284">
        <v>1850</v>
      </c>
      <c r="W284">
        <v>1850</v>
      </c>
      <c r="X28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284">
        <f>IF(Transaction[[#This Row],[GrossRevenue_Check]]="Invalid",Transaction[[#This Row],[ListPrice]]*Transaction[[#This Row],[Quantity]],Transaction[[#This Row],[GrossRevenue_Clean]])</f>
        <v>1850</v>
      </c>
      <c r="Z284" t="str">
        <f>IF(Transaction[[#This Row],[GrossRevenue_Clean]]=Transaction[[#This Row],[ListPrice]]*Transaction[[#This Row],[Quantity]],"Valid","Invalid")</f>
        <v>Valid</v>
      </c>
      <c r="AA284">
        <v>625.91999999999996</v>
      </c>
      <c r="AB28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625.91999999999996</v>
      </c>
      <c r="AC284">
        <f>IF(Transaction[[#This Row],[DiscountAmount_Check2]]="Invalid",Transaction[[#This Row],[GrossRevenue_Analytical]]-Transaction[[#This Row],[NetRevenue_Analytical]],Transaction[[#This Row],[DiscountAmount_Clean]])</f>
        <v>625.91999999999996</v>
      </c>
      <c r="AD284" t="s">
        <v>426</v>
      </c>
      <c r="AE284" t="str">
        <f>IF(ROUND(Transaction[[#This Row],[GrossRevenue_Analytical]]-Transaction[[#This Row],[NetRevenue_Analytical]],2)=ROUND(Transaction[[#This Row],[DiscountAmount_Clean]],2),"Valid","Invalid")</f>
        <v>Valid</v>
      </c>
      <c r="AF28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1224.08</v>
      </c>
      <c r="AG284">
        <f>IF(Transaction[[#This Row],[NetRevenue_Check]]="Invalid",(Transaction[[#This Row],[Quantity]]*Transaction[[#This Row],[UnitPrice_Clean]]),Transaction[[#This Row],[NetRevenue_Clean]])</f>
        <v>1224.08</v>
      </c>
      <c r="AH284" t="str">
        <f>IF(Transaction[[#This Row],[Quantity]]*Transaction[[#This Row],[UnitPrice_Clean]]=Transaction[[#This Row],[NetRevenue_Clean]],"Valid","Invalid")</f>
        <v>Valid</v>
      </c>
      <c r="AI284" t="s">
        <v>23</v>
      </c>
      <c r="AJ284" t="s">
        <v>427</v>
      </c>
      <c r="AK284" t="str">
        <f>IF(Transaction[[#This Row],[Salesperson]]="","Missing Value",TRIM(PROPER(Transaction[[#This Row],[Salesperson]])))</f>
        <v>Thomas-Em</v>
      </c>
      <c r="AL284" t="s">
        <v>55</v>
      </c>
      <c r="AM284" t="str">
        <f>IF(Transaction[[#This Row],[ContractType]]="","Missing Value",Transaction[[#This Row],[ContractType]])</f>
        <v>Spot</v>
      </c>
      <c r="AN284" t="s">
        <v>26</v>
      </c>
    </row>
    <row r="285" spans="1:40" x14ac:dyDescent="0.25">
      <c r="A285" t="s">
        <v>2614</v>
      </c>
      <c r="B285" t="s">
        <v>2409</v>
      </c>
      <c r="C28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28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28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85" s="2">
        <f>IFERROR(DATE(Transaction[[#This Row],[TransactionDateY]],Transaction[[#This Row],[TransactionDateM]],Transaction[[#This Row],[TransactionDateD]]),"Missing Value")</f>
        <v>45833</v>
      </c>
      <c r="G285" t="s">
        <v>193</v>
      </c>
      <c r="H285" t="str">
        <f>IFERROR(VLOOKUP(Transaction[[#This Row],[CustomerID]],Custumer[],1,0),IF(LEN(Transaction[[#This Row],[CustomerID]])=7,LEFT(Transaction[[#This Row],[CustomerID]],6),"Invalid ID"))</f>
        <v>C-1079</v>
      </c>
      <c r="I285" t="s">
        <v>226</v>
      </c>
      <c r="J285" t="str">
        <f>TRIM(UPPER(Transaction[[#This Row],[ProductID]]))</f>
        <v>P-SA-002</v>
      </c>
      <c r="K285" t="str">
        <f>IFERROR(VLOOKUP(Transaction[[#This Row],[ProductID_Clean]],Product[],1,FALSE),"Invalid ID")</f>
        <v>P-SA-002</v>
      </c>
      <c r="L285" t="str">
        <f>TRIM(SUBSTITUTE(SUBSTITUTE(SUBSTITUTE(SUBSTITUTE(UPPER(Transaction[[#This Row],[Region]]),"EMEA REGION","EMEA"),"APAC REGION","APAC"),"NORTH AMERICA","N. AMERICA"),"N .AMERICA","N.AMERICA"))</f>
        <v>N. AMERICA</v>
      </c>
      <c r="M285" t="s">
        <v>20</v>
      </c>
      <c r="N285" t="s">
        <v>31</v>
      </c>
      <c r="O28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85" t="s">
        <v>40</v>
      </c>
      <c r="Q285" t="str">
        <f>IF(TRIM(Transaction[[#This Row],[SalesChannel]])="","Missing Value",TRIM(Transaction[[#This Row],[SalesChannel]]))</f>
        <v>Distributor</v>
      </c>
      <c r="R285" s="4">
        <v>1</v>
      </c>
      <c r="S285" s="4" t="str">
        <f>IF(Transaction[[#This Row],[Quantity]]&lt;0,"Negative-review","Valid")</f>
        <v>Valid</v>
      </c>
      <c r="T285">
        <v>8639.6299999999992</v>
      </c>
      <c r="U28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8639.6299999999992</v>
      </c>
      <c r="V285">
        <v>9800</v>
      </c>
      <c r="W285">
        <v>9800</v>
      </c>
      <c r="X28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285">
        <f>IF(Transaction[[#This Row],[GrossRevenue_Check]]="Invalid",Transaction[[#This Row],[ListPrice]]*Transaction[[#This Row],[Quantity]],Transaction[[#This Row],[GrossRevenue_Clean]])</f>
        <v>9800</v>
      </c>
      <c r="Z285" t="str">
        <f>IF(Transaction[[#This Row],[GrossRevenue_Clean]]=Transaction[[#This Row],[ListPrice]]*Transaction[[#This Row],[Quantity]],"Valid","Invalid")</f>
        <v>Valid</v>
      </c>
      <c r="AA285" t="s">
        <v>2615</v>
      </c>
      <c r="AB28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1160.3699999999999</v>
      </c>
      <c r="AC285">
        <f>IF(Transaction[[#This Row],[DiscountAmount_Check2]]="Invalid",Transaction[[#This Row],[GrossRevenue_Analytical]]-Transaction[[#This Row],[NetRevenue_Analytical]],Transaction[[#This Row],[DiscountAmount_Clean]])</f>
        <v>1160.3699999999999</v>
      </c>
      <c r="AD285" t="s">
        <v>2616</v>
      </c>
      <c r="AE285" t="str">
        <f>IF(ROUND(Transaction[[#This Row],[GrossRevenue_Analytical]]-Transaction[[#This Row],[NetRevenue_Analytical]],2)=ROUND(Transaction[[#This Row],[DiscountAmount_Clean]],2),"Valid","Invalid")</f>
        <v>Valid</v>
      </c>
      <c r="AF285">
        <f>VALUE(IF(ISNUMBER(Transaction[[#This Row],[NetRevenue]]),Transaction[[#This Row],[NetRevenue]],IFERROR(IF(FIND("$",Transaction[[#This Row],[NetRevenue]])&gt;0,MID(Transaction[[#This Row],[NetRevenue]],2,10)),Transaction[[#This Row],[NetRevenue]])))</f>
        <v>8639.6299999999992</v>
      </c>
      <c r="AG285">
        <f>IF(Transaction[[#This Row],[NetRevenue_Check]]="Invalid",(Transaction[[#This Row],[Quantity]]*Transaction[[#This Row],[UnitPrice_Clean]]),Transaction[[#This Row],[NetRevenue_Clean]])</f>
        <v>8639.6299999999992</v>
      </c>
      <c r="AH285" t="str">
        <f>IF(Transaction[[#This Row],[Quantity]]*Transaction[[#This Row],[UnitPrice_Clean]]=Transaction[[#This Row],[NetRevenue_Clean]],"Valid","Invalid")</f>
        <v>Valid</v>
      </c>
      <c r="AI285" t="s">
        <v>23</v>
      </c>
      <c r="AJ285" t="s">
        <v>424</v>
      </c>
      <c r="AK285" t="str">
        <f>IF(Transaction[[#This Row],[Salesperson]]="","Missing Value",TRIM(PROPER(Transaction[[#This Row],[Salesperson]])))</f>
        <v>Johnson-Ap</v>
      </c>
      <c r="AL285" t="s">
        <v>34</v>
      </c>
      <c r="AM285" t="str">
        <f>IF(Transaction[[#This Row],[ContractType]]="","Missing Value",Transaction[[#This Row],[ContractType]])</f>
        <v>Annual License</v>
      </c>
      <c r="AN285" t="s">
        <v>65</v>
      </c>
    </row>
    <row r="286" spans="1:40" x14ac:dyDescent="0.25">
      <c r="A286" t="s">
        <v>2308</v>
      </c>
      <c r="B286" t="s">
        <v>2309</v>
      </c>
      <c r="C28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28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28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86" s="2">
        <f>IFERROR(DATE(Transaction[[#This Row],[TransactionDateY]],Transaction[[#This Row],[TransactionDateM]],Transaction[[#This Row],[TransactionDateD]]),"Missing Value")</f>
        <v>45670</v>
      </c>
      <c r="G286" t="s">
        <v>28</v>
      </c>
      <c r="H286" t="str">
        <f>IFERROR(VLOOKUP(Transaction[[#This Row],[CustomerID]],Custumer[],1,0),IF(LEN(Transaction[[#This Row],[CustomerID]])=7,LEFT(Transaction[[#This Row],[CustomerID]],6),"Invalid ID"))</f>
        <v>C-1038</v>
      </c>
      <c r="I286" t="s">
        <v>39</v>
      </c>
      <c r="J286" t="str">
        <f>TRIM(UPPER(Transaction[[#This Row],[ProductID]]))</f>
        <v>P-FS-006</v>
      </c>
      <c r="K286" t="str">
        <f>IFERROR(VLOOKUP(Transaction[[#This Row],[ProductID_Clean]],Product[],1,FALSE),"Invalid ID")</f>
        <v>P-FS-006</v>
      </c>
      <c r="L286" t="str">
        <f>TRIM(SUBSTITUTE(SUBSTITUTE(SUBSTITUTE(SUBSTITUTE(UPPER(Transaction[[#This Row],[Region]]),"EMEA REGION","EMEA"),"APAC REGION","APAC"),"NORTH AMERICA","N. AMERICA"),"N .AMERICA","N.AMERICA"))</f>
        <v>APAC</v>
      </c>
      <c r="M286" t="s">
        <v>30</v>
      </c>
      <c r="N286" t="s">
        <v>21</v>
      </c>
      <c r="O28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286" t="s">
        <v>40</v>
      </c>
      <c r="Q286" t="str">
        <f>IF(TRIM(Transaction[[#This Row],[SalesChannel]])="","Missing Value",TRIM(Transaction[[#This Row],[SalesChannel]]))</f>
        <v>Distributor</v>
      </c>
      <c r="R286" s="4">
        <v>2</v>
      </c>
      <c r="S286" s="4" t="str">
        <f>IF(Transaction[[#This Row],[Quantity]]&lt;0,"Negative-review","Valid")</f>
        <v>Valid</v>
      </c>
      <c r="T286">
        <v>1128.44</v>
      </c>
      <c r="U28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1128.44</v>
      </c>
      <c r="V286">
        <v>1450</v>
      </c>
      <c r="W286">
        <v>2900</v>
      </c>
      <c r="X28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2900</v>
      </c>
      <c r="Y286">
        <f>IF(Transaction[[#This Row],[GrossRevenue_Check]]="Invalid",Transaction[[#This Row],[ListPrice]]*Transaction[[#This Row],[Quantity]],Transaction[[#This Row],[GrossRevenue_Clean]])</f>
        <v>2900</v>
      </c>
      <c r="Z286" t="str">
        <f>IF(Transaction[[#This Row],[GrossRevenue_Clean]]=Transaction[[#This Row],[ListPrice]]*Transaction[[#This Row],[Quantity]],"Valid","Invalid")</f>
        <v>Valid</v>
      </c>
      <c r="AA286">
        <v>643.12</v>
      </c>
      <c r="AB28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643.12</v>
      </c>
      <c r="AC286">
        <f>IF(Transaction[[#This Row],[DiscountAmount_Check2]]="Invalid",Transaction[[#This Row],[GrossRevenue_Analytical]]-Transaction[[#This Row],[NetRevenue_Analytical]],Transaction[[#This Row],[DiscountAmount_Clean]])</f>
        <v>643.12</v>
      </c>
      <c r="AD286">
        <v>2256.88</v>
      </c>
      <c r="AE286" t="str">
        <f>IF(ROUND(Transaction[[#This Row],[GrossRevenue_Analytical]]-Transaction[[#This Row],[NetRevenue_Analytical]],2)=ROUND(Transaction[[#This Row],[DiscountAmount_Clean]],2),"Valid","Invalid")</f>
        <v>Valid</v>
      </c>
      <c r="AF286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2256.88</v>
      </c>
      <c r="AG286">
        <f>IF(Transaction[[#This Row],[NetRevenue_Check]]="Invalid",(Transaction[[#This Row],[Quantity]]*Transaction[[#This Row],[UnitPrice_Clean]]),Transaction[[#This Row],[NetRevenue_Clean]])</f>
        <v>2256.88</v>
      </c>
      <c r="AH286" t="str">
        <f>IF(Transaction[[#This Row],[Quantity]]*Transaction[[#This Row],[UnitPrice_Clean]]=Transaction[[#This Row],[NetRevenue_Clean]],"Valid","Invalid")</f>
        <v>Valid</v>
      </c>
      <c r="AI286" t="s">
        <v>23</v>
      </c>
      <c r="AJ286" t="s">
        <v>2310</v>
      </c>
      <c r="AK286" t="str">
        <f>IF(Transaction[[#This Row],[Salesperson]]="","Missing Value",TRIM(PROPER(Transaction[[#This Row],[Salesperson]])))</f>
        <v>Lowery-Em</v>
      </c>
      <c r="AL286" t="s">
        <v>42</v>
      </c>
      <c r="AM286" t="str">
        <f>IF(Transaction[[#This Row],[ContractType]]="","Missing Value",Transaction[[#This Row],[ContractType]])</f>
        <v>Standard PO</v>
      </c>
      <c r="AN286" t="s">
        <v>35</v>
      </c>
    </row>
    <row r="287" spans="1:40" x14ac:dyDescent="0.25">
      <c r="A287" t="s">
        <v>1021</v>
      </c>
      <c r="B287" t="s">
        <v>1022</v>
      </c>
      <c r="C28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28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08</v>
      </c>
      <c r="E28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87" s="2">
        <f>IFERROR(DATE(Transaction[[#This Row],[TransactionDateY]],Transaction[[#This Row],[TransactionDateM]],Transaction[[#This Row],[TransactionDateD]]),"Missing Value")</f>
        <v>45785</v>
      </c>
      <c r="G287" t="s">
        <v>1023</v>
      </c>
      <c r="H287" t="str">
        <f>IFERROR(VLOOKUP(Transaction[[#This Row],[CustomerID]],Custumer[],1,0),IF(LEN(Transaction[[#This Row],[CustomerID]])=7,LEFT(Transaction[[#This Row],[CustomerID]],6),"Invalid ID"))</f>
        <v>C-1122</v>
      </c>
      <c r="I287" t="s">
        <v>46</v>
      </c>
      <c r="J287" t="str">
        <f>TRIM(UPPER(Transaction[[#This Row],[ProductID]]))</f>
        <v>P-SI-006</v>
      </c>
      <c r="K287" t="str">
        <f>IFERROR(VLOOKUP(Transaction[[#This Row],[ProductID_Clean]],Product[],1,FALSE),"Invalid ID")</f>
        <v>P-SI-006</v>
      </c>
      <c r="L287" t="str">
        <f>TRIM(SUBSTITUTE(SUBSTITUTE(SUBSTITUTE(SUBSTITUTE(UPPER(Transaction[[#This Row],[Region]]),"EMEA REGION","EMEA"),"APAC REGION","APAC"),"NORTH AMERICA","N. AMERICA"),"N .AMERICA","N.AMERICA"))</f>
        <v>N. AMERICA</v>
      </c>
      <c r="M287" t="s">
        <v>20</v>
      </c>
      <c r="N287" t="s">
        <v>47</v>
      </c>
      <c r="O28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87" t="s">
        <v>22</v>
      </c>
      <c r="Q287" t="str">
        <f>IF(TRIM(Transaction[[#This Row],[SalesChannel]])="","Missing Value",TRIM(Transaction[[#This Row],[SalesChannel]]))</f>
        <v>Direct</v>
      </c>
      <c r="R287" s="4">
        <v>12</v>
      </c>
      <c r="S287" s="4" t="str">
        <f>IF(Transaction[[#This Row],[Quantity]]&lt;0,"Negative-review","Valid")</f>
        <v>Valid</v>
      </c>
      <c r="T287">
        <v>187.42</v>
      </c>
      <c r="U28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187.42</v>
      </c>
      <c r="V287">
        <v>215</v>
      </c>
      <c r="W287">
        <v>2580</v>
      </c>
      <c r="X28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2580</v>
      </c>
      <c r="Y287">
        <f>IF(Transaction[[#This Row],[GrossRevenue_Check]]="Invalid",Transaction[[#This Row],[ListPrice]]*Transaction[[#This Row],[Quantity]],Transaction[[#This Row],[GrossRevenue_Clean]])</f>
        <v>2580</v>
      </c>
      <c r="Z287" t="str">
        <f>IF(Transaction[[#This Row],[GrossRevenue_Clean]]=Transaction[[#This Row],[ListPrice]]*Transaction[[#This Row],[Quantity]],"Valid","Invalid")</f>
        <v>Valid</v>
      </c>
      <c r="AA287">
        <v>330.96</v>
      </c>
      <c r="AB28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330.96</v>
      </c>
      <c r="AC287">
        <f>IF(Transaction[[#This Row],[DiscountAmount_Check2]]="Invalid",Transaction[[#This Row],[GrossRevenue_Analytical]]-Transaction[[#This Row],[NetRevenue_Analytical]],Transaction[[#This Row],[DiscountAmount_Clean]])</f>
        <v>330.96</v>
      </c>
      <c r="AD287">
        <v>2249.04</v>
      </c>
      <c r="AE287" t="str">
        <f>IF(ROUND(Transaction[[#This Row],[GrossRevenue_Analytical]]-Transaction[[#This Row],[NetRevenue_Analytical]],2)=ROUND(Transaction[[#This Row],[DiscountAmount_Clean]],2),"Valid","Invalid")</f>
        <v>Valid</v>
      </c>
      <c r="AF287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2249.04</v>
      </c>
      <c r="AG287">
        <f>IF(Transaction[[#This Row],[NetRevenue_Check]]="Invalid",(Transaction[[#This Row],[Quantity]]*Transaction[[#This Row],[UnitPrice_Clean]]),Transaction[[#This Row],[NetRevenue_Clean]])</f>
        <v>2249.04</v>
      </c>
      <c r="AH287" t="str">
        <f>IF(Transaction[[#This Row],[Quantity]]*Transaction[[#This Row],[UnitPrice_Clean]]=Transaction[[#This Row],[NetRevenue_Clean]],"Valid","Invalid")</f>
        <v>Valid</v>
      </c>
      <c r="AI287" t="s">
        <v>23</v>
      </c>
      <c r="AJ287" t="s">
        <v>1024</v>
      </c>
      <c r="AK287" t="str">
        <f>IF(Transaction[[#This Row],[Salesperson]]="","Missing Value",TRIM(PROPER(Transaction[[#This Row],[Salesperson]])))</f>
        <v>Kennedy</v>
      </c>
      <c r="AL287" t="s">
        <v>25</v>
      </c>
      <c r="AM287" t="str">
        <f>IF(Transaction[[#This Row],[ContractType]]="","Missing Value",Transaction[[#This Row],[ContractType]])</f>
        <v>Frame Agreement</v>
      </c>
      <c r="AN287" t="s">
        <v>43</v>
      </c>
    </row>
    <row r="288" spans="1:40" x14ac:dyDescent="0.25">
      <c r="A288" t="s">
        <v>321</v>
      </c>
      <c r="B288" s="1">
        <v>45716</v>
      </c>
      <c r="C28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28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28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88" s="2">
        <f>IFERROR(DATE(Transaction[[#This Row],[TransactionDateY]],Transaction[[#This Row],[TransactionDateM]],Transaction[[#This Row],[TransactionDateD]]),"Missing Value")</f>
        <v>45716</v>
      </c>
      <c r="G288" t="s">
        <v>38</v>
      </c>
      <c r="H288" t="str">
        <f>IFERROR(VLOOKUP(Transaction[[#This Row],[CustomerID]],Custumer[],1,0),IF(LEN(Transaction[[#This Row],[CustomerID]])=7,LEFT(Transaction[[#This Row],[CustomerID]],6),"Invalid ID"))</f>
        <v>C-1027</v>
      </c>
      <c r="I288" t="s">
        <v>29</v>
      </c>
      <c r="J288" t="str">
        <f>TRIM(UPPER(Transaction[[#This Row],[ProductID]]))</f>
        <v>P-SA-001</v>
      </c>
      <c r="K288" t="str">
        <f>IFERROR(VLOOKUP(Transaction[[#This Row],[ProductID_Clean]],Product[],1,FALSE),"Invalid ID")</f>
        <v>P-SA-001</v>
      </c>
      <c r="L288" t="str">
        <f>TRIM(SUBSTITUTE(SUBSTITUTE(SUBSTITUTE(SUBSTITUTE(UPPER(Transaction[[#This Row],[Region]]),"EMEA REGION","EMEA"),"APAC REGION","APAC"),"NORTH AMERICA","N. AMERICA"),"N .AMERICA","N.AMERICA"))</f>
        <v>N. AMERICA</v>
      </c>
      <c r="M288" t="s">
        <v>20</v>
      </c>
      <c r="N288" t="s">
        <v>31</v>
      </c>
      <c r="O28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88" t="s">
        <v>40</v>
      </c>
      <c r="Q288" t="str">
        <f>IF(TRIM(Transaction[[#This Row],[SalesChannel]])="","Missing Value",TRIM(Transaction[[#This Row],[SalesChannel]]))</f>
        <v>Distributor</v>
      </c>
      <c r="R288" s="4">
        <v>1</v>
      </c>
      <c r="S288" s="4" t="str">
        <f>IF(Transaction[[#This Row],[Quantity]]&lt;0,"Negative-review","Valid")</f>
        <v>Valid</v>
      </c>
      <c r="T288">
        <v>3437.63</v>
      </c>
      <c r="U28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3437.63</v>
      </c>
      <c r="V288">
        <v>4200</v>
      </c>
      <c r="W288">
        <v>4200</v>
      </c>
      <c r="X28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288">
        <f>IF(Transaction[[#This Row],[GrossRevenue_Check]]="Invalid",Transaction[[#This Row],[ListPrice]]*Transaction[[#This Row],[Quantity]],Transaction[[#This Row],[GrossRevenue_Clean]])</f>
        <v>4200</v>
      </c>
      <c r="Z288" t="str">
        <f>IF(Transaction[[#This Row],[GrossRevenue_Clean]]=Transaction[[#This Row],[ListPrice]]*Transaction[[#This Row],[Quantity]],"Valid","Invalid")</f>
        <v>Valid</v>
      </c>
      <c r="AA288">
        <v>762.37</v>
      </c>
      <c r="AB28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762.37</v>
      </c>
      <c r="AC288">
        <f>IF(Transaction[[#This Row],[DiscountAmount_Check2]]="Invalid",Transaction[[#This Row],[GrossRevenue_Analytical]]-Transaction[[#This Row],[NetRevenue_Analytical]],Transaction[[#This Row],[DiscountAmount_Clean]])</f>
        <v>762.37</v>
      </c>
      <c r="AD288">
        <v>3437.63</v>
      </c>
      <c r="AE288" t="str">
        <f>IF(ROUND(Transaction[[#This Row],[GrossRevenue_Analytical]]-Transaction[[#This Row],[NetRevenue_Analytical]],2)=ROUND(Transaction[[#This Row],[DiscountAmount_Clean]],2),"Valid","Invalid")</f>
        <v>Valid</v>
      </c>
      <c r="AF288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3437.63</v>
      </c>
      <c r="AG288">
        <f>IF(Transaction[[#This Row],[NetRevenue_Check]]="Invalid",(Transaction[[#This Row],[Quantity]]*Transaction[[#This Row],[UnitPrice_Clean]]),Transaction[[#This Row],[NetRevenue_Clean]])</f>
        <v>3437.63</v>
      </c>
      <c r="AH288" t="str">
        <f>IF(Transaction[[#This Row],[Quantity]]*Transaction[[#This Row],[UnitPrice_Clean]]=Transaction[[#This Row],[NetRevenue_Clean]],"Valid","Invalid")</f>
        <v>Valid</v>
      </c>
      <c r="AI288" t="s">
        <v>23</v>
      </c>
      <c r="AJ288" t="s">
        <v>322</v>
      </c>
      <c r="AK288" t="str">
        <f>IF(Transaction[[#This Row],[Salesperson]]="","Missing Value",TRIM(PROPER(Transaction[[#This Row],[Salesperson]])))</f>
        <v>Guerra</v>
      </c>
      <c r="AL288" t="s">
        <v>113</v>
      </c>
      <c r="AM288" t="str">
        <f>IF(Transaction[[#This Row],[ContractType]]="","Missing Value",Transaction[[#This Row],[ContractType]])</f>
        <v>Subscription</v>
      </c>
      <c r="AN288" t="s">
        <v>43</v>
      </c>
    </row>
    <row r="289" spans="1:40" x14ac:dyDescent="0.25">
      <c r="A289" t="s">
        <v>986</v>
      </c>
      <c r="B289" s="1">
        <v>45714</v>
      </c>
      <c r="C28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28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28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89" s="2">
        <f>IFERROR(DATE(Transaction[[#This Row],[TransactionDateY]],Transaction[[#This Row],[TransactionDateM]],Transaction[[#This Row],[TransactionDateD]]),"Missing Value")</f>
        <v>45714</v>
      </c>
      <c r="G289" t="s">
        <v>203</v>
      </c>
      <c r="H289" t="str">
        <f>IFERROR(VLOOKUP(Transaction[[#This Row],[CustomerID]],Custumer[],1,0),IF(LEN(Transaction[[#This Row],[CustomerID]])=7,LEFT(Transaction[[#This Row],[CustomerID]],6),"Invalid ID"))</f>
        <v>C-1005</v>
      </c>
      <c r="I289" t="s">
        <v>111</v>
      </c>
      <c r="J289" t="str">
        <f>TRIM(UPPER(Transaction[[#This Row],[ProductID]]))</f>
        <v>P-SA-004</v>
      </c>
      <c r="K289" t="str">
        <f>IFERROR(VLOOKUP(Transaction[[#This Row],[ProductID_Clean]],Product[],1,FALSE),"Invalid ID")</f>
        <v>P-SA-004</v>
      </c>
      <c r="L289" t="str">
        <f>TRIM(SUBSTITUTE(SUBSTITUTE(SUBSTITUTE(SUBSTITUTE(UPPER(Transaction[[#This Row],[Region]]),"EMEA REGION","EMEA"),"APAC REGION","APAC"),"NORTH AMERICA","N. AMERICA"),"N .AMERICA","N.AMERICA"))</f>
        <v>N. AMERICA</v>
      </c>
      <c r="M289" t="s">
        <v>20</v>
      </c>
      <c r="N289" t="s">
        <v>572</v>
      </c>
      <c r="O28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89" t="s">
        <v>40</v>
      </c>
      <c r="Q289" t="str">
        <f>IF(TRIM(Transaction[[#This Row],[SalesChannel]])="","Missing Value",TRIM(Transaction[[#This Row],[SalesChannel]]))</f>
        <v>Distributor</v>
      </c>
      <c r="R289" s="4">
        <v>1</v>
      </c>
      <c r="S289" s="4" t="str">
        <f>IF(Transaction[[#This Row],[Quantity]]&lt;0,"Negative-review","Valid")</f>
        <v>Valid</v>
      </c>
      <c r="T289">
        <v>1300.3800000000001</v>
      </c>
      <c r="U28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1300.3800000000001</v>
      </c>
      <c r="V289">
        <v>1650</v>
      </c>
      <c r="W289">
        <v>1650</v>
      </c>
      <c r="X28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289">
        <f>IF(Transaction[[#This Row],[GrossRevenue_Check]]="Invalid",Transaction[[#This Row],[ListPrice]]*Transaction[[#This Row],[Quantity]],Transaction[[#This Row],[GrossRevenue_Clean]])</f>
        <v>1650</v>
      </c>
      <c r="Z289" t="str">
        <f>IF(Transaction[[#This Row],[GrossRevenue_Clean]]=Transaction[[#This Row],[ListPrice]]*Transaction[[#This Row],[Quantity]],"Valid","Invalid")</f>
        <v>Valid</v>
      </c>
      <c r="AA289">
        <v>349.62</v>
      </c>
      <c r="AB28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349.62</v>
      </c>
      <c r="AC289">
        <f>IF(Transaction[[#This Row],[DiscountAmount_Check2]]="Invalid",Transaction[[#This Row],[GrossRevenue_Analytical]]-Transaction[[#This Row],[NetRevenue_Analytical]],Transaction[[#This Row],[DiscountAmount_Clean]])</f>
        <v>349.62</v>
      </c>
      <c r="AD289">
        <v>1300.3800000000001</v>
      </c>
      <c r="AE289" t="str">
        <f>IF(ROUND(Transaction[[#This Row],[GrossRevenue_Analytical]]-Transaction[[#This Row],[NetRevenue_Analytical]],2)=ROUND(Transaction[[#This Row],[DiscountAmount_Clean]],2),"Valid","Invalid")</f>
        <v>Valid</v>
      </c>
      <c r="AF28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1300.3800000000001</v>
      </c>
      <c r="AG289">
        <f>IF(Transaction[[#This Row],[NetRevenue_Check]]="Invalid",(Transaction[[#This Row],[Quantity]]*Transaction[[#This Row],[UnitPrice_Clean]]),Transaction[[#This Row],[NetRevenue_Clean]])</f>
        <v>1300.3800000000001</v>
      </c>
      <c r="AH289" t="str">
        <f>IF(Transaction[[#This Row],[Quantity]]*Transaction[[#This Row],[UnitPrice_Clean]]=Transaction[[#This Row],[NetRevenue_Clean]],"Valid","Invalid")</f>
        <v>Valid</v>
      </c>
      <c r="AI289" t="s">
        <v>23</v>
      </c>
      <c r="AJ289" t="s">
        <v>987</v>
      </c>
      <c r="AK289" t="str">
        <f>IF(Transaction[[#This Row],[Salesperson]]="","Missing Value",TRIM(PROPER(Transaction[[#This Row],[Salesperson]])))</f>
        <v>Blake-Em</v>
      </c>
      <c r="AL289" t="s">
        <v>34</v>
      </c>
      <c r="AM289" t="str">
        <f>IF(Transaction[[#This Row],[ContractType]]="","Missing Value",Transaction[[#This Row],[ContractType]])</f>
        <v>Annual License</v>
      </c>
      <c r="AN289" t="s">
        <v>35</v>
      </c>
    </row>
    <row r="290" spans="1:40" x14ac:dyDescent="0.25">
      <c r="A290" t="s">
        <v>2919</v>
      </c>
      <c r="B290" t="s">
        <v>234</v>
      </c>
      <c r="C29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29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06</v>
      </c>
      <c r="E29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90" s="2">
        <f>IFERROR(DATE(Transaction[[#This Row],[TransactionDateY]],Transaction[[#This Row],[TransactionDateM]],Transaction[[#This Row],[TransactionDateD]]),"Missing Value")</f>
        <v>45722</v>
      </c>
      <c r="G290" t="s">
        <v>1065</v>
      </c>
      <c r="H290" t="str">
        <f>IFERROR(VLOOKUP(Transaction[[#This Row],[CustomerID]],Custumer[],1,0),IF(LEN(Transaction[[#This Row],[CustomerID]])=7,LEFT(Transaction[[#This Row],[CustomerID]],6),"Invalid ID"))</f>
        <v>C-1074</v>
      </c>
      <c r="I290" t="s">
        <v>52</v>
      </c>
      <c r="J290" t="str">
        <f>TRIM(UPPER(Transaction[[#This Row],[ProductID]]))</f>
        <v>P-SI-002</v>
      </c>
      <c r="K290" t="str">
        <f>IFERROR(VLOOKUP(Transaction[[#This Row],[ProductID_Clean]],Product[],1,FALSE),"Invalid ID")</f>
        <v>P-SI-002</v>
      </c>
      <c r="L290" t="str">
        <f>TRIM(SUBSTITUTE(SUBSTITUTE(SUBSTITUTE(SUBSTITUTE(UPPER(Transaction[[#This Row],[Region]]),"EMEA REGION","EMEA"),"APAC REGION","APAC"),"NORTH AMERICA","N. AMERICA"),"N .AMERICA","N.AMERICA"))</f>
        <v>LATIN AMERICA</v>
      </c>
      <c r="M290" t="s">
        <v>724</v>
      </c>
      <c r="N290" t="s">
        <v>47</v>
      </c>
      <c r="O29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90" t="s">
        <v>181</v>
      </c>
      <c r="Q290" t="str">
        <f>IF(TRIM(Transaction[[#This Row],[SalesChannel]])="","Missing Value",TRIM(Transaction[[#This Row],[SalesChannel]]))</f>
        <v>Partner Portal</v>
      </c>
      <c r="R290" s="4">
        <v>3</v>
      </c>
      <c r="S290" s="4" t="str">
        <f>IF(Transaction[[#This Row],[Quantity]]&lt;0,"Negative-review","Valid")</f>
        <v>Valid</v>
      </c>
      <c r="T290">
        <v>596.51</v>
      </c>
      <c r="U29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596.51</v>
      </c>
      <c r="V290">
        <v>725</v>
      </c>
      <c r="W290">
        <v>2175</v>
      </c>
      <c r="X29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2175</v>
      </c>
      <c r="Y290">
        <f>IF(Transaction[[#This Row],[GrossRevenue_Check]]="Invalid",Transaction[[#This Row],[ListPrice]]*Transaction[[#This Row],[Quantity]],Transaction[[#This Row],[GrossRevenue_Clean]])</f>
        <v>2175</v>
      </c>
      <c r="Z290" t="str">
        <f>IF(Transaction[[#This Row],[GrossRevenue_Clean]]=Transaction[[#This Row],[ListPrice]]*Transaction[[#This Row],[Quantity]],"Valid","Invalid")</f>
        <v>Valid</v>
      </c>
      <c r="AA290" t="s">
        <v>2920</v>
      </c>
      <c r="AB29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385.47</v>
      </c>
      <c r="AC290">
        <f>IF(Transaction[[#This Row],[DiscountAmount_Check2]]="Invalid",Transaction[[#This Row],[GrossRevenue_Analytical]]-Transaction[[#This Row],[NetRevenue_Analytical]],Transaction[[#This Row],[DiscountAmount_Clean]])</f>
        <v>385.47</v>
      </c>
      <c r="AD290">
        <v>1789.53</v>
      </c>
      <c r="AE290" t="str">
        <f>IF(ROUND(Transaction[[#This Row],[GrossRevenue_Analytical]]-Transaction[[#This Row],[NetRevenue_Analytical]],2)=ROUND(Transaction[[#This Row],[DiscountAmount_Clean]],2),"Valid","Invalid")</f>
        <v>Valid</v>
      </c>
      <c r="AF29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1789.53</v>
      </c>
      <c r="AG290">
        <f>IF(Transaction[[#This Row],[NetRevenue_Check]]="Invalid",(Transaction[[#This Row],[Quantity]]*Transaction[[#This Row],[UnitPrice_Clean]]),Transaction[[#This Row],[NetRevenue_Clean]])</f>
        <v>1789.53</v>
      </c>
      <c r="AH290" t="str">
        <f>IF(Transaction[[#This Row],[Quantity]]*Transaction[[#This Row],[UnitPrice_Clean]]=Transaction[[#This Row],[NetRevenue_Clean]],"Valid","Invalid")</f>
        <v>Valid</v>
      </c>
      <c r="AI290" t="s">
        <v>23</v>
      </c>
      <c r="AJ290" t="s">
        <v>883</v>
      </c>
      <c r="AK290" t="str">
        <f>IF(Transaction[[#This Row],[Salesperson]]="","Missing Value",TRIM(PROPER(Transaction[[#This Row],[Salesperson]])))</f>
        <v>Harrison-Ap</v>
      </c>
      <c r="AL290" t="s">
        <v>42</v>
      </c>
      <c r="AM290" t="str">
        <f>IF(Transaction[[#This Row],[ContractType]]="","Missing Value",Transaction[[#This Row],[ContractType]])</f>
        <v>Standard PO</v>
      </c>
      <c r="AN290" t="s">
        <v>43</v>
      </c>
    </row>
    <row r="291" spans="1:40" x14ac:dyDescent="0.25">
      <c r="A291" t="s">
        <v>225</v>
      </c>
      <c r="B291" s="1">
        <v>45651</v>
      </c>
      <c r="C29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12</v>
      </c>
      <c r="D29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29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2024</v>
      </c>
      <c r="F291" s="2">
        <f>IFERROR(DATE(Transaction[[#This Row],[TransactionDateY]],Transaction[[#This Row],[TransactionDateM]],Transaction[[#This Row],[TransactionDateD]]),"Missing Value")</f>
        <v>45651</v>
      </c>
      <c r="G291" t="s">
        <v>157</v>
      </c>
      <c r="H291" t="str">
        <f>IFERROR(VLOOKUP(Transaction[[#This Row],[CustomerID]],Custumer[],1,0),IF(LEN(Transaction[[#This Row],[CustomerID]])=7,LEFT(Transaction[[#This Row],[CustomerID]],6),"Invalid ID"))</f>
        <v>C-1021</v>
      </c>
      <c r="I291" t="s">
        <v>226</v>
      </c>
      <c r="J291" t="str">
        <f>TRIM(UPPER(Transaction[[#This Row],[ProductID]]))</f>
        <v>P-SA-002</v>
      </c>
      <c r="K291" t="str">
        <f>IFERROR(VLOOKUP(Transaction[[#This Row],[ProductID_Clean]],Product[],1,FALSE),"Invalid ID")</f>
        <v>P-SA-002</v>
      </c>
      <c r="L291" t="str">
        <f>TRIM(SUBSTITUTE(SUBSTITUTE(SUBSTITUTE(SUBSTITUTE(UPPER(Transaction[[#This Row],[Region]]),"EMEA REGION","EMEA"),"APAC REGION","APAC"),"NORTH AMERICA","N. AMERICA"),"N .AMERICA","N.AMERICA"))</f>
        <v>EMEA</v>
      </c>
      <c r="M291" t="s">
        <v>76</v>
      </c>
      <c r="N291" t="s">
        <v>31</v>
      </c>
      <c r="O29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291" t="s">
        <v>40</v>
      </c>
      <c r="Q291" t="str">
        <f>IF(TRIM(Transaction[[#This Row],[SalesChannel]])="","Missing Value",TRIM(Transaction[[#This Row],[SalesChannel]]))</f>
        <v>Distributor</v>
      </c>
      <c r="R291" s="4">
        <v>2</v>
      </c>
      <c r="S291" s="4" t="str">
        <f>IF(Transaction[[#This Row],[Quantity]]&lt;0,"Negative-review","Valid")</f>
        <v>Valid</v>
      </c>
      <c r="T291">
        <v>7627.98</v>
      </c>
      <c r="U29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7627.98</v>
      </c>
      <c r="V291">
        <v>9800</v>
      </c>
      <c r="W291">
        <v>19600</v>
      </c>
      <c r="X29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19600</v>
      </c>
      <c r="Y291">
        <f>IF(Transaction[[#This Row],[GrossRevenue_Check]]="Invalid",Transaction[[#This Row],[ListPrice]]*Transaction[[#This Row],[Quantity]],Transaction[[#This Row],[GrossRevenue_Clean]])</f>
        <v>19600</v>
      </c>
      <c r="Z291" t="str">
        <f>IF(Transaction[[#This Row],[GrossRevenue_Clean]]=Transaction[[#This Row],[ListPrice]]*Transaction[[#This Row],[Quantity]],"Valid","Invalid")</f>
        <v>Valid</v>
      </c>
      <c r="AA291">
        <v>4344.04</v>
      </c>
      <c r="AB29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4344.04</v>
      </c>
      <c r="AC291">
        <f>IF(Transaction[[#This Row],[DiscountAmount_Check2]]="Invalid",Transaction[[#This Row],[GrossRevenue_Analytical]]-Transaction[[#This Row],[NetRevenue_Analytical]],Transaction[[#This Row],[DiscountAmount_Clean]])</f>
        <v>4344.04</v>
      </c>
      <c r="AD291">
        <v>15255.96</v>
      </c>
      <c r="AE291" t="str">
        <f>IF(ROUND(Transaction[[#This Row],[GrossRevenue_Analytical]]-Transaction[[#This Row],[NetRevenue_Analytical]],2)=ROUND(Transaction[[#This Row],[DiscountAmount_Clean]],2),"Valid","Invalid")</f>
        <v>Valid</v>
      </c>
      <c r="AF29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15255.96</v>
      </c>
      <c r="AG291">
        <f>IF(Transaction[[#This Row],[NetRevenue_Check]]="Invalid",(Transaction[[#This Row],[Quantity]]*Transaction[[#This Row],[UnitPrice_Clean]]),Transaction[[#This Row],[NetRevenue_Clean]])</f>
        <v>15255.96</v>
      </c>
      <c r="AH291" t="str">
        <f>IF(Transaction[[#This Row],[Quantity]]*Transaction[[#This Row],[UnitPrice_Clean]]=Transaction[[#This Row],[NetRevenue_Clean]],"Valid","Invalid")</f>
        <v>Valid</v>
      </c>
      <c r="AI291" t="s">
        <v>23</v>
      </c>
      <c r="AJ291" t="s">
        <v>227</v>
      </c>
      <c r="AK291" t="str">
        <f>IF(Transaction[[#This Row],[Salesperson]]="","Missing Value",TRIM(PROPER(Transaction[[#This Row],[Salesperson]])))</f>
        <v>Reed</v>
      </c>
      <c r="AL291" t="s">
        <v>113</v>
      </c>
      <c r="AM291" t="str">
        <f>IF(Transaction[[#This Row],[ContractType]]="","Missing Value",Transaction[[#This Row],[ContractType]])</f>
        <v>Subscription</v>
      </c>
      <c r="AN291" t="s">
        <v>49</v>
      </c>
    </row>
    <row r="292" spans="1:40" x14ac:dyDescent="0.25">
      <c r="A292" t="s">
        <v>313</v>
      </c>
      <c r="B292" s="1">
        <v>45826</v>
      </c>
      <c r="C29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29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29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92" s="2">
        <f>IFERROR(DATE(Transaction[[#This Row],[TransactionDateY]],Transaction[[#This Row],[TransactionDateM]],Transaction[[#This Row],[TransactionDateD]]),"Missing Value")</f>
        <v>45826</v>
      </c>
      <c r="G292" t="s">
        <v>314</v>
      </c>
      <c r="H292" t="str">
        <f>IFERROR(VLOOKUP(Transaction[[#This Row],[CustomerID]],Custumer[],1,0),IF(LEN(Transaction[[#This Row],[CustomerID]])=7,LEFT(Transaction[[#This Row],[CustomerID]],6),"Invalid ID"))</f>
        <v>Invalid ID</v>
      </c>
      <c r="I292" t="s">
        <v>97</v>
      </c>
      <c r="J292" t="str">
        <f>TRIM(UPPER(Transaction[[#This Row],[ProductID]]))</f>
        <v>P-SI-001</v>
      </c>
      <c r="K292" t="str">
        <f>IFERROR(VLOOKUP(Transaction[[#This Row],[ProductID_Clean]],Product[],1,FALSE),"Invalid ID")</f>
        <v>P-SI-001</v>
      </c>
      <c r="L292" t="str">
        <f>TRIM(SUBSTITUTE(SUBSTITUTE(SUBSTITUTE(SUBSTITUTE(UPPER(Transaction[[#This Row],[Region]]),"EMEA REGION","EMEA"),"APAC REGION","APAC"),"NORTH AMERICA","N. AMERICA"),"N .AMERICA","N.AMERICA"))</f>
        <v>APAC</v>
      </c>
      <c r="M292" t="s">
        <v>30</v>
      </c>
      <c r="N292" t="s">
        <v>53</v>
      </c>
      <c r="O29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92" t="s">
        <v>181</v>
      </c>
      <c r="Q292" t="str">
        <f>IF(TRIM(Transaction[[#This Row],[SalesChannel]])="","Missing Value",TRIM(Transaction[[#This Row],[SalesChannel]]))</f>
        <v>Partner Portal</v>
      </c>
      <c r="R292" s="4">
        <v>4</v>
      </c>
      <c r="S292" s="4" t="str">
        <f>IF(Transaction[[#This Row],[Quantity]]&lt;0,"Negative-review","Valid")</f>
        <v>Valid</v>
      </c>
      <c r="T292">
        <v>349.86</v>
      </c>
      <c r="U29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349.86</v>
      </c>
      <c r="V292">
        <v>485</v>
      </c>
      <c r="W292">
        <v>1940</v>
      </c>
      <c r="X29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1940</v>
      </c>
      <c r="Y292">
        <f>IF(Transaction[[#This Row],[GrossRevenue_Check]]="Invalid",Transaction[[#This Row],[ListPrice]]*Transaction[[#This Row],[Quantity]],Transaction[[#This Row],[GrossRevenue_Clean]])</f>
        <v>1940</v>
      </c>
      <c r="Z292" t="str">
        <f>IF(Transaction[[#This Row],[GrossRevenue_Clean]]=Transaction[[#This Row],[ListPrice]]*Transaction[[#This Row],[Quantity]],"Valid","Invalid")</f>
        <v>Valid</v>
      </c>
      <c r="AA292" t="s">
        <v>315</v>
      </c>
      <c r="AB29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540.55999999999995</v>
      </c>
      <c r="AC292">
        <f>IF(Transaction[[#This Row],[DiscountAmount_Check2]]="Invalid",Transaction[[#This Row],[GrossRevenue_Analytical]]-Transaction[[#This Row],[NetRevenue_Analytical]],Transaction[[#This Row],[DiscountAmount_Clean]])</f>
        <v>540.55999999999995</v>
      </c>
      <c r="AD292">
        <v>1399.44</v>
      </c>
      <c r="AE292" t="str">
        <f>IF(ROUND(Transaction[[#This Row],[GrossRevenue_Analytical]]-Transaction[[#This Row],[NetRevenue_Analytical]],2)=ROUND(Transaction[[#This Row],[DiscountAmount_Clean]],2),"Valid","Invalid")</f>
        <v>Valid</v>
      </c>
      <c r="AF29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1399.44</v>
      </c>
      <c r="AG292">
        <f>IF(Transaction[[#This Row],[NetRevenue_Check]]="Invalid",(Transaction[[#This Row],[Quantity]]*Transaction[[#This Row],[UnitPrice_Clean]]),Transaction[[#This Row],[NetRevenue_Clean]])</f>
        <v>1399.44</v>
      </c>
      <c r="AH292" t="str">
        <f>IF(Transaction[[#This Row],[Quantity]]*Transaction[[#This Row],[UnitPrice_Clean]]=Transaction[[#This Row],[NetRevenue_Clean]],"Valid","Invalid")</f>
        <v>Valid</v>
      </c>
      <c r="AI292" t="s">
        <v>23</v>
      </c>
      <c r="AJ292" t="s">
        <v>316</v>
      </c>
      <c r="AK292" t="str">
        <f>IF(Transaction[[#This Row],[Salesperson]]="","Missing Value",TRIM(PROPER(Transaction[[#This Row],[Salesperson]])))</f>
        <v>Gilbert-Ap</v>
      </c>
      <c r="AL292" t="s">
        <v>55</v>
      </c>
      <c r="AM292" t="str">
        <f>IF(Transaction[[#This Row],[ContractType]]="","Missing Value",Transaction[[#This Row],[ContractType]])</f>
        <v>Spot</v>
      </c>
      <c r="AN292" t="s">
        <v>49</v>
      </c>
    </row>
    <row r="293" spans="1:40" x14ac:dyDescent="0.25">
      <c r="A293" t="s">
        <v>1019</v>
      </c>
      <c r="B293" s="1">
        <v>45693</v>
      </c>
      <c r="C29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29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29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93" s="2">
        <f>IFERROR(DATE(Transaction[[#This Row],[TransactionDateY]],Transaction[[#This Row],[TransactionDateM]],Transaction[[#This Row],[TransactionDateD]]),"Missing Value")</f>
        <v>45693</v>
      </c>
      <c r="G293" t="s">
        <v>890</v>
      </c>
      <c r="H293" t="str">
        <f>IFERROR(VLOOKUP(Transaction[[#This Row],[CustomerID]],Custumer[],1,0),IF(LEN(Transaction[[#This Row],[CustomerID]])=7,LEFT(Transaction[[#This Row],[CustomerID]],6),"Invalid ID"))</f>
        <v>C-1134</v>
      </c>
      <c r="I293" t="s">
        <v>591</v>
      </c>
      <c r="J293" t="str">
        <f>TRIM(UPPER(Transaction[[#This Row],[ProductID]]))</f>
        <v>P-SI-004</v>
      </c>
      <c r="K293" t="str">
        <f>IFERROR(VLOOKUP(Transaction[[#This Row],[ProductID_Clean]],Product[],1,FALSE),"Invalid ID")</f>
        <v>P-SI-004</v>
      </c>
      <c r="L293" t="str">
        <f>TRIM(SUBSTITUTE(SUBSTITUTE(SUBSTITUTE(SUBSTITUTE(UPPER(Transaction[[#This Row],[Region]]),"EMEA REGION","EMEA"),"APAC REGION","APAC"),"NORTH AMERICA","N. AMERICA"),"N .AMERICA","N.AMERICA"))</f>
        <v>N. AMERICA</v>
      </c>
      <c r="M293" t="s">
        <v>20</v>
      </c>
      <c r="N293" t="s">
        <v>53</v>
      </c>
      <c r="O29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93" t="s">
        <v>22</v>
      </c>
      <c r="Q293" t="str">
        <f>IF(TRIM(Transaction[[#This Row],[SalesChannel]])="","Missing Value",TRIM(Transaction[[#This Row],[SalesChannel]]))</f>
        <v>Direct</v>
      </c>
      <c r="R293" s="4">
        <v>5</v>
      </c>
      <c r="S293" s="4" t="str">
        <f>IF(Transaction[[#This Row],[Quantity]]&lt;0,"Negative-review","Valid")</f>
        <v>Valid</v>
      </c>
      <c r="T293">
        <v>2116.29</v>
      </c>
      <c r="U29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2116.29</v>
      </c>
      <c r="V293">
        <v>2450</v>
      </c>
      <c r="W293">
        <v>12250</v>
      </c>
      <c r="X29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12250</v>
      </c>
      <c r="Y293">
        <f>IF(Transaction[[#This Row],[GrossRevenue_Check]]="Invalid",Transaction[[#This Row],[ListPrice]]*Transaction[[#This Row],[Quantity]],Transaction[[#This Row],[GrossRevenue_Clean]])</f>
        <v>12250</v>
      </c>
      <c r="Z293" t="str">
        <f>IF(Transaction[[#This Row],[GrossRevenue_Clean]]=Transaction[[#This Row],[ListPrice]]*Transaction[[#This Row],[Quantity]],"Valid","Invalid")</f>
        <v>Valid</v>
      </c>
      <c r="AA293">
        <v>1668.55</v>
      </c>
      <c r="AB29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1668.55</v>
      </c>
      <c r="AC293">
        <f>IF(Transaction[[#This Row],[DiscountAmount_Check2]]="Invalid",Transaction[[#This Row],[GrossRevenue_Analytical]]-Transaction[[#This Row],[NetRevenue_Analytical]],Transaction[[#This Row],[DiscountAmount_Clean]])</f>
        <v>1668.55</v>
      </c>
      <c r="AD293">
        <v>10581.45</v>
      </c>
      <c r="AE293" t="str">
        <f>IF(ROUND(Transaction[[#This Row],[GrossRevenue_Analytical]]-Transaction[[#This Row],[NetRevenue_Analytical]],2)=ROUND(Transaction[[#This Row],[DiscountAmount_Clean]],2),"Valid","Invalid")</f>
        <v>Valid</v>
      </c>
      <c r="AF29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10581.45</v>
      </c>
      <c r="AG293">
        <f>IF(Transaction[[#This Row],[NetRevenue_Check]]="Invalid",(Transaction[[#This Row],[Quantity]]*Transaction[[#This Row],[UnitPrice_Clean]]),Transaction[[#This Row],[NetRevenue_Clean]])</f>
        <v>10581.45</v>
      </c>
      <c r="AH293" t="str">
        <f>IF(Transaction[[#This Row],[Quantity]]*Transaction[[#This Row],[UnitPrice_Clean]]=Transaction[[#This Row],[NetRevenue_Clean]],"Valid","Invalid")</f>
        <v>Valid</v>
      </c>
      <c r="AI293" t="s">
        <v>23</v>
      </c>
      <c r="AJ293" t="s">
        <v>1020</v>
      </c>
      <c r="AK293" t="str">
        <f>IF(Transaction[[#This Row],[Salesperson]]="","Missing Value",TRIM(PROPER(Transaction[[#This Row],[Salesperson]])))</f>
        <v>Bullock-Ap</v>
      </c>
      <c r="AL293" t="s">
        <v>25</v>
      </c>
      <c r="AM293" t="str">
        <f>IF(Transaction[[#This Row],[ContractType]]="","Missing Value",Transaction[[#This Row],[ContractType]])</f>
        <v>Frame Agreement</v>
      </c>
      <c r="AN293" t="s">
        <v>49</v>
      </c>
    </row>
    <row r="294" spans="1:40" x14ac:dyDescent="0.25">
      <c r="A294" t="s">
        <v>593</v>
      </c>
      <c r="B294" s="1">
        <v>45682</v>
      </c>
      <c r="C29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29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29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94" s="2">
        <f>IFERROR(DATE(Transaction[[#This Row],[TransactionDateY]],Transaction[[#This Row],[TransactionDateM]],Transaction[[#This Row],[TransactionDateD]]),"Missing Value")</f>
        <v>45682</v>
      </c>
      <c r="G294" t="s">
        <v>562</v>
      </c>
      <c r="H294" t="str">
        <f>IFERROR(VLOOKUP(Transaction[[#This Row],[CustomerID]],Custumer[],1,0),IF(LEN(Transaction[[#This Row],[CustomerID]])=7,LEFT(Transaction[[#This Row],[CustomerID]],6),"Invalid ID"))</f>
        <v>C-1083</v>
      </c>
      <c r="I294" t="s">
        <v>594</v>
      </c>
      <c r="J294" t="str">
        <f>TRIM(UPPER(Transaction[[#This Row],[ProductID]]))</f>
        <v>P-FS-001</v>
      </c>
      <c r="K294" t="str">
        <f>IFERROR(VLOOKUP(Transaction[[#This Row],[ProductID_Clean]],Product[],1,FALSE),"Invalid ID")</f>
        <v>P-FS-001</v>
      </c>
      <c r="L294" t="str">
        <f>TRIM(SUBSTITUTE(SUBSTITUTE(SUBSTITUTE(SUBSTITUTE(UPPER(Transaction[[#This Row],[Region]]),"EMEA REGION","EMEA"),"APAC REGION","APAC"),"NORTH AMERICA","N. AMERICA"),"N .AMERICA","N.AMERICA"))</f>
        <v>LATIN AMERICA</v>
      </c>
      <c r="M294" t="s">
        <v>82</v>
      </c>
      <c r="N294" t="s">
        <v>21</v>
      </c>
      <c r="O29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294" t="s">
        <v>22</v>
      </c>
      <c r="Q294" t="str">
        <f>IF(TRIM(Transaction[[#This Row],[SalesChannel]])="","Missing Value",TRIM(Transaction[[#This Row],[SalesChannel]]))</f>
        <v>Direct</v>
      </c>
      <c r="R294" s="4">
        <v>1</v>
      </c>
      <c r="S294" s="4" t="str">
        <f>IF(Transaction[[#This Row],[Quantity]]&lt;0,"Negative-review","Valid")</f>
        <v>Valid</v>
      </c>
      <c r="T294" t="s">
        <v>595</v>
      </c>
      <c r="U29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1514.88</v>
      </c>
      <c r="V294">
        <v>1850</v>
      </c>
      <c r="W294">
        <v>1850</v>
      </c>
      <c r="X29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294">
        <f>IF(Transaction[[#This Row],[GrossRevenue_Check]]="Invalid",Transaction[[#This Row],[ListPrice]]*Transaction[[#This Row],[Quantity]],Transaction[[#This Row],[GrossRevenue_Clean]])</f>
        <v>1850</v>
      </c>
      <c r="Z294" t="str">
        <f>IF(Transaction[[#This Row],[GrossRevenue_Clean]]=Transaction[[#This Row],[ListPrice]]*Transaction[[#This Row],[Quantity]],"Valid","Invalid")</f>
        <v>Valid</v>
      </c>
      <c r="AA294">
        <v>335.12</v>
      </c>
      <c r="AB29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335.12</v>
      </c>
      <c r="AC294">
        <f>IF(Transaction[[#This Row],[DiscountAmount_Check2]]="Invalid",Transaction[[#This Row],[GrossRevenue_Analytical]]-Transaction[[#This Row],[NetRevenue_Analytical]],Transaction[[#This Row],[DiscountAmount_Clean]])</f>
        <v>335.12</v>
      </c>
      <c r="AD294">
        <v>1514.88</v>
      </c>
      <c r="AE294" t="str">
        <f>IF(ROUND(Transaction[[#This Row],[GrossRevenue_Analytical]]-Transaction[[#This Row],[NetRevenue_Analytical]],2)=ROUND(Transaction[[#This Row],[DiscountAmount_Clean]],2),"Valid","Invalid")</f>
        <v>Valid</v>
      </c>
      <c r="AF29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1514.88</v>
      </c>
      <c r="AG294">
        <f>IF(Transaction[[#This Row],[NetRevenue_Check]]="Invalid",(Transaction[[#This Row],[Quantity]]*Transaction[[#This Row],[UnitPrice_Clean]]),Transaction[[#This Row],[NetRevenue_Clean]])</f>
        <v>1514.88</v>
      </c>
      <c r="AH294" t="str">
        <f>IF(Transaction[[#This Row],[Quantity]]*Transaction[[#This Row],[UnitPrice_Clean]]=Transaction[[#This Row],[NetRevenue_Clean]],"Valid","Invalid")</f>
        <v>Valid</v>
      </c>
      <c r="AI294" t="s">
        <v>23</v>
      </c>
      <c r="AJ294" t="s">
        <v>596</v>
      </c>
      <c r="AK294" t="str">
        <f>IF(Transaction[[#This Row],[Salesperson]]="","Missing Value",TRIM(PROPER(Transaction[[#This Row],[Salesperson]])))</f>
        <v>Smith-Ap</v>
      </c>
      <c r="AL294" t="s">
        <v>55</v>
      </c>
      <c r="AM294" t="str">
        <f>IF(Transaction[[#This Row],[ContractType]]="","Missing Value",Transaction[[#This Row],[ContractType]])</f>
        <v>Spot</v>
      </c>
      <c r="AN294" t="s">
        <v>49</v>
      </c>
    </row>
    <row r="295" spans="1:40" x14ac:dyDescent="0.25">
      <c r="A295" t="s">
        <v>1125</v>
      </c>
      <c r="B295" s="1">
        <v>45823</v>
      </c>
      <c r="C29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29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29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95" s="2">
        <f>IFERROR(DATE(Transaction[[#This Row],[TransactionDateY]],Transaction[[#This Row],[TransactionDateM]],Transaction[[#This Row],[TransactionDateD]]),"Missing Value")</f>
        <v>45823</v>
      </c>
      <c r="G295" t="s">
        <v>200</v>
      </c>
      <c r="H295" t="str">
        <f>IFERROR(VLOOKUP(Transaction[[#This Row],[CustomerID]],Custumer[],1,0),IF(LEN(Transaction[[#This Row],[CustomerID]])=7,LEFT(Transaction[[#This Row],[CustomerID]],6),"Invalid ID"))</f>
        <v>C-1070</v>
      </c>
      <c r="I295" t="s">
        <v>97</v>
      </c>
      <c r="J295" t="str">
        <f>TRIM(UPPER(Transaction[[#This Row],[ProductID]]))</f>
        <v>P-SI-001</v>
      </c>
      <c r="K295" t="str">
        <f>IFERROR(VLOOKUP(Transaction[[#This Row],[ProductID_Clean]],Product[],1,FALSE),"Invalid ID")</f>
        <v>P-SI-001</v>
      </c>
      <c r="L295" t="str">
        <f>TRIM(SUBSTITUTE(SUBSTITUTE(SUBSTITUTE(SUBSTITUTE(UPPER(Transaction[[#This Row],[Region]]),"EMEA REGION","EMEA"),"APAC REGION","APAC"),"NORTH AMERICA","N. AMERICA"),"N .AMERICA","N.AMERICA"))</f>
        <v>EMEA</v>
      </c>
      <c r="M295" t="s">
        <v>87</v>
      </c>
      <c r="N295" t="s">
        <v>53</v>
      </c>
      <c r="O29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Q295" t="str">
        <f>IF(TRIM(Transaction[[#This Row],[SalesChannel]])="","Missing Value",TRIM(Transaction[[#This Row],[SalesChannel]]))</f>
        <v>Missing Value</v>
      </c>
      <c r="R295" s="4">
        <v>1</v>
      </c>
      <c r="S295" s="4" t="str">
        <f>IF(Transaction[[#This Row],[Quantity]]&lt;0,"Negative-review","Valid")</f>
        <v>Valid</v>
      </c>
      <c r="T295">
        <v>426.64</v>
      </c>
      <c r="U29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426.64</v>
      </c>
      <c r="V295">
        <v>485</v>
      </c>
      <c r="W295">
        <v>485</v>
      </c>
      <c r="X29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295">
        <f>IF(Transaction[[#This Row],[GrossRevenue_Check]]="Invalid",Transaction[[#This Row],[ListPrice]]*Transaction[[#This Row],[Quantity]],Transaction[[#This Row],[GrossRevenue_Clean]])</f>
        <v>485</v>
      </c>
      <c r="Z295" t="str">
        <f>IF(Transaction[[#This Row],[GrossRevenue_Clean]]=Transaction[[#This Row],[ListPrice]]*Transaction[[#This Row],[Quantity]],"Valid","Invalid")</f>
        <v>Valid</v>
      </c>
      <c r="AA295">
        <v>58.36</v>
      </c>
      <c r="AB29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58.36</v>
      </c>
      <c r="AC295">
        <f>IF(Transaction[[#This Row],[DiscountAmount_Check2]]="Invalid",Transaction[[#This Row],[GrossRevenue_Analytical]]-Transaction[[#This Row],[NetRevenue_Analytical]],Transaction[[#This Row],[DiscountAmount_Clean]])</f>
        <v>58.36</v>
      </c>
      <c r="AD295">
        <v>426.64</v>
      </c>
      <c r="AE295" t="str">
        <f>IF(ROUND(Transaction[[#This Row],[GrossRevenue_Analytical]]-Transaction[[#This Row],[NetRevenue_Analytical]],2)=ROUND(Transaction[[#This Row],[DiscountAmount_Clean]],2),"Valid","Invalid")</f>
        <v>Valid</v>
      </c>
      <c r="AF295">
        <f>VALUE(IF(ISNUMBER(Transaction[[#This Row],[NetRevenue]]),Transaction[[#This Row],[NetRevenue]],IFERROR(IF(FIND("$",Transaction[[#This Row],[NetRevenue]])&gt;0,MID(Transaction[[#This Row],[NetRevenue]],2,10)),Transaction[[#This Row],[NetRevenue]])))</f>
        <v>426.64</v>
      </c>
      <c r="AG295">
        <f>IF(Transaction[[#This Row],[NetRevenue_Check]]="Invalid",(Transaction[[#This Row],[Quantity]]*Transaction[[#This Row],[UnitPrice_Clean]]),Transaction[[#This Row],[NetRevenue_Clean]])</f>
        <v>426.64</v>
      </c>
      <c r="AH295" t="str">
        <f>IF(Transaction[[#This Row],[Quantity]]*Transaction[[#This Row],[UnitPrice_Clean]]=Transaction[[#This Row],[NetRevenue_Clean]],"Valid","Invalid")</f>
        <v>Valid</v>
      </c>
      <c r="AI295" t="s">
        <v>23</v>
      </c>
      <c r="AJ295" t="s">
        <v>744</v>
      </c>
      <c r="AK295" t="str">
        <f>IF(Transaction[[#This Row],[Salesperson]]="","Missing Value",TRIM(PROPER(Transaction[[#This Row],[Salesperson]])))</f>
        <v>Lewis</v>
      </c>
      <c r="AL295" t="s">
        <v>42</v>
      </c>
      <c r="AM295" t="str">
        <f>IF(Transaction[[#This Row],[ContractType]]="","Missing Value",Transaction[[#This Row],[ContractType]])</f>
        <v>Standard PO</v>
      </c>
      <c r="AN295" t="s">
        <v>35</v>
      </c>
    </row>
    <row r="296" spans="1:40" x14ac:dyDescent="0.25">
      <c r="A296" t="s">
        <v>2757</v>
      </c>
      <c r="B296" t="s">
        <v>2758</v>
      </c>
      <c r="C29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29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29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96" s="2">
        <f>IFERROR(DATE(Transaction[[#This Row],[TransactionDateY]],Transaction[[#This Row],[TransactionDateM]],Transaction[[#This Row],[TransactionDateD]]),"Missing Value")</f>
        <v>45737</v>
      </c>
      <c r="G296" t="s">
        <v>779</v>
      </c>
      <c r="H296" t="str">
        <f>IFERROR(VLOOKUP(Transaction[[#This Row],[CustomerID]],Custumer[],1,0),IF(LEN(Transaction[[#This Row],[CustomerID]])=7,LEFT(Transaction[[#This Row],[CustomerID]],6),"Invalid ID"))</f>
        <v>C-1025</v>
      </c>
      <c r="I296" t="s">
        <v>103</v>
      </c>
      <c r="J296" t="str">
        <f>TRIM(UPPER(Transaction[[#This Row],[ProductID]]))</f>
        <v>P-FS-005</v>
      </c>
      <c r="K296" t="str">
        <f>IFERROR(VLOOKUP(Transaction[[#This Row],[ProductID_Clean]],Product[],1,FALSE),"Invalid ID")</f>
        <v>P-FS-005</v>
      </c>
      <c r="L296" t="str">
        <f>TRIM(SUBSTITUTE(SUBSTITUTE(SUBSTITUTE(SUBSTITUTE(UPPER(Transaction[[#This Row],[Region]]),"EMEA REGION","EMEA"),"APAC REGION","APAC"),"NORTH AMERICA","N. AMERICA"),"N .AMERICA","N.AMERICA"))</f>
        <v>LATIN AMERICA</v>
      </c>
      <c r="M296" t="s">
        <v>82</v>
      </c>
      <c r="N296" t="s">
        <v>318</v>
      </c>
      <c r="O29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296" t="s">
        <v>22</v>
      </c>
      <c r="Q296" t="str">
        <f>IF(TRIM(Transaction[[#This Row],[SalesChannel]])="","Missing Value",TRIM(Transaction[[#This Row],[SalesChannel]]))</f>
        <v>Direct</v>
      </c>
      <c r="R296" s="4">
        <v>1</v>
      </c>
      <c r="S296" s="4" t="str">
        <f>IF(Transaction[[#This Row],[Quantity]]&lt;0,"Negative-review","Valid")</f>
        <v>Valid</v>
      </c>
      <c r="T296">
        <v>689.29</v>
      </c>
      <c r="U29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689.29</v>
      </c>
      <c r="V296">
        <v>950</v>
      </c>
      <c r="W296">
        <v>950</v>
      </c>
      <c r="X29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296">
        <f>IF(Transaction[[#This Row],[GrossRevenue_Check]]="Invalid",Transaction[[#This Row],[ListPrice]]*Transaction[[#This Row],[Quantity]],Transaction[[#This Row],[GrossRevenue_Clean]])</f>
        <v>950</v>
      </c>
      <c r="Z296" t="str">
        <f>IF(Transaction[[#This Row],[GrossRevenue_Clean]]=Transaction[[#This Row],[ListPrice]]*Transaction[[#This Row],[Quantity]],"Valid","Invalid")</f>
        <v>Valid</v>
      </c>
      <c r="AA296">
        <v>260.70999999999998</v>
      </c>
      <c r="AB29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260.70999999999998</v>
      </c>
      <c r="AC296">
        <f>IF(Transaction[[#This Row],[DiscountAmount_Check2]]="Invalid",Transaction[[#This Row],[GrossRevenue_Analytical]]-Transaction[[#This Row],[NetRevenue_Analytical]],Transaction[[#This Row],[DiscountAmount_Clean]])</f>
        <v>260.70999999999998</v>
      </c>
      <c r="AD296">
        <v>689.29</v>
      </c>
      <c r="AE296" t="str">
        <f>IF(ROUND(Transaction[[#This Row],[GrossRevenue_Analytical]]-Transaction[[#This Row],[NetRevenue_Analytical]],2)=ROUND(Transaction[[#This Row],[DiscountAmount_Clean]],2),"Valid","Invalid")</f>
        <v>Valid</v>
      </c>
      <c r="AF296">
        <f>VALUE(IF(ISNUMBER(Transaction[[#This Row],[NetRevenue]]),Transaction[[#This Row],[NetRevenue]],IFERROR(IF(FIND("$",Transaction[[#This Row],[NetRevenue]])&gt;0,MID(Transaction[[#This Row],[NetRevenue]],2,10)),Transaction[[#This Row],[NetRevenue]])))</f>
        <v>689.29</v>
      </c>
      <c r="AG296">
        <f>IF(Transaction[[#This Row],[NetRevenue_Check]]="Invalid",(Transaction[[#This Row],[Quantity]]*Transaction[[#This Row],[UnitPrice_Clean]]),Transaction[[#This Row],[NetRevenue_Clean]])</f>
        <v>689.29</v>
      </c>
      <c r="AH296" t="str">
        <f>IF(Transaction[[#This Row],[Quantity]]*Transaction[[#This Row],[UnitPrice_Clean]]=Transaction[[#This Row],[NetRevenue_Clean]],"Valid","Invalid")</f>
        <v>Valid</v>
      </c>
      <c r="AI296" t="s">
        <v>23</v>
      </c>
      <c r="AJ296" t="s">
        <v>2035</v>
      </c>
      <c r="AK296" t="str">
        <f>IF(Transaction[[#This Row],[Salesperson]]="","Missing Value",TRIM(PROPER(Transaction[[#This Row],[Salesperson]])))</f>
        <v>Hernandez-Na</v>
      </c>
      <c r="AL296" t="s">
        <v>42</v>
      </c>
      <c r="AM296" t="str">
        <f>IF(Transaction[[#This Row],[ContractType]]="","Missing Value",Transaction[[#This Row],[ContractType]])</f>
        <v>Standard PO</v>
      </c>
      <c r="AN296" t="s">
        <v>26</v>
      </c>
    </row>
    <row r="297" spans="1:40" x14ac:dyDescent="0.25">
      <c r="A297" t="s">
        <v>994</v>
      </c>
      <c r="B297" s="1">
        <v>45666</v>
      </c>
      <c r="C29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29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29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97" s="2">
        <f>IFERROR(DATE(Transaction[[#This Row],[TransactionDateY]],Transaction[[#This Row],[TransactionDateM]],Transaction[[#This Row],[TransactionDateD]]),"Missing Value")</f>
        <v>45666</v>
      </c>
      <c r="G297" t="s">
        <v>157</v>
      </c>
      <c r="H297" t="str">
        <f>IFERROR(VLOOKUP(Transaction[[#This Row],[CustomerID]],Custumer[],1,0),IF(LEN(Transaction[[#This Row],[CustomerID]])=7,LEFT(Transaction[[#This Row],[CustomerID]],6),"Invalid ID"))</f>
        <v>C-1021</v>
      </c>
      <c r="I297" t="s">
        <v>71</v>
      </c>
      <c r="J297" t="str">
        <f>TRIM(UPPER(Transaction[[#This Row],[ProductID]]))</f>
        <v>P-SI-003</v>
      </c>
      <c r="K297" t="str">
        <f>IFERROR(VLOOKUP(Transaction[[#This Row],[ProductID_Clean]],Product[],1,FALSE),"Invalid ID")</f>
        <v>P-SI-003</v>
      </c>
      <c r="L297" t="str">
        <f>TRIM(SUBSTITUTE(SUBSTITUTE(SUBSTITUTE(SUBSTITUTE(UPPER(Transaction[[#This Row],[Region]]),"EMEA REGION","EMEA"),"APAC REGION","APAC"),"NORTH AMERICA","N. AMERICA"),"N .AMERICA","N.AMERICA"))</f>
        <v>EMEA</v>
      </c>
      <c r="M297" t="s">
        <v>76</v>
      </c>
      <c r="N297" t="s">
        <v>53</v>
      </c>
      <c r="O29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97" t="s">
        <v>22</v>
      </c>
      <c r="Q297" t="str">
        <f>IF(TRIM(Transaction[[#This Row],[SalesChannel]])="","Missing Value",TRIM(Transaction[[#This Row],[SalesChannel]]))</f>
        <v>Direct</v>
      </c>
      <c r="R297" s="4">
        <v>2</v>
      </c>
      <c r="S297" s="4" t="str">
        <f>IF(Transaction[[#This Row],[Quantity]]&lt;0,"Negative-review","Valid")</f>
        <v>Valid</v>
      </c>
      <c r="T297">
        <v>1648.8</v>
      </c>
      <c r="U29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1648.8</v>
      </c>
      <c r="V297">
        <v>1890</v>
      </c>
      <c r="W297">
        <v>3780</v>
      </c>
      <c r="X29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3780</v>
      </c>
      <c r="Y297">
        <f>IF(Transaction[[#This Row],[GrossRevenue_Check]]="Invalid",Transaction[[#This Row],[ListPrice]]*Transaction[[#This Row],[Quantity]],Transaction[[#This Row],[GrossRevenue_Clean]])</f>
        <v>3780</v>
      </c>
      <c r="Z297" t="str">
        <f>IF(Transaction[[#This Row],[GrossRevenue_Clean]]=Transaction[[#This Row],[ListPrice]]*Transaction[[#This Row],[Quantity]],"Valid","Invalid")</f>
        <v>Valid</v>
      </c>
      <c r="AA297">
        <v>482.4</v>
      </c>
      <c r="AB29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482.4</v>
      </c>
      <c r="AC297">
        <f>IF(Transaction[[#This Row],[DiscountAmount_Check2]]="Invalid",Transaction[[#This Row],[GrossRevenue_Analytical]]-Transaction[[#This Row],[NetRevenue_Analytical]],Transaction[[#This Row],[DiscountAmount_Clean]])</f>
        <v>482.4</v>
      </c>
      <c r="AD297">
        <v>3297.6</v>
      </c>
      <c r="AE297" t="str">
        <f>IF(ROUND(Transaction[[#This Row],[GrossRevenue_Analytical]]-Transaction[[#This Row],[NetRevenue_Analytical]],2)=ROUND(Transaction[[#This Row],[DiscountAmount_Clean]],2),"Valid","Invalid")</f>
        <v>Valid</v>
      </c>
      <c r="AF29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3297.6</v>
      </c>
      <c r="AG297">
        <f>IF(Transaction[[#This Row],[NetRevenue_Check]]="Invalid",(Transaction[[#This Row],[Quantity]]*Transaction[[#This Row],[UnitPrice_Clean]]),Transaction[[#This Row],[NetRevenue_Clean]])</f>
        <v>3297.6</v>
      </c>
      <c r="AH297" t="str">
        <f>IF(Transaction[[#This Row],[Quantity]]*Transaction[[#This Row],[UnitPrice_Clean]]=Transaction[[#This Row],[NetRevenue_Clean]],"Valid","Invalid")</f>
        <v>Valid</v>
      </c>
      <c r="AI297" t="s">
        <v>23</v>
      </c>
      <c r="AJ297" t="s">
        <v>995</v>
      </c>
      <c r="AK297" t="str">
        <f>IF(Transaction[[#This Row],[Salesperson]]="","Missing Value",TRIM(PROPER(Transaction[[#This Row],[Salesperson]])))</f>
        <v>Bentley-Em</v>
      </c>
      <c r="AL297" t="s">
        <v>25</v>
      </c>
      <c r="AM297" t="str">
        <f>IF(Transaction[[#This Row],[ContractType]]="","Missing Value",Transaction[[#This Row],[ContractType]])</f>
        <v>Frame Agreement</v>
      </c>
      <c r="AN297" t="s">
        <v>49</v>
      </c>
    </row>
    <row r="298" spans="1:40" x14ac:dyDescent="0.25">
      <c r="A298" t="s">
        <v>2959</v>
      </c>
      <c r="B298" s="1">
        <v>45751</v>
      </c>
      <c r="C29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29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29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98" s="2">
        <f>IFERROR(DATE(Transaction[[#This Row],[TransactionDateY]],Transaction[[#This Row],[TransactionDateM]],Transaction[[#This Row],[TransactionDateD]]),"Missing Value")</f>
        <v>45751</v>
      </c>
      <c r="G298" t="s">
        <v>621</v>
      </c>
      <c r="H298" t="str">
        <f>IFERROR(VLOOKUP(Transaction[[#This Row],[CustomerID]],Custumer[],1,0),IF(LEN(Transaction[[#This Row],[CustomerID]])=7,LEFT(Transaction[[#This Row],[CustomerID]],6),"Invalid ID"))</f>
        <v>C-1064</v>
      </c>
      <c r="I298" t="s">
        <v>121</v>
      </c>
      <c r="J298" t="str">
        <f>TRIM(UPPER(Transaction[[#This Row],[ProductID]]))</f>
        <v>P-FS-001</v>
      </c>
      <c r="K298" t="str">
        <f>IFERROR(VLOOKUP(Transaction[[#This Row],[ProductID_Clean]],Product[],1,FALSE),"Invalid ID")</f>
        <v>P-FS-001</v>
      </c>
      <c r="L298" t="str">
        <f>TRIM(SUBSTITUTE(SUBSTITUTE(SUBSTITUTE(SUBSTITUTE(UPPER(Transaction[[#This Row],[Region]]),"EMEA REGION","EMEA"),"APAC REGION","APAC"),"NORTH AMERICA","N. AMERICA"),"N .AMERICA","N.AMERICA"))</f>
        <v>N. AMERICA</v>
      </c>
      <c r="M298" t="s">
        <v>20</v>
      </c>
      <c r="N298" t="s">
        <v>21</v>
      </c>
      <c r="O298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298" t="s">
        <v>32</v>
      </c>
      <c r="Q298" t="str">
        <f>IF(TRIM(Transaction[[#This Row],[SalesChannel]])="","Missing Value",TRIM(Transaction[[#This Row],[SalesChannel]]))</f>
        <v>Direct</v>
      </c>
      <c r="R298" s="4">
        <v>1</v>
      </c>
      <c r="S298" s="4" t="str">
        <f>IF(Transaction[[#This Row],[Quantity]]&lt;0,"Negative-review","Valid")</f>
        <v>Valid</v>
      </c>
      <c r="T298">
        <v>1651.71</v>
      </c>
      <c r="U29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1651.71</v>
      </c>
      <c r="V298">
        <v>1850</v>
      </c>
      <c r="W298">
        <v>1850</v>
      </c>
      <c r="X29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298">
        <f>IF(Transaction[[#This Row],[GrossRevenue_Check]]="Invalid",Transaction[[#This Row],[ListPrice]]*Transaction[[#This Row],[Quantity]],Transaction[[#This Row],[GrossRevenue_Clean]])</f>
        <v>1850</v>
      </c>
      <c r="Z298" t="str">
        <f>IF(Transaction[[#This Row],[GrossRevenue_Clean]]=Transaction[[#This Row],[ListPrice]]*Transaction[[#This Row],[Quantity]],"Valid","Invalid")</f>
        <v>Valid</v>
      </c>
      <c r="AA298">
        <v>198.29</v>
      </c>
      <c r="AB29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198.29</v>
      </c>
      <c r="AC298">
        <f>IF(Transaction[[#This Row],[DiscountAmount_Check2]]="Invalid",Transaction[[#This Row],[GrossRevenue_Analytical]]-Transaction[[#This Row],[NetRevenue_Analytical]],Transaction[[#This Row],[DiscountAmount_Clean]])</f>
        <v>198.29</v>
      </c>
      <c r="AD298">
        <v>1651.71</v>
      </c>
      <c r="AE298" t="str">
        <f>IF(ROUND(Transaction[[#This Row],[GrossRevenue_Analytical]]-Transaction[[#This Row],[NetRevenue_Analytical]],2)=ROUND(Transaction[[#This Row],[DiscountAmount_Clean]],2),"Valid","Invalid")</f>
        <v>Valid</v>
      </c>
      <c r="AF29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1651.71</v>
      </c>
      <c r="AG298">
        <f>IF(Transaction[[#This Row],[NetRevenue_Check]]="Invalid",(Transaction[[#This Row],[Quantity]]*Transaction[[#This Row],[UnitPrice_Clean]]),Transaction[[#This Row],[NetRevenue_Clean]])</f>
        <v>1651.71</v>
      </c>
      <c r="AH298" t="str">
        <f>IF(Transaction[[#This Row],[Quantity]]*Transaction[[#This Row],[UnitPrice_Clean]]=Transaction[[#This Row],[NetRevenue_Clean]],"Valid","Invalid")</f>
        <v>Valid</v>
      </c>
      <c r="AI298" t="s">
        <v>23</v>
      </c>
      <c r="AJ298" t="s">
        <v>2960</v>
      </c>
      <c r="AK298" t="str">
        <f>IF(Transaction[[#This Row],[Salesperson]]="","Missing Value",TRIM(PROPER(Transaction[[#This Row],[Salesperson]])))</f>
        <v>Lynch-Ap</v>
      </c>
      <c r="AL298" t="s">
        <v>25</v>
      </c>
      <c r="AM298" t="str">
        <f>IF(Transaction[[#This Row],[ContractType]]="","Missing Value",Transaction[[#This Row],[ContractType]])</f>
        <v>Frame Agreement</v>
      </c>
      <c r="AN298" t="s">
        <v>35</v>
      </c>
    </row>
    <row r="299" spans="1:40" x14ac:dyDescent="0.25">
      <c r="A299" t="s">
        <v>915</v>
      </c>
      <c r="B299" s="1">
        <v>45691</v>
      </c>
      <c r="C29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29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29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299" s="2">
        <f>IFERROR(DATE(Transaction[[#This Row],[TransactionDateY]],Transaction[[#This Row],[TransactionDateM]],Transaction[[#This Row],[TransactionDateD]]),"Missing Value")</f>
        <v>45691</v>
      </c>
      <c r="G299" t="s">
        <v>916</v>
      </c>
      <c r="H299" t="str">
        <f>IFERROR(VLOOKUP(Transaction[[#This Row],[CustomerID]],Custumer[],1,0),IF(LEN(Transaction[[#This Row],[CustomerID]])=7,LEFT(Transaction[[#This Row],[CustomerID]],6),"Invalid ID"))</f>
        <v>C-1106</v>
      </c>
      <c r="I299" t="s">
        <v>117</v>
      </c>
      <c r="J299" t="str">
        <f>TRIM(UPPER(Transaction[[#This Row],[ProductID]]))</f>
        <v>P-SI-007</v>
      </c>
      <c r="K299" t="str">
        <f>IFERROR(VLOOKUP(Transaction[[#This Row],[ProductID_Clean]],Product[],1,FALSE),"Invalid ID")</f>
        <v>P-SI-007</v>
      </c>
      <c r="L299" t="str">
        <f>TRIM(SUBSTITUTE(SUBSTITUTE(SUBSTITUTE(SUBSTITUTE(UPPER(Transaction[[#This Row],[Region]]),"EMEA REGION","EMEA"),"APAC REGION","APAC"),"NORTH AMERICA","N. AMERICA"),"N .AMERICA","N.AMERICA"))</f>
        <v>N. AMERICA</v>
      </c>
      <c r="M299" t="s">
        <v>204</v>
      </c>
      <c r="N299" t="s">
        <v>53</v>
      </c>
      <c r="O29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299" t="s">
        <v>22</v>
      </c>
      <c r="Q299" t="str">
        <f>IF(TRIM(Transaction[[#This Row],[SalesChannel]])="","Missing Value",TRIM(Transaction[[#This Row],[SalesChannel]]))</f>
        <v>Direct</v>
      </c>
      <c r="R299" s="4">
        <v>1</v>
      </c>
      <c r="S299" s="4" t="str">
        <f>IF(Transaction[[#This Row],[Quantity]]&lt;0,"Negative-review","Valid")</f>
        <v>Valid</v>
      </c>
      <c r="T299">
        <v>869.42</v>
      </c>
      <c r="U29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869.42</v>
      </c>
      <c r="V299">
        <v>980</v>
      </c>
      <c r="W299">
        <v>980</v>
      </c>
      <c r="X29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299">
        <f>IF(Transaction[[#This Row],[GrossRevenue_Check]]="Invalid",Transaction[[#This Row],[ListPrice]]*Transaction[[#This Row],[Quantity]],Transaction[[#This Row],[GrossRevenue_Clean]])</f>
        <v>980</v>
      </c>
      <c r="Z299" t="str">
        <f>IF(Transaction[[#This Row],[GrossRevenue_Clean]]=Transaction[[#This Row],[ListPrice]]*Transaction[[#This Row],[Quantity]],"Valid","Invalid")</f>
        <v>Valid</v>
      </c>
      <c r="AB29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299">
        <f>IF(Transaction[[#This Row],[DiscountAmount_Check2]]="Invalid",Transaction[[#This Row],[GrossRevenue_Analytical]]-Transaction[[#This Row],[NetRevenue_Analytical]],Transaction[[#This Row],[DiscountAmount_Clean]])</f>
        <v>110.58000000000004</v>
      </c>
      <c r="AD299">
        <v>869.42</v>
      </c>
      <c r="AE299" t="str">
        <f>IF(ROUND(Transaction[[#This Row],[GrossRevenue_Analytical]]-Transaction[[#This Row],[NetRevenue_Analytical]],2)=ROUND(Transaction[[#This Row],[DiscountAmount_Clean]],2),"Valid","Invalid")</f>
        <v>Invalid</v>
      </c>
      <c r="AF299">
        <f>VALUE(IF(ISNUMBER(Transaction[[#This Row],[NetRevenue]]),Transaction[[#This Row],[NetRevenue]],IFERROR(IF(FIND("$",Transaction[[#This Row],[NetRevenue]])&gt;0,MID(Transaction[[#This Row],[NetRevenue]],2,10)),Transaction[[#This Row],[NetRevenue]])))</f>
        <v>869.42</v>
      </c>
      <c r="AG299">
        <f>IF(Transaction[[#This Row],[NetRevenue_Check]]="Invalid",(Transaction[[#This Row],[Quantity]]*Transaction[[#This Row],[UnitPrice_Clean]]),Transaction[[#This Row],[NetRevenue_Clean]])</f>
        <v>869.42</v>
      </c>
      <c r="AH299" t="str">
        <f>IF(Transaction[[#This Row],[Quantity]]*Transaction[[#This Row],[UnitPrice_Clean]]=Transaction[[#This Row],[NetRevenue_Clean]],"Valid","Invalid")</f>
        <v>Valid</v>
      </c>
      <c r="AI299" t="s">
        <v>23</v>
      </c>
      <c r="AJ299" t="s">
        <v>917</v>
      </c>
      <c r="AK299" t="str">
        <f>IF(Transaction[[#This Row],[Salesperson]]="","Missing Value",TRIM(PROPER(Transaction[[#This Row],[Salesperson]])))</f>
        <v>Henderson</v>
      </c>
      <c r="AL299" t="s">
        <v>42</v>
      </c>
      <c r="AM299" t="str">
        <f>IF(Transaction[[#This Row],[ContractType]]="","Missing Value",Transaction[[#This Row],[ContractType]])</f>
        <v>Standard PO</v>
      </c>
      <c r="AN299" t="s">
        <v>43</v>
      </c>
    </row>
    <row r="300" spans="1:40" x14ac:dyDescent="0.25">
      <c r="A300" t="s">
        <v>924</v>
      </c>
      <c r="B300" s="1">
        <v>45733</v>
      </c>
      <c r="C30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30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30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00" s="2">
        <f>IFERROR(DATE(Transaction[[#This Row],[TransactionDateY]],Transaction[[#This Row],[TransactionDateM]],Transaction[[#This Row],[TransactionDateD]]),"Missing Value")</f>
        <v>45733</v>
      </c>
      <c r="G300" t="s">
        <v>925</v>
      </c>
      <c r="H300" t="str">
        <f>IFERROR(VLOOKUP(Transaction[[#This Row],[CustomerID]],Custumer[],1,0),IF(LEN(Transaction[[#This Row],[CustomerID]])=7,LEFT(Transaction[[#This Row],[CustomerID]],6),"Invalid ID"))</f>
        <v>C-1060</v>
      </c>
      <c r="I300" t="s">
        <v>75</v>
      </c>
      <c r="J300" t="str">
        <f>TRIM(UPPER(Transaction[[#This Row],[ProductID]]))</f>
        <v>P-SA-005</v>
      </c>
      <c r="K300" t="str">
        <f>IFERROR(VLOOKUP(Transaction[[#This Row],[ProductID_Clean]],Product[],1,FALSE),"Invalid ID")</f>
        <v>P-SA-005</v>
      </c>
      <c r="L300" t="str">
        <f>TRIM(SUBSTITUTE(SUBSTITUTE(SUBSTITUTE(SUBSTITUTE(UPPER(Transaction[[#This Row],[Region]]),"EMEA REGION","EMEA"),"APAC REGION","APAC"),"NORTH AMERICA","N. AMERICA"),"N .AMERICA","N.AMERICA"))</f>
        <v>APAC</v>
      </c>
      <c r="M300" t="s">
        <v>30</v>
      </c>
      <c r="N300" t="s">
        <v>31</v>
      </c>
      <c r="O300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300" t="s">
        <v>32</v>
      </c>
      <c r="Q300" t="str">
        <f>IF(TRIM(Transaction[[#This Row],[SalesChannel]])="","Missing Value",TRIM(Transaction[[#This Row],[SalesChannel]]))</f>
        <v>Direct</v>
      </c>
      <c r="R300" s="4">
        <v>1</v>
      </c>
      <c r="S300" s="4" t="str">
        <f>IF(Transaction[[#This Row],[Quantity]]&lt;0,"Negative-review","Valid")</f>
        <v>Valid</v>
      </c>
      <c r="T300">
        <v>2710.88</v>
      </c>
      <c r="U30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2710.88</v>
      </c>
      <c r="V300">
        <v>3200</v>
      </c>
      <c r="W300">
        <v>3200</v>
      </c>
      <c r="X30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300">
        <f>IF(Transaction[[#This Row],[GrossRevenue_Check]]="Invalid",Transaction[[#This Row],[ListPrice]]*Transaction[[#This Row],[Quantity]],Transaction[[#This Row],[GrossRevenue_Clean]])</f>
        <v>3200</v>
      </c>
      <c r="Z300" t="str">
        <f>IF(Transaction[[#This Row],[GrossRevenue_Clean]]=Transaction[[#This Row],[ListPrice]]*Transaction[[#This Row],[Quantity]],"Valid","Invalid")</f>
        <v>Valid</v>
      </c>
      <c r="AA300">
        <v>489.12</v>
      </c>
      <c r="AB30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489.12</v>
      </c>
      <c r="AC300">
        <f>IF(Transaction[[#This Row],[DiscountAmount_Check2]]="Invalid",Transaction[[#This Row],[GrossRevenue_Analytical]]-Transaction[[#This Row],[NetRevenue_Analytical]],Transaction[[#This Row],[DiscountAmount_Clean]])</f>
        <v>489.12</v>
      </c>
      <c r="AD300">
        <v>2710.88</v>
      </c>
      <c r="AE300" t="str">
        <f>IF(ROUND(Transaction[[#This Row],[GrossRevenue_Analytical]]-Transaction[[#This Row],[NetRevenue_Analytical]],2)=ROUND(Transaction[[#This Row],[DiscountAmount_Clean]],2),"Valid","Invalid")</f>
        <v>Valid</v>
      </c>
      <c r="AF30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2710.88</v>
      </c>
      <c r="AG300">
        <f>IF(Transaction[[#This Row],[NetRevenue_Check]]="Invalid",(Transaction[[#This Row],[Quantity]]*Transaction[[#This Row],[UnitPrice_Clean]]),Transaction[[#This Row],[NetRevenue_Clean]])</f>
        <v>2710.88</v>
      </c>
      <c r="AH300" t="str">
        <f>IF(Transaction[[#This Row],[Quantity]]*Transaction[[#This Row],[UnitPrice_Clean]]=Transaction[[#This Row],[NetRevenue_Clean]],"Valid","Invalid")</f>
        <v>Valid</v>
      </c>
      <c r="AI300" t="s">
        <v>23</v>
      </c>
      <c r="AJ300" t="s">
        <v>926</v>
      </c>
      <c r="AK300" t="str">
        <f>IF(Transaction[[#This Row],[Salesperson]]="","Missing Value",TRIM(PROPER(Transaction[[#This Row],[Salesperson]])))</f>
        <v>Parsons</v>
      </c>
      <c r="AL300" t="s">
        <v>210</v>
      </c>
      <c r="AM300" t="str">
        <f>IF(Transaction[[#This Row],[ContractType]]="","Missing Value",Transaction[[#This Row],[ContractType]])</f>
        <v>Perpetual</v>
      </c>
      <c r="AN300" t="s">
        <v>43</v>
      </c>
    </row>
    <row r="301" spans="1:40" x14ac:dyDescent="0.25">
      <c r="A301" t="s">
        <v>836</v>
      </c>
      <c r="B301" s="1">
        <v>45764</v>
      </c>
      <c r="C30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30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30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01" s="2">
        <f>IFERROR(DATE(Transaction[[#This Row],[TransactionDateY]],Transaction[[#This Row],[TransactionDateM]],Transaction[[#This Row],[TransactionDateD]]),"Missing Value")</f>
        <v>45764</v>
      </c>
      <c r="G301" t="s">
        <v>630</v>
      </c>
      <c r="H301" t="str">
        <f>IFERROR(VLOOKUP(Transaction[[#This Row],[CustomerID]],Custumer[],1,0),IF(LEN(Transaction[[#This Row],[CustomerID]])=7,LEFT(Transaction[[#This Row],[CustomerID]],6),"Invalid ID"))</f>
        <v>C-1157</v>
      </c>
      <c r="I301" t="s">
        <v>58</v>
      </c>
      <c r="J301" t="str">
        <f>TRIM(UPPER(Transaction[[#This Row],[ProductID]]))</f>
        <v>P-SI-005</v>
      </c>
      <c r="K301" t="str">
        <f>IFERROR(VLOOKUP(Transaction[[#This Row],[ProductID_Clean]],Product[],1,FALSE),"Invalid ID")</f>
        <v>P-SI-005</v>
      </c>
      <c r="L301" t="str">
        <f>TRIM(SUBSTITUTE(SUBSTITUTE(SUBSTITUTE(SUBSTITUTE(UPPER(Transaction[[#This Row],[Region]]),"EMEA REGION","EMEA"),"APAC REGION","APAC"),"NORTH AMERICA","N. AMERICA"),"N .AMERICA","N.AMERICA"))</f>
        <v>EMEA</v>
      </c>
      <c r="M301" t="s">
        <v>76</v>
      </c>
      <c r="N301" t="s">
        <v>53</v>
      </c>
      <c r="O30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01" t="s">
        <v>181</v>
      </c>
      <c r="Q301" t="str">
        <f>IF(TRIM(Transaction[[#This Row],[SalesChannel]])="","Missing Value",TRIM(Transaction[[#This Row],[SalesChannel]]))</f>
        <v>Partner Portal</v>
      </c>
      <c r="R301" s="4">
        <v>3</v>
      </c>
      <c r="S301" s="4" t="str">
        <f>IF(Transaction[[#This Row],[Quantity]]&lt;0,"Negative-review","Valid")</f>
        <v>Valid</v>
      </c>
      <c r="T301">
        <v>893.08</v>
      </c>
      <c r="U30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893.08</v>
      </c>
      <c r="V301">
        <v>1120</v>
      </c>
      <c r="W301">
        <v>3360</v>
      </c>
      <c r="X30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3360</v>
      </c>
      <c r="Y301">
        <f>IF(Transaction[[#This Row],[GrossRevenue_Check]]="Invalid",Transaction[[#This Row],[ListPrice]]*Transaction[[#This Row],[Quantity]],Transaction[[#This Row],[GrossRevenue_Clean]])</f>
        <v>3360</v>
      </c>
      <c r="Z301" t="str">
        <f>IF(Transaction[[#This Row],[GrossRevenue_Clean]]=Transaction[[#This Row],[ListPrice]]*Transaction[[#This Row],[Quantity]],"Valid","Invalid")</f>
        <v>Valid</v>
      </c>
      <c r="AA301">
        <v>680.76</v>
      </c>
      <c r="AB30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680.76</v>
      </c>
      <c r="AC301">
        <f>IF(Transaction[[#This Row],[DiscountAmount_Check2]]="Invalid",Transaction[[#This Row],[GrossRevenue_Analytical]]-Transaction[[#This Row],[NetRevenue_Analytical]],Transaction[[#This Row],[DiscountAmount_Clean]])</f>
        <v>680.76</v>
      </c>
      <c r="AD301" t="s">
        <v>837</v>
      </c>
      <c r="AE301" t="str">
        <f>IF(ROUND(Transaction[[#This Row],[GrossRevenue_Analytical]]-Transaction[[#This Row],[NetRevenue_Analytical]],2)=ROUND(Transaction[[#This Row],[DiscountAmount_Clean]],2),"Valid","Invalid")</f>
        <v>Valid</v>
      </c>
      <c r="AF30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2679.24</v>
      </c>
      <c r="AG301">
        <f>IF(Transaction[[#This Row],[NetRevenue_Check]]="Invalid",(Transaction[[#This Row],[Quantity]]*Transaction[[#This Row],[UnitPrice_Clean]]),Transaction[[#This Row],[NetRevenue_Clean]])</f>
        <v>2679.24</v>
      </c>
      <c r="AH301" t="str">
        <f>IF(Transaction[[#This Row],[Quantity]]*Transaction[[#This Row],[UnitPrice_Clean]]=Transaction[[#This Row],[NetRevenue_Clean]],"Valid","Invalid")</f>
        <v>Valid</v>
      </c>
      <c r="AI301" t="s">
        <v>23</v>
      </c>
      <c r="AJ301" t="s">
        <v>838</v>
      </c>
      <c r="AK301" t="str">
        <f>IF(Transaction[[#This Row],[Salesperson]]="","Missing Value",TRIM(PROPER(Transaction[[#This Row],[Salesperson]])))</f>
        <v>Young</v>
      </c>
      <c r="AL301" t="s">
        <v>42</v>
      </c>
      <c r="AM301" t="str">
        <f>IF(Transaction[[#This Row],[ContractType]]="","Missing Value",Transaction[[#This Row],[ContractType]])</f>
        <v>Standard PO</v>
      </c>
      <c r="AN301" t="s">
        <v>35</v>
      </c>
    </row>
    <row r="302" spans="1:40" x14ac:dyDescent="0.25">
      <c r="A302" t="s">
        <v>1342</v>
      </c>
      <c r="B302" s="1">
        <v>45709</v>
      </c>
      <c r="C30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30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30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02" s="2">
        <f>IFERROR(DATE(Transaction[[#This Row],[TransactionDateY]],Transaction[[#This Row],[TransactionDateM]],Transaction[[#This Row],[TransactionDateD]]),"Missing Value")</f>
        <v>45709</v>
      </c>
      <c r="G302" t="s">
        <v>1343</v>
      </c>
      <c r="H302" t="str">
        <f>IFERROR(VLOOKUP(Transaction[[#This Row],[CustomerID]],Custumer[],1,0),IF(LEN(Transaction[[#This Row],[CustomerID]])=7,LEFT(Transaction[[#This Row],[CustomerID]],6),"Invalid ID"))</f>
        <v>C-1135</v>
      </c>
      <c r="I302" t="s">
        <v>117</v>
      </c>
      <c r="J302" t="str">
        <f>TRIM(UPPER(Transaction[[#This Row],[ProductID]]))</f>
        <v>P-SI-007</v>
      </c>
      <c r="K302" t="str">
        <f>IFERROR(VLOOKUP(Transaction[[#This Row],[ProductID_Clean]],Product[],1,FALSE),"Invalid ID")</f>
        <v>P-SI-007</v>
      </c>
      <c r="L302" t="str">
        <f>TRIM(SUBSTITUTE(SUBSTITUTE(SUBSTITUTE(SUBSTITUTE(UPPER(Transaction[[#This Row],[Region]]),"EMEA REGION","EMEA"),"APAC REGION","APAC"),"NORTH AMERICA","N. AMERICA"),"N .AMERICA","N.AMERICA"))</f>
        <v>LATIN AMERICA</v>
      </c>
      <c r="M302" t="s">
        <v>82</v>
      </c>
      <c r="N302" t="s">
        <v>53</v>
      </c>
      <c r="O30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02" t="s">
        <v>22</v>
      </c>
      <c r="Q302" t="str">
        <f>IF(TRIM(Transaction[[#This Row],[SalesChannel]])="","Missing Value",TRIM(Transaction[[#This Row],[SalesChannel]]))</f>
        <v>Direct</v>
      </c>
      <c r="R302" s="4">
        <v>3</v>
      </c>
      <c r="S302" s="4" t="str">
        <f>IF(Transaction[[#This Row],[Quantity]]&lt;0,"Negative-review","Valid")</f>
        <v>Valid</v>
      </c>
      <c r="T302">
        <v>713.77</v>
      </c>
      <c r="U30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713.77</v>
      </c>
      <c r="V302">
        <v>980</v>
      </c>
      <c r="W302">
        <v>2940</v>
      </c>
      <c r="X30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2940</v>
      </c>
      <c r="Y302">
        <f>IF(Transaction[[#This Row],[GrossRevenue_Check]]="Invalid",Transaction[[#This Row],[ListPrice]]*Transaction[[#This Row],[Quantity]],Transaction[[#This Row],[GrossRevenue_Clean]])</f>
        <v>2940</v>
      </c>
      <c r="Z302" t="str">
        <f>IF(Transaction[[#This Row],[GrossRevenue_Clean]]=Transaction[[#This Row],[ListPrice]]*Transaction[[#This Row],[Quantity]],"Valid","Invalid")</f>
        <v>Valid</v>
      </c>
      <c r="AA302">
        <v>798.69</v>
      </c>
      <c r="AB30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798.69</v>
      </c>
      <c r="AC302">
        <f>IF(Transaction[[#This Row],[DiscountAmount_Check2]]="Invalid",Transaction[[#This Row],[GrossRevenue_Analytical]]-Transaction[[#This Row],[NetRevenue_Analytical]],Transaction[[#This Row],[DiscountAmount_Clean]])</f>
        <v>798.69</v>
      </c>
      <c r="AD302">
        <v>2141.31</v>
      </c>
      <c r="AE302" t="str">
        <f>IF(ROUND(Transaction[[#This Row],[GrossRevenue_Analytical]]-Transaction[[#This Row],[NetRevenue_Analytical]],2)=ROUND(Transaction[[#This Row],[DiscountAmount_Clean]],2),"Valid","Invalid")</f>
        <v>Valid</v>
      </c>
      <c r="AF30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2141.31</v>
      </c>
      <c r="AG302">
        <f>IF(Transaction[[#This Row],[NetRevenue_Check]]="Invalid",(Transaction[[#This Row],[Quantity]]*Transaction[[#This Row],[UnitPrice_Clean]]),Transaction[[#This Row],[NetRevenue_Clean]])</f>
        <v>2141.31</v>
      </c>
      <c r="AH302" t="str">
        <f>IF(Transaction[[#This Row],[Quantity]]*Transaction[[#This Row],[UnitPrice_Clean]]=Transaction[[#This Row],[NetRevenue_Clean]],"Valid","Invalid")</f>
        <v>Valid</v>
      </c>
      <c r="AI302" t="s">
        <v>23</v>
      </c>
      <c r="AJ302" t="s">
        <v>269</v>
      </c>
      <c r="AK302" t="str">
        <f>IF(Transaction[[#This Row],[Salesperson]]="","Missing Value",TRIM(PROPER(Transaction[[#This Row],[Salesperson]])))</f>
        <v>Martinez</v>
      </c>
      <c r="AL302" t="s">
        <v>42</v>
      </c>
      <c r="AM302" t="str">
        <f>IF(Transaction[[#This Row],[ContractType]]="","Missing Value",Transaction[[#This Row],[ContractType]])</f>
        <v>Standard PO</v>
      </c>
      <c r="AN302" t="s">
        <v>49</v>
      </c>
    </row>
    <row r="303" spans="1:40" x14ac:dyDescent="0.25">
      <c r="A303" t="s">
        <v>2662</v>
      </c>
      <c r="B303" t="s">
        <v>2663</v>
      </c>
      <c r="C30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30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05</v>
      </c>
      <c r="E30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03" s="2">
        <f>IFERROR(DATE(Transaction[[#This Row],[TransactionDateY]],Transaction[[#This Row],[TransactionDateM]],Transaction[[#This Row],[TransactionDateD]]),"Missing Value")</f>
        <v>45693</v>
      </c>
      <c r="G303" t="s">
        <v>919</v>
      </c>
      <c r="H303" t="str">
        <f>IFERROR(VLOOKUP(Transaction[[#This Row],[CustomerID]],Custumer[],1,0),IF(LEN(Transaction[[#This Row],[CustomerID]])=7,LEFT(Transaction[[#This Row],[CustomerID]],6),"Invalid ID"))</f>
        <v>C-1047</v>
      </c>
      <c r="I303" t="s">
        <v>117</v>
      </c>
      <c r="J303" t="str">
        <f>TRIM(UPPER(Transaction[[#This Row],[ProductID]]))</f>
        <v>P-SI-007</v>
      </c>
      <c r="K303" t="str">
        <f>IFERROR(VLOOKUP(Transaction[[#This Row],[ProductID_Clean]],Product[],1,FALSE),"Invalid ID")</f>
        <v>P-SI-007</v>
      </c>
      <c r="L303" t="str">
        <f>TRIM(SUBSTITUTE(SUBSTITUTE(SUBSTITUTE(SUBSTITUTE(UPPER(Transaction[[#This Row],[Region]]),"EMEA REGION","EMEA"),"APAC REGION","APAC"),"NORTH AMERICA","N. AMERICA"),"N .AMERICA","N.AMERICA"))</f>
        <v>EMEA</v>
      </c>
      <c r="M303" t="s">
        <v>76</v>
      </c>
      <c r="N303" t="s">
        <v>53</v>
      </c>
      <c r="O30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03" t="s">
        <v>181</v>
      </c>
      <c r="Q303" t="str">
        <f>IF(TRIM(Transaction[[#This Row],[SalesChannel]])="","Missing Value",TRIM(Transaction[[#This Row],[SalesChannel]]))</f>
        <v>Partner Portal</v>
      </c>
      <c r="R303" s="4">
        <v>12</v>
      </c>
      <c r="S303" s="4" t="str">
        <f>IF(Transaction[[#This Row],[Quantity]]&lt;0,"Negative-review","Valid")</f>
        <v>Valid</v>
      </c>
      <c r="T303">
        <v>832.14</v>
      </c>
      <c r="U30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832.14</v>
      </c>
      <c r="V303">
        <v>980</v>
      </c>
      <c r="W303">
        <v>11760</v>
      </c>
      <c r="X30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11760</v>
      </c>
      <c r="Y303">
        <f>IF(Transaction[[#This Row],[GrossRevenue_Check]]="Invalid",Transaction[[#This Row],[ListPrice]]*Transaction[[#This Row],[Quantity]],Transaction[[#This Row],[GrossRevenue_Clean]])</f>
        <v>11760</v>
      </c>
      <c r="Z303" t="str">
        <f>IF(Transaction[[#This Row],[GrossRevenue_Clean]]=Transaction[[#This Row],[ListPrice]]*Transaction[[#This Row],[Quantity]],"Valid","Invalid")</f>
        <v>Valid</v>
      </c>
      <c r="AB30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303">
        <f>IF(Transaction[[#This Row],[DiscountAmount_Check2]]="Invalid",Transaction[[#This Row],[GrossRevenue_Analytical]]-Transaction[[#This Row],[NetRevenue_Analytical]],Transaction[[#This Row],[DiscountAmount_Clean]])</f>
        <v>1774.3199999999997</v>
      </c>
      <c r="AD303">
        <v>9985.68</v>
      </c>
      <c r="AE303" t="str">
        <f>IF(ROUND(Transaction[[#This Row],[GrossRevenue_Analytical]]-Transaction[[#This Row],[NetRevenue_Analytical]],2)=ROUND(Transaction[[#This Row],[DiscountAmount_Clean]],2),"Valid","Invalid")</f>
        <v>Invalid</v>
      </c>
      <c r="AF303">
        <f>VALUE(IF(ISNUMBER(Transaction[[#This Row],[NetRevenue]]),Transaction[[#This Row],[NetRevenue]],IFERROR(IF(FIND("$",Transaction[[#This Row],[NetRevenue]])&gt;0,MID(Transaction[[#This Row],[NetRevenue]],2,10)),Transaction[[#This Row],[NetRevenue]])))</f>
        <v>9985.68</v>
      </c>
      <c r="AG303">
        <f>IF(Transaction[[#This Row],[NetRevenue_Check]]="Invalid",(Transaction[[#This Row],[Quantity]]*Transaction[[#This Row],[UnitPrice_Clean]]),Transaction[[#This Row],[NetRevenue_Clean]])</f>
        <v>9985.68</v>
      </c>
      <c r="AH303" t="str">
        <f>IF(Transaction[[#This Row],[Quantity]]*Transaction[[#This Row],[UnitPrice_Clean]]=Transaction[[#This Row],[NetRevenue_Clean]],"Valid","Invalid")</f>
        <v>Valid</v>
      </c>
      <c r="AI303" t="s">
        <v>23</v>
      </c>
      <c r="AJ303" t="s">
        <v>1196</v>
      </c>
      <c r="AK303" t="str">
        <f>IF(Transaction[[#This Row],[Salesperson]]="","Missing Value",TRIM(PROPER(Transaction[[#This Row],[Salesperson]])))</f>
        <v>James-Ap</v>
      </c>
      <c r="AL303" t="s">
        <v>55</v>
      </c>
      <c r="AM303" t="str">
        <f>IF(Transaction[[#This Row],[ContractType]]="","Missing Value",Transaction[[#This Row],[ContractType]])</f>
        <v>Spot</v>
      </c>
      <c r="AN303" t="s">
        <v>26</v>
      </c>
    </row>
    <row r="304" spans="1:40" x14ac:dyDescent="0.25">
      <c r="A304" t="s">
        <v>2585</v>
      </c>
      <c r="B304" s="1">
        <v>45793</v>
      </c>
      <c r="C30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30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30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04" s="2">
        <f>IFERROR(DATE(Transaction[[#This Row],[TransactionDateY]],Transaction[[#This Row],[TransactionDateM]],Transaction[[#This Row],[TransactionDateD]]),"Missing Value")</f>
        <v>45793</v>
      </c>
      <c r="G304" t="s">
        <v>1660</v>
      </c>
      <c r="H304" t="str">
        <f>IFERROR(VLOOKUP(Transaction[[#This Row],[CustomerID]],Custumer[],1,0),IF(LEN(Transaction[[#This Row],[CustomerID]])=7,LEFT(Transaction[[#This Row],[CustomerID]],6),"Invalid ID"))</f>
        <v>C-1117</v>
      </c>
      <c r="I304" t="s">
        <v>71</v>
      </c>
      <c r="J304" t="str">
        <f>TRIM(UPPER(Transaction[[#This Row],[ProductID]]))</f>
        <v>P-SI-003</v>
      </c>
      <c r="K304" t="str">
        <f>IFERROR(VLOOKUP(Transaction[[#This Row],[ProductID_Clean]],Product[],1,FALSE),"Invalid ID")</f>
        <v>P-SI-003</v>
      </c>
      <c r="L304" t="str">
        <f>TRIM(SUBSTITUTE(SUBSTITUTE(SUBSTITUTE(SUBSTITUTE(UPPER(Transaction[[#This Row],[Region]]),"EMEA REGION","EMEA"),"APAC REGION","APAC"),"NORTH AMERICA","N. AMERICA"),"N .AMERICA","N.AMERICA"))</f>
        <v>LATIN AMERICA</v>
      </c>
      <c r="M304" t="s">
        <v>82</v>
      </c>
      <c r="N304" t="s">
        <v>272</v>
      </c>
      <c r="O30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04" t="s">
        <v>40</v>
      </c>
      <c r="Q304" t="str">
        <f>IF(TRIM(Transaction[[#This Row],[SalesChannel]])="","Missing Value",TRIM(Transaction[[#This Row],[SalesChannel]]))</f>
        <v>Distributor</v>
      </c>
      <c r="R304" s="4">
        <v>3</v>
      </c>
      <c r="S304" s="4" t="str">
        <f>IF(Transaction[[#This Row],[Quantity]]&lt;0,"Negative-review","Valid")</f>
        <v>Valid</v>
      </c>
      <c r="T304">
        <v>1509.1</v>
      </c>
      <c r="U30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1509.1</v>
      </c>
      <c r="V304">
        <v>1890</v>
      </c>
      <c r="W304">
        <v>5670</v>
      </c>
      <c r="X30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5670</v>
      </c>
      <c r="Y304">
        <f>IF(Transaction[[#This Row],[GrossRevenue_Check]]="Invalid",Transaction[[#This Row],[ListPrice]]*Transaction[[#This Row],[Quantity]],Transaction[[#This Row],[GrossRevenue_Clean]])</f>
        <v>5670</v>
      </c>
      <c r="Z304" t="str">
        <f>IF(Transaction[[#This Row],[GrossRevenue_Clean]]=Transaction[[#This Row],[ListPrice]]*Transaction[[#This Row],[Quantity]],"Valid","Invalid")</f>
        <v>Valid</v>
      </c>
      <c r="AA304">
        <v>1142.7</v>
      </c>
      <c r="AB30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1142.7</v>
      </c>
      <c r="AC304">
        <f>IF(Transaction[[#This Row],[DiscountAmount_Check2]]="Invalid",Transaction[[#This Row],[GrossRevenue_Analytical]]-Transaction[[#This Row],[NetRevenue_Analytical]],Transaction[[#This Row],[DiscountAmount_Clean]])</f>
        <v>1142.7</v>
      </c>
      <c r="AD304">
        <v>4527.3</v>
      </c>
      <c r="AE304" t="str">
        <f>IF(ROUND(Transaction[[#This Row],[GrossRevenue_Analytical]]-Transaction[[#This Row],[NetRevenue_Analytical]],2)=ROUND(Transaction[[#This Row],[DiscountAmount_Clean]],2),"Valid","Invalid")</f>
        <v>Valid</v>
      </c>
      <c r="AF304">
        <f>VALUE(IF(ISNUMBER(Transaction[[#This Row],[NetRevenue]]),Transaction[[#This Row],[NetRevenue]],IFERROR(IF(FIND("$",Transaction[[#This Row],[NetRevenue]])&gt;0,MID(Transaction[[#This Row],[NetRevenue]],2,10)),Transaction[[#This Row],[NetRevenue]])))</f>
        <v>4527.3</v>
      </c>
      <c r="AG304">
        <f>IF(Transaction[[#This Row],[NetRevenue_Check]]="Invalid",(Transaction[[#This Row],[Quantity]]*Transaction[[#This Row],[UnitPrice_Clean]]),Transaction[[#This Row],[NetRevenue_Clean]])</f>
        <v>4527.3</v>
      </c>
      <c r="AH304" t="str">
        <f>IF(Transaction[[#This Row],[Quantity]]*Transaction[[#This Row],[UnitPrice_Clean]]=Transaction[[#This Row],[NetRevenue_Clean]],"Valid","Invalid")</f>
        <v>Valid</v>
      </c>
      <c r="AI304" t="s">
        <v>23</v>
      </c>
      <c r="AJ304" t="s">
        <v>2586</v>
      </c>
      <c r="AK304" t="str">
        <f>IF(Transaction[[#This Row],[Salesperson]]="","Missing Value",TRIM(PROPER(Transaction[[#This Row],[Salesperson]])))</f>
        <v>Fowler-Em</v>
      </c>
      <c r="AL304" t="s">
        <v>42</v>
      </c>
      <c r="AM304" t="str">
        <f>IF(Transaction[[#This Row],[ContractType]]="","Missing Value",Transaction[[#This Row],[ContractType]])</f>
        <v>Standard PO</v>
      </c>
      <c r="AN304" t="s">
        <v>43</v>
      </c>
    </row>
    <row r="305" spans="1:40" x14ac:dyDescent="0.25">
      <c r="A305" t="s">
        <v>1618</v>
      </c>
      <c r="B305" s="1">
        <v>45727</v>
      </c>
      <c r="C30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30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30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05" s="2">
        <f>IFERROR(DATE(Transaction[[#This Row],[TransactionDateY]],Transaction[[#This Row],[TransactionDateM]],Transaction[[#This Row],[TransactionDateD]]),"Missing Value")</f>
        <v>45727</v>
      </c>
      <c r="G305" t="s">
        <v>1578</v>
      </c>
      <c r="H305" t="str">
        <f>IFERROR(VLOOKUP(Transaction[[#This Row],[CustomerID]],Custumer[],1,0),IF(LEN(Transaction[[#This Row],[CustomerID]])=7,LEFT(Transaction[[#This Row],[CustomerID]],6),"Invalid ID"))</f>
        <v>C-1031</v>
      </c>
      <c r="I305" t="s">
        <v>75</v>
      </c>
      <c r="J305" t="str">
        <f>TRIM(UPPER(Transaction[[#This Row],[ProductID]]))</f>
        <v>P-SA-005</v>
      </c>
      <c r="K305" t="str">
        <f>IFERROR(VLOOKUP(Transaction[[#This Row],[ProductID_Clean]],Product[],1,FALSE),"Invalid ID")</f>
        <v>P-SA-005</v>
      </c>
      <c r="L305" t="str">
        <f>TRIM(SUBSTITUTE(SUBSTITUTE(SUBSTITUTE(SUBSTITUTE(UPPER(Transaction[[#This Row],[Region]]),"EMEA REGION","EMEA"),"APAC REGION","APAC"),"NORTH AMERICA","N. AMERICA"),"N .AMERICA","N.AMERICA"))</f>
        <v>N. AMERICA</v>
      </c>
      <c r="M305" t="s">
        <v>20</v>
      </c>
      <c r="N305" t="s">
        <v>31</v>
      </c>
      <c r="O30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305" t="s">
        <v>420</v>
      </c>
      <c r="Q305" t="str">
        <f>IF(TRIM(Transaction[[#This Row],[SalesChannel]])="","Missing Value",TRIM(Transaction[[#This Row],[SalesChannel]]))</f>
        <v>partner portal</v>
      </c>
      <c r="R305" s="4">
        <v>1</v>
      </c>
      <c r="S305" s="4" t="str">
        <f>IF(Transaction[[#This Row],[Quantity]]&lt;0,"Negative-review","Valid")</f>
        <v>Valid</v>
      </c>
      <c r="T305">
        <v>2550.96</v>
      </c>
      <c r="U30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2550.96</v>
      </c>
      <c r="V305">
        <v>3200</v>
      </c>
      <c r="W305">
        <v>3200</v>
      </c>
      <c r="X30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305">
        <f>IF(Transaction[[#This Row],[GrossRevenue_Check]]="Invalid",Transaction[[#This Row],[ListPrice]]*Transaction[[#This Row],[Quantity]],Transaction[[#This Row],[GrossRevenue_Clean]])</f>
        <v>3200</v>
      </c>
      <c r="Z305" t="str">
        <f>IF(Transaction[[#This Row],[GrossRevenue_Clean]]=Transaction[[#This Row],[ListPrice]]*Transaction[[#This Row],[Quantity]],"Valid","Invalid")</f>
        <v>Valid</v>
      </c>
      <c r="AA305">
        <v>649.04</v>
      </c>
      <c r="AB30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649.04</v>
      </c>
      <c r="AC305">
        <f>IF(Transaction[[#This Row],[DiscountAmount_Check2]]="Invalid",Transaction[[#This Row],[GrossRevenue_Analytical]]-Transaction[[#This Row],[NetRevenue_Analytical]],Transaction[[#This Row],[DiscountAmount_Clean]])</f>
        <v>649.04</v>
      </c>
      <c r="AD305">
        <v>2550.96</v>
      </c>
      <c r="AE305" t="str">
        <f>IF(ROUND(Transaction[[#This Row],[GrossRevenue_Analytical]]-Transaction[[#This Row],[NetRevenue_Analytical]],2)=ROUND(Transaction[[#This Row],[DiscountAmount_Clean]],2),"Valid","Invalid")</f>
        <v>Valid</v>
      </c>
      <c r="AF305">
        <f>VALUE(IF(ISNUMBER(Transaction[[#This Row],[NetRevenue]]),Transaction[[#This Row],[NetRevenue]],IFERROR(IF(FIND("$",Transaction[[#This Row],[NetRevenue]])&gt;0,MID(Transaction[[#This Row],[NetRevenue]],2,10)),Transaction[[#This Row],[NetRevenue]])))</f>
        <v>2550.96</v>
      </c>
      <c r="AG305">
        <f>IF(Transaction[[#This Row],[NetRevenue_Check]]="Invalid",(Transaction[[#This Row],[Quantity]]*Transaction[[#This Row],[UnitPrice_Clean]]),Transaction[[#This Row],[NetRevenue_Clean]])</f>
        <v>2550.96</v>
      </c>
      <c r="AH305" t="str">
        <f>IF(Transaction[[#This Row],[Quantity]]*Transaction[[#This Row],[UnitPrice_Clean]]=Transaction[[#This Row],[NetRevenue_Clean]],"Valid","Invalid")</f>
        <v>Valid</v>
      </c>
      <c r="AI305" t="s">
        <v>23</v>
      </c>
      <c r="AJ305" t="s">
        <v>1619</v>
      </c>
      <c r="AK305" t="str">
        <f>IF(Transaction[[#This Row],[Salesperson]]="","Missing Value",TRIM(PROPER(Transaction[[#This Row],[Salesperson]])))</f>
        <v>Dean</v>
      </c>
      <c r="AL305" t="s">
        <v>34</v>
      </c>
      <c r="AM305" t="str">
        <f>IF(Transaction[[#This Row],[ContractType]]="","Missing Value",Transaction[[#This Row],[ContractType]])</f>
        <v>Annual License</v>
      </c>
      <c r="AN305" t="s">
        <v>65</v>
      </c>
    </row>
    <row r="306" spans="1:40" x14ac:dyDescent="0.25">
      <c r="A306" t="s">
        <v>849</v>
      </c>
      <c r="B306" t="s">
        <v>850</v>
      </c>
      <c r="C30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30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07</v>
      </c>
      <c r="E30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06" s="2">
        <f>IFERROR(DATE(Transaction[[#This Row],[TransactionDateY]],Transaction[[#This Row],[TransactionDateM]],Transaction[[#This Row],[TransactionDateD]]),"Missing Value")</f>
        <v>45723</v>
      </c>
      <c r="G306" t="s">
        <v>851</v>
      </c>
      <c r="H306" t="str">
        <f>IFERROR(VLOOKUP(Transaction[[#This Row],[CustomerID]],Custumer[],1,0),IF(LEN(Transaction[[#This Row],[CustomerID]])=7,LEFT(Transaction[[#This Row],[CustomerID]],6),"Invalid ID"))</f>
        <v>C-1068</v>
      </c>
      <c r="I306" t="s">
        <v>97</v>
      </c>
      <c r="J306" t="str">
        <f>TRIM(UPPER(Transaction[[#This Row],[ProductID]]))</f>
        <v>P-SI-001</v>
      </c>
      <c r="K306" t="str">
        <f>IFERROR(VLOOKUP(Transaction[[#This Row],[ProductID_Clean]],Product[],1,FALSE),"Invalid ID")</f>
        <v>P-SI-001</v>
      </c>
      <c r="L306" t="str">
        <f>TRIM(SUBSTITUTE(SUBSTITUTE(SUBSTITUTE(SUBSTITUTE(UPPER(Transaction[[#This Row],[Region]]),"EMEA REGION","EMEA"),"APAC REGION","APAC"),"NORTH AMERICA","N. AMERICA"),"N .AMERICA","N.AMERICA"))</f>
        <v>APAC</v>
      </c>
      <c r="M306" t="s">
        <v>127</v>
      </c>
      <c r="N306" t="s">
        <v>53</v>
      </c>
      <c r="O30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06" t="s">
        <v>40</v>
      </c>
      <c r="Q306" t="str">
        <f>IF(TRIM(Transaction[[#This Row],[SalesChannel]])="","Missing Value",TRIM(Transaction[[#This Row],[SalesChannel]]))</f>
        <v>Distributor</v>
      </c>
      <c r="R306" s="4">
        <v>3</v>
      </c>
      <c r="S306" s="4" t="str">
        <f>IF(Transaction[[#This Row],[Quantity]]&lt;0,"Negative-review","Valid")</f>
        <v>Valid</v>
      </c>
      <c r="T306">
        <v>388.35</v>
      </c>
      <c r="U30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388.35</v>
      </c>
      <c r="V306">
        <v>485</v>
      </c>
      <c r="W306">
        <v>1455</v>
      </c>
      <c r="X30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306">
        <f>IF(Transaction[[#This Row],[GrossRevenue_Check]]="Invalid",Transaction[[#This Row],[ListPrice]]*Transaction[[#This Row],[Quantity]],Transaction[[#This Row],[GrossRevenue_Clean]])</f>
        <v>1455</v>
      </c>
      <c r="Z306" t="str">
        <f>IF(Transaction[[#This Row],[GrossRevenue_Clean]]=Transaction[[#This Row],[ListPrice]]*Transaction[[#This Row],[Quantity]],"Valid","Invalid")</f>
        <v>Valid</v>
      </c>
      <c r="AA306">
        <v>289.95</v>
      </c>
      <c r="AB30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289.95</v>
      </c>
      <c r="AC306">
        <f>IF(Transaction[[#This Row],[DiscountAmount_Check2]]="Invalid",Transaction[[#This Row],[GrossRevenue_Analytical]]-Transaction[[#This Row],[NetRevenue_Analytical]],Transaction[[#This Row],[DiscountAmount_Clean]])</f>
        <v>289.95</v>
      </c>
      <c r="AD306">
        <v>1165.05</v>
      </c>
      <c r="AE306" t="str">
        <f>IF(ROUND(Transaction[[#This Row],[GrossRevenue_Analytical]]-Transaction[[#This Row],[NetRevenue_Analytical]],2)=ROUND(Transaction[[#This Row],[DiscountAmount_Clean]],2),"Valid","Invalid")</f>
        <v>Valid</v>
      </c>
      <c r="AF30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1165.05</v>
      </c>
      <c r="AG306">
        <f>IF(Transaction[[#This Row],[NetRevenue_Check]]="Invalid",(Transaction[[#This Row],[Quantity]]*Transaction[[#This Row],[UnitPrice_Clean]]),Transaction[[#This Row],[NetRevenue_Clean]])</f>
        <v>1165.05</v>
      </c>
      <c r="AH306" t="str">
        <f>IF(Transaction[[#This Row],[Quantity]]*Transaction[[#This Row],[UnitPrice_Clean]]=Transaction[[#This Row],[NetRevenue_Clean]],"Valid","Invalid")</f>
        <v>Valid</v>
      </c>
      <c r="AI306" t="s">
        <v>99</v>
      </c>
      <c r="AJ306" t="s">
        <v>852</v>
      </c>
      <c r="AK306" t="str">
        <f>IF(Transaction[[#This Row],[Salesperson]]="","Missing Value",TRIM(PROPER(Transaction[[#This Row],[Salesperson]])))</f>
        <v>Brown-Na</v>
      </c>
      <c r="AL306" t="s">
        <v>42</v>
      </c>
      <c r="AM306" t="str">
        <f>IF(Transaction[[#This Row],[ContractType]]="","Missing Value",Transaction[[#This Row],[ContractType]])</f>
        <v>Standard PO</v>
      </c>
      <c r="AN306" t="s">
        <v>49</v>
      </c>
    </row>
    <row r="307" spans="1:40" x14ac:dyDescent="0.25">
      <c r="A307" t="s">
        <v>2460</v>
      </c>
      <c r="B307" t="s">
        <v>641</v>
      </c>
      <c r="C30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30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30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07" s="2">
        <f>IFERROR(DATE(Transaction[[#This Row],[TransactionDateY]],Transaction[[#This Row],[TransactionDateM]],Transaction[[#This Row],[TransactionDateD]]),"Missing Value")</f>
        <v>45733</v>
      </c>
      <c r="G307" t="s">
        <v>247</v>
      </c>
      <c r="H307" t="str">
        <f>IFERROR(VLOOKUP(Transaction[[#This Row],[CustomerID]],Custumer[],1,0),IF(LEN(Transaction[[#This Row],[CustomerID]])=7,LEFT(Transaction[[#This Row],[CustomerID]],6),"Invalid ID"))</f>
        <v>C-1045</v>
      </c>
      <c r="I307" t="s">
        <v>62</v>
      </c>
      <c r="J307" t="str">
        <f>TRIM(UPPER(Transaction[[#This Row],[ProductID]]))</f>
        <v>P-SI-004</v>
      </c>
      <c r="K307" t="str">
        <f>IFERROR(VLOOKUP(Transaction[[#This Row],[ProductID_Clean]],Product[],1,FALSE),"Invalid ID")</f>
        <v>P-SI-004</v>
      </c>
      <c r="L307" t="str">
        <f>TRIM(SUBSTITUTE(SUBSTITUTE(SUBSTITUTE(SUBSTITUTE(UPPER(Transaction[[#This Row],[Region]]),"EMEA REGION","EMEA"),"APAC REGION","APAC"),"NORTH AMERICA","N. AMERICA"),"N .AMERICA","N.AMERICA"))</f>
        <v>EMEA</v>
      </c>
      <c r="M307" t="s">
        <v>76</v>
      </c>
      <c r="N307" t="s">
        <v>53</v>
      </c>
      <c r="O30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07" t="s">
        <v>40</v>
      </c>
      <c r="Q307" t="str">
        <f>IF(TRIM(Transaction[[#This Row],[SalesChannel]])="","Missing Value",TRIM(Transaction[[#This Row],[SalesChannel]]))</f>
        <v>Distributor</v>
      </c>
      <c r="R307" s="4">
        <v>1</v>
      </c>
      <c r="S307" s="4" t="str">
        <f>IF(Transaction[[#This Row],[Quantity]]&lt;0,"Negative-review","Valid")</f>
        <v>Valid</v>
      </c>
      <c r="T307">
        <v>1742.54</v>
      </c>
      <c r="U30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1742.54</v>
      </c>
      <c r="V307">
        <v>2450</v>
      </c>
      <c r="W307">
        <v>2450</v>
      </c>
      <c r="X30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307">
        <f>IF(Transaction[[#This Row],[GrossRevenue_Check]]="Invalid",Transaction[[#This Row],[ListPrice]]*Transaction[[#This Row],[Quantity]],Transaction[[#This Row],[GrossRevenue_Clean]])</f>
        <v>2450</v>
      </c>
      <c r="Z307" t="str">
        <f>IF(Transaction[[#This Row],[GrossRevenue_Clean]]=Transaction[[#This Row],[ListPrice]]*Transaction[[#This Row],[Quantity]],"Valid","Invalid")</f>
        <v>Valid</v>
      </c>
      <c r="AA307">
        <v>707.46</v>
      </c>
      <c r="AB30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707.46</v>
      </c>
      <c r="AC307">
        <f>IF(Transaction[[#This Row],[DiscountAmount_Check2]]="Invalid",Transaction[[#This Row],[GrossRevenue_Analytical]]-Transaction[[#This Row],[NetRevenue_Analytical]],Transaction[[#This Row],[DiscountAmount_Clean]])</f>
        <v>707.46</v>
      </c>
      <c r="AD307">
        <v>1742.54</v>
      </c>
      <c r="AE307" t="str">
        <f>IF(ROUND(Transaction[[#This Row],[GrossRevenue_Analytical]]-Transaction[[#This Row],[NetRevenue_Analytical]],2)=ROUND(Transaction[[#This Row],[DiscountAmount_Clean]],2),"Valid","Invalid")</f>
        <v>Valid</v>
      </c>
      <c r="AF30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1742.54</v>
      </c>
      <c r="AG307">
        <f>IF(Transaction[[#This Row],[NetRevenue_Check]]="Invalid",(Transaction[[#This Row],[Quantity]]*Transaction[[#This Row],[UnitPrice_Clean]]),Transaction[[#This Row],[NetRevenue_Clean]])</f>
        <v>1742.54</v>
      </c>
      <c r="AH307" t="str">
        <f>IF(Transaction[[#This Row],[Quantity]]*Transaction[[#This Row],[UnitPrice_Clean]]=Transaction[[#This Row],[NetRevenue_Clean]],"Valid","Invalid")</f>
        <v>Valid</v>
      </c>
      <c r="AI307" t="s">
        <v>23</v>
      </c>
      <c r="AJ307" t="s">
        <v>2461</v>
      </c>
      <c r="AK307" t="str">
        <f>IF(Transaction[[#This Row],[Salesperson]]="","Missing Value",TRIM(PROPER(Transaction[[#This Row],[Salesperson]])))</f>
        <v>Copeland-Ap</v>
      </c>
      <c r="AL307" t="s">
        <v>42</v>
      </c>
      <c r="AM307" t="str">
        <f>IF(Transaction[[#This Row],[ContractType]]="","Missing Value",Transaction[[#This Row],[ContractType]])</f>
        <v>Standard PO</v>
      </c>
      <c r="AN307" t="s">
        <v>35</v>
      </c>
    </row>
    <row r="308" spans="1:40" x14ac:dyDescent="0.25">
      <c r="A308" t="s">
        <v>1629</v>
      </c>
      <c r="B308" t="s">
        <v>1630</v>
      </c>
      <c r="C30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30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30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08" s="2">
        <f>IFERROR(DATE(Transaction[[#This Row],[TransactionDateY]],Transaction[[#This Row],[TransactionDateM]],Transaction[[#This Row],[TransactionDateD]]),"Missing Value")</f>
        <v>45744</v>
      </c>
      <c r="G308" t="s">
        <v>1321</v>
      </c>
      <c r="H308" t="str">
        <f>IFERROR(VLOOKUP(Transaction[[#This Row],[CustomerID]],Custumer[],1,0),IF(LEN(Transaction[[#This Row],[CustomerID]])=7,LEFT(Transaction[[#This Row],[CustomerID]],6),"Invalid ID"))</f>
        <v>C-1066</v>
      </c>
      <c r="I308" t="s">
        <v>97</v>
      </c>
      <c r="J308" t="str">
        <f>TRIM(UPPER(Transaction[[#This Row],[ProductID]]))</f>
        <v>P-SI-001</v>
      </c>
      <c r="K308" t="str">
        <f>IFERROR(VLOOKUP(Transaction[[#This Row],[ProductID_Clean]],Product[],1,FALSE),"Invalid ID")</f>
        <v>P-SI-001</v>
      </c>
      <c r="L308" t="str">
        <f>TRIM(SUBSTITUTE(SUBSTITUTE(SUBSTITUTE(SUBSTITUTE(UPPER(Transaction[[#This Row],[Region]]),"EMEA REGION","EMEA"),"APAC REGION","APAC"),"NORTH AMERICA","N. AMERICA"),"N .AMERICA","N.AMERICA"))</f>
        <v>EMEA</v>
      </c>
      <c r="M308" t="s">
        <v>76</v>
      </c>
      <c r="N308" t="s">
        <v>98</v>
      </c>
      <c r="O30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08" t="s">
        <v>22</v>
      </c>
      <c r="Q308" t="str">
        <f>IF(TRIM(Transaction[[#This Row],[SalesChannel]])="","Missing Value",TRIM(Transaction[[#This Row],[SalesChannel]]))</f>
        <v>Direct</v>
      </c>
      <c r="R308" s="4">
        <v>3</v>
      </c>
      <c r="S308" s="4" t="str">
        <f>IF(Transaction[[#This Row],[Quantity]]&lt;0,"Negative-review","Valid")</f>
        <v>Valid</v>
      </c>
      <c r="T308">
        <v>417.43</v>
      </c>
      <c r="U30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417.43</v>
      </c>
      <c r="V308">
        <v>485</v>
      </c>
      <c r="W308">
        <v>1455</v>
      </c>
      <c r="X30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308">
        <f>IF(Transaction[[#This Row],[GrossRevenue_Check]]="Invalid",Transaction[[#This Row],[ListPrice]]*Transaction[[#This Row],[Quantity]],Transaction[[#This Row],[GrossRevenue_Clean]])</f>
        <v>1455</v>
      </c>
      <c r="Z308" t="str">
        <f>IF(Transaction[[#This Row],[GrossRevenue_Clean]]=Transaction[[#This Row],[ListPrice]]*Transaction[[#This Row],[Quantity]],"Valid","Invalid")</f>
        <v>Valid</v>
      </c>
      <c r="AA308">
        <v>202.71</v>
      </c>
      <c r="AB30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202.71</v>
      </c>
      <c r="AC308">
        <f>IF(Transaction[[#This Row],[DiscountAmount_Check2]]="Invalid",Transaction[[#This Row],[GrossRevenue_Analytical]]-Transaction[[#This Row],[NetRevenue_Analytical]],Transaction[[#This Row],[DiscountAmount_Clean]])</f>
        <v>202.71</v>
      </c>
      <c r="AD308">
        <v>1252.29</v>
      </c>
      <c r="AE308" t="str">
        <f>IF(ROUND(Transaction[[#This Row],[GrossRevenue_Analytical]]-Transaction[[#This Row],[NetRevenue_Analytical]],2)=ROUND(Transaction[[#This Row],[DiscountAmount_Clean]],2),"Valid","Invalid")</f>
        <v>Valid</v>
      </c>
      <c r="AF30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1252.29</v>
      </c>
      <c r="AG308">
        <f>IF(Transaction[[#This Row],[NetRevenue_Check]]="Invalid",(Transaction[[#This Row],[Quantity]]*Transaction[[#This Row],[UnitPrice_Clean]]),Transaction[[#This Row],[NetRevenue_Clean]])</f>
        <v>1252.29</v>
      </c>
      <c r="AH308" t="str">
        <f>IF(Transaction[[#This Row],[Quantity]]*Transaction[[#This Row],[UnitPrice_Clean]]=Transaction[[#This Row],[NetRevenue_Clean]],"Valid","Invalid")</f>
        <v>Valid</v>
      </c>
      <c r="AI308" t="s">
        <v>23</v>
      </c>
      <c r="AJ308" t="s">
        <v>1631</v>
      </c>
      <c r="AK308" t="str">
        <f>IF(Transaction[[#This Row],[Salesperson]]="","Missing Value",TRIM(PROPER(Transaction[[#This Row],[Salesperson]])))</f>
        <v>Porter-Na</v>
      </c>
      <c r="AL308" t="s">
        <v>42</v>
      </c>
      <c r="AM308" t="str">
        <f>IF(Transaction[[#This Row],[ContractType]]="","Missing Value",Transaction[[#This Row],[ContractType]])</f>
        <v>Standard PO</v>
      </c>
      <c r="AN308" t="s">
        <v>26</v>
      </c>
    </row>
    <row r="309" spans="1:40" x14ac:dyDescent="0.25">
      <c r="A309" t="s">
        <v>841</v>
      </c>
      <c r="B309" s="1">
        <v>45677</v>
      </c>
      <c r="C30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30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30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09" s="2">
        <f>IFERROR(DATE(Transaction[[#This Row],[TransactionDateY]],Transaction[[#This Row],[TransactionDateM]],Transaction[[#This Row],[TransactionDateD]]),"Missing Value")</f>
        <v>45677</v>
      </c>
      <c r="G309" t="s">
        <v>116</v>
      </c>
      <c r="H309" t="str">
        <f>IFERROR(VLOOKUP(Transaction[[#This Row],[CustomerID]],Custumer[],1,0),IF(LEN(Transaction[[#This Row],[CustomerID]])=7,LEFT(Transaction[[#This Row],[CustomerID]],6),"Invalid ID"))</f>
        <v>C-1167</v>
      </c>
      <c r="I309" t="s">
        <v>46</v>
      </c>
      <c r="J309" t="str">
        <f>TRIM(UPPER(Transaction[[#This Row],[ProductID]]))</f>
        <v>P-SI-006</v>
      </c>
      <c r="K309" t="str">
        <f>IFERROR(VLOOKUP(Transaction[[#This Row],[ProductID_Clean]],Product[],1,FALSE),"Invalid ID")</f>
        <v>P-SI-006</v>
      </c>
      <c r="L309" t="str">
        <f>TRIM(SUBSTITUTE(SUBSTITUTE(SUBSTITUTE(SUBSTITUTE(UPPER(Transaction[[#This Row],[Region]]),"EMEA REGION","EMEA"),"APAC REGION","APAC"),"NORTH AMERICA","N. AMERICA"),"N .AMERICA","N.AMERICA"))</f>
        <v>EMEA</v>
      </c>
      <c r="M309" t="s">
        <v>76</v>
      </c>
      <c r="N309" t="s">
        <v>53</v>
      </c>
      <c r="O30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09" t="s">
        <v>93</v>
      </c>
      <c r="Q309" t="str">
        <f>IF(TRIM(Transaction[[#This Row],[SalesChannel]])="","Missing Value",TRIM(Transaction[[#This Row],[SalesChannel]]))</f>
        <v>direct</v>
      </c>
      <c r="R309" s="4">
        <v>3</v>
      </c>
      <c r="S309" s="4" t="str">
        <f>IF(Transaction[[#This Row],[Quantity]]&lt;0,"Negative-review","Valid")</f>
        <v>Valid</v>
      </c>
      <c r="T309">
        <v>173.63</v>
      </c>
      <c r="U30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173.63</v>
      </c>
      <c r="V309">
        <v>215</v>
      </c>
      <c r="W309">
        <v>645</v>
      </c>
      <c r="X30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309">
        <f>IF(Transaction[[#This Row],[GrossRevenue_Check]]="Invalid",Transaction[[#This Row],[ListPrice]]*Transaction[[#This Row],[Quantity]],Transaction[[#This Row],[GrossRevenue_Clean]])</f>
        <v>645</v>
      </c>
      <c r="Z309" t="str">
        <f>IF(Transaction[[#This Row],[GrossRevenue_Clean]]=Transaction[[#This Row],[ListPrice]]*Transaction[[#This Row],[Quantity]],"Valid","Invalid")</f>
        <v>Valid</v>
      </c>
      <c r="AA309">
        <v>124.11</v>
      </c>
      <c r="AB30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124.11</v>
      </c>
      <c r="AC309">
        <f>IF(Transaction[[#This Row],[DiscountAmount_Check2]]="Invalid",Transaction[[#This Row],[GrossRevenue_Analytical]]-Transaction[[#This Row],[NetRevenue_Analytical]],Transaction[[#This Row],[DiscountAmount_Clean]])</f>
        <v>124.11</v>
      </c>
      <c r="AD309">
        <v>520.89</v>
      </c>
      <c r="AE309" t="str">
        <f>IF(ROUND(Transaction[[#This Row],[GrossRevenue_Analytical]]-Transaction[[#This Row],[NetRevenue_Analytical]],2)=ROUND(Transaction[[#This Row],[DiscountAmount_Clean]],2),"Valid","Invalid")</f>
        <v>Valid</v>
      </c>
      <c r="AF309">
        <f>VALUE(IF(ISNUMBER(Transaction[[#This Row],[NetRevenue]]),Transaction[[#This Row],[NetRevenue]],IFERROR(IF(FIND("$",Transaction[[#This Row],[NetRevenue]])&gt;0,MID(Transaction[[#This Row],[NetRevenue]],2,10)),Transaction[[#This Row],[NetRevenue]])))</f>
        <v>520.89</v>
      </c>
      <c r="AG309">
        <f>IF(Transaction[[#This Row],[NetRevenue_Check]]="Invalid",(Transaction[[#This Row],[Quantity]]*Transaction[[#This Row],[UnitPrice_Clean]]),Transaction[[#This Row],[NetRevenue_Clean]])</f>
        <v>520.89</v>
      </c>
      <c r="AH309" t="str">
        <f>IF(Transaction[[#This Row],[Quantity]]*Transaction[[#This Row],[UnitPrice_Clean]]=Transaction[[#This Row],[NetRevenue_Clean]],"Valid","Invalid")</f>
        <v>Valid</v>
      </c>
      <c r="AI309" t="s">
        <v>23</v>
      </c>
      <c r="AJ309" t="s">
        <v>842</v>
      </c>
      <c r="AK309" t="str">
        <f>IF(Transaction[[#This Row],[Salesperson]]="","Missing Value",TRIM(PROPER(Transaction[[#This Row],[Salesperson]])))</f>
        <v>Herrera</v>
      </c>
      <c r="AL309" t="s">
        <v>42</v>
      </c>
      <c r="AM309" t="str">
        <f>IF(Transaction[[#This Row],[ContractType]]="","Missing Value",Transaction[[#This Row],[ContractType]])</f>
        <v>Standard PO</v>
      </c>
      <c r="AN309" t="s">
        <v>49</v>
      </c>
    </row>
    <row r="310" spans="1:40" x14ac:dyDescent="0.25">
      <c r="A310" t="s">
        <v>1588</v>
      </c>
      <c r="B310" t="s">
        <v>1558</v>
      </c>
      <c r="C31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31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31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10" s="2">
        <f>IFERROR(DATE(Transaction[[#This Row],[TransactionDateY]],Transaction[[#This Row],[TransactionDateM]],Transaction[[#This Row],[TransactionDateD]]),"Missing Value")</f>
        <v>45715</v>
      </c>
      <c r="G310" t="s">
        <v>1518</v>
      </c>
      <c r="H310" t="str">
        <f>IFERROR(VLOOKUP(Transaction[[#This Row],[CustomerID]],Custumer[],1,0),IF(LEN(Transaction[[#This Row],[CustomerID]])=7,LEFT(Transaction[[#This Row],[CustomerID]],6),"Invalid ID"))</f>
        <v>C-1138</v>
      </c>
      <c r="I310" t="s">
        <v>46</v>
      </c>
      <c r="J310" t="str">
        <f>TRIM(UPPER(Transaction[[#This Row],[ProductID]]))</f>
        <v>P-SI-006</v>
      </c>
      <c r="K310" t="str">
        <f>IFERROR(VLOOKUP(Transaction[[#This Row],[ProductID_Clean]],Product[],1,FALSE),"Invalid ID")</f>
        <v>P-SI-006</v>
      </c>
      <c r="L310" t="str">
        <f>TRIM(SUBSTITUTE(SUBSTITUTE(SUBSTITUTE(SUBSTITUTE(UPPER(Transaction[[#This Row],[Region]]),"EMEA REGION","EMEA"),"APAC REGION","APAC"),"NORTH AMERICA","N. AMERICA"),"N .AMERICA","N.AMERICA"))</f>
        <v>EMEA</v>
      </c>
      <c r="M310" t="s">
        <v>76</v>
      </c>
      <c r="N310" t="s">
        <v>53</v>
      </c>
      <c r="O31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10" t="s">
        <v>22</v>
      </c>
      <c r="Q310" t="str">
        <f>IF(TRIM(Transaction[[#This Row],[SalesChannel]])="","Missing Value",TRIM(Transaction[[#This Row],[SalesChannel]]))</f>
        <v>Direct</v>
      </c>
      <c r="R310" s="4">
        <v>8</v>
      </c>
      <c r="S310" s="4" t="str">
        <f>IF(Transaction[[#This Row],[Quantity]]&lt;0,"Negative-review","Valid")</f>
        <v>Valid</v>
      </c>
      <c r="T310">
        <v>189.83</v>
      </c>
      <c r="U31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189.83</v>
      </c>
      <c r="V310">
        <v>215</v>
      </c>
      <c r="W310">
        <v>1720</v>
      </c>
      <c r="X31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1720</v>
      </c>
      <c r="Y310">
        <f>IF(Transaction[[#This Row],[GrossRevenue_Check]]="Invalid",Transaction[[#This Row],[ListPrice]]*Transaction[[#This Row],[Quantity]],Transaction[[#This Row],[GrossRevenue_Clean]])</f>
        <v>1720</v>
      </c>
      <c r="Z310" t="str">
        <f>IF(Transaction[[#This Row],[GrossRevenue_Clean]]=Transaction[[#This Row],[ListPrice]]*Transaction[[#This Row],[Quantity]],"Valid","Invalid")</f>
        <v>Valid</v>
      </c>
      <c r="AA310">
        <v>201.36</v>
      </c>
      <c r="AB31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201.36</v>
      </c>
      <c r="AC310">
        <f>IF(Transaction[[#This Row],[DiscountAmount_Check2]]="Invalid",Transaction[[#This Row],[GrossRevenue_Analytical]]-Transaction[[#This Row],[NetRevenue_Analytical]],Transaction[[#This Row],[DiscountAmount_Clean]])</f>
        <v>201.36</v>
      </c>
      <c r="AD310">
        <v>1518.64</v>
      </c>
      <c r="AE310" t="str">
        <f>IF(ROUND(Transaction[[#This Row],[GrossRevenue_Analytical]]-Transaction[[#This Row],[NetRevenue_Analytical]],2)=ROUND(Transaction[[#This Row],[DiscountAmount_Clean]],2),"Valid","Invalid")</f>
        <v>Valid</v>
      </c>
      <c r="AF31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1518.64</v>
      </c>
      <c r="AG310">
        <f>IF(Transaction[[#This Row],[NetRevenue_Check]]="Invalid",(Transaction[[#This Row],[Quantity]]*Transaction[[#This Row],[UnitPrice_Clean]]),Transaction[[#This Row],[NetRevenue_Clean]])</f>
        <v>1518.64</v>
      </c>
      <c r="AH310" t="str">
        <f>IF(Transaction[[#This Row],[Quantity]]*Transaction[[#This Row],[UnitPrice_Clean]]=Transaction[[#This Row],[NetRevenue_Clean]],"Valid","Invalid")</f>
        <v>Valid</v>
      </c>
      <c r="AI310" t="s">
        <v>23</v>
      </c>
      <c r="AK310" t="str">
        <f>IF(Transaction[[#This Row],[Salesperson]]="","Missing Value",TRIM(PROPER(Transaction[[#This Row],[Salesperson]])))</f>
        <v>Missing Value</v>
      </c>
      <c r="AL310" t="s">
        <v>42</v>
      </c>
      <c r="AM310" t="str">
        <f>IF(Transaction[[#This Row],[ContractType]]="","Missing Value",Transaction[[#This Row],[ContractType]])</f>
        <v>Standard PO</v>
      </c>
      <c r="AN310" t="s">
        <v>35</v>
      </c>
    </row>
    <row r="311" spans="1:40" x14ac:dyDescent="0.25">
      <c r="A311" t="s">
        <v>682</v>
      </c>
      <c r="B311" s="1">
        <v>45830</v>
      </c>
      <c r="C31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31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31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11" s="2">
        <f>IFERROR(DATE(Transaction[[#This Row],[TransactionDateY]],Transaction[[#This Row],[TransactionDateM]],Transaction[[#This Row],[TransactionDateD]]),"Missing Value")</f>
        <v>45830</v>
      </c>
      <c r="G311" t="s">
        <v>116</v>
      </c>
      <c r="H311" t="str">
        <f>IFERROR(VLOOKUP(Transaction[[#This Row],[CustomerID]],Custumer[],1,0),IF(LEN(Transaction[[#This Row],[CustomerID]])=7,LEFT(Transaction[[#This Row],[CustomerID]],6),"Invalid ID"))</f>
        <v>C-1167</v>
      </c>
      <c r="I311" t="s">
        <v>117</v>
      </c>
      <c r="J311" t="str">
        <f>TRIM(UPPER(Transaction[[#This Row],[ProductID]]))</f>
        <v>P-SI-007</v>
      </c>
      <c r="K311" t="str">
        <f>IFERROR(VLOOKUP(Transaction[[#This Row],[ProductID_Clean]],Product[],1,FALSE),"Invalid ID")</f>
        <v>P-SI-007</v>
      </c>
      <c r="L311" t="str">
        <f>TRIM(SUBSTITUTE(SUBSTITUTE(SUBSTITUTE(SUBSTITUTE(UPPER(Transaction[[#This Row],[Region]]),"EMEA REGION","EMEA"),"APAC REGION","APAC"),"NORTH AMERICA","N. AMERICA"),"N .AMERICA","N.AMERICA"))</f>
        <v>EMEA</v>
      </c>
      <c r="M311" t="s">
        <v>683</v>
      </c>
      <c r="N311" t="s">
        <v>53</v>
      </c>
      <c r="O31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11" t="s">
        <v>22</v>
      </c>
      <c r="Q311" t="str">
        <f>IF(TRIM(Transaction[[#This Row],[SalesChannel]])="","Missing Value",TRIM(Transaction[[#This Row],[SalesChannel]]))</f>
        <v>Direct</v>
      </c>
      <c r="R311" s="4">
        <v>3</v>
      </c>
      <c r="S311" s="4" t="str">
        <f>IF(Transaction[[#This Row],[Quantity]]&lt;0,"Negative-review","Valid")</f>
        <v>Valid</v>
      </c>
      <c r="T311" t="s">
        <v>684</v>
      </c>
      <c r="U31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927.97</v>
      </c>
      <c r="V311">
        <v>980</v>
      </c>
      <c r="W311">
        <v>2940</v>
      </c>
      <c r="X31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2940</v>
      </c>
      <c r="Y311">
        <f>IF(Transaction[[#This Row],[GrossRevenue_Check]]="Invalid",Transaction[[#This Row],[ListPrice]]*Transaction[[#This Row],[Quantity]],Transaction[[#This Row],[GrossRevenue_Clean]])</f>
        <v>2940</v>
      </c>
      <c r="Z311" t="str">
        <f>IF(Transaction[[#This Row],[GrossRevenue_Clean]]=Transaction[[#This Row],[ListPrice]]*Transaction[[#This Row],[Quantity]],"Valid","Invalid")</f>
        <v>Valid</v>
      </c>
      <c r="AA311">
        <v>156.09</v>
      </c>
      <c r="AB31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156.09</v>
      </c>
      <c r="AC311">
        <f>IF(Transaction[[#This Row],[DiscountAmount_Check2]]="Invalid",Transaction[[#This Row],[GrossRevenue_Analytical]]-Transaction[[#This Row],[NetRevenue_Analytical]],Transaction[[#This Row],[DiscountAmount_Clean]])</f>
        <v>156.09</v>
      </c>
      <c r="AD311">
        <v>2783.91</v>
      </c>
      <c r="AE311" t="str">
        <f>IF(ROUND(Transaction[[#This Row],[GrossRevenue_Analytical]]-Transaction[[#This Row],[NetRevenue_Analytical]],2)=ROUND(Transaction[[#This Row],[DiscountAmount_Clean]],2),"Valid","Invalid")</f>
        <v>Valid</v>
      </c>
      <c r="AF31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2783.91</v>
      </c>
      <c r="AG311">
        <f>IF(Transaction[[#This Row],[NetRevenue_Check]]="Invalid",(Transaction[[#This Row],[Quantity]]*Transaction[[#This Row],[UnitPrice_Clean]]),Transaction[[#This Row],[NetRevenue_Clean]])</f>
        <v>2783.91</v>
      </c>
      <c r="AH311" t="str">
        <f>IF(Transaction[[#This Row],[Quantity]]*Transaction[[#This Row],[UnitPrice_Clean]]=Transaction[[#This Row],[NetRevenue_Clean]],"Valid","Invalid")</f>
        <v>Valid</v>
      </c>
      <c r="AI311" t="s">
        <v>23</v>
      </c>
      <c r="AJ311" t="s">
        <v>463</v>
      </c>
      <c r="AK311" t="str">
        <f>IF(Transaction[[#This Row],[Salesperson]]="","Missing Value",TRIM(PROPER(Transaction[[#This Row],[Salesperson]])))</f>
        <v>Andrews-Na</v>
      </c>
      <c r="AL311" t="s">
        <v>42</v>
      </c>
      <c r="AM311" t="str">
        <f>IF(Transaction[[#This Row],[ContractType]]="","Missing Value",Transaction[[#This Row],[ContractType]])</f>
        <v>Standard PO</v>
      </c>
      <c r="AN311" t="s">
        <v>49</v>
      </c>
    </row>
    <row r="312" spans="1:40" x14ac:dyDescent="0.25">
      <c r="A312" t="s">
        <v>211</v>
      </c>
      <c r="B312" s="1">
        <v>45800</v>
      </c>
      <c r="C31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31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31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12" s="2">
        <f>IFERROR(DATE(Transaction[[#This Row],[TransactionDateY]],Transaction[[#This Row],[TransactionDateM]],Transaction[[#This Row],[TransactionDateD]]),"Missing Value")</f>
        <v>45800</v>
      </c>
      <c r="G312" t="s">
        <v>38</v>
      </c>
      <c r="H312" t="str">
        <f>IFERROR(VLOOKUP(Transaction[[#This Row],[CustomerID]],Custumer[],1,0),IF(LEN(Transaction[[#This Row],[CustomerID]])=7,LEFT(Transaction[[#This Row],[CustomerID]],6),"Invalid ID"))</f>
        <v>C-1027</v>
      </c>
      <c r="I312" t="s">
        <v>97</v>
      </c>
      <c r="J312" t="str">
        <f>TRIM(UPPER(Transaction[[#This Row],[ProductID]]))</f>
        <v>P-SI-001</v>
      </c>
      <c r="K312" t="str">
        <f>IFERROR(VLOOKUP(Transaction[[#This Row],[ProductID_Clean]],Product[],1,FALSE),"Invalid ID")</f>
        <v>P-SI-001</v>
      </c>
      <c r="L312" t="str">
        <f>TRIM(SUBSTITUTE(SUBSTITUTE(SUBSTITUTE(SUBSTITUTE(UPPER(Transaction[[#This Row],[Region]]),"EMEA REGION","EMEA"),"APAC REGION","APAC"),"NORTH AMERICA","N. AMERICA"),"N .AMERICA","N.AMERICA"))</f>
        <v>N. AMERICA</v>
      </c>
      <c r="M312" t="s">
        <v>20</v>
      </c>
      <c r="N312" t="s">
        <v>47</v>
      </c>
      <c r="O31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12" t="s">
        <v>22</v>
      </c>
      <c r="Q312" t="str">
        <f>IF(TRIM(Transaction[[#This Row],[SalesChannel]])="","Missing Value",TRIM(Transaction[[#This Row],[SalesChannel]]))</f>
        <v>Direct</v>
      </c>
      <c r="R312" s="4">
        <v>2</v>
      </c>
      <c r="S312" s="4" t="str">
        <f>IF(Transaction[[#This Row],[Quantity]]&lt;0,"Negative-review","Valid")</f>
        <v>Valid</v>
      </c>
      <c r="T312">
        <v>433.94</v>
      </c>
      <c r="U31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433.94</v>
      </c>
      <c r="V312">
        <v>485</v>
      </c>
      <c r="W312">
        <v>970</v>
      </c>
      <c r="X31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312">
        <f>IF(Transaction[[#This Row],[GrossRevenue_Check]]="Invalid",Transaction[[#This Row],[ListPrice]]*Transaction[[#This Row],[Quantity]],Transaction[[#This Row],[GrossRevenue_Clean]])</f>
        <v>970</v>
      </c>
      <c r="Z312" t="str">
        <f>IF(Transaction[[#This Row],[GrossRevenue_Clean]]=Transaction[[#This Row],[ListPrice]]*Transaction[[#This Row],[Quantity]],"Valid","Invalid")</f>
        <v>Valid</v>
      </c>
      <c r="AA312">
        <v>102.12</v>
      </c>
      <c r="AB31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102.12</v>
      </c>
      <c r="AC312">
        <f>IF(Transaction[[#This Row],[DiscountAmount_Check2]]="Invalid",Transaction[[#This Row],[GrossRevenue_Analytical]]-Transaction[[#This Row],[NetRevenue_Analytical]],Transaction[[#This Row],[DiscountAmount_Clean]])</f>
        <v>102.12</v>
      </c>
      <c r="AD312">
        <v>867.88</v>
      </c>
      <c r="AE312" t="str">
        <f>IF(ROUND(Transaction[[#This Row],[GrossRevenue_Analytical]]-Transaction[[#This Row],[NetRevenue_Analytical]],2)=ROUND(Transaction[[#This Row],[DiscountAmount_Clean]],2),"Valid","Invalid")</f>
        <v>Valid</v>
      </c>
      <c r="AF312">
        <f>VALUE(IF(ISNUMBER(Transaction[[#This Row],[NetRevenue]]),Transaction[[#This Row],[NetRevenue]],IFERROR(IF(FIND("$",Transaction[[#This Row],[NetRevenue]])&gt;0,MID(Transaction[[#This Row],[NetRevenue]],2,10)),Transaction[[#This Row],[NetRevenue]])))</f>
        <v>867.88</v>
      </c>
      <c r="AG312">
        <f>IF(Transaction[[#This Row],[NetRevenue_Check]]="Invalid",(Transaction[[#This Row],[Quantity]]*Transaction[[#This Row],[UnitPrice_Clean]]),Transaction[[#This Row],[NetRevenue_Clean]])</f>
        <v>867.88</v>
      </c>
      <c r="AH312" t="str">
        <f>IF(Transaction[[#This Row],[Quantity]]*Transaction[[#This Row],[UnitPrice_Clean]]=Transaction[[#This Row],[NetRevenue_Clean]],"Valid","Invalid")</f>
        <v>Valid</v>
      </c>
      <c r="AI312" t="s">
        <v>23</v>
      </c>
      <c r="AJ312" t="s">
        <v>212</v>
      </c>
      <c r="AK312" t="str">
        <f>IF(Transaction[[#This Row],[Salesperson]]="","Missing Value",TRIM(PROPER(Transaction[[#This Row],[Salesperson]])))</f>
        <v>Higgins</v>
      </c>
      <c r="AL312" t="s">
        <v>42</v>
      </c>
      <c r="AM312" t="str">
        <f>IF(Transaction[[#This Row],[ContractType]]="","Missing Value",Transaction[[#This Row],[ContractType]])</f>
        <v>Standard PO</v>
      </c>
      <c r="AN312" t="s">
        <v>43</v>
      </c>
    </row>
    <row r="313" spans="1:40" x14ac:dyDescent="0.25">
      <c r="A313" t="s">
        <v>1237</v>
      </c>
      <c r="B313" s="1">
        <v>45681</v>
      </c>
      <c r="C31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31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31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13" s="2">
        <f>IFERROR(DATE(Transaction[[#This Row],[TransactionDateY]],Transaction[[#This Row],[TransactionDateM]],Transaction[[#This Row],[TransactionDateD]]),"Missing Value")</f>
        <v>45681</v>
      </c>
      <c r="G313" t="s">
        <v>580</v>
      </c>
      <c r="H313" t="str">
        <f>IFERROR(VLOOKUP(Transaction[[#This Row],[CustomerID]],Custumer[],1,0),IF(LEN(Transaction[[#This Row],[CustomerID]])=7,LEFT(Transaction[[#This Row],[CustomerID]],6),"Invalid ID"))</f>
        <v>C-1053</v>
      </c>
      <c r="I313" t="s">
        <v>52</v>
      </c>
      <c r="J313" t="str">
        <f>TRIM(UPPER(Transaction[[#This Row],[ProductID]]))</f>
        <v>P-SI-002</v>
      </c>
      <c r="K313" t="str">
        <f>IFERROR(VLOOKUP(Transaction[[#This Row],[ProductID_Clean]],Product[],1,FALSE),"Invalid ID")</f>
        <v>P-SI-002</v>
      </c>
      <c r="L313" t="str">
        <f>TRIM(SUBSTITUTE(SUBSTITUTE(SUBSTITUTE(SUBSTITUTE(UPPER(Transaction[[#This Row],[Region]]),"EMEA REGION","EMEA"),"APAC REGION","APAC"),"NORTH AMERICA","N. AMERICA"),"N .AMERICA","N.AMERICA"))</f>
        <v>LATIN AMERICA</v>
      </c>
      <c r="M313" t="s">
        <v>82</v>
      </c>
      <c r="N313" t="s">
        <v>53</v>
      </c>
      <c r="O31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13" t="s">
        <v>32</v>
      </c>
      <c r="Q313" t="str">
        <f>IF(TRIM(Transaction[[#This Row],[SalesChannel]])="","Missing Value",TRIM(Transaction[[#This Row],[SalesChannel]]))</f>
        <v>Direct</v>
      </c>
      <c r="R313" s="4">
        <v>2</v>
      </c>
      <c r="S313" s="4" t="str">
        <f>IF(Transaction[[#This Row],[Quantity]]&lt;0,"Negative-review","Valid")</f>
        <v>Valid</v>
      </c>
      <c r="T313">
        <v>574.75</v>
      </c>
      <c r="U31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574.75</v>
      </c>
      <c r="V313">
        <v>725</v>
      </c>
      <c r="W313" t="s">
        <v>1238</v>
      </c>
      <c r="X31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313">
        <f>IF(Transaction[[#This Row],[GrossRevenue_Check]]="Invalid",Transaction[[#This Row],[ListPrice]]*Transaction[[#This Row],[Quantity]],Transaction[[#This Row],[GrossRevenue_Clean]])</f>
        <v>1450</v>
      </c>
      <c r="Z313" t="str">
        <f>IF(Transaction[[#This Row],[GrossRevenue_Clean]]=Transaction[[#This Row],[ListPrice]]*Transaction[[#This Row],[Quantity]],"Valid","Invalid")</f>
        <v>Valid</v>
      </c>
      <c r="AA313">
        <v>300.5</v>
      </c>
      <c r="AB31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300.5</v>
      </c>
      <c r="AC313">
        <f>IF(Transaction[[#This Row],[DiscountAmount_Check2]]="Invalid",Transaction[[#This Row],[GrossRevenue_Analytical]]-Transaction[[#This Row],[NetRevenue_Analytical]],Transaction[[#This Row],[DiscountAmount_Clean]])</f>
        <v>300.5</v>
      </c>
      <c r="AD313">
        <v>1149.5</v>
      </c>
      <c r="AE313" t="str">
        <f>IF(ROUND(Transaction[[#This Row],[GrossRevenue_Analytical]]-Transaction[[#This Row],[NetRevenue_Analytical]],2)=ROUND(Transaction[[#This Row],[DiscountAmount_Clean]],2),"Valid","Invalid")</f>
        <v>Valid</v>
      </c>
      <c r="AF31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1149.5</v>
      </c>
      <c r="AG313">
        <f>IF(Transaction[[#This Row],[NetRevenue_Check]]="Invalid",(Transaction[[#This Row],[Quantity]]*Transaction[[#This Row],[UnitPrice_Clean]]),Transaction[[#This Row],[NetRevenue_Clean]])</f>
        <v>1149.5</v>
      </c>
      <c r="AH313" t="str">
        <f>IF(Transaction[[#This Row],[Quantity]]*Transaction[[#This Row],[UnitPrice_Clean]]=Transaction[[#This Row],[NetRevenue_Clean]],"Valid","Invalid")</f>
        <v>Valid</v>
      </c>
      <c r="AI313" t="s">
        <v>23</v>
      </c>
      <c r="AJ313" t="s">
        <v>1239</v>
      </c>
      <c r="AK313" t="str">
        <f>IF(Transaction[[#This Row],[Salesperson]]="","Missing Value",TRIM(PROPER(Transaction[[#This Row],[Salesperson]])))</f>
        <v>Carter-Na</v>
      </c>
      <c r="AL313" t="s">
        <v>25</v>
      </c>
      <c r="AM313" t="str">
        <f>IF(Transaction[[#This Row],[ContractType]]="","Missing Value",Transaction[[#This Row],[ContractType]])</f>
        <v>Frame Agreement</v>
      </c>
      <c r="AN313" t="s">
        <v>35</v>
      </c>
    </row>
    <row r="314" spans="1:40" x14ac:dyDescent="0.25">
      <c r="A314" t="s">
        <v>1407</v>
      </c>
      <c r="B314" t="s">
        <v>1408</v>
      </c>
      <c r="C31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31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04</v>
      </c>
      <c r="E31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14" s="2">
        <f>IFERROR(DATE(Transaction[[#This Row],[TransactionDateY]],Transaction[[#This Row],[TransactionDateM]],Transaction[[#This Row],[TransactionDateD]]),"Missing Value")</f>
        <v>45661</v>
      </c>
      <c r="G314" t="s">
        <v>423</v>
      </c>
      <c r="H314" t="str">
        <f>IFERROR(VLOOKUP(Transaction[[#This Row],[CustomerID]],Custumer[],1,0),IF(LEN(Transaction[[#This Row],[CustomerID]])=7,LEFT(Transaction[[#This Row],[CustomerID]],6),"Invalid ID"))</f>
        <v>C-1121</v>
      </c>
      <c r="I314" t="s">
        <v>1409</v>
      </c>
      <c r="J314" t="str">
        <f>TRIM(UPPER(Transaction[[#This Row],[ProductID]]))</f>
        <v>P-SI-008</v>
      </c>
      <c r="K314" t="str">
        <f>IFERROR(VLOOKUP(Transaction[[#This Row],[ProductID_Clean]],Product[],1,FALSE),"Invalid ID")</f>
        <v>P-SI-008</v>
      </c>
      <c r="L314" t="str">
        <f>TRIM(SUBSTITUTE(SUBSTITUTE(SUBSTITUTE(SUBSTITUTE(UPPER(Transaction[[#This Row],[Region]]),"EMEA REGION","EMEA"),"APAC REGION","APAC"),"NORTH AMERICA","N. AMERICA"),"N .AMERICA","N.AMERICA"))</f>
        <v>N. AMERICA</v>
      </c>
      <c r="M314" t="s">
        <v>20</v>
      </c>
      <c r="N314" t="s">
        <v>53</v>
      </c>
      <c r="O31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14" t="s">
        <v>22</v>
      </c>
      <c r="Q314" t="str">
        <f>IF(TRIM(Transaction[[#This Row],[SalesChannel]])="","Missing Value",TRIM(Transaction[[#This Row],[SalesChannel]]))</f>
        <v>Direct</v>
      </c>
      <c r="R314" s="4">
        <v>10</v>
      </c>
      <c r="S314" s="4" t="str">
        <f>IF(Transaction[[#This Row],[Quantity]]&lt;0,"Negative-review","Valid")</f>
        <v>Valid</v>
      </c>
      <c r="T314">
        <v>849.05</v>
      </c>
      <c r="U31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849.05</v>
      </c>
      <c r="V314">
        <v>950</v>
      </c>
      <c r="W314">
        <v>9500</v>
      </c>
      <c r="X31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9500</v>
      </c>
      <c r="Y314">
        <f>IF(Transaction[[#This Row],[GrossRevenue_Check]]="Invalid",Transaction[[#This Row],[ListPrice]]*Transaction[[#This Row],[Quantity]],Transaction[[#This Row],[GrossRevenue_Clean]])</f>
        <v>9500</v>
      </c>
      <c r="Z314" t="str">
        <f>IF(Transaction[[#This Row],[GrossRevenue_Clean]]=Transaction[[#This Row],[ListPrice]]*Transaction[[#This Row],[Quantity]],"Valid","Invalid")</f>
        <v>Valid</v>
      </c>
      <c r="AA314">
        <v>1009.5</v>
      </c>
      <c r="AB31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1009.5</v>
      </c>
      <c r="AC314">
        <f>IF(Transaction[[#This Row],[DiscountAmount_Check2]]="Invalid",Transaction[[#This Row],[GrossRevenue_Analytical]]-Transaction[[#This Row],[NetRevenue_Analytical]],Transaction[[#This Row],[DiscountAmount_Clean]])</f>
        <v>1009.5</v>
      </c>
      <c r="AD314">
        <v>8490.5</v>
      </c>
      <c r="AE314" t="str">
        <f>IF(ROUND(Transaction[[#This Row],[GrossRevenue_Analytical]]-Transaction[[#This Row],[NetRevenue_Analytical]],2)=ROUND(Transaction[[#This Row],[DiscountAmount_Clean]],2),"Valid","Invalid")</f>
        <v>Valid</v>
      </c>
      <c r="AF314">
        <f>VALUE(IF(ISNUMBER(Transaction[[#This Row],[NetRevenue]]),Transaction[[#This Row],[NetRevenue]],IFERROR(IF(FIND("$",Transaction[[#This Row],[NetRevenue]])&gt;0,MID(Transaction[[#This Row],[NetRevenue]],2,10)),Transaction[[#This Row],[NetRevenue]])))</f>
        <v>8490.5</v>
      </c>
      <c r="AG314">
        <f>IF(Transaction[[#This Row],[NetRevenue_Check]]="Invalid",(Transaction[[#This Row],[Quantity]]*Transaction[[#This Row],[UnitPrice_Clean]]),Transaction[[#This Row],[NetRevenue_Clean]])</f>
        <v>8490.5</v>
      </c>
      <c r="AH314" t="str">
        <f>IF(Transaction[[#This Row],[Quantity]]*Transaction[[#This Row],[UnitPrice_Clean]]=Transaction[[#This Row],[NetRevenue_Clean]],"Valid","Invalid")</f>
        <v>Valid</v>
      </c>
      <c r="AI314" t="s">
        <v>23</v>
      </c>
      <c r="AJ314" t="s">
        <v>1410</v>
      </c>
      <c r="AK314" t="str">
        <f>IF(Transaction[[#This Row],[Salesperson]]="","Missing Value",TRIM(PROPER(Transaction[[#This Row],[Salesperson]])))</f>
        <v>Smith</v>
      </c>
      <c r="AL314" t="s">
        <v>25</v>
      </c>
      <c r="AM314" t="str">
        <f>IF(Transaction[[#This Row],[ContractType]]="","Missing Value",Transaction[[#This Row],[ContractType]])</f>
        <v>Frame Agreement</v>
      </c>
      <c r="AN314" t="s">
        <v>49</v>
      </c>
    </row>
    <row r="315" spans="1:40" x14ac:dyDescent="0.25">
      <c r="A315" t="s">
        <v>738</v>
      </c>
      <c r="B315" t="s">
        <v>739</v>
      </c>
      <c r="C31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31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31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15" s="2">
        <f>IFERROR(DATE(Transaction[[#This Row],[TransactionDateY]],Transaction[[#This Row],[TransactionDateM]],Transaction[[#This Row],[TransactionDateD]]),"Missing Value")</f>
        <v>45795</v>
      </c>
      <c r="G315" t="s">
        <v>740</v>
      </c>
      <c r="H315" t="str">
        <f>IFERROR(VLOOKUP(Transaction[[#This Row],[CustomerID]],Custumer[],1,0),IF(LEN(Transaction[[#This Row],[CustomerID]])=7,LEFT(Transaction[[#This Row],[CustomerID]],6),"Invalid ID"))</f>
        <v>C-1139</v>
      </c>
      <c r="I315" t="s">
        <v>71</v>
      </c>
      <c r="J315" t="str">
        <f>TRIM(UPPER(Transaction[[#This Row],[ProductID]]))</f>
        <v>P-SI-003</v>
      </c>
      <c r="K315" t="str">
        <f>IFERROR(VLOOKUP(Transaction[[#This Row],[ProductID_Clean]],Product[],1,FALSE),"Invalid ID")</f>
        <v>P-SI-003</v>
      </c>
      <c r="L315" t="str">
        <f>TRIM(SUBSTITUTE(SUBSTITUTE(SUBSTITUTE(SUBSTITUTE(UPPER(Transaction[[#This Row],[Region]]),"EMEA REGION","EMEA"),"APAC REGION","APAC"),"NORTH AMERICA","N. AMERICA"),"N .AMERICA","N.AMERICA"))</f>
        <v>EMEA</v>
      </c>
      <c r="M315" t="s">
        <v>87</v>
      </c>
      <c r="N315" t="s">
        <v>98</v>
      </c>
      <c r="O31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15" t="s">
        <v>181</v>
      </c>
      <c r="Q315" t="str">
        <f>IF(TRIM(Transaction[[#This Row],[SalesChannel]])="","Missing Value",TRIM(Transaction[[#This Row],[SalesChannel]]))</f>
        <v>Partner Portal</v>
      </c>
      <c r="R315" s="4">
        <v>2</v>
      </c>
      <c r="S315" s="4" t="str">
        <f>IF(Transaction[[#This Row],[Quantity]]&lt;0,"Negative-review","Valid")</f>
        <v>Valid</v>
      </c>
      <c r="T315">
        <v>1737.39</v>
      </c>
      <c r="U31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1737.39</v>
      </c>
      <c r="V315">
        <v>1890</v>
      </c>
      <c r="W315">
        <v>3780</v>
      </c>
      <c r="X31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3780</v>
      </c>
      <c r="Y315">
        <f>IF(Transaction[[#This Row],[GrossRevenue_Check]]="Invalid",Transaction[[#This Row],[ListPrice]]*Transaction[[#This Row],[Quantity]],Transaction[[#This Row],[GrossRevenue_Clean]])</f>
        <v>3780</v>
      </c>
      <c r="Z315" t="str">
        <f>IF(Transaction[[#This Row],[GrossRevenue_Clean]]=Transaction[[#This Row],[ListPrice]]*Transaction[[#This Row],[Quantity]],"Valid","Invalid")</f>
        <v>Valid</v>
      </c>
      <c r="AA315">
        <v>305.22000000000003</v>
      </c>
      <c r="AB31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305.22000000000003</v>
      </c>
      <c r="AC315">
        <f>IF(Transaction[[#This Row],[DiscountAmount_Check2]]="Invalid",Transaction[[#This Row],[GrossRevenue_Analytical]]-Transaction[[#This Row],[NetRevenue_Analytical]],Transaction[[#This Row],[DiscountAmount_Clean]])</f>
        <v>305.22000000000003</v>
      </c>
      <c r="AD315" t="s">
        <v>741</v>
      </c>
      <c r="AE315" t="str">
        <f>IF(ROUND(Transaction[[#This Row],[GrossRevenue_Analytical]]-Transaction[[#This Row],[NetRevenue_Analytical]],2)=ROUND(Transaction[[#This Row],[DiscountAmount_Clean]],2),"Valid","Invalid")</f>
        <v>Valid</v>
      </c>
      <c r="AF31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3474.78</v>
      </c>
      <c r="AG315">
        <f>IF(Transaction[[#This Row],[NetRevenue_Check]]="Invalid",(Transaction[[#This Row],[Quantity]]*Transaction[[#This Row],[UnitPrice_Clean]]),Transaction[[#This Row],[NetRevenue_Clean]])</f>
        <v>3474.78</v>
      </c>
      <c r="AH315" t="str">
        <f>IF(Transaction[[#This Row],[Quantity]]*Transaction[[#This Row],[UnitPrice_Clean]]=Transaction[[#This Row],[NetRevenue_Clean]],"Valid","Invalid")</f>
        <v>Valid</v>
      </c>
      <c r="AI315" t="s">
        <v>23</v>
      </c>
      <c r="AJ315" t="s">
        <v>663</v>
      </c>
      <c r="AK315" t="str">
        <f>IF(Transaction[[#This Row],[Salesperson]]="","Missing Value",TRIM(PROPER(Transaction[[#This Row],[Salesperson]])))</f>
        <v>Gomez</v>
      </c>
      <c r="AL315" t="s">
        <v>42</v>
      </c>
      <c r="AM315" t="str">
        <f>IF(Transaction[[#This Row],[ContractType]]="","Missing Value",Transaction[[#This Row],[ContractType]])</f>
        <v>Standard PO</v>
      </c>
      <c r="AN315" t="s">
        <v>43</v>
      </c>
    </row>
    <row r="316" spans="1:40" x14ac:dyDescent="0.25">
      <c r="A316" t="s">
        <v>802</v>
      </c>
      <c r="B316" t="s">
        <v>803</v>
      </c>
      <c r="C31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31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31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16" s="2">
        <f>IFERROR(DATE(Transaction[[#This Row],[TransactionDateY]],Transaction[[#This Row],[TransactionDateM]],Transaction[[#This Row],[TransactionDateD]]),"Missing Value")</f>
        <v>45694</v>
      </c>
      <c r="G316" t="s">
        <v>795</v>
      </c>
      <c r="H316" t="str">
        <f>IFERROR(VLOOKUP(Transaction[[#This Row],[CustomerID]],Custumer[],1,0),IF(LEN(Transaction[[#This Row],[CustomerID]])=7,LEFT(Transaction[[#This Row],[CustomerID]],6),"Invalid ID"))</f>
        <v>C-1118</v>
      </c>
      <c r="I316" t="s">
        <v>97</v>
      </c>
      <c r="J316" t="str">
        <f>TRIM(UPPER(Transaction[[#This Row],[ProductID]]))</f>
        <v>P-SI-001</v>
      </c>
      <c r="K316" t="str">
        <f>IFERROR(VLOOKUP(Transaction[[#This Row],[ProductID_Clean]],Product[],1,FALSE),"Invalid ID")</f>
        <v>P-SI-001</v>
      </c>
      <c r="L316" t="str">
        <f>TRIM(SUBSTITUTE(SUBSTITUTE(SUBSTITUTE(SUBSTITUTE(UPPER(Transaction[[#This Row],[Region]]),"EMEA REGION","EMEA"),"APAC REGION","APAC"),"NORTH AMERICA","N. AMERICA"),"N .AMERICA","N.AMERICA"))</f>
        <v>N. AMERICA</v>
      </c>
      <c r="M316" t="s">
        <v>20</v>
      </c>
      <c r="N316" t="s">
        <v>47</v>
      </c>
      <c r="O31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16" t="s">
        <v>22</v>
      </c>
      <c r="Q316" t="str">
        <f>IF(TRIM(Transaction[[#This Row],[SalesChannel]])="","Missing Value",TRIM(Transaction[[#This Row],[SalesChannel]]))</f>
        <v>Direct</v>
      </c>
      <c r="R316" s="4">
        <v>1</v>
      </c>
      <c r="S316" s="4" t="str">
        <f>IF(Transaction[[#This Row],[Quantity]]&lt;0,"Negative-review","Valid")</f>
        <v>Valid</v>
      </c>
      <c r="T316">
        <v>453.19</v>
      </c>
      <c r="U31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453.19</v>
      </c>
      <c r="V316">
        <v>485</v>
      </c>
      <c r="W316" t="s">
        <v>804</v>
      </c>
      <c r="X31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316">
        <f>IF(Transaction[[#This Row],[GrossRevenue_Check]]="Invalid",Transaction[[#This Row],[ListPrice]]*Transaction[[#This Row],[Quantity]],Transaction[[#This Row],[GrossRevenue_Clean]])</f>
        <v>485</v>
      </c>
      <c r="Z316" t="str">
        <f>IF(Transaction[[#This Row],[GrossRevenue_Clean]]=Transaction[[#This Row],[ListPrice]]*Transaction[[#This Row],[Quantity]],"Valid","Invalid")</f>
        <v>Valid</v>
      </c>
      <c r="AB31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316">
        <f>IF(Transaction[[#This Row],[DiscountAmount_Check2]]="Invalid",Transaction[[#This Row],[GrossRevenue_Analytical]]-Transaction[[#This Row],[NetRevenue_Analytical]],Transaction[[#This Row],[DiscountAmount_Clean]])</f>
        <v>31.810000000000002</v>
      </c>
      <c r="AD316">
        <v>453.19</v>
      </c>
      <c r="AE316" t="str">
        <f>IF(ROUND(Transaction[[#This Row],[GrossRevenue_Analytical]]-Transaction[[#This Row],[NetRevenue_Analytical]],2)=ROUND(Transaction[[#This Row],[DiscountAmount_Clean]],2),"Valid","Invalid")</f>
        <v>Invalid</v>
      </c>
      <c r="AF316">
        <f>VALUE(IF(ISNUMBER(Transaction[[#This Row],[NetRevenue]]),Transaction[[#This Row],[NetRevenue]],IFERROR(IF(FIND("$",Transaction[[#This Row],[NetRevenue]])&gt;0,MID(Transaction[[#This Row],[NetRevenue]],2,10)),Transaction[[#This Row],[NetRevenue]])))</f>
        <v>453.19</v>
      </c>
      <c r="AG316">
        <f>IF(Transaction[[#This Row],[NetRevenue_Check]]="Invalid",(Transaction[[#This Row],[Quantity]]*Transaction[[#This Row],[UnitPrice_Clean]]),Transaction[[#This Row],[NetRevenue_Clean]])</f>
        <v>453.19</v>
      </c>
      <c r="AH316" t="str">
        <f>IF(Transaction[[#This Row],[Quantity]]*Transaction[[#This Row],[UnitPrice_Clean]]=Transaction[[#This Row],[NetRevenue_Clean]],"Valid","Invalid")</f>
        <v>Valid</v>
      </c>
      <c r="AI316" t="s">
        <v>23</v>
      </c>
      <c r="AJ316" t="s">
        <v>805</v>
      </c>
      <c r="AK316" t="str">
        <f>IF(Transaction[[#This Row],[Salesperson]]="","Missing Value",TRIM(PROPER(Transaction[[#This Row],[Salesperson]])))</f>
        <v>Rodriguez-Em</v>
      </c>
      <c r="AL316" t="s">
        <v>42</v>
      </c>
      <c r="AM316" t="str">
        <f>IF(Transaction[[#This Row],[ContractType]]="","Missing Value",Transaction[[#This Row],[ContractType]])</f>
        <v>Standard PO</v>
      </c>
      <c r="AN316" t="s">
        <v>49</v>
      </c>
    </row>
    <row r="317" spans="1:40" x14ac:dyDescent="0.25">
      <c r="A317" t="s">
        <v>1271</v>
      </c>
      <c r="B317" t="s">
        <v>1272</v>
      </c>
      <c r="C31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31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31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17" s="2">
        <f>IFERROR(DATE(Transaction[[#This Row],[TransactionDateY]],Transaction[[#This Row],[TransactionDateM]],Transaction[[#This Row],[TransactionDateD]]),"Missing Value")</f>
        <v>45830</v>
      </c>
      <c r="G317" t="s">
        <v>351</v>
      </c>
      <c r="H317" t="str">
        <f>IFERROR(VLOOKUP(Transaction[[#This Row],[CustomerID]],Custumer[],1,0),IF(LEN(Transaction[[#This Row],[CustomerID]])=7,LEFT(Transaction[[#This Row],[CustomerID]],6),"Invalid ID"))</f>
        <v>C-1004</v>
      </c>
      <c r="I317" t="s">
        <v>258</v>
      </c>
      <c r="J317" t="str">
        <f>TRIM(UPPER(Transaction[[#This Row],[ProductID]]))</f>
        <v>P-SA-003</v>
      </c>
      <c r="K317" t="str">
        <f>IFERROR(VLOOKUP(Transaction[[#This Row],[ProductID_Clean]],Product[],1,FALSE),"Invalid ID")</f>
        <v>P-SA-003</v>
      </c>
      <c r="L317" t="str">
        <f>TRIM(SUBSTITUTE(SUBSTITUTE(SUBSTITUTE(SUBSTITUTE(UPPER(Transaction[[#This Row],[Region]]),"EMEA REGION","EMEA"),"APAC REGION","APAC"),"NORTH AMERICA","N. AMERICA"),"N .AMERICA","N.AMERICA"))</f>
        <v>N. AMERICA</v>
      </c>
      <c r="M317" t="s">
        <v>20</v>
      </c>
      <c r="N317" t="s">
        <v>31</v>
      </c>
      <c r="O31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317" t="s">
        <v>181</v>
      </c>
      <c r="Q317" t="str">
        <f>IF(TRIM(Transaction[[#This Row],[SalesChannel]])="","Missing Value",TRIM(Transaction[[#This Row],[SalesChannel]]))</f>
        <v>Partner Portal</v>
      </c>
      <c r="R317" s="4">
        <v>1</v>
      </c>
      <c r="S317" s="4" t="str">
        <f>IF(Transaction[[#This Row],[Quantity]]&lt;0,"Negative-review","Valid")</f>
        <v>Valid</v>
      </c>
      <c r="T317">
        <v>2499.0300000000002</v>
      </c>
      <c r="U31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2499.0300000000002</v>
      </c>
      <c r="V317">
        <v>2750</v>
      </c>
      <c r="W317">
        <v>2750</v>
      </c>
      <c r="X31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317">
        <f>IF(Transaction[[#This Row],[GrossRevenue_Check]]="Invalid",Transaction[[#This Row],[ListPrice]]*Transaction[[#This Row],[Quantity]],Transaction[[#This Row],[GrossRevenue_Clean]])</f>
        <v>2750</v>
      </c>
      <c r="Z317" t="str">
        <f>IF(Transaction[[#This Row],[GrossRevenue_Clean]]=Transaction[[#This Row],[ListPrice]]*Transaction[[#This Row],[Quantity]],"Valid","Invalid")</f>
        <v>Valid</v>
      </c>
      <c r="AA317">
        <v>250.97</v>
      </c>
      <c r="AB31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250.97</v>
      </c>
      <c r="AC317">
        <f>IF(Transaction[[#This Row],[DiscountAmount_Check2]]="Invalid",Transaction[[#This Row],[GrossRevenue_Analytical]]-Transaction[[#This Row],[NetRevenue_Analytical]],Transaction[[#This Row],[DiscountAmount_Clean]])</f>
        <v>250.97</v>
      </c>
      <c r="AD317" t="s">
        <v>1273</v>
      </c>
      <c r="AE317" t="str">
        <f>IF(ROUND(Transaction[[#This Row],[GrossRevenue_Analytical]]-Transaction[[#This Row],[NetRevenue_Analytical]],2)=ROUND(Transaction[[#This Row],[DiscountAmount_Clean]],2),"Valid","Invalid")</f>
        <v>Valid</v>
      </c>
      <c r="AF317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2499.0300000000002</v>
      </c>
      <c r="AG317">
        <f>IF(Transaction[[#This Row],[NetRevenue_Check]]="Invalid",(Transaction[[#This Row],[Quantity]]*Transaction[[#This Row],[UnitPrice_Clean]]),Transaction[[#This Row],[NetRevenue_Clean]])</f>
        <v>2499.0300000000002</v>
      </c>
      <c r="AH317" t="str">
        <f>IF(Transaction[[#This Row],[Quantity]]*Transaction[[#This Row],[UnitPrice_Clean]]=Transaction[[#This Row],[NetRevenue_Clean]],"Valid","Invalid")</f>
        <v>Valid</v>
      </c>
      <c r="AI317" t="s">
        <v>23</v>
      </c>
      <c r="AJ317" t="s">
        <v>290</v>
      </c>
      <c r="AK317" t="str">
        <f>IF(Transaction[[#This Row],[Salesperson]]="","Missing Value",TRIM(PROPER(Transaction[[#This Row],[Salesperson]])))</f>
        <v>Lopez</v>
      </c>
      <c r="AL317" t="s">
        <v>34</v>
      </c>
      <c r="AM317" t="str">
        <f>IF(Transaction[[#This Row],[ContractType]]="","Missing Value",Transaction[[#This Row],[ContractType]])</f>
        <v>Annual License</v>
      </c>
      <c r="AN317" t="s">
        <v>49</v>
      </c>
    </row>
    <row r="318" spans="1:40" x14ac:dyDescent="0.25">
      <c r="A318" t="s">
        <v>660</v>
      </c>
      <c r="B318" t="s">
        <v>661</v>
      </c>
      <c r="C31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12</v>
      </c>
      <c r="D31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31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2024</v>
      </c>
      <c r="F318" s="2">
        <f>IFERROR(DATE(Transaction[[#This Row],[TransactionDateY]],Transaction[[#This Row],[TransactionDateM]],Transaction[[#This Row],[TransactionDateD]]),"Missing Value")</f>
        <v>45651</v>
      </c>
      <c r="G318" t="s">
        <v>336</v>
      </c>
      <c r="H318" t="str">
        <f>IFERROR(VLOOKUP(Transaction[[#This Row],[CustomerID]],Custumer[],1,0),IF(LEN(Transaction[[#This Row],[CustomerID]])=7,LEFT(Transaction[[#This Row],[CustomerID]],6),"Invalid ID"))</f>
        <v>C-1109</v>
      </c>
      <c r="I318" t="s">
        <v>226</v>
      </c>
      <c r="J318" t="str">
        <f>TRIM(UPPER(Transaction[[#This Row],[ProductID]]))</f>
        <v>P-SA-002</v>
      </c>
      <c r="K318" t="str">
        <f>IFERROR(VLOOKUP(Transaction[[#This Row],[ProductID_Clean]],Product[],1,FALSE),"Invalid ID")</f>
        <v>P-SA-002</v>
      </c>
      <c r="L318" t="str">
        <f>TRIM(SUBSTITUTE(SUBSTITUTE(SUBSTITUTE(SUBSTITUTE(UPPER(Transaction[[#This Row],[Region]]),"EMEA REGION","EMEA"),"APAC REGION","APAC"),"NORTH AMERICA","N. AMERICA"),"N .AMERICA","N.AMERICA"))</f>
        <v>EMEA</v>
      </c>
      <c r="M318" t="s">
        <v>87</v>
      </c>
      <c r="N318" t="s">
        <v>31</v>
      </c>
      <c r="O31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318" t="s">
        <v>40</v>
      </c>
      <c r="Q318" t="str">
        <f>IF(TRIM(Transaction[[#This Row],[SalesChannel]])="","Missing Value",TRIM(Transaction[[#This Row],[SalesChannel]]))</f>
        <v>Distributor</v>
      </c>
      <c r="R318" s="4">
        <v>5</v>
      </c>
      <c r="S318" s="4" t="str">
        <f>IF(Transaction[[#This Row],[Quantity]]&lt;0,"Negative-review","Valid")</f>
        <v>Valid</v>
      </c>
      <c r="T318">
        <v>8124.06</v>
      </c>
      <c r="U31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8124.06</v>
      </c>
      <c r="V318">
        <v>9800</v>
      </c>
      <c r="W318">
        <v>49000</v>
      </c>
      <c r="X31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49000</v>
      </c>
      <c r="Y318">
        <f>IF(Transaction[[#This Row],[GrossRevenue_Check]]="Invalid",Transaction[[#This Row],[ListPrice]]*Transaction[[#This Row],[Quantity]],Transaction[[#This Row],[GrossRevenue_Clean]])</f>
        <v>49000</v>
      </c>
      <c r="Z318" t="str">
        <f>IF(Transaction[[#This Row],[GrossRevenue_Clean]]=Transaction[[#This Row],[ListPrice]]*Transaction[[#This Row],[Quantity]],"Valid","Invalid")</f>
        <v>Valid</v>
      </c>
      <c r="AA318" t="s">
        <v>662</v>
      </c>
      <c r="AB31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8379.7000000000007</v>
      </c>
      <c r="AC318">
        <f>IF(Transaction[[#This Row],[DiscountAmount_Check2]]="Invalid",Transaction[[#This Row],[GrossRevenue_Analytical]]-Transaction[[#This Row],[NetRevenue_Analytical]],Transaction[[#This Row],[DiscountAmount_Clean]])</f>
        <v>8379.7000000000007</v>
      </c>
      <c r="AD318">
        <v>40620.300000000003</v>
      </c>
      <c r="AE318" t="str">
        <f>IF(ROUND(Transaction[[#This Row],[GrossRevenue_Analytical]]-Transaction[[#This Row],[NetRevenue_Analytical]],2)=ROUND(Transaction[[#This Row],[DiscountAmount_Clean]],2),"Valid","Invalid")</f>
        <v>Valid</v>
      </c>
      <c r="AF318">
        <f>VALUE(IF(ISNUMBER(Transaction[[#This Row],[NetRevenue]]),Transaction[[#This Row],[NetRevenue]],IFERROR(IF(FIND("$",Transaction[[#This Row],[NetRevenue]])&gt;0,MID(Transaction[[#This Row],[NetRevenue]],2,10)),Transaction[[#This Row],[NetRevenue]])))</f>
        <v>40620.300000000003</v>
      </c>
      <c r="AG318">
        <f>IF(Transaction[[#This Row],[NetRevenue_Check]]="Invalid",(Transaction[[#This Row],[Quantity]]*Transaction[[#This Row],[UnitPrice_Clean]]),Transaction[[#This Row],[NetRevenue_Clean]])</f>
        <v>40620.300000000003</v>
      </c>
      <c r="AH318" t="str">
        <f>IF(Transaction[[#This Row],[Quantity]]*Transaction[[#This Row],[UnitPrice_Clean]]=Transaction[[#This Row],[NetRevenue_Clean]],"Valid","Invalid")</f>
        <v>Valid</v>
      </c>
      <c r="AI318" t="s">
        <v>23</v>
      </c>
      <c r="AJ318" t="s">
        <v>663</v>
      </c>
      <c r="AK318" t="str">
        <f>IF(Transaction[[#This Row],[Salesperson]]="","Missing Value",TRIM(PROPER(Transaction[[#This Row],[Salesperson]])))</f>
        <v>Gomez</v>
      </c>
      <c r="AL318" t="s">
        <v>34</v>
      </c>
      <c r="AM318" t="str">
        <f>IF(Transaction[[#This Row],[ContractType]]="","Missing Value",Transaction[[#This Row],[ContractType]])</f>
        <v>Annual License</v>
      </c>
      <c r="AN318" t="s">
        <v>65</v>
      </c>
    </row>
    <row r="319" spans="1:40" x14ac:dyDescent="0.25">
      <c r="A319" t="s">
        <v>3011</v>
      </c>
      <c r="B319" s="1">
        <v>45807</v>
      </c>
      <c r="C31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31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31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19" s="2">
        <f>IFERROR(DATE(Transaction[[#This Row],[TransactionDateY]],Transaction[[#This Row],[TransactionDateM]],Transaction[[#This Row],[TransactionDateD]]),"Missing Value")</f>
        <v>45807</v>
      </c>
      <c r="G319" t="s">
        <v>18</v>
      </c>
      <c r="H319" t="str">
        <f>IFERROR(VLOOKUP(Transaction[[#This Row],[CustomerID]],Custumer[],1,0),IF(LEN(Transaction[[#This Row],[CustomerID]])=7,LEFT(Transaction[[#This Row],[CustomerID]],6),"Invalid ID"))</f>
        <v>C-1048</v>
      </c>
      <c r="I319" t="s">
        <v>58</v>
      </c>
      <c r="J319" t="str">
        <f>TRIM(UPPER(Transaction[[#This Row],[ProductID]]))</f>
        <v>P-SI-005</v>
      </c>
      <c r="K319" t="str">
        <f>IFERROR(VLOOKUP(Transaction[[#This Row],[ProductID_Clean]],Product[],1,FALSE),"Invalid ID")</f>
        <v>P-SI-005</v>
      </c>
      <c r="L319" t="str">
        <f>TRIM(SUBSTITUTE(SUBSTITUTE(SUBSTITUTE(SUBSTITUTE(UPPER(Transaction[[#This Row],[Region]]),"EMEA REGION","EMEA"),"APAC REGION","APAC"),"NORTH AMERICA","N. AMERICA"),"N .AMERICA","N.AMERICA"))</f>
        <v>N. AMERICA</v>
      </c>
      <c r="M319" t="s">
        <v>20</v>
      </c>
      <c r="N319" t="s">
        <v>53</v>
      </c>
      <c r="O31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19" t="s">
        <v>22</v>
      </c>
      <c r="Q319" t="str">
        <f>IF(TRIM(Transaction[[#This Row],[SalesChannel]])="","Missing Value",TRIM(Transaction[[#This Row],[SalesChannel]]))</f>
        <v>Direct</v>
      </c>
      <c r="R319" s="4">
        <v>8</v>
      </c>
      <c r="S319" s="4" t="str">
        <f>IF(Transaction[[#This Row],[Quantity]]&lt;0,"Negative-review","Valid")</f>
        <v>Valid</v>
      </c>
      <c r="T319">
        <v>879.21</v>
      </c>
      <c r="U31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879.21</v>
      </c>
      <c r="V319">
        <v>1120</v>
      </c>
      <c r="W319">
        <v>8960</v>
      </c>
      <c r="X31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8960</v>
      </c>
      <c r="Y319">
        <f>IF(Transaction[[#This Row],[GrossRevenue_Check]]="Invalid",Transaction[[#This Row],[ListPrice]]*Transaction[[#This Row],[Quantity]],Transaction[[#This Row],[GrossRevenue_Clean]])</f>
        <v>8960</v>
      </c>
      <c r="Z319" t="str">
        <f>IF(Transaction[[#This Row],[GrossRevenue_Clean]]=Transaction[[#This Row],[ListPrice]]*Transaction[[#This Row],[Quantity]],"Valid","Invalid")</f>
        <v>Valid</v>
      </c>
      <c r="AA319">
        <v>1926.32</v>
      </c>
      <c r="AB31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1926.32</v>
      </c>
      <c r="AC319">
        <f>IF(Transaction[[#This Row],[DiscountAmount_Check2]]="Invalid",Transaction[[#This Row],[GrossRevenue_Analytical]]-Transaction[[#This Row],[NetRevenue_Analytical]],Transaction[[#This Row],[DiscountAmount_Clean]])</f>
        <v>1926.32</v>
      </c>
      <c r="AD319">
        <v>7033.68</v>
      </c>
      <c r="AE319" t="str">
        <f>IF(ROUND(Transaction[[#This Row],[GrossRevenue_Analytical]]-Transaction[[#This Row],[NetRevenue_Analytical]],2)=ROUND(Transaction[[#This Row],[DiscountAmount_Clean]],2),"Valid","Invalid")</f>
        <v>Valid</v>
      </c>
      <c r="AF319">
        <f>VALUE(IF(ISNUMBER(Transaction[[#This Row],[NetRevenue]]),Transaction[[#This Row],[NetRevenue]],IFERROR(IF(FIND("$",Transaction[[#This Row],[NetRevenue]])&gt;0,MID(Transaction[[#This Row],[NetRevenue]],2,10)),Transaction[[#This Row],[NetRevenue]])))</f>
        <v>7033.68</v>
      </c>
      <c r="AG319">
        <f>IF(Transaction[[#This Row],[NetRevenue_Check]]="Invalid",(Transaction[[#This Row],[Quantity]]*Transaction[[#This Row],[UnitPrice_Clean]]),Transaction[[#This Row],[NetRevenue_Clean]])</f>
        <v>7033.68</v>
      </c>
      <c r="AH319" t="str">
        <f>IF(Transaction[[#This Row],[Quantity]]*Transaction[[#This Row],[UnitPrice_Clean]]=Transaction[[#This Row],[NetRevenue_Clean]],"Valid","Invalid")</f>
        <v>Valid</v>
      </c>
      <c r="AI319" t="s">
        <v>23</v>
      </c>
      <c r="AJ319" t="s">
        <v>3012</v>
      </c>
      <c r="AK319" t="str">
        <f>IF(Transaction[[#This Row],[Salesperson]]="","Missing Value",TRIM(PROPER(Transaction[[#This Row],[Salesperson]])))</f>
        <v>Barnett-Ap</v>
      </c>
      <c r="AL319" t="s">
        <v>55</v>
      </c>
      <c r="AM319" t="str">
        <f>IF(Transaction[[#This Row],[ContractType]]="","Missing Value",Transaction[[#This Row],[ContractType]])</f>
        <v>Spot</v>
      </c>
      <c r="AN319" t="s">
        <v>26</v>
      </c>
    </row>
    <row r="320" spans="1:40" x14ac:dyDescent="0.25">
      <c r="A320" t="s">
        <v>514</v>
      </c>
      <c r="B320" s="1">
        <v>45753</v>
      </c>
      <c r="C32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32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32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20" s="2">
        <f>IFERROR(DATE(Transaction[[#This Row],[TransactionDateY]],Transaction[[#This Row],[TransactionDateM]],Transaction[[#This Row],[TransactionDateD]]),"Missing Value")</f>
        <v>45753</v>
      </c>
      <c r="G320" t="s">
        <v>195</v>
      </c>
      <c r="H320" t="str">
        <f>IFERROR(VLOOKUP(Transaction[[#This Row],[CustomerID]],Custumer[],1,0),IF(LEN(Transaction[[#This Row],[CustomerID]])=7,LEFT(Transaction[[#This Row],[CustomerID]],6),"Invalid ID"))</f>
        <v>C-1015</v>
      </c>
      <c r="I320" t="s">
        <v>196</v>
      </c>
      <c r="J320" t="str">
        <f>TRIM(UPPER(Transaction[[#This Row],[ProductID]]))</f>
        <v>P-SI-002</v>
      </c>
      <c r="K320" t="str">
        <f>IFERROR(VLOOKUP(Transaction[[#This Row],[ProductID_Clean]],Product[],1,FALSE),"Invalid ID")</f>
        <v>P-SI-002</v>
      </c>
      <c r="L320" t="str">
        <f>TRIM(SUBSTITUTE(SUBSTITUTE(SUBSTITUTE(SUBSTITUTE(UPPER(Transaction[[#This Row],[Region]]),"EMEA REGION","EMEA"),"APAC REGION","APAC"),"NORTH AMERICA","N. AMERICA"),"N .AMERICA","N.AMERICA"))</f>
        <v>N. AMERICA</v>
      </c>
      <c r="M320" t="s">
        <v>204</v>
      </c>
      <c r="N320" t="s">
        <v>53</v>
      </c>
      <c r="O32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20" t="s">
        <v>181</v>
      </c>
      <c r="Q320" t="str">
        <f>IF(TRIM(Transaction[[#This Row],[SalesChannel]])="","Missing Value",TRIM(Transaction[[#This Row],[SalesChannel]]))</f>
        <v>Partner Portal</v>
      </c>
      <c r="R320" s="4">
        <v>3</v>
      </c>
      <c r="S320" s="4" t="str">
        <f>IF(Transaction[[#This Row],[Quantity]]&lt;0,"Negative-review","Valid")</f>
        <v>Valid</v>
      </c>
      <c r="T320">
        <v>621.07000000000005</v>
      </c>
      <c r="U32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621.07000000000005</v>
      </c>
      <c r="V320">
        <v>725</v>
      </c>
      <c r="W320">
        <v>2175</v>
      </c>
      <c r="X32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2175</v>
      </c>
      <c r="Y320">
        <f>IF(Transaction[[#This Row],[GrossRevenue_Check]]="Invalid",Transaction[[#This Row],[ListPrice]]*Transaction[[#This Row],[Quantity]],Transaction[[#This Row],[GrossRevenue_Clean]])</f>
        <v>2175</v>
      </c>
      <c r="Z320" t="str">
        <f>IF(Transaction[[#This Row],[GrossRevenue_Clean]]=Transaction[[#This Row],[ListPrice]]*Transaction[[#This Row],[Quantity]],"Valid","Invalid")</f>
        <v>Valid</v>
      </c>
      <c r="AA320" t="s">
        <v>515</v>
      </c>
      <c r="AB32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311.79000000000002</v>
      </c>
      <c r="AC320">
        <f>IF(Transaction[[#This Row],[DiscountAmount_Check2]]="Invalid",Transaction[[#This Row],[GrossRevenue_Analytical]]-Transaction[[#This Row],[NetRevenue_Analytical]],Transaction[[#This Row],[DiscountAmount_Clean]])</f>
        <v>311.79000000000002</v>
      </c>
      <c r="AD320">
        <v>1863.21</v>
      </c>
      <c r="AE320" t="str">
        <f>IF(ROUND(Transaction[[#This Row],[GrossRevenue_Analytical]]-Transaction[[#This Row],[NetRevenue_Analytical]],2)=ROUND(Transaction[[#This Row],[DiscountAmount_Clean]],2),"Valid","Invalid")</f>
        <v>Valid</v>
      </c>
      <c r="AF32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1863.21</v>
      </c>
      <c r="AG320">
        <f>IF(Transaction[[#This Row],[NetRevenue_Check]]="Invalid",(Transaction[[#This Row],[Quantity]]*Transaction[[#This Row],[UnitPrice_Clean]]),Transaction[[#This Row],[NetRevenue_Clean]])</f>
        <v>1863.21</v>
      </c>
      <c r="AH320" t="str">
        <f>IF(Transaction[[#This Row],[Quantity]]*Transaction[[#This Row],[UnitPrice_Clean]]=Transaction[[#This Row],[NetRevenue_Clean]],"Valid","Invalid")</f>
        <v>Valid</v>
      </c>
      <c r="AI320" t="s">
        <v>23</v>
      </c>
      <c r="AJ320" t="s">
        <v>516</v>
      </c>
      <c r="AK320" t="str">
        <f>IF(Transaction[[#This Row],[Salesperson]]="","Missing Value",TRIM(PROPER(Transaction[[#This Row],[Salesperson]])))</f>
        <v>Mills</v>
      </c>
      <c r="AL320" t="s">
        <v>42</v>
      </c>
      <c r="AM320" t="str">
        <f>IF(Transaction[[#This Row],[ContractType]]="","Missing Value",Transaction[[#This Row],[ContractType]])</f>
        <v>Standard PO</v>
      </c>
      <c r="AN320" t="s">
        <v>26</v>
      </c>
    </row>
    <row r="321" spans="1:40" x14ac:dyDescent="0.25">
      <c r="A321" t="s">
        <v>2806</v>
      </c>
      <c r="B321" s="1">
        <v>45830</v>
      </c>
      <c r="C32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32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32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21" s="2">
        <f>IFERROR(DATE(Transaction[[#This Row],[TransactionDateY]],Transaction[[#This Row],[TransactionDateM]],Transaction[[#This Row],[TransactionDateD]]),"Missing Value")</f>
        <v>45830</v>
      </c>
      <c r="G321" t="s">
        <v>102</v>
      </c>
      <c r="H321" t="str">
        <f>IFERROR(VLOOKUP(Transaction[[#This Row],[CustomerID]],Custumer[],1,0),IF(LEN(Transaction[[#This Row],[CustomerID]])=7,LEFT(Transaction[[#This Row],[CustomerID]],6),"Invalid ID"))</f>
        <v>C-1120</v>
      </c>
      <c r="I321" t="s">
        <v>258</v>
      </c>
      <c r="J321" t="str">
        <f>TRIM(UPPER(Transaction[[#This Row],[ProductID]]))</f>
        <v>P-SA-003</v>
      </c>
      <c r="K321" t="str">
        <f>IFERROR(VLOOKUP(Transaction[[#This Row],[ProductID_Clean]],Product[],1,FALSE),"Invalid ID")</f>
        <v>P-SA-003</v>
      </c>
      <c r="L321" t="str">
        <f>TRIM(SUBSTITUTE(SUBSTITUTE(SUBSTITUTE(SUBSTITUTE(UPPER(Transaction[[#This Row],[Region]]),"EMEA REGION","EMEA"),"APAC REGION","APAC"),"NORTH AMERICA","N. AMERICA"),"N .AMERICA","N.AMERICA"))</f>
        <v>EMEA</v>
      </c>
      <c r="M321" t="s">
        <v>76</v>
      </c>
      <c r="N321" t="s">
        <v>31</v>
      </c>
      <c r="O32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Q321" t="str">
        <f>IF(TRIM(Transaction[[#This Row],[SalesChannel]])="","Missing Value",TRIM(Transaction[[#This Row],[SalesChannel]]))</f>
        <v>Missing Value</v>
      </c>
      <c r="R321" s="4">
        <v>1</v>
      </c>
      <c r="S321" s="4" t="str">
        <f>IF(Transaction[[#This Row],[Quantity]]&lt;0,"Negative-review","Valid")</f>
        <v>Valid</v>
      </c>
      <c r="T321" t="s">
        <v>2807</v>
      </c>
      <c r="U32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2309.69</v>
      </c>
      <c r="V321">
        <v>2750</v>
      </c>
      <c r="W321">
        <v>2750</v>
      </c>
      <c r="X32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321">
        <f>IF(Transaction[[#This Row],[GrossRevenue_Check]]="Invalid",Transaction[[#This Row],[ListPrice]]*Transaction[[#This Row],[Quantity]],Transaction[[#This Row],[GrossRevenue_Clean]])</f>
        <v>2750</v>
      </c>
      <c r="Z321" t="str">
        <f>IF(Transaction[[#This Row],[GrossRevenue_Clean]]=Transaction[[#This Row],[ListPrice]]*Transaction[[#This Row],[Quantity]],"Valid","Invalid")</f>
        <v>Valid</v>
      </c>
      <c r="AA321">
        <v>440.31</v>
      </c>
      <c r="AB32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440.31</v>
      </c>
      <c r="AC321">
        <f>IF(Transaction[[#This Row],[DiscountAmount_Check2]]="Invalid",Transaction[[#This Row],[GrossRevenue_Analytical]]-Transaction[[#This Row],[NetRevenue_Analytical]],Transaction[[#This Row],[DiscountAmount_Clean]])</f>
        <v>440.31</v>
      </c>
      <c r="AD321">
        <v>2309.69</v>
      </c>
      <c r="AE321" t="str">
        <f>IF(ROUND(Transaction[[#This Row],[GrossRevenue_Analytical]]-Transaction[[#This Row],[NetRevenue_Analytical]],2)=ROUND(Transaction[[#This Row],[DiscountAmount_Clean]],2),"Valid","Invalid")</f>
        <v>Valid</v>
      </c>
      <c r="AF32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2309.69</v>
      </c>
      <c r="AG321">
        <f>IF(Transaction[[#This Row],[NetRevenue_Check]]="Invalid",(Transaction[[#This Row],[Quantity]]*Transaction[[#This Row],[UnitPrice_Clean]]),Transaction[[#This Row],[NetRevenue_Clean]])</f>
        <v>2309.69</v>
      </c>
      <c r="AH321" t="str">
        <f>IF(Transaction[[#This Row],[Quantity]]*Transaction[[#This Row],[UnitPrice_Clean]]=Transaction[[#This Row],[NetRevenue_Clean]],"Valid","Invalid")</f>
        <v>Valid</v>
      </c>
      <c r="AI321" t="s">
        <v>23</v>
      </c>
      <c r="AJ321" t="s">
        <v>905</v>
      </c>
      <c r="AK321" t="str">
        <f>IF(Transaction[[#This Row],[Salesperson]]="","Missing Value",TRIM(PROPER(Transaction[[#This Row],[Salesperson]])))</f>
        <v>Ward</v>
      </c>
      <c r="AL321" t="s">
        <v>34</v>
      </c>
      <c r="AM321" t="str">
        <f>IF(Transaction[[#This Row],[ContractType]]="","Missing Value",Transaction[[#This Row],[ContractType]])</f>
        <v>Annual License</v>
      </c>
      <c r="AN321" t="s">
        <v>43</v>
      </c>
    </row>
    <row r="322" spans="1:40" x14ac:dyDescent="0.25">
      <c r="A322" t="s">
        <v>1087</v>
      </c>
      <c r="B322" s="1">
        <v>45778</v>
      </c>
      <c r="C32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32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32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22" s="2">
        <f>IFERROR(DATE(Transaction[[#This Row],[TransactionDateY]],Transaction[[#This Row],[TransactionDateM]],Transaction[[#This Row],[TransactionDateD]]),"Missing Value")</f>
        <v>45778</v>
      </c>
      <c r="G322" t="s">
        <v>28</v>
      </c>
      <c r="H322" t="str">
        <f>IFERROR(VLOOKUP(Transaction[[#This Row],[CustomerID]],Custumer[],1,0),IF(LEN(Transaction[[#This Row],[CustomerID]])=7,LEFT(Transaction[[#This Row],[CustomerID]],6),"Invalid ID"))</f>
        <v>C-1038</v>
      </c>
      <c r="I322" t="s">
        <v>29</v>
      </c>
      <c r="J322" t="str">
        <f>TRIM(UPPER(Transaction[[#This Row],[ProductID]]))</f>
        <v>P-SA-001</v>
      </c>
      <c r="K322" t="str">
        <f>IFERROR(VLOOKUP(Transaction[[#This Row],[ProductID_Clean]],Product[],1,FALSE),"Invalid ID")</f>
        <v>P-SA-001</v>
      </c>
      <c r="L322" t="str">
        <f>TRIM(SUBSTITUTE(SUBSTITUTE(SUBSTITUTE(SUBSTITUTE(UPPER(Transaction[[#This Row],[Region]]),"EMEA REGION","EMEA"),"APAC REGION","APAC"),"NORTH AMERICA","N. AMERICA"),"N .AMERICA","N.AMERICA"))</f>
        <v>APAC</v>
      </c>
      <c r="M322" t="s">
        <v>30</v>
      </c>
      <c r="N322" t="s">
        <v>31</v>
      </c>
      <c r="O32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322" t="s">
        <v>181</v>
      </c>
      <c r="Q322" t="str">
        <f>IF(TRIM(Transaction[[#This Row],[SalesChannel]])="","Missing Value",TRIM(Transaction[[#This Row],[SalesChannel]]))</f>
        <v>Partner Portal</v>
      </c>
      <c r="R322" s="4">
        <v>1</v>
      </c>
      <c r="S322" s="4" t="str">
        <f>IF(Transaction[[#This Row],[Quantity]]&lt;0,"Negative-review","Valid")</f>
        <v>Valid</v>
      </c>
      <c r="T322">
        <v>3453.71</v>
      </c>
      <c r="U32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3453.71</v>
      </c>
      <c r="V322">
        <v>4200</v>
      </c>
      <c r="W322">
        <v>4200</v>
      </c>
      <c r="X32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322">
        <f>IF(Transaction[[#This Row],[GrossRevenue_Check]]="Invalid",Transaction[[#This Row],[ListPrice]]*Transaction[[#This Row],[Quantity]],Transaction[[#This Row],[GrossRevenue_Clean]])</f>
        <v>4200</v>
      </c>
      <c r="Z322" t="str">
        <f>IF(Transaction[[#This Row],[GrossRevenue_Clean]]=Transaction[[#This Row],[ListPrice]]*Transaction[[#This Row],[Quantity]],"Valid","Invalid")</f>
        <v>Valid</v>
      </c>
      <c r="AA322">
        <v>746.29</v>
      </c>
      <c r="AB32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746.29</v>
      </c>
      <c r="AC322">
        <f>IF(Transaction[[#This Row],[DiscountAmount_Check2]]="Invalid",Transaction[[#This Row],[GrossRevenue_Analytical]]-Transaction[[#This Row],[NetRevenue_Analytical]],Transaction[[#This Row],[DiscountAmount_Clean]])</f>
        <v>746.29</v>
      </c>
      <c r="AD322">
        <v>3453.71</v>
      </c>
      <c r="AE322" t="str">
        <f>IF(ROUND(Transaction[[#This Row],[GrossRevenue_Analytical]]-Transaction[[#This Row],[NetRevenue_Analytical]],2)=ROUND(Transaction[[#This Row],[DiscountAmount_Clean]],2),"Valid","Invalid")</f>
        <v>Valid</v>
      </c>
      <c r="AF322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3453.71</v>
      </c>
      <c r="AG322">
        <f>IF(Transaction[[#This Row],[NetRevenue_Check]]="Invalid",(Transaction[[#This Row],[Quantity]]*Transaction[[#This Row],[UnitPrice_Clean]]),Transaction[[#This Row],[NetRevenue_Clean]])</f>
        <v>3453.71</v>
      </c>
      <c r="AH322" t="str">
        <f>IF(Transaction[[#This Row],[Quantity]]*Transaction[[#This Row],[UnitPrice_Clean]]=Transaction[[#This Row],[NetRevenue_Clean]],"Valid","Invalid")</f>
        <v>Valid</v>
      </c>
      <c r="AI322" t="s">
        <v>23</v>
      </c>
      <c r="AJ322" t="s">
        <v>1088</v>
      </c>
      <c r="AK322" t="str">
        <f>IF(Transaction[[#This Row],[Salesperson]]="","Missing Value",TRIM(PROPER(Transaction[[#This Row],[Salesperson]])))</f>
        <v>Ashley</v>
      </c>
      <c r="AL322" t="s">
        <v>210</v>
      </c>
      <c r="AM322" t="str">
        <f>IF(Transaction[[#This Row],[ContractType]]="","Missing Value",Transaction[[#This Row],[ContractType]])</f>
        <v>Perpetual</v>
      </c>
      <c r="AN322" t="s">
        <v>35</v>
      </c>
    </row>
    <row r="323" spans="1:40" x14ac:dyDescent="0.25">
      <c r="A323" t="s">
        <v>1276</v>
      </c>
      <c r="B323" s="1">
        <v>45816</v>
      </c>
      <c r="C32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32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32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23" s="2">
        <f>IFERROR(DATE(Transaction[[#This Row],[TransactionDateY]],Transaction[[#This Row],[TransactionDateM]],Transaction[[#This Row],[TransactionDateD]]),"Missing Value")</f>
        <v>45816</v>
      </c>
      <c r="G323" t="s">
        <v>333</v>
      </c>
      <c r="H323" t="str">
        <f>IFERROR(VLOOKUP(Transaction[[#This Row],[CustomerID]],Custumer[],1,0),IF(LEN(Transaction[[#This Row],[CustomerID]])=7,LEFT(Transaction[[#This Row],[CustomerID]],6),"Invalid ID"))</f>
        <v>C-1033</v>
      </c>
      <c r="I323" t="s">
        <v>52</v>
      </c>
      <c r="J323" t="str">
        <f>TRIM(UPPER(Transaction[[#This Row],[ProductID]]))</f>
        <v>P-SI-002</v>
      </c>
      <c r="K323" t="str">
        <f>IFERROR(VLOOKUP(Transaction[[#This Row],[ProductID_Clean]],Product[],1,FALSE),"Invalid ID")</f>
        <v>P-SI-002</v>
      </c>
      <c r="L323" t="str">
        <f>TRIM(SUBSTITUTE(SUBSTITUTE(SUBSTITUTE(SUBSTITUTE(UPPER(Transaction[[#This Row],[Region]]),"EMEA REGION","EMEA"),"APAC REGION","APAC"),"NORTH AMERICA","N. AMERICA"),"N .AMERICA","N.AMERICA"))</f>
        <v>EMEA</v>
      </c>
      <c r="M323" t="s">
        <v>76</v>
      </c>
      <c r="N323" t="s">
        <v>47</v>
      </c>
      <c r="O32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23" t="s">
        <v>40</v>
      </c>
      <c r="Q323" t="str">
        <f>IF(TRIM(Transaction[[#This Row],[SalesChannel]])="","Missing Value",TRIM(Transaction[[#This Row],[SalesChannel]]))</f>
        <v>Distributor</v>
      </c>
      <c r="R323" s="4">
        <v>2</v>
      </c>
      <c r="S323" s="4" t="str">
        <f>IF(Transaction[[#This Row],[Quantity]]&lt;0,"Negative-review","Valid")</f>
        <v>Valid</v>
      </c>
      <c r="T323">
        <v>628.34</v>
      </c>
      <c r="U32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628.34</v>
      </c>
      <c r="V323">
        <v>725</v>
      </c>
      <c r="W323">
        <v>1450</v>
      </c>
      <c r="X32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323">
        <f>IF(Transaction[[#This Row],[GrossRevenue_Check]]="Invalid",Transaction[[#This Row],[ListPrice]]*Transaction[[#This Row],[Quantity]],Transaction[[#This Row],[GrossRevenue_Clean]])</f>
        <v>1450</v>
      </c>
      <c r="Z323" t="str">
        <f>IF(Transaction[[#This Row],[GrossRevenue_Clean]]=Transaction[[#This Row],[ListPrice]]*Transaction[[#This Row],[Quantity]],"Valid","Invalid")</f>
        <v>Valid</v>
      </c>
      <c r="AA323">
        <v>193.32</v>
      </c>
      <c r="AB32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193.32</v>
      </c>
      <c r="AC323">
        <f>IF(Transaction[[#This Row],[DiscountAmount_Check2]]="Invalid",Transaction[[#This Row],[GrossRevenue_Analytical]]-Transaction[[#This Row],[NetRevenue_Analytical]],Transaction[[#This Row],[DiscountAmount_Clean]])</f>
        <v>193.32</v>
      </c>
      <c r="AD323">
        <v>1256.68</v>
      </c>
      <c r="AE323" t="str">
        <f>IF(ROUND(Transaction[[#This Row],[GrossRevenue_Analytical]]-Transaction[[#This Row],[NetRevenue_Analytical]],2)=ROUND(Transaction[[#This Row],[DiscountAmount_Clean]],2),"Valid","Invalid")</f>
        <v>Valid</v>
      </c>
      <c r="AF32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1256.68</v>
      </c>
      <c r="AG323">
        <f>IF(Transaction[[#This Row],[NetRevenue_Check]]="Invalid",(Transaction[[#This Row],[Quantity]]*Transaction[[#This Row],[UnitPrice_Clean]]),Transaction[[#This Row],[NetRevenue_Clean]])</f>
        <v>1256.68</v>
      </c>
      <c r="AH323" t="str">
        <f>IF(Transaction[[#This Row],[Quantity]]*Transaction[[#This Row],[UnitPrice_Clean]]=Transaction[[#This Row],[NetRevenue_Clean]],"Valid","Invalid")</f>
        <v>Valid</v>
      </c>
      <c r="AI323" t="s">
        <v>23</v>
      </c>
      <c r="AJ323" t="s">
        <v>1277</v>
      </c>
      <c r="AK323" t="str">
        <f>IF(Transaction[[#This Row],[Salesperson]]="","Missing Value",TRIM(PROPER(Transaction[[#This Row],[Salesperson]])))</f>
        <v>Stephens-Em</v>
      </c>
      <c r="AL323" t="s">
        <v>42</v>
      </c>
      <c r="AM323" t="str">
        <f>IF(Transaction[[#This Row],[ContractType]]="","Missing Value",Transaction[[#This Row],[ContractType]])</f>
        <v>Standard PO</v>
      </c>
      <c r="AN323" t="s">
        <v>43</v>
      </c>
    </row>
    <row r="324" spans="1:40" x14ac:dyDescent="0.25">
      <c r="A324" t="s">
        <v>1623</v>
      </c>
      <c r="B324" s="1">
        <v>45694</v>
      </c>
      <c r="C32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32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32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24" s="2">
        <f>IFERROR(DATE(Transaction[[#This Row],[TransactionDateY]],Transaction[[#This Row],[TransactionDateM]],Transaction[[#This Row],[TransactionDateD]]),"Missing Value")</f>
        <v>45694</v>
      </c>
      <c r="G324" t="s">
        <v>580</v>
      </c>
      <c r="H324" t="str">
        <f>IFERROR(VLOOKUP(Transaction[[#This Row],[CustomerID]],Custumer[],1,0),IF(LEN(Transaction[[#This Row],[CustomerID]])=7,LEFT(Transaction[[#This Row],[CustomerID]],6),"Invalid ID"))</f>
        <v>C-1053</v>
      </c>
      <c r="I324" t="s">
        <v>46</v>
      </c>
      <c r="J324" t="str">
        <f>TRIM(UPPER(Transaction[[#This Row],[ProductID]]))</f>
        <v>P-SI-006</v>
      </c>
      <c r="K324" t="str">
        <f>IFERROR(VLOOKUP(Transaction[[#This Row],[ProductID_Clean]],Product[],1,FALSE),"Invalid ID")</f>
        <v>P-SI-006</v>
      </c>
      <c r="L324" t="str">
        <f>TRIM(SUBSTITUTE(SUBSTITUTE(SUBSTITUTE(SUBSTITUTE(UPPER(Transaction[[#This Row],[Region]]),"EMEA REGION","EMEA"),"APAC REGION","APAC"),"NORTH AMERICA","N. AMERICA"),"N .AMERICA","N.AMERICA"))</f>
        <v>LATIN AMERICA</v>
      </c>
      <c r="M324" t="s">
        <v>82</v>
      </c>
      <c r="N324" t="s">
        <v>53</v>
      </c>
      <c r="O32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24" t="s">
        <v>22</v>
      </c>
      <c r="Q324" t="str">
        <f>IF(TRIM(Transaction[[#This Row],[SalesChannel]])="","Missing Value",TRIM(Transaction[[#This Row],[SalesChannel]]))</f>
        <v>Direct</v>
      </c>
      <c r="R324" s="4">
        <v>4</v>
      </c>
      <c r="S324" s="4" t="str">
        <f>IF(Transaction[[#This Row],[Quantity]]&lt;0,"Negative-review","Valid")</f>
        <v>Valid</v>
      </c>
      <c r="T324">
        <v>168.26</v>
      </c>
      <c r="U32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168.26</v>
      </c>
      <c r="V324">
        <v>215</v>
      </c>
      <c r="W324">
        <v>860</v>
      </c>
      <c r="X32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860</v>
      </c>
      <c r="Y324">
        <f>IF(Transaction[[#This Row],[GrossRevenue_Check]]="Invalid",Transaction[[#This Row],[ListPrice]]*Transaction[[#This Row],[Quantity]],Transaction[[#This Row],[GrossRevenue_Clean]])</f>
        <v>860</v>
      </c>
      <c r="Z324" t="str">
        <f>IF(Transaction[[#This Row],[GrossRevenue_Clean]]=Transaction[[#This Row],[ListPrice]]*Transaction[[#This Row],[Quantity]],"Valid","Invalid")</f>
        <v>Valid</v>
      </c>
      <c r="AB32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324">
        <f>IF(Transaction[[#This Row],[DiscountAmount_Check2]]="Invalid",Transaction[[#This Row],[GrossRevenue_Analytical]]-Transaction[[#This Row],[NetRevenue_Analytical]],Transaction[[#This Row],[DiscountAmount_Clean]])</f>
        <v>186.96000000000004</v>
      </c>
      <c r="AD324" t="s">
        <v>1624</v>
      </c>
      <c r="AE324" t="str">
        <f>IF(ROUND(Transaction[[#This Row],[GrossRevenue_Analytical]]-Transaction[[#This Row],[NetRevenue_Analytical]],2)=ROUND(Transaction[[#This Row],[DiscountAmount_Clean]],2),"Valid","Invalid")</f>
        <v>Invalid</v>
      </c>
      <c r="AF324">
        <f>VALUE(IF(ISNUMBER(Transaction[[#This Row],[NetRevenue]]),Transaction[[#This Row],[NetRevenue]],IFERROR(IF(FIND("$",Transaction[[#This Row],[NetRevenue]])&gt;0,MID(Transaction[[#This Row],[NetRevenue]],2,10)),Transaction[[#This Row],[NetRevenue]])))</f>
        <v>673.04</v>
      </c>
      <c r="AG324">
        <f>IF(Transaction[[#This Row],[NetRevenue_Check]]="Invalid",(Transaction[[#This Row],[Quantity]]*Transaction[[#This Row],[UnitPrice_Clean]]),Transaction[[#This Row],[NetRevenue_Clean]])</f>
        <v>673.04</v>
      </c>
      <c r="AH324" t="str">
        <f>IF(Transaction[[#This Row],[Quantity]]*Transaction[[#This Row],[UnitPrice_Clean]]=Transaction[[#This Row],[NetRevenue_Clean]],"Valid","Invalid")</f>
        <v>Valid</v>
      </c>
      <c r="AI324" t="s">
        <v>23</v>
      </c>
      <c r="AJ324" t="s">
        <v>1625</v>
      </c>
      <c r="AK324" t="str">
        <f>IF(Transaction[[#This Row],[Salesperson]]="","Missing Value",TRIM(PROPER(Transaction[[#This Row],[Salesperson]])))</f>
        <v>Bishop-Na</v>
      </c>
      <c r="AL324" t="s">
        <v>25</v>
      </c>
      <c r="AM324" t="str">
        <f>IF(Transaction[[#This Row],[ContractType]]="","Missing Value",Transaction[[#This Row],[ContractType]])</f>
        <v>Frame Agreement</v>
      </c>
      <c r="AN324" t="s">
        <v>35</v>
      </c>
    </row>
    <row r="325" spans="1:40" x14ac:dyDescent="0.25">
      <c r="A325" t="s">
        <v>1206</v>
      </c>
      <c r="C32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32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32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325" s="2" t="str">
        <f>IFERROR(DATE(Transaction[[#This Row],[TransactionDateY]],Transaction[[#This Row],[TransactionDateM]],Transaction[[#This Row],[TransactionDateD]]),"Missing Value")</f>
        <v>Missing Value</v>
      </c>
      <c r="G325" t="s">
        <v>621</v>
      </c>
      <c r="H325" t="str">
        <f>IFERROR(VLOOKUP(Transaction[[#This Row],[CustomerID]],Custumer[],1,0),IF(LEN(Transaction[[#This Row],[CustomerID]])=7,LEFT(Transaction[[#This Row],[CustomerID]],6),"Invalid ID"))</f>
        <v>C-1064</v>
      </c>
      <c r="I325" t="s">
        <v>258</v>
      </c>
      <c r="J325" t="str">
        <f>TRIM(UPPER(Transaction[[#This Row],[ProductID]]))</f>
        <v>P-SA-003</v>
      </c>
      <c r="K325" t="str">
        <f>IFERROR(VLOOKUP(Transaction[[#This Row],[ProductID_Clean]],Product[],1,FALSE),"Invalid ID")</f>
        <v>P-SA-003</v>
      </c>
      <c r="L325" t="str">
        <f>TRIM(SUBSTITUTE(SUBSTITUTE(SUBSTITUTE(SUBSTITUTE(UPPER(Transaction[[#This Row],[Region]]),"EMEA REGION","EMEA"),"APAC REGION","APAC"),"NORTH AMERICA","N. AMERICA"),"N .AMERICA","N.AMERICA"))</f>
        <v>N. AMERICA</v>
      </c>
      <c r="M325" t="s">
        <v>20</v>
      </c>
      <c r="N325" t="s">
        <v>31</v>
      </c>
      <c r="O32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325" t="s">
        <v>40</v>
      </c>
      <c r="Q325" t="str">
        <f>IF(TRIM(Transaction[[#This Row],[SalesChannel]])="","Missing Value",TRIM(Transaction[[#This Row],[SalesChannel]]))</f>
        <v>Distributor</v>
      </c>
      <c r="R325" s="4">
        <v>1</v>
      </c>
      <c r="S325" s="4" t="str">
        <f>IF(Transaction[[#This Row],[Quantity]]&lt;0,"Negative-review","Valid")</f>
        <v>Valid</v>
      </c>
      <c r="T325">
        <v>2123</v>
      </c>
      <c r="U32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2123</v>
      </c>
      <c r="V325">
        <v>2750</v>
      </c>
      <c r="W325">
        <v>2750</v>
      </c>
      <c r="X32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325">
        <f>IF(Transaction[[#This Row],[GrossRevenue_Check]]="Invalid",Transaction[[#This Row],[ListPrice]]*Transaction[[#This Row],[Quantity]],Transaction[[#This Row],[GrossRevenue_Clean]])</f>
        <v>2750</v>
      </c>
      <c r="Z325" t="str">
        <f>IF(Transaction[[#This Row],[GrossRevenue_Clean]]=Transaction[[#This Row],[ListPrice]]*Transaction[[#This Row],[Quantity]],"Valid","Invalid")</f>
        <v>Valid</v>
      </c>
      <c r="AA325">
        <v>627</v>
      </c>
      <c r="AB32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627</v>
      </c>
      <c r="AC325">
        <f>IF(Transaction[[#This Row],[DiscountAmount_Check2]]="Invalid",Transaction[[#This Row],[GrossRevenue_Analytical]]-Transaction[[#This Row],[NetRevenue_Analytical]],Transaction[[#This Row],[DiscountAmount_Clean]])</f>
        <v>627</v>
      </c>
      <c r="AD325">
        <v>2123</v>
      </c>
      <c r="AE325" t="str">
        <f>IF(ROUND(Transaction[[#This Row],[GrossRevenue_Analytical]]-Transaction[[#This Row],[NetRevenue_Analytical]],2)=ROUND(Transaction[[#This Row],[DiscountAmount_Clean]],2),"Valid","Invalid")</f>
        <v>Valid</v>
      </c>
      <c r="AF325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2123</v>
      </c>
      <c r="AG325">
        <f>IF(Transaction[[#This Row],[NetRevenue_Check]]="Invalid",(Transaction[[#This Row],[Quantity]]*Transaction[[#This Row],[UnitPrice_Clean]]),Transaction[[#This Row],[NetRevenue_Clean]])</f>
        <v>2123</v>
      </c>
      <c r="AH325" t="str">
        <f>IF(Transaction[[#This Row],[Quantity]]*Transaction[[#This Row],[UnitPrice_Clean]]=Transaction[[#This Row],[NetRevenue_Clean]],"Valid","Invalid")</f>
        <v>Valid</v>
      </c>
      <c r="AI325" t="s">
        <v>23</v>
      </c>
      <c r="AJ325" t="s">
        <v>1207</v>
      </c>
      <c r="AK325" t="str">
        <f>IF(Transaction[[#This Row],[Salesperson]]="","Missing Value",TRIM(PROPER(Transaction[[#This Row],[Salesperson]])))</f>
        <v>Romero-Ap</v>
      </c>
      <c r="AL325" t="s">
        <v>113</v>
      </c>
      <c r="AM325" t="str">
        <f>IF(Transaction[[#This Row],[ContractType]]="","Missing Value",Transaction[[#This Row],[ContractType]])</f>
        <v>Subscription</v>
      </c>
      <c r="AN325" t="s">
        <v>35</v>
      </c>
    </row>
    <row r="326" spans="1:40" x14ac:dyDescent="0.25">
      <c r="A326" t="s">
        <v>939</v>
      </c>
      <c r="B326" t="s">
        <v>940</v>
      </c>
      <c r="C32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32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29</v>
      </c>
      <c r="E32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26" s="2">
        <f>IFERROR(DATE(Transaction[[#This Row],[TransactionDateY]],Transaction[[#This Row],[TransactionDateM]],Transaction[[#This Row],[TransactionDateD]]),"Missing Value")</f>
        <v>45776</v>
      </c>
      <c r="G326" t="s">
        <v>186</v>
      </c>
      <c r="H326" t="str">
        <f>IFERROR(VLOOKUP(Transaction[[#This Row],[CustomerID]],Custumer[],1,0),IF(LEN(Transaction[[#This Row],[CustomerID]])=7,LEFT(Transaction[[#This Row],[CustomerID]],6),"Invalid ID"))</f>
        <v>C-1063</v>
      </c>
      <c r="I326" t="s">
        <v>97</v>
      </c>
      <c r="J326" t="str">
        <f>TRIM(UPPER(Transaction[[#This Row],[ProductID]]))</f>
        <v>P-SI-001</v>
      </c>
      <c r="K326" t="str">
        <f>IFERROR(VLOOKUP(Transaction[[#This Row],[ProductID_Clean]],Product[],1,FALSE),"Invalid ID")</f>
        <v>P-SI-001</v>
      </c>
      <c r="L326" t="str">
        <f>TRIM(SUBSTITUTE(SUBSTITUTE(SUBSTITUTE(SUBSTITUTE(UPPER(Transaction[[#This Row],[Region]]),"EMEA REGION","EMEA"),"APAC REGION","APAC"),"NORTH AMERICA","N. AMERICA"),"N .AMERICA","N.AMERICA"))</f>
        <v>N. AMERICA</v>
      </c>
      <c r="M326" t="s">
        <v>495</v>
      </c>
      <c r="N326" t="s">
        <v>53</v>
      </c>
      <c r="O32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26" t="s">
        <v>22</v>
      </c>
      <c r="Q326" t="str">
        <f>IF(TRIM(Transaction[[#This Row],[SalesChannel]])="","Missing Value",TRIM(Transaction[[#This Row],[SalesChannel]]))</f>
        <v>Direct</v>
      </c>
      <c r="R326" s="4">
        <v>8</v>
      </c>
      <c r="S326" s="4" t="str">
        <f>IF(Transaction[[#This Row],[Quantity]]&lt;0,"Negative-review","Valid")</f>
        <v>Valid</v>
      </c>
      <c r="T326">
        <v>393.02</v>
      </c>
      <c r="U32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393.02</v>
      </c>
      <c r="V326">
        <v>485</v>
      </c>
      <c r="W326">
        <v>3880</v>
      </c>
      <c r="X32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3880</v>
      </c>
      <c r="Y326">
        <f>IF(Transaction[[#This Row],[GrossRevenue_Check]]="Invalid",Transaction[[#This Row],[ListPrice]]*Transaction[[#This Row],[Quantity]],Transaction[[#This Row],[GrossRevenue_Clean]])</f>
        <v>3880</v>
      </c>
      <c r="Z326" t="str">
        <f>IF(Transaction[[#This Row],[GrossRevenue_Clean]]=Transaction[[#This Row],[ListPrice]]*Transaction[[#This Row],[Quantity]],"Valid","Invalid")</f>
        <v>Valid</v>
      </c>
      <c r="AA326">
        <v>735.84</v>
      </c>
      <c r="AB32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735.84</v>
      </c>
      <c r="AC326">
        <f>IF(Transaction[[#This Row],[DiscountAmount_Check2]]="Invalid",Transaction[[#This Row],[GrossRevenue_Analytical]]-Transaction[[#This Row],[NetRevenue_Analytical]],Transaction[[#This Row],[DiscountAmount_Clean]])</f>
        <v>735.84</v>
      </c>
      <c r="AD326">
        <v>3144.16</v>
      </c>
      <c r="AE326" t="str">
        <f>IF(ROUND(Transaction[[#This Row],[GrossRevenue_Analytical]]-Transaction[[#This Row],[NetRevenue_Analytical]],2)=ROUND(Transaction[[#This Row],[DiscountAmount_Clean]],2),"Valid","Invalid")</f>
        <v>Valid</v>
      </c>
      <c r="AF326">
        <f>VALUE(IF(ISNUMBER(Transaction[[#This Row],[NetRevenue]]),Transaction[[#This Row],[NetRevenue]],IFERROR(IF(FIND("$",Transaction[[#This Row],[NetRevenue]])&gt;0,MID(Transaction[[#This Row],[NetRevenue]],2,10)),Transaction[[#This Row],[NetRevenue]])))</f>
        <v>3144.16</v>
      </c>
      <c r="AG326">
        <f>IF(Transaction[[#This Row],[NetRevenue_Check]]="Invalid",(Transaction[[#This Row],[Quantity]]*Transaction[[#This Row],[UnitPrice_Clean]]),Transaction[[#This Row],[NetRevenue_Clean]])</f>
        <v>3144.16</v>
      </c>
      <c r="AH326" t="str">
        <f>IF(Transaction[[#This Row],[Quantity]]*Transaction[[#This Row],[UnitPrice_Clean]]=Transaction[[#This Row],[NetRevenue_Clean]],"Valid","Invalid")</f>
        <v>Valid</v>
      </c>
      <c r="AI326" t="s">
        <v>23</v>
      </c>
      <c r="AJ326" t="s">
        <v>465</v>
      </c>
      <c r="AK326" t="str">
        <f>IF(Transaction[[#This Row],[Salesperson]]="","Missing Value",TRIM(PROPER(Transaction[[#This Row],[Salesperson]])))</f>
        <v>Smith</v>
      </c>
      <c r="AL326" t="s">
        <v>42</v>
      </c>
      <c r="AM326" t="str">
        <f>IF(Transaction[[#This Row],[ContractType]]="","Missing Value",Transaction[[#This Row],[ContractType]])</f>
        <v>Standard PO</v>
      </c>
      <c r="AN326" t="s">
        <v>43</v>
      </c>
    </row>
    <row r="327" spans="1:40" x14ac:dyDescent="0.25">
      <c r="A327" t="s">
        <v>1156</v>
      </c>
      <c r="B327" s="1">
        <v>45824</v>
      </c>
      <c r="C32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32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32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27" s="2">
        <f>IFERROR(DATE(Transaction[[#This Row],[TransactionDateY]],Transaction[[#This Row],[TransactionDateM]],Transaction[[#This Row],[TransactionDateD]]),"Missing Value")</f>
        <v>45824</v>
      </c>
      <c r="G327" t="s">
        <v>1157</v>
      </c>
      <c r="H327" t="str">
        <f>IFERROR(VLOOKUP(Transaction[[#This Row],[CustomerID]],Custumer[],1,0),IF(LEN(Transaction[[#This Row],[CustomerID]])=7,LEFT(Transaction[[#This Row],[CustomerID]],6),"Invalid ID"))</f>
        <v>C-1180</v>
      </c>
      <c r="I327" t="s">
        <v>71</v>
      </c>
      <c r="J327" t="str">
        <f>TRIM(UPPER(Transaction[[#This Row],[ProductID]]))</f>
        <v>P-SI-003</v>
      </c>
      <c r="K327" t="str">
        <f>IFERROR(VLOOKUP(Transaction[[#This Row],[ProductID_Clean]],Product[],1,FALSE),"Invalid ID")</f>
        <v>P-SI-003</v>
      </c>
      <c r="L327" t="str">
        <f>TRIM(SUBSTITUTE(SUBSTITUTE(SUBSTITUTE(SUBSTITUTE(UPPER(Transaction[[#This Row],[Region]]),"EMEA REGION","EMEA"),"APAC REGION","APAC"),"NORTH AMERICA","N. AMERICA"),"N .AMERICA","N.AMERICA"))</f>
        <v>N. AMERICA</v>
      </c>
      <c r="M327" t="s">
        <v>20</v>
      </c>
      <c r="N327" t="s">
        <v>272</v>
      </c>
      <c r="O32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27" t="s">
        <v>40</v>
      </c>
      <c r="Q327" t="str">
        <f>IF(TRIM(Transaction[[#This Row],[SalesChannel]])="","Missing Value",TRIM(Transaction[[#This Row],[SalesChannel]]))</f>
        <v>Distributor</v>
      </c>
      <c r="R327" s="4">
        <v>1</v>
      </c>
      <c r="S327" s="4" t="str">
        <f>IF(Transaction[[#This Row],[Quantity]]&lt;0,"Negative-review","Valid")</f>
        <v>Valid</v>
      </c>
      <c r="T327">
        <v>1712.07</v>
      </c>
      <c r="U32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1712.07</v>
      </c>
      <c r="V327">
        <v>1890</v>
      </c>
      <c r="W327">
        <v>1890</v>
      </c>
      <c r="X32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327">
        <f>IF(Transaction[[#This Row],[GrossRevenue_Check]]="Invalid",Transaction[[#This Row],[ListPrice]]*Transaction[[#This Row],[Quantity]],Transaction[[#This Row],[GrossRevenue_Clean]])</f>
        <v>1890</v>
      </c>
      <c r="Z327" t="str">
        <f>IF(Transaction[[#This Row],[GrossRevenue_Clean]]=Transaction[[#This Row],[ListPrice]]*Transaction[[#This Row],[Quantity]],"Valid","Invalid")</f>
        <v>Valid</v>
      </c>
      <c r="AA327">
        <v>177.93</v>
      </c>
      <c r="AB32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177.93</v>
      </c>
      <c r="AC327">
        <f>IF(Transaction[[#This Row],[DiscountAmount_Check2]]="Invalid",Transaction[[#This Row],[GrossRevenue_Analytical]]-Transaction[[#This Row],[NetRevenue_Analytical]],Transaction[[#This Row],[DiscountAmount_Clean]])</f>
        <v>177.93</v>
      </c>
      <c r="AD327">
        <v>1712.07</v>
      </c>
      <c r="AE327" t="str">
        <f>IF(ROUND(Transaction[[#This Row],[GrossRevenue_Analytical]]-Transaction[[#This Row],[NetRevenue_Analytical]],2)=ROUND(Transaction[[#This Row],[DiscountAmount_Clean]],2),"Valid","Invalid")</f>
        <v>Valid</v>
      </c>
      <c r="AF32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1712.07</v>
      </c>
      <c r="AG327">
        <f>IF(Transaction[[#This Row],[NetRevenue_Check]]="Invalid",(Transaction[[#This Row],[Quantity]]*Transaction[[#This Row],[UnitPrice_Clean]]),Transaction[[#This Row],[NetRevenue_Clean]])</f>
        <v>1712.07</v>
      </c>
      <c r="AH327" t="str">
        <f>IF(Transaction[[#This Row],[Quantity]]*Transaction[[#This Row],[UnitPrice_Clean]]=Transaction[[#This Row],[NetRevenue_Clean]],"Valid","Invalid")</f>
        <v>Valid</v>
      </c>
      <c r="AI327" t="s">
        <v>23</v>
      </c>
      <c r="AJ327" t="s">
        <v>1158</v>
      </c>
      <c r="AK327" t="str">
        <f>IF(Transaction[[#This Row],[Salesperson]]="","Missing Value",TRIM(PROPER(Transaction[[#This Row],[Salesperson]])))</f>
        <v>Marks-Na</v>
      </c>
      <c r="AL327" t="s">
        <v>42</v>
      </c>
      <c r="AM327" t="str">
        <f>IF(Transaction[[#This Row],[ContractType]]="","Missing Value",Transaction[[#This Row],[ContractType]])</f>
        <v>Standard PO</v>
      </c>
      <c r="AN327" t="s">
        <v>49</v>
      </c>
    </row>
    <row r="328" spans="1:40" x14ac:dyDescent="0.25">
      <c r="A328" t="s">
        <v>2597</v>
      </c>
      <c r="B328" s="1">
        <v>45700</v>
      </c>
      <c r="C32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32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32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28" s="2">
        <f>IFERROR(DATE(Transaction[[#This Row],[TransactionDateY]],Transaction[[#This Row],[TransactionDateM]],Transaction[[#This Row],[TransactionDateD]]),"Missing Value")</f>
        <v>45700</v>
      </c>
      <c r="G328" t="s">
        <v>208</v>
      </c>
      <c r="H328" t="str">
        <f>IFERROR(VLOOKUP(Transaction[[#This Row],[CustomerID]],Custumer[],1,0),IF(LEN(Transaction[[#This Row],[CustomerID]])=7,LEFT(Transaction[[#This Row],[CustomerID]],6),"Invalid ID"))</f>
        <v>C-1076</v>
      </c>
      <c r="I328" t="s">
        <v>258</v>
      </c>
      <c r="J328" t="str">
        <f>TRIM(UPPER(Transaction[[#This Row],[ProductID]]))</f>
        <v>P-SA-003</v>
      </c>
      <c r="K328" t="str">
        <f>IFERROR(VLOOKUP(Transaction[[#This Row],[ProductID_Clean]],Product[],1,FALSE),"Invalid ID")</f>
        <v>P-SA-003</v>
      </c>
      <c r="L328" t="str">
        <f>TRIM(SUBSTITUTE(SUBSTITUTE(SUBSTITUTE(SUBSTITUTE(UPPER(Transaction[[#This Row],[Region]]),"EMEA REGION","EMEA"),"APAC REGION","APAC"),"NORTH AMERICA","N. AMERICA"),"N .AMERICA","N.AMERICA"))</f>
        <v>APAC</v>
      </c>
      <c r="M328" t="s">
        <v>30</v>
      </c>
      <c r="N328" t="s">
        <v>572</v>
      </c>
      <c r="O32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328" t="s">
        <v>22</v>
      </c>
      <c r="Q328" t="str">
        <f>IF(TRIM(Transaction[[#This Row],[SalesChannel]])="","Missing Value",TRIM(Transaction[[#This Row],[SalesChannel]]))</f>
        <v>Direct</v>
      </c>
      <c r="R328" s="4">
        <v>1</v>
      </c>
      <c r="S328" s="4" t="str">
        <f>IF(Transaction[[#This Row],[Quantity]]&lt;0,"Negative-review","Valid")</f>
        <v>Valid</v>
      </c>
      <c r="T328">
        <v>2365.64</v>
      </c>
      <c r="U32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2365.64</v>
      </c>
      <c r="V328">
        <v>2750</v>
      </c>
      <c r="W328">
        <v>2750</v>
      </c>
      <c r="X32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328">
        <f>IF(Transaction[[#This Row],[GrossRevenue_Check]]="Invalid",Transaction[[#This Row],[ListPrice]]*Transaction[[#This Row],[Quantity]],Transaction[[#This Row],[GrossRevenue_Clean]])</f>
        <v>2750</v>
      </c>
      <c r="Z328" t="str">
        <f>IF(Transaction[[#This Row],[GrossRevenue_Clean]]=Transaction[[#This Row],[ListPrice]]*Transaction[[#This Row],[Quantity]],"Valid","Invalid")</f>
        <v>Valid</v>
      </c>
      <c r="AB32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328">
        <f>IF(Transaction[[#This Row],[DiscountAmount_Check2]]="Invalid",Transaction[[#This Row],[GrossRevenue_Analytical]]-Transaction[[#This Row],[NetRevenue_Analytical]],Transaction[[#This Row],[DiscountAmount_Clean]])</f>
        <v>384.36000000000013</v>
      </c>
      <c r="AD328">
        <v>2365.64</v>
      </c>
      <c r="AE328" t="str">
        <f>IF(ROUND(Transaction[[#This Row],[GrossRevenue_Analytical]]-Transaction[[#This Row],[NetRevenue_Analytical]],2)=ROUND(Transaction[[#This Row],[DiscountAmount_Clean]],2),"Valid","Invalid")</f>
        <v>Invalid</v>
      </c>
      <c r="AF32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2365.64</v>
      </c>
      <c r="AG328">
        <f>IF(Transaction[[#This Row],[NetRevenue_Check]]="Invalid",(Transaction[[#This Row],[Quantity]]*Transaction[[#This Row],[UnitPrice_Clean]]),Transaction[[#This Row],[NetRevenue_Clean]])</f>
        <v>2365.64</v>
      </c>
      <c r="AH328" t="str">
        <f>IF(Transaction[[#This Row],[Quantity]]*Transaction[[#This Row],[UnitPrice_Clean]]=Transaction[[#This Row],[NetRevenue_Clean]],"Valid","Invalid")</f>
        <v>Valid</v>
      </c>
      <c r="AI328" t="s">
        <v>23</v>
      </c>
      <c r="AJ328" t="s">
        <v>2598</v>
      </c>
      <c r="AK328" t="str">
        <f>IF(Transaction[[#This Row],[Salesperson]]="","Missing Value",TRIM(PROPER(Transaction[[#This Row],[Salesperson]])))</f>
        <v>Ramirez-Na</v>
      </c>
      <c r="AL328" t="s">
        <v>34</v>
      </c>
      <c r="AM328" t="str">
        <f>IF(Transaction[[#This Row],[ContractType]]="","Missing Value",Transaction[[#This Row],[ContractType]])</f>
        <v>Annual License</v>
      </c>
      <c r="AN328" t="s">
        <v>49</v>
      </c>
    </row>
    <row r="329" spans="1:40" x14ac:dyDescent="0.25">
      <c r="A329" t="s">
        <v>1161</v>
      </c>
      <c r="B329" s="1">
        <v>45735</v>
      </c>
      <c r="C32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32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32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29" s="2">
        <f>IFERROR(DATE(Transaction[[#This Row],[TransactionDateY]],Transaction[[#This Row],[TransactionDateM]],Transaction[[#This Row],[TransactionDateD]]),"Missing Value")</f>
        <v>45735</v>
      </c>
      <c r="G329" t="s">
        <v>292</v>
      </c>
      <c r="H329" t="str">
        <f>IFERROR(VLOOKUP(Transaction[[#This Row],[CustomerID]],Custumer[],1,0),IF(LEN(Transaction[[#This Row],[CustomerID]])=7,LEFT(Transaction[[#This Row],[CustomerID]],6),"Invalid ID"))</f>
        <v>C-1065</v>
      </c>
      <c r="I329" t="s">
        <v>97</v>
      </c>
      <c r="J329" t="str">
        <f>TRIM(UPPER(Transaction[[#This Row],[ProductID]]))</f>
        <v>P-SI-001</v>
      </c>
      <c r="K329" t="str">
        <f>IFERROR(VLOOKUP(Transaction[[#This Row],[ProductID_Clean]],Product[],1,FALSE),"Invalid ID")</f>
        <v>P-SI-001</v>
      </c>
      <c r="L329" t="str">
        <f>TRIM(SUBSTITUTE(SUBSTITUTE(SUBSTITUTE(SUBSTITUTE(UPPER(Transaction[[#This Row],[Region]]),"EMEA REGION","EMEA"),"APAC REGION","APAC"),"NORTH AMERICA","N. AMERICA"),"N .AMERICA","N.AMERICA"))</f>
        <v>APAC</v>
      </c>
      <c r="M329" t="s">
        <v>30</v>
      </c>
      <c r="N329" t="s">
        <v>53</v>
      </c>
      <c r="O32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29" t="s">
        <v>22</v>
      </c>
      <c r="Q329" t="str">
        <f>IF(TRIM(Transaction[[#This Row],[SalesChannel]])="","Missing Value",TRIM(Transaction[[#This Row],[SalesChannel]]))</f>
        <v>Direct</v>
      </c>
      <c r="R329" s="4">
        <v>1</v>
      </c>
      <c r="S329" s="4" t="str">
        <f>IF(Transaction[[#This Row],[Quantity]]&lt;0,"Negative-review","Valid")</f>
        <v>Valid</v>
      </c>
      <c r="T329">
        <v>443.87</v>
      </c>
      <c r="U32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443.87</v>
      </c>
      <c r="V329">
        <v>485</v>
      </c>
      <c r="W329">
        <v>485</v>
      </c>
      <c r="X32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329">
        <f>IF(Transaction[[#This Row],[GrossRevenue_Check]]="Invalid",Transaction[[#This Row],[ListPrice]]*Transaction[[#This Row],[Quantity]],Transaction[[#This Row],[GrossRevenue_Clean]])</f>
        <v>485</v>
      </c>
      <c r="Z329" t="str">
        <f>IF(Transaction[[#This Row],[GrossRevenue_Clean]]=Transaction[[#This Row],[ListPrice]]*Transaction[[#This Row],[Quantity]],"Valid","Invalid")</f>
        <v>Valid</v>
      </c>
      <c r="AA329">
        <v>41.13</v>
      </c>
      <c r="AB32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41.13</v>
      </c>
      <c r="AC329">
        <f>IF(Transaction[[#This Row],[DiscountAmount_Check2]]="Invalid",Transaction[[#This Row],[GrossRevenue_Analytical]]-Transaction[[#This Row],[NetRevenue_Analytical]],Transaction[[#This Row],[DiscountAmount_Clean]])</f>
        <v>41.13</v>
      </c>
      <c r="AD329">
        <v>443.87</v>
      </c>
      <c r="AE329" t="str">
        <f>IF(ROUND(Transaction[[#This Row],[GrossRevenue_Analytical]]-Transaction[[#This Row],[NetRevenue_Analytical]],2)=ROUND(Transaction[[#This Row],[DiscountAmount_Clean]],2),"Valid","Invalid")</f>
        <v>Valid</v>
      </c>
      <c r="AF329">
        <f>VALUE(IF(ISNUMBER(Transaction[[#This Row],[NetRevenue]]),Transaction[[#This Row],[NetRevenue]],IFERROR(IF(FIND("$",Transaction[[#This Row],[NetRevenue]])&gt;0,MID(Transaction[[#This Row],[NetRevenue]],2,10)),Transaction[[#This Row],[NetRevenue]])))</f>
        <v>443.87</v>
      </c>
      <c r="AG329">
        <f>IF(Transaction[[#This Row],[NetRevenue_Check]]="Invalid",(Transaction[[#This Row],[Quantity]]*Transaction[[#This Row],[UnitPrice_Clean]]),Transaction[[#This Row],[NetRevenue_Clean]])</f>
        <v>443.87</v>
      </c>
      <c r="AH329" t="str">
        <f>IF(Transaction[[#This Row],[Quantity]]*Transaction[[#This Row],[UnitPrice_Clean]]=Transaction[[#This Row],[NetRevenue_Clean]],"Valid","Invalid")</f>
        <v>Valid</v>
      </c>
      <c r="AI329" t="s">
        <v>23</v>
      </c>
      <c r="AJ329" t="s">
        <v>1162</v>
      </c>
      <c r="AK329" t="str">
        <f>IF(Transaction[[#This Row],[Salesperson]]="","Missing Value",TRIM(PROPER(Transaction[[#This Row],[Salesperson]])))</f>
        <v>Hughes-Na</v>
      </c>
      <c r="AL329" t="s">
        <v>42</v>
      </c>
      <c r="AM329" t="str">
        <f>IF(Transaction[[#This Row],[ContractType]]="","Missing Value",Transaction[[#This Row],[ContractType]])</f>
        <v>Standard PO</v>
      </c>
      <c r="AN329" t="s">
        <v>35</v>
      </c>
    </row>
    <row r="330" spans="1:40" x14ac:dyDescent="0.25">
      <c r="A330" t="s">
        <v>1926</v>
      </c>
      <c r="B330" s="1">
        <v>45687</v>
      </c>
      <c r="C33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33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33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30" s="2">
        <f>IFERROR(DATE(Transaction[[#This Row],[TransactionDateY]],Transaction[[#This Row],[TransactionDateM]],Transaction[[#This Row],[TransactionDateD]]),"Missing Value")</f>
        <v>45687</v>
      </c>
      <c r="G330" t="s">
        <v>360</v>
      </c>
      <c r="H330" t="str">
        <f>IFERROR(VLOOKUP(Transaction[[#This Row],[CustomerID]],Custumer[],1,0),IF(LEN(Transaction[[#This Row],[CustomerID]])=7,LEFT(Transaction[[#This Row],[CustomerID]],6),"Invalid ID"))</f>
        <v>C-1067</v>
      </c>
      <c r="I330" t="s">
        <v>1569</v>
      </c>
      <c r="J330" t="str">
        <f>TRIM(UPPER(Transaction[[#This Row],[ProductID]]))</f>
        <v>P-SA-005</v>
      </c>
      <c r="K330" t="str">
        <f>IFERROR(VLOOKUP(Transaction[[#This Row],[ProductID_Clean]],Product[],1,FALSE),"Invalid ID")</f>
        <v>P-SA-005</v>
      </c>
      <c r="L330" t="str">
        <f>TRIM(SUBSTITUTE(SUBSTITUTE(SUBSTITUTE(SUBSTITUTE(UPPER(Transaction[[#This Row],[Region]]),"EMEA REGION","EMEA"),"APAC REGION","APAC"),"NORTH AMERICA","N. AMERICA"),"N .AMERICA","N.AMERICA"))</f>
        <v>APAC</v>
      </c>
      <c r="M330" t="s">
        <v>127</v>
      </c>
      <c r="N330" t="s">
        <v>31</v>
      </c>
      <c r="O330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330" t="s">
        <v>22</v>
      </c>
      <c r="Q330" t="str">
        <f>IF(TRIM(Transaction[[#This Row],[SalesChannel]])="","Missing Value",TRIM(Transaction[[#This Row],[SalesChannel]]))</f>
        <v>Direct</v>
      </c>
      <c r="R330" s="4">
        <v>2</v>
      </c>
      <c r="S330" s="4" t="str">
        <f>IF(Transaction[[#This Row],[Quantity]]&lt;0,"Negative-review","Valid")</f>
        <v>Valid</v>
      </c>
      <c r="T330">
        <v>2628.29</v>
      </c>
      <c r="U33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2628.29</v>
      </c>
      <c r="V330">
        <v>3200</v>
      </c>
      <c r="W330">
        <v>6400</v>
      </c>
      <c r="X33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6400</v>
      </c>
      <c r="Y330">
        <f>IF(Transaction[[#This Row],[GrossRevenue_Check]]="Invalid",Transaction[[#This Row],[ListPrice]]*Transaction[[#This Row],[Quantity]],Transaction[[#This Row],[GrossRevenue_Clean]])</f>
        <v>6400</v>
      </c>
      <c r="Z330" t="str">
        <f>IF(Transaction[[#This Row],[GrossRevenue_Clean]]=Transaction[[#This Row],[ListPrice]]*Transaction[[#This Row],[Quantity]],"Valid","Invalid")</f>
        <v>Valid</v>
      </c>
      <c r="AA330">
        <v>1143.42</v>
      </c>
      <c r="AB33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1143.42</v>
      </c>
      <c r="AC330">
        <f>IF(Transaction[[#This Row],[DiscountAmount_Check2]]="Invalid",Transaction[[#This Row],[GrossRevenue_Analytical]]-Transaction[[#This Row],[NetRevenue_Analytical]],Transaction[[#This Row],[DiscountAmount_Clean]])</f>
        <v>1143.42</v>
      </c>
      <c r="AD330">
        <v>5256.58</v>
      </c>
      <c r="AE330" t="str">
        <f>IF(ROUND(Transaction[[#This Row],[GrossRevenue_Analytical]]-Transaction[[#This Row],[NetRevenue_Analytical]],2)=ROUND(Transaction[[#This Row],[DiscountAmount_Clean]],2),"Valid","Invalid")</f>
        <v>Valid</v>
      </c>
      <c r="AF330">
        <f>VALUE(IF(ISNUMBER(Transaction[[#This Row],[NetRevenue]]),Transaction[[#This Row],[NetRevenue]],IFERROR(IF(FIND("$",Transaction[[#This Row],[NetRevenue]])&gt;0,MID(Transaction[[#This Row],[NetRevenue]],2,10)),Transaction[[#This Row],[NetRevenue]])))</f>
        <v>5256.58</v>
      </c>
      <c r="AG330">
        <f>IF(Transaction[[#This Row],[NetRevenue_Check]]="Invalid",(Transaction[[#This Row],[Quantity]]*Transaction[[#This Row],[UnitPrice_Clean]]),Transaction[[#This Row],[NetRevenue_Clean]])</f>
        <v>5256.58</v>
      </c>
      <c r="AH330" t="str">
        <f>IF(Transaction[[#This Row],[Quantity]]*Transaction[[#This Row],[UnitPrice_Clean]]=Transaction[[#This Row],[NetRevenue_Clean]],"Valid","Invalid")</f>
        <v>Valid</v>
      </c>
      <c r="AI330" t="s">
        <v>23</v>
      </c>
      <c r="AJ330" t="s">
        <v>1927</v>
      </c>
      <c r="AK330" t="str">
        <f>IF(Transaction[[#This Row],[Salesperson]]="","Missing Value",TRIM(PROPER(Transaction[[#This Row],[Salesperson]])))</f>
        <v>Brooks-Em</v>
      </c>
      <c r="AL330" t="s">
        <v>34</v>
      </c>
      <c r="AM330" t="str">
        <f>IF(Transaction[[#This Row],[ContractType]]="","Missing Value",Transaction[[#This Row],[ContractType]])</f>
        <v>Annual License</v>
      </c>
      <c r="AN330" t="s">
        <v>43</v>
      </c>
    </row>
    <row r="331" spans="1:40" x14ac:dyDescent="0.25">
      <c r="A331" t="s">
        <v>1034</v>
      </c>
      <c r="B331" s="1">
        <v>45692</v>
      </c>
      <c r="C33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33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33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31" s="2">
        <f>IFERROR(DATE(Transaction[[#This Row],[TransactionDateY]],Transaction[[#This Row],[TransactionDateM]],Transaction[[#This Row],[TransactionDateD]]),"Missing Value")</f>
        <v>45692</v>
      </c>
      <c r="G331" t="s">
        <v>195</v>
      </c>
      <c r="H331" t="str">
        <f>IFERROR(VLOOKUP(Transaction[[#This Row],[CustomerID]],Custumer[],1,0),IF(LEN(Transaction[[#This Row],[CustomerID]])=7,LEFT(Transaction[[#This Row],[CustomerID]],6),"Invalid ID"))</f>
        <v>C-1015</v>
      </c>
      <c r="I331" t="s">
        <v>46</v>
      </c>
      <c r="J331" t="str">
        <f>TRIM(UPPER(Transaction[[#This Row],[ProductID]]))</f>
        <v>P-SI-006</v>
      </c>
      <c r="K331" t="str">
        <f>IFERROR(VLOOKUP(Transaction[[#This Row],[ProductID_Clean]],Product[],1,FALSE),"Invalid ID")</f>
        <v>P-SI-006</v>
      </c>
      <c r="L331" t="str">
        <f>TRIM(SUBSTITUTE(SUBSTITUTE(SUBSTITUTE(SUBSTITUTE(UPPER(Transaction[[#This Row],[Region]]),"EMEA REGION","EMEA"),"APAC REGION","APAC"),"NORTH AMERICA","N. AMERICA"),"N .AMERICA","N.AMERICA"))</f>
        <v>N. AMERICA</v>
      </c>
      <c r="M331" t="s">
        <v>204</v>
      </c>
      <c r="N331" t="s">
        <v>53</v>
      </c>
      <c r="O33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31" t="s">
        <v>93</v>
      </c>
      <c r="Q331" t="str">
        <f>IF(TRIM(Transaction[[#This Row],[SalesChannel]])="","Missing Value",TRIM(Transaction[[#This Row],[SalesChannel]]))</f>
        <v>direct</v>
      </c>
      <c r="R331" s="4">
        <v>3</v>
      </c>
      <c r="S331" s="4" t="str">
        <f>IF(Transaction[[#This Row],[Quantity]]&lt;0,"Negative-review","Valid")</f>
        <v>Valid</v>
      </c>
      <c r="T331">
        <v>162.28</v>
      </c>
      <c r="U33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162.28</v>
      </c>
      <c r="V331">
        <v>215</v>
      </c>
      <c r="W331">
        <v>645</v>
      </c>
      <c r="X33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331">
        <f>IF(Transaction[[#This Row],[GrossRevenue_Check]]="Invalid",Transaction[[#This Row],[ListPrice]]*Transaction[[#This Row],[Quantity]],Transaction[[#This Row],[GrossRevenue_Clean]])</f>
        <v>645</v>
      </c>
      <c r="Z331" t="str">
        <f>IF(Transaction[[#This Row],[GrossRevenue_Clean]]=Transaction[[#This Row],[ListPrice]]*Transaction[[#This Row],[Quantity]],"Valid","Invalid")</f>
        <v>Valid</v>
      </c>
      <c r="AA331">
        <v>158.16</v>
      </c>
      <c r="AB33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158.16</v>
      </c>
      <c r="AC331">
        <f>IF(Transaction[[#This Row],[DiscountAmount_Check2]]="Invalid",Transaction[[#This Row],[GrossRevenue_Analytical]]-Transaction[[#This Row],[NetRevenue_Analytical]],Transaction[[#This Row],[DiscountAmount_Clean]])</f>
        <v>158.16</v>
      </c>
      <c r="AD331">
        <v>486.84</v>
      </c>
      <c r="AE331" t="str">
        <f>IF(ROUND(Transaction[[#This Row],[GrossRevenue_Analytical]]-Transaction[[#This Row],[NetRevenue_Analytical]],2)=ROUND(Transaction[[#This Row],[DiscountAmount_Clean]],2),"Valid","Invalid")</f>
        <v>Valid</v>
      </c>
      <c r="AF331">
        <f>VALUE(IF(ISNUMBER(Transaction[[#This Row],[NetRevenue]]),Transaction[[#This Row],[NetRevenue]],IFERROR(IF(FIND("$",Transaction[[#This Row],[NetRevenue]])&gt;0,MID(Transaction[[#This Row],[NetRevenue]],2,10)),Transaction[[#This Row],[NetRevenue]])))</f>
        <v>486.84</v>
      </c>
      <c r="AG331">
        <f>IF(Transaction[[#This Row],[NetRevenue_Check]]="Invalid",(Transaction[[#This Row],[Quantity]]*Transaction[[#This Row],[UnitPrice_Clean]]),Transaction[[#This Row],[NetRevenue_Clean]])</f>
        <v>486.84</v>
      </c>
      <c r="AH331" t="str">
        <f>IF(Transaction[[#This Row],[Quantity]]*Transaction[[#This Row],[UnitPrice_Clean]]=Transaction[[#This Row],[NetRevenue_Clean]],"Valid","Invalid")</f>
        <v>Valid</v>
      </c>
      <c r="AI331" t="s">
        <v>23</v>
      </c>
      <c r="AJ331" t="s">
        <v>1035</v>
      </c>
      <c r="AK331" t="str">
        <f>IF(Transaction[[#This Row],[Salesperson]]="","Missing Value",TRIM(PROPER(Transaction[[#This Row],[Salesperson]])))</f>
        <v>Burgess-Na</v>
      </c>
      <c r="AL331" t="s">
        <v>25</v>
      </c>
      <c r="AM331" t="str">
        <f>IF(Transaction[[#This Row],[ContractType]]="","Missing Value",Transaction[[#This Row],[ContractType]])</f>
        <v>Frame Agreement</v>
      </c>
      <c r="AN331" t="s">
        <v>26</v>
      </c>
    </row>
    <row r="332" spans="1:40" x14ac:dyDescent="0.25">
      <c r="A332" t="s">
        <v>1081</v>
      </c>
      <c r="B332" s="1">
        <v>45774</v>
      </c>
      <c r="C33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33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33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32" s="2">
        <f>IFERROR(DATE(Transaction[[#This Row],[TransactionDateY]],Transaction[[#This Row],[TransactionDateM]],Transaction[[#This Row],[TransactionDateD]]),"Missing Value")</f>
        <v>45774</v>
      </c>
      <c r="G332" t="s">
        <v>190</v>
      </c>
      <c r="H332" t="str">
        <f>IFERROR(VLOOKUP(Transaction[[#This Row],[CustomerID]],Custumer[],1,0),IF(LEN(Transaction[[#This Row],[CustomerID]])=7,LEFT(Transaction[[#This Row],[CustomerID]],6),"Invalid ID"))</f>
        <v>C-1082</v>
      </c>
      <c r="I332" t="s">
        <v>62</v>
      </c>
      <c r="J332" t="str">
        <f>TRIM(UPPER(Transaction[[#This Row],[ProductID]]))</f>
        <v>P-SI-004</v>
      </c>
      <c r="K332" t="str">
        <f>IFERROR(VLOOKUP(Transaction[[#This Row],[ProductID_Clean]],Product[],1,FALSE),"Invalid ID")</f>
        <v>P-SI-004</v>
      </c>
      <c r="L332" t="str">
        <f>TRIM(SUBSTITUTE(SUBSTITUTE(SUBSTITUTE(SUBSTITUTE(UPPER(Transaction[[#This Row],[Region]]),"EMEA REGION","EMEA"),"APAC REGION","APAC"),"NORTH AMERICA","N. AMERICA"),"N .AMERICA","N.AMERICA"))</f>
        <v>N. AMERICA</v>
      </c>
      <c r="M332" t="s">
        <v>495</v>
      </c>
      <c r="N332" t="s">
        <v>53</v>
      </c>
      <c r="O33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32" t="s">
        <v>181</v>
      </c>
      <c r="Q332" t="str">
        <f>IF(TRIM(Transaction[[#This Row],[SalesChannel]])="","Missing Value",TRIM(Transaction[[#This Row],[SalesChannel]]))</f>
        <v>Partner Portal</v>
      </c>
      <c r="R332" s="4">
        <v>10</v>
      </c>
      <c r="S332" s="4" t="str">
        <f>IF(Transaction[[#This Row],[Quantity]]&lt;0,"Negative-review","Valid")</f>
        <v>Valid</v>
      </c>
      <c r="T332">
        <v>2083.16</v>
      </c>
      <c r="U33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2083.16</v>
      </c>
      <c r="V332">
        <v>2450</v>
      </c>
      <c r="W332">
        <v>24500</v>
      </c>
      <c r="X33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24500</v>
      </c>
      <c r="Y332">
        <f>IF(Transaction[[#This Row],[GrossRevenue_Check]]="Invalid",Transaction[[#This Row],[ListPrice]]*Transaction[[#This Row],[Quantity]],Transaction[[#This Row],[GrossRevenue_Clean]])</f>
        <v>24500</v>
      </c>
      <c r="Z332" t="str">
        <f>IF(Transaction[[#This Row],[GrossRevenue_Clean]]=Transaction[[#This Row],[ListPrice]]*Transaction[[#This Row],[Quantity]],"Valid","Invalid")</f>
        <v>Valid</v>
      </c>
      <c r="AA332">
        <v>3668.4</v>
      </c>
      <c r="AB33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3668.4</v>
      </c>
      <c r="AC332">
        <f>IF(Transaction[[#This Row],[DiscountAmount_Check2]]="Invalid",Transaction[[#This Row],[GrossRevenue_Analytical]]-Transaction[[#This Row],[NetRevenue_Analytical]],Transaction[[#This Row],[DiscountAmount_Clean]])</f>
        <v>3668.4</v>
      </c>
      <c r="AD332">
        <v>20831.599999999999</v>
      </c>
      <c r="AE332" t="str">
        <f>IF(ROUND(Transaction[[#This Row],[GrossRevenue_Analytical]]-Transaction[[#This Row],[NetRevenue_Analytical]],2)=ROUND(Transaction[[#This Row],[DiscountAmount_Clean]],2),"Valid","Invalid")</f>
        <v>Valid</v>
      </c>
      <c r="AF33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20831.599999999999</v>
      </c>
      <c r="AG332">
        <f>IF(Transaction[[#This Row],[NetRevenue_Check]]="Invalid",(Transaction[[#This Row],[Quantity]]*Transaction[[#This Row],[UnitPrice_Clean]]),Transaction[[#This Row],[NetRevenue_Clean]])</f>
        <v>20831.599999999999</v>
      </c>
      <c r="AH332" t="str">
        <f>IF(Transaction[[#This Row],[Quantity]]*Transaction[[#This Row],[UnitPrice_Clean]]=Transaction[[#This Row],[NetRevenue_Clean]],"Valid","Invalid")</f>
        <v>Valid</v>
      </c>
      <c r="AI332" t="s">
        <v>23</v>
      </c>
      <c r="AJ332" t="s">
        <v>1082</v>
      </c>
      <c r="AK332" t="str">
        <f>IF(Transaction[[#This Row],[Salesperson]]="","Missing Value",TRIM(PROPER(Transaction[[#This Row],[Salesperson]])))</f>
        <v>Kelly-Ap</v>
      </c>
      <c r="AL332" t="s">
        <v>42</v>
      </c>
      <c r="AM332" t="str">
        <f>IF(Transaction[[#This Row],[ContractType]]="","Missing Value",Transaction[[#This Row],[ContractType]])</f>
        <v>Standard PO</v>
      </c>
      <c r="AN332" t="s">
        <v>65</v>
      </c>
    </row>
    <row r="333" spans="1:40" x14ac:dyDescent="0.25">
      <c r="A333" t="s">
        <v>1792</v>
      </c>
      <c r="B333" s="1">
        <v>45836</v>
      </c>
      <c r="C33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33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33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33" s="2">
        <f>IFERROR(DATE(Transaction[[#This Row],[TransactionDateY]],Transaction[[#This Row],[TransactionDateM]],Transaction[[#This Row],[TransactionDateD]]),"Missing Value")</f>
        <v>45836</v>
      </c>
      <c r="G333" t="s">
        <v>541</v>
      </c>
      <c r="H333" t="str">
        <f>IFERROR(VLOOKUP(Transaction[[#This Row],[CustomerID]],Custumer[],1,0),IF(LEN(Transaction[[#This Row],[CustomerID]])=7,LEFT(Transaction[[#This Row],[CustomerID]],6),"Invalid ID"))</f>
        <v>C-1075</v>
      </c>
      <c r="I333" t="s">
        <v>52</v>
      </c>
      <c r="J333" t="str">
        <f>TRIM(UPPER(Transaction[[#This Row],[ProductID]]))</f>
        <v>P-SI-002</v>
      </c>
      <c r="K333" t="str">
        <f>IFERROR(VLOOKUP(Transaction[[#This Row],[ProductID_Clean]],Product[],1,FALSE),"Invalid ID")</f>
        <v>P-SI-002</v>
      </c>
      <c r="L333" t="str">
        <f>TRIM(SUBSTITUTE(SUBSTITUTE(SUBSTITUTE(SUBSTITUTE(UPPER(Transaction[[#This Row],[Region]]),"EMEA REGION","EMEA"),"APAC REGION","APAC"),"NORTH AMERICA","N. AMERICA"),"N .AMERICA","N.AMERICA"))</f>
        <v>N. AMERICA</v>
      </c>
      <c r="M333" t="s">
        <v>20</v>
      </c>
      <c r="N333" t="s">
        <v>53</v>
      </c>
      <c r="O33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33" t="s">
        <v>40</v>
      </c>
      <c r="Q333" t="str">
        <f>IF(TRIM(Transaction[[#This Row],[SalesChannel]])="","Missing Value",TRIM(Transaction[[#This Row],[SalesChannel]]))</f>
        <v>Distributor</v>
      </c>
      <c r="R333" s="4">
        <v>4</v>
      </c>
      <c r="S333" s="4" t="str">
        <f>IF(Transaction[[#This Row],[Quantity]]&lt;0,"Negative-review","Valid")</f>
        <v>Valid</v>
      </c>
      <c r="T333">
        <v>487.34</v>
      </c>
      <c r="U33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487.34</v>
      </c>
      <c r="V333">
        <v>725</v>
      </c>
      <c r="W333">
        <v>2900</v>
      </c>
      <c r="X33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2900</v>
      </c>
      <c r="Y333">
        <f>IF(Transaction[[#This Row],[GrossRevenue_Check]]="Invalid",Transaction[[#This Row],[ListPrice]]*Transaction[[#This Row],[Quantity]],Transaction[[#This Row],[GrossRevenue_Clean]])</f>
        <v>2900</v>
      </c>
      <c r="Z333" t="str">
        <f>IF(Transaction[[#This Row],[GrossRevenue_Clean]]=Transaction[[#This Row],[ListPrice]]*Transaction[[#This Row],[Quantity]],"Valid","Invalid")</f>
        <v>Valid</v>
      </c>
      <c r="AA333">
        <v>950.64</v>
      </c>
      <c r="AB33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950.64</v>
      </c>
      <c r="AC333">
        <f>IF(Transaction[[#This Row],[DiscountAmount_Check2]]="Invalid",Transaction[[#This Row],[GrossRevenue_Analytical]]-Transaction[[#This Row],[NetRevenue_Analytical]],Transaction[[#This Row],[DiscountAmount_Clean]])</f>
        <v>950.64</v>
      </c>
      <c r="AD333">
        <v>1949.36</v>
      </c>
      <c r="AE333" t="str">
        <f>IF(ROUND(Transaction[[#This Row],[GrossRevenue_Analytical]]-Transaction[[#This Row],[NetRevenue_Analytical]],2)=ROUND(Transaction[[#This Row],[DiscountAmount_Clean]],2),"Valid","Invalid")</f>
        <v>Valid</v>
      </c>
      <c r="AF33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1949.36</v>
      </c>
      <c r="AG333">
        <f>IF(Transaction[[#This Row],[NetRevenue_Check]]="Invalid",(Transaction[[#This Row],[Quantity]]*Transaction[[#This Row],[UnitPrice_Clean]]),Transaction[[#This Row],[NetRevenue_Clean]])</f>
        <v>1949.36</v>
      </c>
      <c r="AH333" t="str">
        <f>IF(Transaction[[#This Row],[Quantity]]*Transaction[[#This Row],[UnitPrice_Clean]]=Transaction[[#This Row],[NetRevenue_Clean]],"Valid","Invalid")</f>
        <v>Valid</v>
      </c>
      <c r="AI333" t="s">
        <v>23</v>
      </c>
      <c r="AJ333" t="s">
        <v>844</v>
      </c>
      <c r="AK333" t="str">
        <f>IF(Transaction[[#This Row],[Salesperson]]="","Missing Value",TRIM(PROPER(Transaction[[#This Row],[Salesperson]])))</f>
        <v>Jones-Na</v>
      </c>
      <c r="AL333" t="s">
        <v>42</v>
      </c>
      <c r="AM333" t="str">
        <f>IF(Transaction[[#This Row],[ContractType]]="","Missing Value",Transaction[[#This Row],[ContractType]])</f>
        <v>Standard PO</v>
      </c>
      <c r="AN333" t="s">
        <v>49</v>
      </c>
    </row>
    <row r="334" spans="1:40" x14ac:dyDescent="0.25">
      <c r="A334" t="s">
        <v>3076</v>
      </c>
      <c r="B334" s="1">
        <v>45808</v>
      </c>
      <c r="C33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33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31</v>
      </c>
      <c r="E33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34" s="2">
        <f>IFERROR(DATE(Transaction[[#This Row],[TransactionDateY]],Transaction[[#This Row],[TransactionDateM]],Transaction[[#This Row],[TransactionDateD]]),"Missing Value")</f>
        <v>45808</v>
      </c>
      <c r="G334" t="s">
        <v>135</v>
      </c>
      <c r="H334" t="str">
        <f>IFERROR(VLOOKUP(Transaction[[#This Row],[CustomerID]],Custumer[],1,0),IF(LEN(Transaction[[#This Row],[CustomerID]])=7,LEFT(Transaction[[#This Row],[CustomerID]],6),"Invalid ID"))</f>
        <v>C-1112</v>
      </c>
      <c r="I334" t="s">
        <v>19</v>
      </c>
      <c r="J334" t="str">
        <f>TRIM(UPPER(Transaction[[#This Row],[ProductID]]))</f>
        <v>P-FS-004</v>
      </c>
      <c r="K334" t="str">
        <f>IFERROR(VLOOKUP(Transaction[[#This Row],[ProductID_Clean]],Product[],1,FALSE),"Invalid ID")</f>
        <v>P-FS-004</v>
      </c>
      <c r="L334" t="str">
        <f>TRIM(SUBSTITUTE(SUBSTITUTE(SUBSTITUTE(SUBSTITUTE(UPPER(Transaction[[#This Row],[Region]]),"EMEA REGION","EMEA"),"APAC REGION","APAC"),"NORTH AMERICA","N. AMERICA"),"N .AMERICA","N.AMERICA"))</f>
        <v>N. AMERICA</v>
      </c>
      <c r="M334" t="s">
        <v>20</v>
      </c>
      <c r="N334" t="s">
        <v>21</v>
      </c>
      <c r="O33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334" t="s">
        <v>22</v>
      </c>
      <c r="Q334" t="str">
        <f>IF(TRIM(Transaction[[#This Row],[SalesChannel]])="","Missing Value",TRIM(Transaction[[#This Row],[SalesChannel]]))</f>
        <v>Direct</v>
      </c>
      <c r="R334" s="4">
        <v>1</v>
      </c>
      <c r="S334" s="4" t="str">
        <f>IF(Transaction[[#This Row],[Quantity]]&lt;0,"Negative-review","Valid")</f>
        <v>Valid</v>
      </c>
      <c r="T334">
        <v>2915.49</v>
      </c>
      <c r="U33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2915.49</v>
      </c>
      <c r="V334">
        <v>3200</v>
      </c>
      <c r="W334">
        <v>3200</v>
      </c>
      <c r="X33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334">
        <f>IF(Transaction[[#This Row],[GrossRevenue_Check]]="Invalid",Transaction[[#This Row],[ListPrice]]*Transaction[[#This Row],[Quantity]],Transaction[[#This Row],[GrossRevenue_Clean]])</f>
        <v>3200</v>
      </c>
      <c r="Z334" t="str">
        <f>IF(Transaction[[#This Row],[GrossRevenue_Clean]]=Transaction[[#This Row],[ListPrice]]*Transaction[[#This Row],[Quantity]],"Valid","Invalid")</f>
        <v>Valid</v>
      </c>
      <c r="AA334">
        <v>284.51</v>
      </c>
      <c r="AB33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284.51</v>
      </c>
      <c r="AC334">
        <f>IF(Transaction[[#This Row],[DiscountAmount_Check2]]="Invalid",Transaction[[#This Row],[GrossRevenue_Analytical]]-Transaction[[#This Row],[NetRevenue_Analytical]],Transaction[[#This Row],[DiscountAmount_Clean]])</f>
        <v>284.51</v>
      </c>
      <c r="AD334">
        <v>2915.49</v>
      </c>
      <c r="AE334" t="str">
        <f>IF(ROUND(Transaction[[#This Row],[GrossRevenue_Analytical]]-Transaction[[#This Row],[NetRevenue_Analytical]],2)=ROUND(Transaction[[#This Row],[DiscountAmount_Clean]],2),"Valid","Invalid")</f>
        <v>Valid</v>
      </c>
      <c r="AF33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2915.49</v>
      </c>
      <c r="AG334">
        <f>IF(Transaction[[#This Row],[NetRevenue_Check]]="Invalid",(Transaction[[#This Row],[Quantity]]*Transaction[[#This Row],[UnitPrice_Clean]]),Transaction[[#This Row],[NetRevenue_Clean]])</f>
        <v>2915.49</v>
      </c>
      <c r="AH334" t="str">
        <f>IF(Transaction[[#This Row],[Quantity]]*Transaction[[#This Row],[UnitPrice_Clean]]=Transaction[[#This Row],[NetRevenue_Clean]],"Valid","Invalid")</f>
        <v>Valid</v>
      </c>
      <c r="AI334" t="s">
        <v>23</v>
      </c>
      <c r="AJ334" t="s">
        <v>1923</v>
      </c>
      <c r="AK334" t="str">
        <f>IF(Transaction[[#This Row],[Salesperson]]="","Missing Value",TRIM(PROPER(Transaction[[#This Row],[Salesperson]])))</f>
        <v>Allen</v>
      </c>
      <c r="AL334" t="s">
        <v>42</v>
      </c>
      <c r="AM334" t="str">
        <f>IF(Transaction[[#This Row],[ContractType]]="","Missing Value",Transaction[[#This Row],[ContractType]])</f>
        <v>Standard PO</v>
      </c>
      <c r="AN334" t="s">
        <v>43</v>
      </c>
    </row>
    <row r="335" spans="1:40" x14ac:dyDescent="0.25">
      <c r="A335" t="s">
        <v>855</v>
      </c>
      <c r="B335" t="s">
        <v>856</v>
      </c>
      <c r="C33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33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33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35" s="2">
        <f>IFERROR(DATE(Transaction[[#This Row],[TransactionDateY]],Transaction[[#This Row],[TransactionDateM]],Transaction[[#This Row],[TransactionDateD]]),"Missing Value")</f>
        <v>45764</v>
      </c>
      <c r="G335" t="s">
        <v>91</v>
      </c>
      <c r="H335" t="str">
        <f>IFERROR(VLOOKUP(Transaction[[#This Row],[CustomerID]],Custumer[],1,0),IF(LEN(Transaction[[#This Row],[CustomerID]])=7,LEFT(Transaction[[#This Row],[CustomerID]],6),"Invalid ID"))</f>
        <v>C-1147</v>
      </c>
      <c r="I335" t="s">
        <v>29</v>
      </c>
      <c r="J335" t="str">
        <f>TRIM(UPPER(Transaction[[#This Row],[ProductID]]))</f>
        <v>P-SA-001</v>
      </c>
      <c r="K335" t="str">
        <f>IFERROR(VLOOKUP(Transaction[[#This Row],[ProductID_Clean]],Product[],1,FALSE),"Invalid ID")</f>
        <v>P-SA-001</v>
      </c>
      <c r="L335" t="str">
        <f>TRIM(SUBSTITUTE(SUBSTITUTE(SUBSTITUTE(SUBSTITUTE(UPPER(Transaction[[#This Row],[Region]]),"EMEA REGION","EMEA"),"APAC REGION","APAC"),"NORTH AMERICA","N. AMERICA"),"N .AMERICA","N.AMERICA"))</f>
        <v>APAC</v>
      </c>
      <c r="M335" t="s">
        <v>30</v>
      </c>
      <c r="N335" t="s">
        <v>857</v>
      </c>
      <c r="O33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335" t="s">
        <v>22</v>
      </c>
      <c r="Q335" t="str">
        <f>IF(TRIM(Transaction[[#This Row],[SalesChannel]])="","Missing Value",TRIM(Transaction[[#This Row],[SalesChannel]]))</f>
        <v>Direct</v>
      </c>
      <c r="R335" s="4">
        <v>1</v>
      </c>
      <c r="S335" s="4" t="str">
        <f>IF(Transaction[[#This Row],[Quantity]]&lt;0,"Negative-review","Valid")</f>
        <v>Valid</v>
      </c>
      <c r="T335">
        <v>3927.09</v>
      </c>
      <c r="U33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3927.09</v>
      </c>
      <c r="V335">
        <v>4200</v>
      </c>
      <c r="W335">
        <v>4200</v>
      </c>
      <c r="X33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335">
        <f>IF(Transaction[[#This Row],[GrossRevenue_Check]]="Invalid",Transaction[[#This Row],[ListPrice]]*Transaction[[#This Row],[Quantity]],Transaction[[#This Row],[GrossRevenue_Clean]])</f>
        <v>4200</v>
      </c>
      <c r="Z335" t="str">
        <f>IF(Transaction[[#This Row],[GrossRevenue_Clean]]=Transaction[[#This Row],[ListPrice]]*Transaction[[#This Row],[Quantity]],"Valid","Invalid")</f>
        <v>Valid</v>
      </c>
      <c r="AA335">
        <v>272.91000000000003</v>
      </c>
      <c r="AB33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272.91000000000003</v>
      </c>
      <c r="AC335">
        <f>IF(Transaction[[#This Row],[DiscountAmount_Check2]]="Invalid",Transaction[[#This Row],[GrossRevenue_Analytical]]-Transaction[[#This Row],[NetRevenue_Analytical]],Transaction[[#This Row],[DiscountAmount_Clean]])</f>
        <v>272.91000000000003</v>
      </c>
      <c r="AD335">
        <v>3927.09</v>
      </c>
      <c r="AE335" t="str">
        <f>IF(ROUND(Transaction[[#This Row],[GrossRevenue_Analytical]]-Transaction[[#This Row],[NetRevenue_Analytical]],2)=ROUND(Transaction[[#This Row],[DiscountAmount_Clean]],2),"Valid","Invalid")</f>
        <v>Valid</v>
      </c>
      <c r="AF33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3927.09</v>
      </c>
      <c r="AG335">
        <f>IF(Transaction[[#This Row],[NetRevenue_Check]]="Invalid",(Transaction[[#This Row],[Quantity]]*Transaction[[#This Row],[UnitPrice_Clean]]),Transaction[[#This Row],[NetRevenue_Clean]])</f>
        <v>3927.09</v>
      </c>
      <c r="AH335" t="str">
        <f>IF(Transaction[[#This Row],[Quantity]]*Transaction[[#This Row],[UnitPrice_Clean]]=Transaction[[#This Row],[NetRevenue_Clean]],"Valid","Invalid")</f>
        <v>Valid</v>
      </c>
      <c r="AI335" t="s">
        <v>23</v>
      </c>
      <c r="AJ335" t="s">
        <v>858</v>
      </c>
      <c r="AK335" t="str">
        <f>IF(Transaction[[#This Row],[Salesperson]]="","Missing Value",TRIM(PROPER(Transaction[[#This Row],[Salesperson]])))</f>
        <v>Sandoval-Ap</v>
      </c>
      <c r="AL335" t="s">
        <v>210</v>
      </c>
      <c r="AM335" t="str">
        <f>IF(Transaction[[#This Row],[ContractType]]="","Missing Value",Transaction[[#This Row],[ContractType]])</f>
        <v>Perpetual</v>
      </c>
      <c r="AN335" t="s">
        <v>49</v>
      </c>
    </row>
    <row r="336" spans="1:40" x14ac:dyDescent="0.25">
      <c r="A336" t="s">
        <v>1118</v>
      </c>
      <c r="B336" t="s">
        <v>1119</v>
      </c>
      <c r="C33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33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33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36" s="2">
        <f>IFERROR(DATE(Transaction[[#This Row],[TransactionDateY]],Transaction[[#This Row],[TransactionDateM]],Transaction[[#This Row],[TransactionDateD]]),"Missing Value")</f>
        <v>45683</v>
      </c>
      <c r="G336" t="s">
        <v>1015</v>
      </c>
      <c r="H336" t="str">
        <f>IFERROR(VLOOKUP(Transaction[[#This Row],[CustomerID]],Custumer[],1,0),IF(LEN(Transaction[[#This Row],[CustomerID]])=7,LEFT(Transaction[[#This Row],[CustomerID]],6),"Invalid ID"))</f>
        <v>C-1012</v>
      </c>
      <c r="I336" t="s">
        <v>46</v>
      </c>
      <c r="J336" t="str">
        <f>TRIM(UPPER(Transaction[[#This Row],[ProductID]]))</f>
        <v>P-SI-006</v>
      </c>
      <c r="K336" t="str">
        <f>IFERROR(VLOOKUP(Transaction[[#This Row],[ProductID_Clean]],Product[],1,FALSE),"Invalid ID")</f>
        <v>P-SI-006</v>
      </c>
      <c r="L336" t="str">
        <f>TRIM(SUBSTITUTE(SUBSTITUTE(SUBSTITUTE(SUBSTITUTE(UPPER(Transaction[[#This Row],[Region]]),"EMEA REGION","EMEA"),"APAC REGION","APAC"),"NORTH AMERICA","N. AMERICA"),"N .AMERICA","N.AMERICA"))</f>
        <v>N. AMERICA</v>
      </c>
      <c r="M336" t="s">
        <v>20</v>
      </c>
      <c r="N336" t="s">
        <v>53</v>
      </c>
      <c r="O33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36" t="s">
        <v>173</v>
      </c>
      <c r="Q336" t="str">
        <f>IF(TRIM(Transaction[[#This Row],[SalesChannel]])="","Missing Value",TRIM(Transaction[[#This Row],[SalesChannel]]))</f>
        <v>Distributor</v>
      </c>
      <c r="R336" s="4">
        <v>1</v>
      </c>
      <c r="S336" s="4" t="str">
        <f>IF(Transaction[[#This Row],[Quantity]]&lt;0,"Negative-review","Valid")</f>
        <v>Valid</v>
      </c>
      <c r="T336">
        <v>174.39</v>
      </c>
      <c r="U33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174.39</v>
      </c>
      <c r="V336">
        <v>215</v>
      </c>
      <c r="W336">
        <v>215</v>
      </c>
      <c r="X33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336">
        <f>IF(Transaction[[#This Row],[GrossRevenue_Check]]="Invalid",Transaction[[#This Row],[ListPrice]]*Transaction[[#This Row],[Quantity]],Transaction[[#This Row],[GrossRevenue_Clean]])</f>
        <v>215</v>
      </c>
      <c r="Z336" t="str">
        <f>IF(Transaction[[#This Row],[GrossRevenue_Clean]]=Transaction[[#This Row],[ListPrice]]*Transaction[[#This Row],[Quantity]],"Valid","Invalid")</f>
        <v>Valid</v>
      </c>
      <c r="AA336" t="s">
        <v>1120</v>
      </c>
      <c r="AB33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40.61</v>
      </c>
      <c r="AC336">
        <f>IF(Transaction[[#This Row],[DiscountAmount_Check2]]="Invalid",Transaction[[#This Row],[GrossRevenue_Analytical]]-Transaction[[#This Row],[NetRevenue_Analytical]],Transaction[[#This Row],[DiscountAmount_Clean]])</f>
        <v>40.61</v>
      </c>
      <c r="AD336">
        <v>174.39</v>
      </c>
      <c r="AE336" t="str">
        <f>IF(ROUND(Transaction[[#This Row],[GrossRevenue_Analytical]]-Transaction[[#This Row],[NetRevenue_Analytical]],2)=ROUND(Transaction[[#This Row],[DiscountAmount_Clean]],2),"Valid","Invalid")</f>
        <v>Valid</v>
      </c>
      <c r="AF33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174.39</v>
      </c>
      <c r="AG336">
        <f>IF(Transaction[[#This Row],[NetRevenue_Check]]="Invalid",(Transaction[[#This Row],[Quantity]]*Transaction[[#This Row],[UnitPrice_Clean]]),Transaction[[#This Row],[NetRevenue_Clean]])</f>
        <v>174.39</v>
      </c>
      <c r="AH336" t="str">
        <f>IF(Transaction[[#This Row],[Quantity]]*Transaction[[#This Row],[UnitPrice_Clean]]=Transaction[[#This Row],[NetRevenue_Clean]],"Valid","Invalid")</f>
        <v>Valid</v>
      </c>
      <c r="AI336" t="s">
        <v>23</v>
      </c>
      <c r="AJ336" t="s">
        <v>24</v>
      </c>
      <c r="AK336" t="str">
        <f>IF(Transaction[[#This Row],[Salesperson]]="","Missing Value",TRIM(PROPER(Transaction[[#This Row],[Salesperson]])))</f>
        <v>Garcia-Em</v>
      </c>
      <c r="AL336" t="s">
        <v>55</v>
      </c>
      <c r="AM336" t="str">
        <f>IF(Transaction[[#This Row],[ContractType]]="","Missing Value",Transaction[[#This Row],[ContractType]])</f>
        <v>Spot</v>
      </c>
      <c r="AN336" t="s">
        <v>65</v>
      </c>
    </row>
    <row r="337" spans="1:40" x14ac:dyDescent="0.25">
      <c r="A337" t="s">
        <v>1050</v>
      </c>
      <c r="B337" s="1">
        <v>45762</v>
      </c>
      <c r="C33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33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33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37" s="2">
        <f>IFERROR(DATE(Transaction[[#This Row],[TransactionDateY]],Transaction[[#This Row],[TransactionDateM]],Transaction[[#This Row],[TransactionDateD]]),"Missing Value")</f>
        <v>45762</v>
      </c>
      <c r="G337" t="s">
        <v>250</v>
      </c>
      <c r="H337" t="str">
        <f>IFERROR(VLOOKUP(Transaction[[#This Row],[CustomerID]],Custumer[],1,0),IF(LEN(Transaction[[#This Row],[CustomerID]])=7,LEFT(Transaction[[#This Row],[CustomerID]],6),"Invalid ID"))</f>
        <v>C-1043</v>
      </c>
      <c r="I337" t="s">
        <v>1051</v>
      </c>
      <c r="J337" t="str">
        <f>TRIM(UPPER(Transaction[[#This Row],[ProductID]]))</f>
        <v>P-SI-007</v>
      </c>
      <c r="K337" t="str">
        <f>IFERROR(VLOOKUP(Transaction[[#This Row],[ProductID_Clean]],Product[],1,FALSE),"Invalid ID")</f>
        <v>P-SI-007</v>
      </c>
      <c r="L337" t="str">
        <f>TRIM(SUBSTITUTE(SUBSTITUTE(SUBSTITUTE(SUBSTITUTE(UPPER(Transaction[[#This Row],[Region]]),"EMEA REGION","EMEA"),"APAC REGION","APAC"),"NORTH AMERICA","N. AMERICA"),"N .AMERICA","N.AMERICA"))</f>
        <v>EMEA</v>
      </c>
      <c r="M337" t="s">
        <v>76</v>
      </c>
      <c r="N337" t="s">
        <v>47</v>
      </c>
      <c r="O33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37" t="s">
        <v>22</v>
      </c>
      <c r="Q337" t="str">
        <f>IF(TRIM(Transaction[[#This Row],[SalesChannel]])="","Missing Value",TRIM(Transaction[[#This Row],[SalesChannel]]))</f>
        <v>Direct</v>
      </c>
      <c r="R337" s="4">
        <v>5</v>
      </c>
      <c r="S337" s="4" t="str">
        <f>IF(Transaction[[#This Row],[Quantity]]&lt;0,"Negative-review","Valid")</f>
        <v>Valid</v>
      </c>
      <c r="T337">
        <v>918.86</v>
      </c>
      <c r="U33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918.86</v>
      </c>
      <c r="V337">
        <v>980</v>
      </c>
      <c r="W337">
        <v>4900</v>
      </c>
      <c r="X33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</v>
      </c>
      <c r="Y337">
        <f>IF(Transaction[[#This Row],[GrossRevenue_Check]]="Invalid",Transaction[[#This Row],[ListPrice]]*Transaction[[#This Row],[Quantity]],Transaction[[#This Row],[GrossRevenue_Clean]])</f>
        <v>4900</v>
      </c>
      <c r="Z337" t="str">
        <f>IF(Transaction[[#This Row],[GrossRevenue_Clean]]=Transaction[[#This Row],[ListPrice]]*Transaction[[#This Row],[Quantity]],"Valid","Invalid")</f>
        <v>Valid</v>
      </c>
      <c r="AA337">
        <v>305.7</v>
      </c>
      <c r="AB33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305.7</v>
      </c>
      <c r="AC337">
        <f>IF(Transaction[[#This Row],[DiscountAmount_Check2]]="Invalid",Transaction[[#This Row],[GrossRevenue_Analytical]]-Transaction[[#This Row],[NetRevenue_Analytical]],Transaction[[#This Row],[DiscountAmount_Clean]])</f>
        <v>305.7</v>
      </c>
      <c r="AD337">
        <v>4594.3</v>
      </c>
      <c r="AE337" t="str">
        <f>IF(ROUND(Transaction[[#This Row],[GrossRevenue_Analytical]]-Transaction[[#This Row],[NetRevenue_Analytical]],2)=ROUND(Transaction[[#This Row],[DiscountAmount_Clean]],2),"Valid","Invalid")</f>
        <v>Valid</v>
      </c>
      <c r="AF337">
        <f>VALUE(IF(ISNUMBER(Transaction[[#This Row],[NetRevenue]]),Transaction[[#This Row],[NetRevenue]],IFERROR(IF(FIND("$",Transaction[[#This Row],[NetRevenue]])&gt;0,MID(Transaction[[#This Row],[NetRevenue]],2,10)),Transaction[[#This Row],[NetRevenue]])))</f>
        <v>4594.3</v>
      </c>
      <c r="AG337">
        <f>IF(Transaction[[#This Row],[NetRevenue_Check]]="Invalid",(Transaction[[#This Row],[Quantity]]*Transaction[[#This Row],[UnitPrice_Clean]]),Transaction[[#This Row],[NetRevenue_Clean]])</f>
        <v>4594.3</v>
      </c>
      <c r="AH337" t="str">
        <f>IF(Transaction[[#This Row],[Quantity]]*Transaction[[#This Row],[UnitPrice_Clean]]=Transaction[[#This Row],[NetRevenue_Clean]],"Valid","Invalid")</f>
        <v>Valid</v>
      </c>
      <c r="AI337" t="s">
        <v>99</v>
      </c>
      <c r="AJ337" t="s">
        <v>1052</v>
      </c>
      <c r="AK337" t="str">
        <f>IF(Transaction[[#This Row],[Salesperson]]="","Missing Value",TRIM(PROPER(Transaction[[#This Row],[Salesperson]])))</f>
        <v>Perkins</v>
      </c>
      <c r="AL337" t="s">
        <v>55</v>
      </c>
      <c r="AM337" t="str">
        <f>IF(Transaction[[#This Row],[ContractType]]="","Missing Value",Transaction[[#This Row],[ContractType]])</f>
        <v>Spot</v>
      </c>
      <c r="AN337" t="s">
        <v>35</v>
      </c>
    </row>
    <row r="338" spans="1:40" x14ac:dyDescent="0.25">
      <c r="A338" t="s">
        <v>1449</v>
      </c>
      <c r="B338" s="1">
        <v>45709</v>
      </c>
      <c r="C33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33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33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38" s="2">
        <f>IFERROR(DATE(Transaction[[#This Row],[TransactionDateY]],Transaction[[#This Row],[TransactionDateM]],Transaction[[#This Row],[TransactionDateD]]),"Missing Value")</f>
        <v>45709</v>
      </c>
      <c r="G338" t="s">
        <v>357</v>
      </c>
      <c r="H338" t="str">
        <f>IFERROR(VLOOKUP(Transaction[[#This Row],[CustomerID]],Custumer[],1,0),IF(LEN(Transaction[[#This Row],[CustomerID]])=7,LEFT(Transaction[[#This Row],[CustomerID]],6),"Invalid ID"))</f>
        <v>C-1078</v>
      </c>
      <c r="I338" t="s">
        <v>97</v>
      </c>
      <c r="J338" t="str">
        <f>TRIM(UPPER(Transaction[[#This Row],[ProductID]]))</f>
        <v>P-SI-001</v>
      </c>
      <c r="K338" t="str">
        <f>IFERROR(VLOOKUP(Transaction[[#This Row],[ProductID_Clean]],Product[],1,FALSE),"Invalid ID")</f>
        <v>P-SI-001</v>
      </c>
      <c r="L338" t="str">
        <f>TRIM(SUBSTITUTE(SUBSTITUTE(SUBSTITUTE(SUBSTITUTE(UPPER(Transaction[[#This Row],[Region]]),"EMEA REGION","EMEA"),"APAC REGION","APAC"),"NORTH AMERICA","N. AMERICA"),"N .AMERICA","N.AMERICA"))</f>
        <v>N. AMERICA</v>
      </c>
      <c r="M338" t="s">
        <v>20</v>
      </c>
      <c r="N338" t="s">
        <v>53</v>
      </c>
      <c r="O33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38" t="s">
        <v>22</v>
      </c>
      <c r="Q338" t="str">
        <f>IF(TRIM(Transaction[[#This Row],[SalesChannel]])="","Missing Value",TRIM(Transaction[[#This Row],[SalesChannel]]))</f>
        <v>Direct</v>
      </c>
      <c r="R338" s="4">
        <v>3</v>
      </c>
      <c r="S338" s="4" t="str">
        <f>IF(Transaction[[#This Row],[Quantity]]&lt;0,"Negative-review","Valid")</f>
        <v>Valid</v>
      </c>
      <c r="T338">
        <v>429.36</v>
      </c>
      <c r="U33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429.36</v>
      </c>
      <c r="V338">
        <v>485</v>
      </c>
      <c r="W338">
        <v>1455</v>
      </c>
      <c r="X33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338">
        <f>IF(Transaction[[#This Row],[GrossRevenue_Check]]="Invalid",Transaction[[#This Row],[ListPrice]]*Transaction[[#This Row],[Quantity]],Transaction[[#This Row],[GrossRevenue_Clean]])</f>
        <v>1455</v>
      </c>
      <c r="Z338" t="str">
        <f>IF(Transaction[[#This Row],[GrossRevenue_Clean]]=Transaction[[#This Row],[ListPrice]]*Transaction[[#This Row],[Quantity]],"Valid","Invalid")</f>
        <v>Valid</v>
      </c>
      <c r="AB33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338">
        <f>IF(Transaction[[#This Row],[DiscountAmount_Check2]]="Invalid",Transaction[[#This Row],[GrossRevenue_Analytical]]-Transaction[[#This Row],[NetRevenue_Analytical]],Transaction[[#This Row],[DiscountAmount_Clean]])</f>
        <v>166.92000000000007</v>
      </c>
      <c r="AD338">
        <v>1288.08</v>
      </c>
      <c r="AE338" t="str">
        <f>IF(ROUND(Transaction[[#This Row],[GrossRevenue_Analytical]]-Transaction[[#This Row],[NetRevenue_Analytical]],2)=ROUND(Transaction[[#This Row],[DiscountAmount_Clean]],2),"Valid","Invalid")</f>
        <v>Invalid</v>
      </c>
      <c r="AF33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1288.08</v>
      </c>
      <c r="AG338">
        <f>IF(Transaction[[#This Row],[NetRevenue_Check]]="Invalid",(Transaction[[#This Row],[Quantity]]*Transaction[[#This Row],[UnitPrice_Clean]]),Transaction[[#This Row],[NetRevenue_Clean]])</f>
        <v>1288.08</v>
      </c>
      <c r="AH338" t="str">
        <f>IF(Transaction[[#This Row],[Quantity]]*Transaction[[#This Row],[UnitPrice_Clean]]=Transaction[[#This Row],[NetRevenue_Clean]],"Valid","Invalid")</f>
        <v>Valid</v>
      </c>
      <c r="AI338" t="s">
        <v>23</v>
      </c>
      <c r="AJ338" t="s">
        <v>1450</v>
      </c>
      <c r="AK338" t="str">
        <f>IF(Transaction[[#This Row],[Salesperson]]="","Missing Value",TRIM(PROPER(Transaction[[#This Row],[Salesperson]])))</f>
        <v>Wheeler</v>
      </c>
      <c r="AL338" t="s">
        <v>42</v>
      </c>
      <c r="AM338" t="str">
        <f>IF(Transaction[[#This Row],[ContractType]]="","Missing Value",Transaction[[#This Row],[ContractType]])</f>
        <v>Standard PO</v>
      </c>
      <c r="AN338" t="s">
        <v>26</v>
      </c>
    </row>
    <row r="339" spans="1:40" x14ac:dyDescent="0.25">
      <c r="A339" t="s">
        <v>2231</v>
      </c>
      <c r="B339" s="1">
        <v>45781</v>
      </c>
      <c r="C33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33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33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39" s="2">
        <f>IFERROR(DATE(Transaction[[#This Row],[TransactionDateY]],Transaction[[#This Row],[TransactionDateM]],Transaction[[#This Row],[TransactionDateD]]),"Missing Value")</f>
        <v>45781</v>
      </c>
      <c r="G339" t="s">
        <v>2232</v>
      </c>
      <c r="H339" t="str">
        <f>IFERROR(VLOOKUP(Transaction[[#This Row],[CustomerID]],Custumer[],1,0),IF(LEN(Transaction[[#This Row],[CustomerID]])=7,LEFT(Transaction[[#This Row],[CustomerID]],6),"Invalid ID"))</f>
        <v>C-1149</v>
      </c>
      <c r="I339" t="s">
        <v>52</v>
      </c>
      <c r="J339" t="str">
        <f>TRIM(UPPER(Transaction[[#This Row],[ProductID]]))</f>
        <v>P-SI-002</v>
      </c>
      <c r="K339" t="str">
        <f>IFERROR(VLOOKUP(Transaction[[#This Row],[ProductID_Clean]],Product[],1,FALSE),"Invalid ID")</f>
        <v>P-SI-002</v>
      </c>
      <c r="L339" t="str">
        <f>TRIM(SUBSTITUTE(SUBSTITUTE(SUBSTITUTE(SUBSTITUTE(UPPER(Transaction[[#This Row],[Region]]),"EMEA REGION","EMEA"),"APAC REGION","APAC"),"NORTH AMERICA","N. AMERICA"),"N .AMERICA","N.AMERICA"))</f>
        <v>N. AMERICA</v>
      </c>
      <c r="M339" t="s">
        <v>20</v>
      </c>
      <c r="N339" t="s">
        <v>53</v>
      </c>
      <c r="O33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39" t="s">
        <v>40</v>
      </c>
      <c r="Q339" t="str">
        <f>IF(TRIM(Transaction[[#This Row],[SalesChannel]])="","Missing Value",TRIM(Transaction[[#This Row],[SalesChannel]]))</f>
        <v>Distributor</v>
      </c>
      <c r="R339" s="4">
        <v>8</v>
      </c>
      <c r="S339" s="4" t="str">
        <f>IF(Transaction[[#This Row],[Quantity]]&lt;0,"Negative-review","Valid")</f>
        <v>Valid</v>
      </c>
      <c r="T339">
        <v>595.79</v>
      </c>
      <c r="U33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595.79</v>
      </c>
      <c r="V339">
        <v>725</v>
      </c>
      <c r="W339">
        <v>5800</v>
      </c>
      <c r="X33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5800</v>
      </c>
      <c r="Y339">
        <f>IF(Transaction[[#This Row],[GrossRevenue_Check]]="Invalid",Transaction[[#This Row],[ListPrice]]*Transaction[[#This Row],[Quantity]],Transaction[[#This Row],[GrossRevenue_Clean]])</f>
        <v>5800</v>
      </c>
      <c r="Z339" t="str">
        <f>IF(Transaction[[#This Row],[GrossRevenue_Clean]]=Transaction[[#This Row],[ListPrice]]*Transaction[[#This Row],[Quantity]],"Valid","Invalid")</f>
        <v>Valid</v>
      </c>
      <c r="AA339">
        <v>1033.68</v>
      </c>
      <c r="AB33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1033.68</v>
      </c>
      <c r="AC339">
        <f>IF(Transaction[[#This Row],[DiscountAmount_Check2]]="Invalid",Transaction[[#This Row],[GrossRevenue_Analytical]]-Transaction[[#This Row],[NetRevenue_Analytical]],Transaction[[#This Row],[DiscountAmount_Clean]])</f>
        <v>1033.68</v>
      </c>
      <c r="AD339">
        <v>4766.32</v>
      </c>
      <c r="AE339" t="str">
        <f>IF(ROUND(Transaction[[#This Row],[GrossRevenue_Analytical]]-Transaction[[#This Row],[NetRevenue_Analytical]],2)=ROUND(Transaction[[#This Row],[DiscountAmount_Clean]],2),"Valid","Invalid")</f>
        <v>Valid</v>
      </c>
      <c r="AF339">
        <f>VALUE(IF(ISNUMBER(Transaction[[#This Row],[NetRevenue]]),Transaction[[#This Row],[NetRevenue]],IFERROR(IF(FIND("$",Transaction[[#This Row],[NetRevenue]])&gt;0,MID(Transaction[[#This Row],[NetRevenue]],2,10)),Transaction[[#This Row],[NetRevenue]])))</f>
        <v>4766.32</v>
      </c>
      <c r="AG339">
        <f>IF(Transaction[[#This Row],[NetRevenue_Check]]="Invalid",(Transaction[[#This Row],[Quantity]]*Transaction[[#This Row],[UnitPrice_Clean]]),Transaction[[#This Row],[NetRevenue_Clean]])</f>
        <v>4766.32</v>
      </c>
      <c r="AH339" t="str">
        <f>IF(Transaction[[#This Row],[Quantity]]*Transaction[[#This Row],[UnitPrice_Clean]]=Transaction[[#This Row],[NetRevenue_Clean]],"Valid","Invalid")</f>
        <v>Valid</v>
      </c>
      <c r="AI339" t="s">
        <v>23</v>
      </c>
      <c r="AJ339" t="s">
        <v>430</v>
      </c>
      <c r="AK339" t="str">
        <f>IF(Transaction[[#This Row],[Salesperson]]="","Missing Value",TRIM(PROPER(Transaction[[#This Row],[Salesperson]])))</f>
        <v>Anderson</v>
      </c>
      <c r="AL339" t="s">
        <v>55</v>
      </c>
      <c r="AM339" t="str">
        <f>IF(Transaction[[#This Row],[ContractType]]="","Missing Value",Transaction[[#This Row],[ContractType]])</f>
        <v>Spot</v>
      </c>
      <c r="AN339" t="s">
        <v>43</v>
      </c>
    </row>
    <row r="340" spans="1:40" x14ac:dyDescent="0.25">
      <c r="A340" t="s">
        <v>1464</v>
      </c>
      <c r="B340" s="1">
        <v>45771</v>
      </c>
      <c r="C34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34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34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40" s="2">
        <f>IFERROR(DATE(Transaction[[#This Row],[TransactionDateY]],Transaction[[#This Row],[TransactionDateM]],Transaction[[#This Row],[TransactionDateD]]),"Missing Value")</f>
        <v>45771</v>
      </c>
      <c r="G340" t="s">
        <v>257</v>
      </c>
      <c r="H340" t="str">
        <f>IFERROR(VLOOKUP(Transaction[[#This Row],[CustomerID]],Custumer[],1,0),IF(LEN(Transaction[[#This Row],[CustomerID]])=7,LEFT(Transaction[[#This Row],[CustomerID]],6),"Invalid ID"))</f>
        <v>C-1154</v>
      </c>
      <c r="I340" t="s">
        <v>1051</v>
      </c>
      <c r="J340" t="str">
        <f>TRIM(UPPER(Transaction[[#This Row],[ProductID]]))</f>
        <v>P-SI-007</v>
      </c>
      <c r="K340" t="str">
        <f>IFERROR(VLOOKUP(Transaction[[#This Row],[ProductID_Clean]],Product[],1,FALSE),"Invalid ID")</f>
        <v>P-SI-007</v>
      </c>
      <c r="L340" t="str">
        <f>TRIM(SUBSTITUTE(SUBSTITUTE(SUBSTITUTE(SUBSTITUTE(UPPER(Transaction[[#This Row],[Region]]),"EMEA REGION","EMEA"),"APAC REGION","APAC"),"NORTH AMERICA","N. AMERICA"),"N .AMERICA","N.AMERICA"))</f>
        <v>APAC</v>
      </c>
      <c r="M340" t="s">
        <v>127</v>
      </c>
      <c r="N340" t="s">
        <v>53</v>
      </c>
      <c r="O34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Q340" t="str">
        <f>IF(TRIM(Transaction[[#This Row],[SalesChannel]])="","Missing Value",TRIM(Transaction[[#This Row],[SalesChannel]]))</f>
        <v>Missing Value</v>
      </c>
      <c r="R340" s="4">
        <v>3</v>
      </c>
      <c r="S340" s="4" t="str">
        <f>IF(Transaction[[#This Row],[Quantity]]&lt;0,"Negative-review","Valid")</f>
        <v>Valid</v>
      </c>
      <c r="T340">
        <v>854.73</v>
      </c>
      <c r="U34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854.73</v>
      </c>
      <c r="V340">
        <v>980</v>
      </c>
      <c r="W340">
        <v>2940</v>
      </c>
      <c r="X34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2940</v>
      </c>
      <c r="Y340">
        <f>IF(Transaction[[#This Row],[GrossRevenue_Check]]="Invalid",Transaction[[#This Row],[ListPrice]]*Transaction[[#This Row],[Quantity]],Transaction[[#This Row],[GrossRevenue_Clean]])</f>
        <v>2940</v>
      </c>
      <c r="Z340" t="str">
        <f>IF(Transaction[[#This Row],[GrossRevenue_Clean]]=Transaction[[#This Row],[ListPrice]]*Transaction[[#This Row],[Quantity]],"Valid","Invalid")</f>
        <v>Valid</v>
      </c>
      <c r="AA340">
        <v>375.81</v>
      </c>
      <c r="AB34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375.81</v>
      </c>
      <c r="AC340">
        <f>IF(Transaction[[#This Row],[DiscountAmount_Check2]]="Invalid",Transaction[[#This Row],[GrossRevenue_Analytical]]-Transaction[[#This Row],[NetRevenue_Analytical]],Transaction[[#This Row],[DiscountAmount_Clean]])</f>
        <v>375.81</v>
      </c>
      <c r="AD340">
        <v>2564.19</v>
      </c>
      <c r="AE340" t="str">
        <f>IF(ROUND(Transaction[[#This Row],[GrossRevenue_Analytical]]-Transaction[[#This Row],[NetRevenue_Analytical]],2)=ROUND(Transaction[[#This Row],[DiscountAmount_Clean]],2),"Valid","Invalid")</f>
        <v>Valid</v>
      </c>
      <c r="AF34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2564.19</v>
      </c>
      <c r="AG340">
        <f>IF(Transaction[[#This Row],[NetRevenue_Check]]="Invalid",(Transaction[[#This Row],[Quantity]]*Transaction[[#This Row],[UnitPrice_Clean]]),Transaction[[#This Row],[NetRevenue_Clean]])</f>
        <v>2564.19</v>
      </c>
      <c r="AH340" t="str">
        <f>IF(Transaction[[#This Row],[Quantity]]*Transaction[[#This Row],[UnitPrice_Clean]]=Transaction[[#This Row],[NetRevenue_Clean]],"Valid","Invalid")</f>
        <v>Valid</v>
      </c>
      <c r="AI340" t="s">
        <v>23</v>
      </c>
      <c r="AJ340" t="s">
        <v>33</v>
      </c>
      <c r="AK340" t="str">
        <f>IF(Transaction[[#This Row],[Salesperson]]="","Missing Value",TRIM(PROPER(Transaction[[#This Row],[Salesperson]])))</f>
        <v>Bell-Na</v>
      </c>
      <c r="AL340" t="s">
        <v>42</v>
      </c>
      <c r="AM340" t="str">
        <f>IF(Transaction[[#This Row],[ContractType]]="","Missing Value",Transaction[[#This Row],[ContractType]])</f>
        <v>Standard PO</v>
      </c>
      <c r="AN340" t="s">
        <v>35</v>
      </c>
    </row>
    <row r="341" spans="1:40" x14ac:dyDescent="0.25">
      <c r="A341" t="s">
        <v>2957</v>
      </c>
      <c r="B341" s="1">
        <v>45718</v>
      </c>
      <c r="C34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34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34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41" s="2">
        <f>IFERROR(DATE(Transaction[[#This Row],[TransactionDateY]],Transaction[[#This Row],[TransactionDateM]],Transaction[[#This Row],[TransactionDateD]]),"Missing Value")</f>
        <v>45718</v>
      </c>
      <c r="G341" t="s">
        <v>86</v>
      </c>
      <c r="H341" t="str">
        <f>IFERROR(VLOOKUP(Transaction[[#This Row],[CustomerID]],Custumer[],1,0),IF(LEN(Transaction[[#This Row],[CustomerID]])=7,LEFT(Transaction[[#This Row],[CustomerID]],6),"Invalid ID"))</f>
        <v>C-1177</v>
      </c>
      <c r="I341" t="s">
        <v>46</v>
      </c>
      <c r="J341" t="str">
        <f>TRIM(UPPER(Transaction[[#This Row],[ProductID]]))</f>
        <v>P-SI-006</v>
      </c>
      <c r="K341" t="str">
        <f>IFERROR(VLOOKUP(Transaction[[#This Row],[ProductID_Clean]],Product[],1,FALSE),"Invalid ID")</f>
        <v>P-SI-006</v>
      </c>
      <c r="L341" t="str">
        <f>TRIM(SUBSTITUTE(SUBSTITUTE(SUBSTITUTE(SUBSTITUTE(UPPER(Transaction[[#This Row],[Region]]),"EMEA REGION","EMEA"),"APAC REGION","APAC"),"NORTH AMERICA","N. AMERICA"),"N .AMERICA","N.AMERICA"))</f>
        <v>EMEA</v>
      </c>
      <c r="M341" t="s">
        <v>76</v>
      </c>
      <c r="N341" t="s">
        <v>53</v>
      </c>
      <c r="O34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41" t="s">
        <v>40</v>
      </c>
      <c r="Q341" t="str">
        <f>IF(TRIM(Transaction[[#This Row],[SalesChannel]])="","Missing Value",TRIM(Transaction[[#This Row],[SalesChannel]]))</f>
        <v>Distributor</v>
      </c>
      <c r="R341" s="4">
        <v>5</v>
      </c>
      <c r="S341" s="4" t="str">
        <f>IF(Transaction[[#This Row],[Quantity]]&lt;0,"Negative-review","Valid")</f>
        <v>Valid</v>
      </c>
      <c r="T341">
        <v>143.25</v>
      </c>
      <c r="U34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143.25</v>
      </c>
      <c r="V341">
        <v>215</v>
      </c>
      <c r="W341">
        <v>1075</v>
      </c>
      <c r="X34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1075</v>
      </c>
      <c r="Y341">
        <f>IF(Transaction[[#This Row],[GrossRevenue_Check]]="Invalid",Transaction[[#This Row],[ListPrice]]*Transaction[[#This Row],[Quantity]],Transaction[[#This Row],[GrossRevenue_Clean]])</f>
        <v>1075</v>
      </c>
      <c r="Z341" t="str">
        <f>IF(Transaction[[#This Row],[GrossRevenue_Clean]]=Transaction[[#This Row],[ListPrice]]*Transaction[[#This Row],[Quantity]],"Valid","Invalid")</f>
        <v>Valid</v>
      </c>
      <c r="AA341">
        <v>358.75</v>
      </c>
      <c r="AB34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358.75</v>
      </c>
      <c r="AC341">
        <f>IF(Transaction[[#This Row],[DiscountAmount_Check2]]="Invalid",Transaction[[#This Row],[GrossRevenue_Analytical]]-Transaction[[#This Row],[NetRevenue_Analytical]],Transaction[[#This Row],[DiscountAmount_Clean]])</f>
        <v>358.75</v>
      </c>
      <c r="AD341">
        <v>716.25</v>
      </c>
      <c r="AE341" t="str">
        <f>IF(ROUND(Transaction[[#This Row],[GrossRevenue_Analytical]]-Transaction[[#This Row],[NetRevenue_Analytical]],2)=ROUND(Transaction[[#This Row],[DiscountAmount_Clean]],2),"Valid","Invalid")</f>
        <v>Valid</v>
      </c>
      <c r="AF341">
        <f>VALUE(IF(ISNUMBER(Transaction[[#This Row],[NetRevenue]]),Transaction[[#This Row],[NetRevenue]],IFERROR(IF(FIND("$",Transaction[[#This Row],[NetRevenue]])&gt;0,MID(Transaction[[#This Row],[NetRevenue]],2,10)),Transaction[[#This Row],[NetRevenue]])))</f>
        <v>716.25</v>
      </c>
      <c r="AG341">
        <f>IF(Transaction[[#This Row],[NetRevenue_Check]]="Invalid",(Transaction[[#This Row],[Quantity]]*Transaction[[#This Row],[UnitPrice_Clean]]),Transaction[[#This Row],[NetRevenue_Clean]])</f>
        <v>716.25</v>
      </c>
      <c r="AH341" t="str">
        <f>IF(Transaction[[#This Row],[Quantity]]*Transaction[[#This Row],[UnitPrice_Clean]]=Transaction[[#This Row],[NetRevenue_Clean]],"Valid","Invalid")</f>
        <v>Valid</v>
      </c>
      <c r="AI341" t="s">
        <v>23</v>
      </c>
      <c r="AJ341" t="s">
        <v>772</v>
      </c>
      <c r="AK341" t="str">
        <f>IF(Transaction[[#This Row],[Salesperson]]="","Missing Value",TRIM(PROPER(Transaction[[#This Row],[Salesperson]])))</f>
        <v>Morgan</v>
      </c>
      <c r="AL341" t="s">
        <v>25</v>
      </c>
      <c r="AM341" t="str">
        <f>IF(Transaction[[#This Row],[ContractType]]="","Missing Value",Transaction[[#This Row],[ContractType]])</f>
        <v>Frame Agreement</v>
      </c>
      <c r="AN341" t="s">
        <v>49</v>
      </c>
    </row>
    <row r="342" spans="1:40" x14ac:dyDescent="0.25">
      <c r="A342" t="s">
        <v>1940</v>
      </c>
      <c r="B342" t="s">
        <v>1941</v>
      </c>
      <c r="C34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34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34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42" s="2">
        <f>IFERROR(DATE(Transaction[[#This Row],[TransactionDateY]],Transaction[[#This Row],[TransactionDateM]],Transaction[[#This Row],[TransactionDateD]]),"Missing Value")</f>
        <v>45683</v>
      </c>
      <c r="G342" t="s">
        <v>826</v>
      </c>
      <c r="H342" t="str">
        <f>IFERROR(VLOOKUP(Transaction[[#This Row],[CustomerID]],Custumer[],1,0),IF(LEN(Transaction[[#This Row],[CustomerID]])=7,LEFT(Transaction[[#This Row],[CustomerID]],6),"Invalid ID"))</f>
        <v>C-1182</v>
      </c>
      <c r="I342" t="s">
        <v>97</v>
      </c>
      <c r="J342" t="str">
        <f>TRIM(UPPER(Transaction[[#This Row],[ProductID]]))</f>
        <v>P-SI-001</v>
      </c>
      <c r="K342" t="str">
        <f>IFERROR(VLOOKUP(Transaction[[#This Row],[ProductID_Clean]],Product[],1,FALSE),"Invalid ID")</f>
        <v>P-SI-001</v>
      </c>
      <c r="L342" t="str">
        <f>TRIM(SUBSTITUTE(SUBSTITUTE(SUBSTITUTE(SUBSTITUTE(UPPER(Transaction[[#This Row],[Region]]),"EMEA REGION","EMEA"),"APAC REGION","APAC"),"NORTH AMERICA","N. AMERICA"),"N .AMERICA","N.AMERICA"))</f>
        <v>APAC</v>
      </c>
      <c r="M342" t="s">
        <v>122</v>
      </c>
      <c r="N342" t="s">
        <v>53</v>
      </c>
      <c r="O34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42" t="s">
        <v>77</v>
      </c>
      <c r="Q342" t="str">
        <f>IF(TRIM(Transaction[[#This Row],[SalesChannel]])="","Missing Value",TRIM(Transaction[[#This Row],[SalesChannel]]))</f>
        <v>distributor</v>
      </c>
      <c r="R342" s="4">
        <v>4</v>
      </c>
      <c r="S342" s="4" t="str">
        <f>IF(Transaction[[#This Row],[Quantity]]&lt;0,"Negative-review","Valid")</f>
        <v>Valid</v>
      </c>
      <c r="T342">
        <v>389.04</v>
      </c>
      <c r="U34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389.04</v>
      </c>
      <c r="V342">
        <v>485</v>
      </c>
      <c r="W342" t="s">
        <v>1942</v>
      </c>
      <c r="X34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1940</v>
      </c>
      <c r="Y342">
        <f>IF(Transaction[[#This Row],[GrossRevenue_Check]]="Invalid",Transaction[[#This Row],[ListPrice]]*Transaction[[#This Row],[Quantity]],Transaction[[#This Row],[GrossRevenue_Clean]])</f>
        <v>1940</v>
      </c>
      <c r="Z342" t="str">
        <f>IF(Transaction[[#This Row],[GrossRevenue_Clean]]=Transaction[[#This Row],[ListPrice]]*Transaction[[#This Row],[Quantity]],"Valid","Invalid")</f>
        <v>Valid</v>
      </c>
      <c r="AA342">
        <v>383.84</v>
      </c>
      <c r="AB34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383.84</v>
      </c>
      <c r="AC342">
        <f>IF(Transaction[[#This Row],[DiscountAmount_Check2]]="Invalid",Transaction[[#This Row],[GrossRevenue_Analytical]]-Transaction[[#This Row],[NetRevenue_Analytical]],Transaction[[#This Row],[DiscountAmount_Clean]])</f>
        <v>383.84</v>
      </c>
      <c r="AD342">
        <v>1556.16</v>
      </c>
      <c r="AE342" t="str">
        <f>IF(ROUND(Transaction[[#This Row],[GrossRevenue_Analytical]]-Transaction[[#This Row],[NetRevenue_Analytical]],2)=ROUND(Transaction[[#This Row],[DiscountAmount_Clean]],2),"Valid","Invalid")</f>
        <v>Valid</v>
      </c>
      <c r="AF34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1556.16</v>
      </c>
      <c r="AG342">
        <f>IF(Transaction[[#This Row],[NetRevenue_Check]]="Invalid",(Transaction[[#This Row],[Quantity]]*Transaction[[#This Row],[UnitPrice_Clean]]),Transaction[[#This Row],[NetRevenue_Clean]])</f>
        <v>1556.16</v>
      </c>
      <c r="AH342" t="str">
        <f>IF(Transaction[[#This Row],[Quantity]]*Transaction[[#This Row],[UnitPrice_Clean]]=Transaction[[#This Row],[NetRevenue_Clean]],"Valid","Invalid")</f>
        <v>Valid</v>
      </c>
      <c r="AI342" t="s">
        <v>23</v>
      </c>
      <c r="AJ342" t="s">
        <v>1943</v>
      </c>
      <c r="AK342" t="str">
        <f>IF(Transaction[[#This Row],[Salesperson]]="","Missing Value",TRIM(PROPER(Transaction[[#This Row],[Salesperson]])))</f>
        <v>Day</v>
      </c>
      <c r="AL342" t="s">
        <v>25</v>
      </c>
      <c r="AM342" t="str">
        <f>IF(Transaction[[#This Row],[ContractType]]="","Missing Value",Transaction[[#This Row],[ContractType]])</f>
        <v>Frame Agreement</v>
      </c>
      <c r="AN342" t="s">
        <v>65</v>
      </c>
    </row>
    <row r="343" spans="1:40" x14ac:dyDescent="0.25">
      <c r="A343" t="s">
        <v>832</v>
      </c>
      <c r="B343" s="1">
        <v>45797</v>
      </c>
      <c r="C34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34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34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43" s="2">
        <f>IFERROR(DATE(Transaction[[#This Row],[TransactionDateY]],Transaction[[#This Row],[TransactionDateM]],Transaction[[#This Row],[TransactionDateD]]),"Missing Value")</f>
        <v>45797</v>
      </c>
      <c r="G343" t="s">
        <v>571</v>
      </c>
      <c r="H343" t="str">
        <f>IFERROR(VLOOKUP(Transaction[[#This Row],[CustomerID]],Custumer[],1,0),IF(LEN(Transaction[[#This Row],[CustomerID]])=7,LEFT(Transaction[[#This Row],[CustomerID]],6),"Invalid ID"))</f>
        <v>C-1060</v>
      </c>
      <c r="I343" t="s">
        <v>92</v>
      </c>
      <c r="J343" t="str">
        <f>TRIM(UPPER(Transaction[[#This Row],[ProductID]]))</f>
        <v>P-SI-008</v>
      </c>
      <c r="K343" t="str">
        <f>IFERROR(VLOOKUP(Transaction[[#This Row],[ProductID_Clean]],Product[],1,FALSE),"Invalid ID")</f>
        <v>P-SI-008</v>
      </c>
      <c r="L343" t="str">
        <f>TRIM(SUBSTITUTE(SUBSTITUTE(SUBSTITUTE(SUBSTITUTE(UPPER(Transaction[[#This Row],[Region]]),"EMEA REGION","EMEA"),"APAC REGION","APAC"),"NORTH AMERICA","N. AMERICA"),"N .AMERICA","N.AMERICA"))</f>
        <v>APAC</v>
      </c>
      <c r="M343" t="s">
        <v>30</v>
      </c>
      <c r="N343" t="s">
        <v>53</v>
      </c>
      <c r="O34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43" t="s">
        <v>22</v>
      </c>
      <c r="Q343" t="str">
        <f>IF(TRIM(Transaction[[#This Row],[SalesChannel]])="","Missing Value",TRIM(Transaction[[#This Row],[SalesChannel]]))</f>
        <v>Direct</v>
      </c>
      <c r="R343" s="4">
        <v>2</v>
      </c>
      <c r="S343" s="4" t="str">
        <f>IF(Transaction[[#This Row],[Quantity]]&lt;0,"Negative-review","Valid")</f>
        <v>Valid</v>
      </c>
      <c r="T343">
        <v>853.13</v>
      </c>
      <c r="U34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853.13</v>
      </c>
      <c r="V343">
        <v>950</v>
      </c>
      <c r="W343">
        <v>1900</v>
      </c>
      <c r="X34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1900</v>
      </c>
      <c r="Y343">
        <f>IF(Transaction[[#This Row],[GrossRevenue_Check]]="Invalid",Transaction[[#This Row],[ListPrice]]*Transaction[[#This Row],[Quantity]],Transaction[[#This Row],[GrossRevenue_Clean]])</f>
        <v>1900</v>
      </c>
      <c r="Z343" t="str">
        <f>IF(Transaction[[#This Row],[GrossRevenue_Clean]]=Transaction[[#This Row],[ListPrice]]*Transaction[[#This Row],[Quantity]],"Valid","Invalid")</f>
        <v>Valid</v>
      </c>
      <c r="AA343">
        <v>193.74</v>
      </c>
      <c r="AB34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193.74</v>
      </c>
      <c r="AC343">
        <f>IF(Transaction[[#This Row],[DiscountAmount_Check2]]="Invalid",Transaction[[#This Row],[GrossRevenue_Analytical]]-Transaction[[#This Row],[NetRevenue_Analytical]],Transaction[[#This Row],[DiscountAmount_Clean]])</f>
        <v>193.74</v>
      </c>
      <c r="AD343">
        <v>1706.26</v>
      </c>
      <c r="AE343" t="str">
        <f>IF(ROUND(Transaction[[#This Row],[GrossRevenue_Analytical]]-Transaction[[#This Row],[NetRevenue_Analytical]],2)=ROUND(Transaction[[#This Row],[DiscountAmount_Clean]],2),"Valid","Invalid")</f>
        <v>Valid</v>
      </c>
      <c r="AF34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1706.26</v>
      </c>
      <c r="AG343">
        <f>IF(Transaction[[#This Row],[NetRevenue_Check]]="Invalid",(Transaction[[#This Row],[Quantity]]*Transaction[[#This Row],[UnitPrice_Clean]]),Transaction[[#This Row],[NetRevenue_Clean]])</f>
        <v>1706.26</v>
      </c>
      <c r="AH343" t="str">
        <f>IF(Transaction[[#This Row],[Quantity]]*Transaction[[#This Row],[UnitPrice_Clean]]=Transaction[[#This Row],[NetRevenue_Clean]],"Valid","Invalid")</f>
        <v>Valid</v>
      </c>
      <c r="AI343" t="s">
        <v>23</v>
      </c>
      <c r="AJ343" t="s">
        <v>833</v>
      </c>
      <c r="AK343" t="str">
        <f>IF(Transaction[[#This Row],[Salesperson]]="","Missing Value",TRIM(PROPER(Transaction[[#This Row],[Salesperson]])))</f>
        <v>Greer-Ap</v>
      </c>
      <c r="AL343" t="s">
        <v>55</v>
      </c>
      <c r="AM343" t="str">
        <f>IF(Transaction[[#This Row],[ContractType]]="","Missing Value",Transaction[[#This Row],[ContractType]])</f>
        <v>Spot</v>
      </c>
      <c r="AN343" t="s">
        <v>43</v>
      </c>
    </row>
    <row r="344" spans="1:40" x14ac:dyDescent="0.25">
      <c r="A344" t="s">
        <v>2286</v>
      </c>
      <c r="B344" t="s">
        <v>2287</v>
      </c>
      <c r="C34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34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02</v>
      </c>
      <c r="E34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44" s="2">
        <f>IFERROR(DATE(Transaction[[#This Row],[TransactionDateY]],Transaction[[#This Row],[TransactionDateM]],Transaction[[#This Row],[TransactionDateD]]),"Missing Value")</f>
        <v>45749</v>
      </c>
      <c r="G344" t="s">
        <v>764</v>
      </c>
      <c r="H344" t="str">
        <f>IFERROR(VLOOKUP(Transaction[[#This Row],[CustomerID]],Custumer[],1,0),IF(LEN(Transaction[[#This Row],[CustomerID]])=7,LEFT(Transaction[[#This Row],[CustomerID]],6),"Invalid ID"))</f>
        <v>C-1071</v>
      </c>
      <c r="I344" t="s">
        <v>97</v>
      </c>
      <c r="J344" t="str">
        <f>TRIM(UPPER(Transaction[[#This Row],[ProductID]]))</f>
        <v>P-SI-001</v>
      </c>
      <c r="K344" t="str">
        <f>IFERROR(VLOOKUP(Transaction[[#This Row],[ProductID_Clean]],Product[],1,FALSE),"Invalid ID")</f>
        <v>P-SI-001</v>
      </c>
      <c r="L344" t="str">
        <f>TRIM(SUBSTITUTE(SUBSTITUTE(SUBSTITUTE(SUBSTITUTE(UPPER(Transaction[[#This Row],[Region]]),"EMEA REGION","EMEA"),"APAC REGION","APAC"),"NORTH AMERICA","N. AMERICA"),"N .AMERICA","N.AMERICA"))</f>
        <v>APAC</v>
      </c>
      <c r="M344" t="s">
        <v>30</v>
      </c>
      <c r="N344" t="s">
        <v>53</v>
      </c>
      <c r="O34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44" t="s">
        <v>40</v>
      </c>
      <c r="Q344" t="str">
        <f>IF(TRIM(Transaction[[#This Row],[SalesChannel]])="","Missing Value",TRIM(Transaction[[#This Row],[SalesChannel]]))</f>
        <v>Distributor</v>
      </c>
      <c r="R344" s="4">
        <v>1</v>
      </c>
      <c r="S344" s="4" t="str">
        <f>IF(Transaction[[#This Row],[Quantity]]&lt;0,"Negative-review","Valid")</f>
        <v>Valid</v>
      </c>
      <c r="T344">
        <v>379.84</v>
      </c>
      <c r="U34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379.84</v>
      </c>
      <c r="V344">
        <v>485</v>
      </c>
      <c r="W344">
        <v>485</v>
      </c>
      <c r="X34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344">
        <f>IF(Transaction[[#This Row],[GrossRevenue_Check]]="Invalid",Transaction[[#This Row],[ListPrice]]*Transaction[[#This Row],[Quantity]],Transaction[[#This Row],[GrossRevenue_Clean]])</f>
        <v>485</v>
      </c>
      <c r="Z344" t="str">
        <f>IF(Transaction[[#This Row],[GrossRevenue_Clean]]=Transaction[[#This Row],[ListPrice]]*Transaction[[#This Row],[Quantity]],"Valid","Invalid")</f>
        <v>Valid</v>
      </c>
      <c r="AA344">
        <v>105.16</v>
      </c>
      <c r="AB34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105.16</v>
      </c>
      <c r="AC344">
        <f>IF(Transaction[[#This Row],[DiscountAmount_Check2]]="Invalid",Transaction[[#This Row],[GrossRevenue_Analytical]]-Transaction[[#This Row],[NetRevenue_Analytical]],Transaction[[#This Row],[DiscountAmount_Clean]])</f>
        <v>105.16</v>
      </c>
      <c r="AD344">
        <v>379.84</v>
      </c>
      <c r="AE344" t="str">
        <f>IF(ROUND(Transaction[[#This Row],[GrossRevenue_Analytical]]-Transaction[[#This Row],[NetRevenue_Analytical]],2)=ROUND(Transaction[[#This Row],[DiscountAmount_Clean]],2),"Valid","Invalid")</f>
        <v>Valid</v>
      </c>
      <c r="AF344">
        <f>VALUE(IF(ISNUMBER(Transaction[[#This Row],[NetRevenue]]),Transaction[[#This Row],[NetRevenue]],IFERROR(IF(FIND("$",Transaction[[#This Row],[NetRevenue]])&gt;0,MID(Transaction[[#This Row],[NetRevenue]],2,10)),Transaction[[#This Row],[NetRevenue]])))</f>
        <v>379.84</v>
      </c>
      <c r="AG344">
        <f>IF(Transaction[[#This Row],[NetRevenue_Check]]="Invalid",(Transaction[[#This Row],[Quantity]]*Transaction[[#This Row],[UnitPrice_Clean]]),Transaction[[#This Row],[NetRevenue_Clean]])</f>
        <v>379.84</v>
      </c>
      <c r="AH344" t="str">
        <f>IF(Transaction[[#This Row],[Quantity]]*Transaction[[#This Row],[UnitPrice_Clean]]=Transaction[[#This Row],[NetRevenue_Clean]],"Valid","Invalid")</f>
        <v>Valid</v>
      </c>
      <c r="AI344" t="s">
        <v>23</v>
      </c>
      <c r="AJ344" t="s">
        <v>2288</v>
      </c>
      <c r="AK344" t="str">
        <f>IF(Transaction[[#This Row],[Salesperson]]="","Missing Value",TRIM(PROPER(Transaction[[#This Row],[Salesperson]])))</f>
        <v>Cohen</v>
      </c>
      <c r="AL344" t="s">
        <v>25</v>
      </c>
      <c r="AM344" t="str">
        <f>IF(Transaction[[#This Row],[ContractType]]="","Missing Value",Transaction[[#This Row],[ContractType]])</f>
        <v>Frame Agreement</v>
      </c>
      <c r="AN344" t="s">
        <v>43</v>
      </c>
    </row>
    <row r="345" spans="1:40" x14ac:dyDescent="0.25">
      <c r="A345" t="s">
        <v>2462</v>
      </c>
      <c r="B345" s="1">
        <v>45759</v>
      </c>
      <c r="C34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34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34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45" s="2">
        <f>IFERROR(DATE(Transaction[[#This Row],[TransactionDateY]],Transaction[[#This Row],[TransactionDateM]],Transaction[[#This Row],[TransactionDateD]]),"Missing Value")</f>
        <v>45759</v>
      </c>
      <c r="G345" t="s">
        <v>1395</v>
      </c>
      <c r="H345" t="str">
        <f>IFERROR(VLOOKUP(Transaction[[#This Row],[CustomerID]],Custumer[],1,0),IF(LEN(Transaction[[#This Row],[CustomerID]])=7,LEFT(Transaction[[#This Row],[CustomerID]],6),"Invalid ID"))</f>
        <v>C-1023</v>
      </c>
      <c r="I345" t="s">
        <v>71</v>
      </c>
      <c r="J345" t="str">
        <f>TRIM(UPPER(Transaction[[#This Row],[ProductID]]))</f>
        <v>P-SI-003</v>
      </c>
      <c r="K345" t="str">
        <f>IFERROR(VLOOKUP(Transaction[[#This Row],[ProductID_Clean]],Product[],1,FALSE),"Invalid ID")</f>
        <v>P-SI-003</v>
      </c>
      <c r="L345" t="str">
        <f>TRIM(SUBSTITUTE(SUBSTITUTE(SUBSTITUTE(SUBSTITUTE(UPPER(Transaction[[#This Row],[Region]]),"EMEA REGION","EMEA"),"APAC REGION","APAC"),"NORTH AMERICA","N. AMERICA"),"N .AMERICA","N.AMERICA"))</f>
        <v>N. AMERICA</v>
      </c>
      <c r="M345" t="s">
        <v>20</v>
      </c>
      <c r="N345" t="s">
        <v>53</v>
      </c>
      <c r="O34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45" t="s">
        <v>93</v>
      </c>
      <c r="Q345" t="str">
        <f>IF(TRIM(Transaction[[#This Row],[SalesChannel]])="","Missing Value",TRIM(Transaction[[#This Row],[SalesChannel]]))</f>
        <v>direct</v>
      </c>
      <c r="R345" s="4">
        <v>8</v>
      </c>
      <c r="S345" s="4" t="str">
        <f>IF(Transaction[[#This Row],[Quantity]]&lt;0,"Negative-review","Valid")</f>
        <v>Valid</v>
      </c>
      <c r="T345" t="s">
        <v>2463</v>
      </c>
      <c r="U34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1718.46</v>
      </c>
      <c r="V345">
        <v>1890</v>
      </c>
      <c r="W345">
        <v>15120</v>
      </c>
      <c r="X34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15120</v>
      </c>
      <c r="Y345">
        <f>IF(Transaction[[#This Row],[GrossRevenue_Check]]="Invalid",Transaction[[#This Row],[ListPrice]]*Transaction[[#This Row],[Quantity]],Transaction[[#This Row],[GrossRevenue_Clean]])</f>
        <v>15120</v>
      </c>
      <c r="Z345" t="str">
        <f>IF(Transaction[[#This Row],[GrossRevenue_Clean]]=Transaction[[#This Row],[ListPrice]]*Transaction[[#This Row],[Quantity]],"Valid","Invalid")</f>
        <v>Valid</v>
      </c>
      <c r="AA345">
        <v>1372.32</v>
      </c>
      <c r="AB34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1372.32</v>
      </c>
      <c r="AC345">
        <f>IF(Transaction[[#This Row],[DiscountAmount_Check2]]="Invalid",Transaction[[#This Row],[GrossRevenue_Analytical]]-Transaction[[#This Row],[NetRevenue_Analytical]],Transaction[[#This Row],[DiscountAmount_Clean]])</f>
        <v>1372.32</v>
      </c>
      <c r="AD345">
        <v>13747.68</v>
      </c>
      <c r="AE345" t="str">
        <f>IF(ROUND(Transaction[[#This Row],[GrossRevenue_Analytical]]-Transaction[[#This Row],[NetRevenue_Analytical]],2)=ROUND(Transaction[[#This Row],[DiscountAmount_Clean]],2),"Valid","Invalid")</f>
        <v>Valid</v>
      </c>
      <c r="AF34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13747.68</v>
      </c>
      <c r="AG345">
        <f>IF(Transaction[[#This Row],[NetRevenue_Check]]="Invalid",(Transaction[[#This Row],[Quantity]]*Transaction[[#This Row],[UnitPrice_Clean]]),Transaction[[#This Row],[NetRevenue_Clean]])</f>
        <v>13747.68</v>
      </c>
      <c r="AH345" t="str">
        <f>IF(Transaction[[#This Row],[Quantity]]*Transaction[[#This Row],[UnitPrice_Clean]]=Transaction[[#This Row],[NetRevenue_Clean]],"Valid","Invalid")</f>
        <v>Valid</v>
      </c>
      <c r="AI345" t="s">
        <v>23</v>
      </c>
      <c r="AJ345" t="s">
        <v>2464</v>
      </c>
      <c r="AK345" t="str">
        <f>IF(Transaction[[#This Row],[Salesperson]]="","Missing Value",TRIM(PROPER(Transaction[[#This Row],[Salesperson]])))</f>
        <v>Pollard</v>
      </c>
      <c r="AL345" t="s">
        <v>42</v>
      </c>
      <c r="AM345" t="str">
        <f>IF(Transaction[[#This Row],[ContractType]]="","Missing Value",Transaction[[#This Row],[ContractType]])</f>
        <v>Standard PO</v>
      </c>
      <c r="AN345" t="s">
        <v>49</v>
      </c>
    </row>
    <row r="346" spans="1:40" x14ac:dyDescent="0.25">
      <c r="A346" t="s">
        <v>763</v>
      </c>
      <c r="B346" s="1">
        <v>45706</v>
      </c>
      <c r="C34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34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34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46" s="2">
        <f>IFERROR(DATE(Transaction[[#This Row],[TransactionDateY]],Transaction[[#This Row],[TransactionDateM]],Transaction[[#This Row],[TransactionDateD]]),"Missing Value")</f>
        <v>45706</v>
      </c>
      <c r="G346" t="s">
        <v>764</v>
      </c>
      <c r="H346" t="str">
        <f>IFERROR(VLOOKUP(Transaction[[#This Row],[CustomerID]],Custumer[],1,0),IF(LEN(Transaction[[#This Row],[CustomerID]])=7,LEFT(Transaction[[#This Row],[CustomerID]],6),"Invalid ID"))</f>
        <v>C-1071</v>
      </c>
      <c r="I346" t="s">
        <v>97</v>
      </c>
      <c r="J346" t="str">
        <f>TRIM(UPPER(Transaction[[#This Row],[ProductID]]))</f>
        <v>P-SI-001</v>
      </c>
      <c r="K346" t="str">
        <f>IFERROR(VLOOKUP(Transaction[[#This Row],[ProductID_Clean]],Product[],1,FALSE),"Invalid ID")</f>
        <v>P-SI-001</v>
      </c>
      <c r="L346" t="str">
        <f>TRIM(SUBSTITUTE(SUBSTITUTE(SUBSTITUTE(SUBSTITUTE(UPPER(Transaction[[#This Row],[Region]]),"EMEA REGION","EMEA"),"APAC REGION","APAC"),"NORTH AMERICA","N. AMERICA"),"N .AMERICA","N.AMERICA"))</f>
        <v>APAC</v>
      </c>
      <c r="M346" t="s">
        <v>127</v>
      </c>
      <c r="N346" t="s">
        <v>47</v>
      </c>
      <c r="O34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46" t="s">
        <v>40</v>
      </c>
      <c r="Q346" t="str">
        <f>IF(TRIM(Transaction[[#This Row],[SalesChannel]])="","Missing Value",TRIM(Transaction[[#This Row],[SalesChannel]]))</f>
        <v>Distributor</v>
      </c>
      <c r="R346" s="4">
        <v>3</v>
      </c>
      <c r="S346" s="4" t="str">
        <f>IF(Transaction[[#This Row],[Quantity]]&lt;0,"Negative-review","Valid")</f>
        <v>Valid</v>
      </c>
      <c r="T346">
        <v>421.01</v>
      </c>
      <c r="U34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421.01</v>
      </c>
      <c r="V346">
        <v>485</v>
      </c>
      <c r="W346">
        <v>1455</v>
      </c>
      <c r="X34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346">
        <f>IF(Transaction[[#This Row],[GrossRevenue_Check]]="Invalid",Transaction[[#This Row],[ListPrice]]*Transaction[[#This Row],[Quantity]],Transaction[[#This Row],[GrossRevenue_Clean]])</f>
        <v>1455</v>
      </c>
      <c r="Z346" t="str">
        <f>IF(Transaction[[#This Row],[GrossRevenue_Clean]]=Transaction[[#This Row],[ListPrice]]*Transaction[[#This Row],[Quantity]],"Valid","Invalid")</f>
        <v>Valid</v>
      </c>
      <c r="AA346">
        <v>191.97</v>
      </c>
      <c r="AB34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191.97</v>
      </c>
      <c r="AC346">
        <f>IF(Transaction[[#This Row],[DiscountAmount_Check2]]="Invalid",Transaction[[#This Row],[GrossRevenue_Analytical]]-Transaction[[#This Row],[NetRevenue_Analytical]],Transaction[[#This Row],[DiscountAmount_Clean]])</f>
        <v>191.97</v>
      </c>
      <c r="AD346">
        <v>1263.03</v>
      </c>
      <c r="AE346" t="str">
        <f>IF(ROUND(Transaction[[#This Row],[GrossRevenue_Analytical]]-Transaction[[#This Row],[NetRevenue_Analytical]],2)=ROUND(Transaction[[#This Row],[DiscountAmount_Clean]],2),"Valid","Invalid")</f>
        <v>Valid</v>
      </c>
      <c r="AF34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1263.03</v>
      </c>
      <c r="AG346">
        <f>IF(Transaction[[#This Row],[NetRevenue_Check]]="Invalid",(Transaction[[#This Row],[Quantity]]*Transaction[[#This Row],[UnitPrice_Clean]]),Transaction[[#This Row],[NetRevenue_Clean]])</f>
        <v>1263.03</v>
      </c>
      <c r="AH346" t="str">
        <f>IF(Transaction[[#This Row],[Quantity]]*Transaction[[#This Row],[UnitPrice_Clean]]=Transaction[[#This Row],[NetRevenue_Clean]],"Valid","Invalid")</f>
        <v>Valid</v>
      </c>
      <c r="AI346" t="s">
        <v>23</v>
      </c>
      <c r="AJ346" t="s">
        <v>765</v>
      </c>
      <c r="AK346" t="str">
        <f>IF(Transaction[[#This Row],[Salesperson]]="","Missing Value",TRIM(PROPER(Transaction[[#This Row],[Salesperson]])))</f>
        <v>Mendoza</v>
      </c>
      <c r="AL346" t="s">
        <v>42</v>
      </c>
      <c r="AM346" t="str">
        <f>IF(Transaction[[#This Row],[ContractType]]="","Missing Value",Transaction[[#This Row],[ContractType]])</f>
        <v>Standard PO</v>
      </c>
      <c r="AN346" t="s">
        <v>43</v>
      </c>
    </row>
    <row r="347" spans="1:40" x14ac:dyDescent="0.25">
      <c r="A347" t="s">
        <v>3068</v>
      </c>
      <c r="B347" t="s">
        <v>2298</v>
      </c>
      <c r="C34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34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34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47" s="2">
        <f>IFERROR(DATE(Transaction[[#This Row],[TransactionDateY]],Transaction[[#This Row],[TransactionDateM]],Transaction[[#This Row],[TransactionDateD]]),"Missing Value")</f>
        <v>45774</v>
      </c>
      <c r="G347" t="s">
        <v>172</v>
      </c>
      <c r="H347" t="str">
        <f>IFERROR(VLOOKUP(Transaction[[#This Row],[CustomerID]],Custumer[],1,0),IF(LEN(Transaction[[#This Row],[CustomerID]])=7,LEFT(Transaction[[#This Row],[CustomerID]],6),"Invalid ID"))</f>
        <v>C-1099</v>
      </c>
      <c r="I347" t="s">
        <v>62</v>
      </c>
      <c r="J347" t="str">
        <f>TRIM(UPPER(Transaction[[#This Row],[ProductID]]))</f>
        <v>P-SI-004</v>
      </c>
      <c r="K347" t="str">
        <f>IFERROR(VLOOKUP(Transaction[[#This Row],[ProductID_Clean]],Product[],1,FALSE),"Invalid ID")</f>
        <v>P-SI-004</v>
      </c>
      <c r="L347" t="str">
        <f>TRIM(SUBSTITUTE(SUBSTITUTE(SUBSTITUTE(SUBSTITUTE(UPPER(Transaction[[#This Row],[Region]]),"EMEA REGION","EMEA"),"APAC REGION","APAC"),"NORTH AMERICA","N. AMERICA"),"N .AMERICA","N.AMERICA"))</f>
        <v>EMEA</v>
      </c>
      <c r="M347" t="s">
        <v>76</v>
      </c>
      <c r="N347" t="s">
        <v>53</v>
      </c>
      <c r="O34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47" t="s">
        <v>181</v>
      </c>
      <c r="Q347" t="str">
        <f>IF(TRIM(Transaction[[#This Row],[SalesChannel]])="","Missing Value",TRIM(Transaction[[#This Row],[SalesChannel]]))</f>
        <v>Partner Portal</v>
      </c>
      <c r="R347" s="4">
        <v>4</v>
      </c>
      <c r="S347" s="4" t="str">
        <f>IF(Transaction[[#This Row],[Quantity]]&lt;0,"Negative-review","Valid")</f>
        <v>Valid</v>
      </c>
      <c r="T347">
        <v>2170.4</v>
      </c>
      <c r="U34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2170.4</v>
      </c>
      <c r="V347">
        <v>2450</v>
      </c>
      <c r="W347">
        <v>9800</v>
      </c>
      <c r="X34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347">
        <f>IF(Transaction[[#This Row],[GrossRevenue_Check]]="Invalid",Transaction[[#This Row],[ListPrice]]*Transaction[[#This Row],[Quantity]],Transaction[[#This Row],[GrossRevenue_Clean]])</f>
        <v>9800</v>
      </c>
      <c r="Z347" t="str">
        <f>IF(Transaction[[#This Row],[GrossRevenue_Clean]]=Transaction[[#This Row],[ListPrice]]*Transaction[[#This Row],[Quantity]],"Valid","Invalid")</f>
        <v>Valid</v>
      </c>
      <c r="AA347" t="s">
        <v>3069</v>
      </c>
      <c r="AB34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1118.4000000000001</v>
      </c>
      <c r="AC347">
        <f>IF(Transaction[[#This Row],[DiscountAmount_Check2]]="Invalid",Transaction[[#This Row],[GrossRevenue_Analytical]]-Transaction[[#This Row],[NetRevenue_Analytical]],Transaction[[#This Row],[DiscountAmount_Clean]])</f>
        <v>1118.4000000000001</v>
      </c>
      <c r="AD347">
        <v>8681.6</v>
      </c>
      <c r="AE347" t="str">
        <f>IF(ROUND(Transaction[[#This Row],[GrossRevenue_Analytical]]-Transaction[[#This Row],[NetRevenue_Analytical]],2)=ROUND(Transaction[[#This Row],[DiscountAmount_Clean]],2),"Valid","Invalid")</f>
        <v>Valid</v>
      </c>
      <c r="AF347">
        <f>VALUE(IF(ISNUMBER(Transaction[[#This Row],[NetRevenue]]),Transaction[[#This Row],[NetRevenue]],IFERROR(IF(FIND("$",Transaction[[#This Row],[NetRevenue]])&gt;0,MID(Transaction[[#This Row],[NetRevenue]],2,10)),Transaction[[#This Row],[NetRevenue]])))</f>
        <v>8681.6</v>
      </c>
      <c r="AG347">
        <f>IF(Transaction[[#This Row],[NetRevenue_Check]]="Invalid",(Transaction[[#This Row],[Quantity]]*Transaction[[#This Row],[UnitPrice_Clean]]),Transaction[[#This Row],[NetRevenue_Clean]])</f>
        <v>8681.6</v>
      </c>
      <c r="AH347" t="str">
        <f>IF(Transaction[[#This Row],[Quantity]]*Transaction[[#This Row],[UnitPrice_Clean]]=Transaction[[#This Row],[NetRevenue_Clean]],"Valid","Invalid")</f>
        <v>Valid</v>
      </c>
      <c r="AI347" t="s">
        <v>23</v>
      </c>
      <c r="AJ347" t="s">
        <v>383</v>
      </c>
      <c r="AK347" t="str">
        <f>IF(Transaction[[#This Row],[Salesperson]]="","Missing Value",TRIM(PROPER(Transaction[[#This Row],[Salesperson]])))</f>
        <v>White</v>
      </c>
      <c r="AL347" t="s">
        <v>42</v>
      </c>
      <c r="AM347" t="str">
        <f>IF(Transaction[[#This Row],[ContractType]]="","Missing Value",Transaction[[#This Row],[ContractType]])</f>
        <v>Standard PO</v>
      </c>
      <c r="AN347" t="s">
        <v>43</v>
      </c>
    </row>
    <row r="348" spans="1:40" x14ac:dyDescent="0.25">
      <c r="A348" t="s">
        <v>73</v>
      </c>
      <c r="B348" s="1">
        <v>45822</v>
      </c>
      <c r="C34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34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34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48" s="2">
        <f>IFERROR(DATE(Transaction[[#This Row],[TransactionDateY]],Transaction[[#This Row],[TransactionDateM]],Transaction[[#This Row],[TransactionDateD]]),"Missing Value")</f>
        <v>45822</v>
      </c>
      <c r="G348" t="s">
        <v>74</v>
      </c>
      <c r="H348" t="str">
        <f>IFERROR(VLOOKUP(Transaction[[#This Row],[CustomerID]],Custumer[],1,0),IF(LEN(Transaction[[#This Row],[CustomerID]])=7,LEFT(Transaction[[#This Row],[CustomerID]],6),"Invalid ID"))</f>
        <v>C-1152</v>
      </c>
      <c r="I348" t="s">
        <v>75</v>
      </c>
      <c r="J348" t="str">
        <f>TRIM(UPPER(Transaction[[#This Row],[ProductID]]))</f>
        <v>P-SA-005</v>
      </c>
      <c r="K348" t="str">
        <f>IFERROR(VLOOKUP(Transaction[[#This Row],[ProductID_Clean]],Product[],1,FALSE),"Invalid ID")</f>
        <v>P-SA-005</v>
      </c>
      <c r="L348" t="str">
        <f>TRIM(SUBSTITUTE(SUBSTITUTE(SUBSTITUTE(SUBSTITUTE(UPPER(Transaction[[#This Row],[Region]]),"EMEA REGION","EMEA"),"APAC REGION","APAC"),"NORTH AMERICA","N. AMERICA"),"N .AMERICA","N.AMERICA"))</f>
        <v>EMEA</v>
      </c>
      <c r="M348" t="s">
        <v>76</v>
      </c>
      <c r="N348" t="s">
        <v>31</v>
      </c>
      <c r="O34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348" t="s">
        <v>77</v>
      </c>
      <c r="Q348" t="str">
        <f>IF(TRIM(Transaction[[#This Row],[SalesChannel]])="","Missing Value",TRIM(Transaction[[#This Row],[SalesChannel]]))</f>
        <v>distributor</v>
      </c>
      <c r="R348" s="4">
        <v>1</v>
      </c>
      <c r="S348" s="4" t="str">
        <f>IF(Transaction[[#This Row],[Quantity]]&lt;0,"Negative-review","Valid")</f>
        <v>Valid</v>
      </c>
      <c r="T348">
        <v>2588.66</v>
      </c>
      <c r="U34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2588.66</v>
      </c>
      <c r="V348">
        <v>3200</v>
      </c>
      <c r="W348">
        <v>3200</v>
      </c>
      <c r="X34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348">
        <f>IF(Transaction[[#This Row],[GrossRevenue_Check]]="Invalid",Transaction[[#This Row],[ListPrice]]*Transaction[[#This Row],[Quantity]],Transaction[[#This Row],[GrossRevenue_Clean]])</f>
        <v>3200</v>
      </c>
      <c r="Z348" t="str">
        <f>IF(Transaction[[#This Row],[GrossRevenue_Clean]]=Transaction[[#This Row],[ListPrice]]*Transaction[[#This Row],[Quantity]],"Valid","Invalid")</f>
        <v>Valid</v>
      </c>
      <c r="AA348">
        <v>611.34</v>
      </c>
      <c r="AB34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611.34</v>
      </c>
      <c r="AC348">
        <f>IF(Transaction[[#This Row],[DiscountAmount_Check2]]="Invalid",Transaction[[#This Row],[GrossRevenue_Analytical]]-Transaction[[#This Row],[NetRevenue_Analytical]],Transaction[[#This Row],[DiscountAmount_Clean]])</f>
        <v>611.34</v>
      </c>
      <c r="AD348">
        <v>2588.66</v>
      </c>
      <c r="AE348" t="str">
        <f>IF(ROUND(Transaction[[#This Row],[GrossRevenue_Analytical]]-Transaction[[#This Row],[NetRevenue_Analytical]],2)=ROUND(Transaction[[#This Row],[DiscountAmount_Clean]],2),"Valid","Invalid")</f>
        <v>Valid</v>
      </c>
      <c r="AF34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2588.66</v>
      </c>
      <c r="AG348">
        <f>IF(Transaction[[#This Row],[NetRevenue_Check]]="Invalid",(Transaction[[#This Row],[Quantity]]*Transaction[[#This Row],[UnitPrice_Clean]]),Transaction[[#This Row],[NetRevenue_Clean]])</f>
        <v>2588.66</v>
      </c>
      <c r="AH348" t="str">
        <f>IF(Transaction[[#This Row],[Quantity]]*Transaction[[#This Row],[UnitPrice_Clean]]=Transaction[[#This Row],[NetRevenue_Clean]],"Valid","Invalid")</f>
        <v>Valid</v>
      </c>
      <c r="AI348" t="s">
        <v>23</v>
      </c>
      <c r="AJ348" t="s">
        <v>78</v>
      </c>
      <c r="AK348" t="str">
        <f>IF(Transaction[[#This Row],[Salesperson]]="","Missing Value",TRIM(PROPER(Transaction[[#This Row],[Salesperson]])))</f>
        <v>Taylor-Ap</v>
      </c>
      <c r="AL348" t="s">
        <v>34</v>
      </c>
      <c r="AM348" t="str">
        <f>IF(Transaction[[#This Row],[ContractType]]="","Missing Value",Transaction[[#This Row],[ContractType]])</f>
        <v>Annual License</v>
      </c>
      <c r="AN348" t="s">
        <v>26</v>
      </c>
    </row>
    <row r="349" spans="1:40" x14ac:dyDescent="0.25">
      <c r="A349" t="s">
        <v>914</v>
      </c>
      <c r="B349" t="s">
        <v>677</v>
      </c>
      <c r="C34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12</v>
      </c>
      <c r="D34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34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2024</v>
      </c>
      <c r="F349" s="2">
        <f>IFERROR(DATE(Transaction[[#This Row],[TransactionDateY]],Transaction[[#This Row],[TransactionDateM]],Transaction[[#This Row],[TransactionDateD]]),"Missing Value")</f>
        <v>45651</v>
      </c>
      <c r="G349" t="s">
        <v>541</v>
      </c>
      <c r="H349" t="str">
        <f>IFERROR(VLOOKUP(Transaction[[#This Row],[CustomerID]],Custumer[],1,0),IF(LEN(Transaction[[#This Row],[CustomerID]])=7,LEFT(Transaction[[#This Row],[CustomerID]],6),"Invalid ID"))</f>
        <v>C-1075</v>
      </c>
      <c r="I349" t="s">
        <v>258</v>
      </c>
      <c r="J349" t="str">
        <f>TRIM(UPPER(Transaction[[#This Row],[ProductID]]))</f>
        <v>P-SA-003</v>
      </c>
      <c r="K349" t="str">
        <f>IFERROR(VLOOKUP(Transaction[[#This Row],[ProductID_Clean]],Product[],1,FALSE),"Invalid ID")</f>
        <v>P-SA-003</v>
      </c>
      <c r="L349" t="str">
        <f>TRIM(SUBSTITUTE(SUBSTITUTE(SUBSTITUTE(SUBSTITUTE(UPPER(Transaction[[#This Row],[Region]]),"EMEA REGION","EMEA"),"APAC REGION","APAC"),"NORTH AMERICA","N. AMERICA"),"N .AMERICA","N.AMERICA"))</f>
        <v>N. AMERICA</v>
      </c>
      <c r="M349" t="s">
        <v>20</v>
      </c>
      <c r="N349" t="s">
        <v>31</v>
      </c>
      <c r="O34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349" t="s">
        <v>22</v>
      </c>
      <c r="Q349" t="str">
        <f>IF(TRIM(Transaction[[#This Row],[SalesChannel]])="","Missing Value",TRIM(Transaction[[#This Row],[SalesChannel]]))</f>
        <v>Direct</v>
      </c>
      <c r="R349" s="4">
        <v>1</v>
      </c>
      <c r="S349" s="4" t="str">
        <f>IF(Transaction[[#This Row],[Quantity]]&lt;0,"Negative-review","Valid")</f>
        <v>Valid</v>
      </c>
      <c r="T349">
        <v>2166.9899999999998</v>
      </c>
      <c r="U34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2166.9899999999998</v>
      </c>
      <c r="V349">
        <v>2750</v>
      </c>
      <c r="W349">
        <v>2750</v>
      </c>
      <c r="X34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349">
        <f>IF(Transaction[[#This Row],[GrossRevenue_Check]]="Invalid",Transaction[[#This Row],[ListPrice]]*Transaction[[#This Row],[Quantity]],Transaction[[#This Row],[GrossRevenue_Clean]])</f>
        <v>2750</v>
      </c>
      <c r="Z349" t="str">
        <f>IF(Transaction[[#This Row],[GrossRevenue_Clean]]=Transaction[[#This Row],[ListPrice]]*Transaction[[#This Row],[Quantity]],"Valid","Invalid")</f>
        <v>Valid</v>
      </c>
      <c r="AA349">
        <v>583.01</v>
      </c>
      <c r="AB34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583.01</v>
      </c>
      <c r="AC349">
        <f>IF(Transaction[[#This Row],[DiscountAmount_Check2]]="Invalid",Transaction[[#This Row],[GrossRevenue_Analytical]]-Transaction[[#This Row],[NetRevenue_Analytical]],Transaction[[#This Row],[DiscountAmount_Clean]])</f>
        <v>583.01</v>
      </c>
      <c r="AD349">
        <v>2166.9899999999998</v>
      </c>
      <c r="AE349" t="str">
        <f>IF(ROUND(Transaction[[#This Row],[GrossRevenue_Analytical]]-Transaction[[#This Row],[NetRevenue_Analytical]],2)=ROUND(Transaction[[#This Row],[DiscountAmount_Clean]],2),"Valid","Invalid")</f>
        <v>Valid</v>
      </c>
      <c r="AF34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2166.9899999999998</v>
      </c>
      <c r="AG349">
        <f>IF(Transaction[[#This Row],[NetRevenue_Check]]="Invalid",(Transaction[[#This Row],[Quantity]]*Transaction[[#This Row],[UnitPrice_Clean]]),Transaction[[#This Row],[NetRevenue_Clean]])</f>
        <v>2166.9899999999998</v>
      </c>
      <c r="AH349" t="str">
        <f>IF(Transaction[[#This Row],[Quantity]]*Transaction[[#This Row],[UnitPrice_Clean]]=Transaction[[#This Row],[NetRevenue_Clean]],"Valid","Invalid")</f>
        <v>Valid</v>
      </c>
      <c r="AI349" t="s">
        <v>99</v>
      </c>
      <c r="AJ349" t="s">
        <v>588</v>
      </c>
      <c r="AK349" t="str">
        <f>IF(Transaction[[#This Row],[Salesperson]]="","Missing Value",TRIM(PROPER(Transaction[[#This Row],[Salesperson]])))</f>
        <v>Taylor</v>
      </c>
      <c r="AL349" t="s">
        <v>210</v>
      </c>
      <c r="AM349" t="str">
        <f>IF(Transaction[[#This Row],[ContractType]]="","Missing Value",Transaction[[#This Row],[ContractType]])</f>
        <v>Perpetual</v>
      </c>
      <c r="AN349" t="s">
        <v>49</v>
      </c>
    </row>
    <row r="350" spans="1:40" x14ac:dyDescent="0.25">
      <c r="A350" t="s">
        <v>2710</v>
      </c>
      <c r="B350" s="1">
        <v>45810</v>
      </c>
      <c r="C35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35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35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50" s="2">
        <f>IFERROR(DATE(Transaction[[#This Row],[TransactionDateY]],Transaction[[#This Row],[TransactionDateM]],Transaction[[#This Row],[TransactionDateD]]),"Missing Value")</f>
        <v>45810</v>
      </c>
      <c r="G350" t="s">
        <v>784</v>
      </c>
      <c r="H350" t="str">
        <f>IFERROR(VLOOKUP(Transaction[[#This Row],[CustomerID]],Custumer[],1,0),IF(LEN(Transaction[[#This Row],[CustomerID]])=7,LEFT(Transaction[[#This Row],[CustomerID]],6),"Invalid ID"))</f>
        <v>C-1159</v>
      </c>
      <c r="I350" t="s">
        <v>97</v>
      </c>
      <c r="J350" t="str">
        <f>TRIM(UPPER(Transaction[[#This Row],[ProductID]]))</f>
        <v>P-SI-001</v>
      </c>
      <c r="K350" t="str">
        <f>IFERROR(VLOOKUP(Transaction[[#This Row],[ProductID_Clean]],Product[],1,FALSE),"Invalid ID")</f>
        <v>P-SI-001</v>
      </c>
      <c r="L350" t="str">
        <f>TRIM(SUBSTITUTE(SUBSTITUTE(SUBSTITUTE(SUBSTITUTE(UPPER(Transaction[[#This Row],[Region]]),"EMEA REGION","EMEA"),"APAC REGION","APAC"),"NORTH AMERICA","N. AMERICA"),"N .AMERICA","N.AMERICA"))</f>
        <v>EMEA</v>
      </c>
      <c r="M350" t="s">
        <v>87</v>
      </c>
      <c r="N350" t="s">
        <v>98</v>
      </c>
      <c r="O35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50" t="s">
        <v>32</v>
      </c>
      <c r="Q350" t="str">
        <f>IF(TRIM(Transaction[[#This Row],[SalesChannel]])="","Missing Value",TRIM(Transaction[[#This Row],[SalesChannel]]))</f>
        <v>Direct</v>
      </c>
      <c r="R350" s="4">
        <v>1</v>
      </c>
      <c r="S350" s="4" t="str">
        <f>IF(Transaction[[#This Row],[Quantity]]&lt;0,"Negative-review","Valid")</f>
        <v>Valid</v>
      </c>
      <c r="T350">
        <v>455.67</v>
      </c>
      <c r="U35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455.67</v>
      </c>
      <c r="V350">
        <v>485</v>
      </c>
      <c r="W350">
        <v>485</v>
      </c>
      <c r="X35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350">
        <f>IF(Transaction[[#This Row],[GrossRevenue_Check]]="Invalid",Transaction[[#This Row],[ListPrice]]*Transaction[[#This Row],[Quantity]],Transaction[[#This Row],[GrossRevenue_Clean]])</f>
        <v>485</v>
      </c>
      <c r="Z350" t="str">
        <f>IF(Transaction[[#This Row],[GrossRevenue_Clean]]=Transaction[[#This Row],[ListPrice]]*Transaction[[#This Row],[Quantity]],"Valid","Invalid")</f>
        <v>Valid</v>
      </c>
      <c r="AA350">
        <v>29.33</v>
      </c>
      <c r="AB35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29.33</v>
      </c>
      <c r="AC350">
        <f>IF(Transaction[[#This Row],[DiscountAmount_Check2]]="Invalid",Transaction[[#This Row],[GrossRevenue_Analytical]]-Transaction[[#This Row],[NetRevenue_Analytical]],Transaction[[#This Row],[DiscountAmount_Clean]])</f>
        <v>29.33</v>
      </c>
      <c r="AD350">
        <v>455.67</v>
      </c>
      <c r="AE350" t="str">
        <f>IF(ROUND(Transaction[[#This Row],[GrossRevenue_Analytical]]-Transaction[[#This Row],[NetRevenue_Analytical]],2)=ROUND(Transaction[[#This Row],[DiscountAmount_Clean]],2),"Valid","Invalid")</f>
        <v>Valid</v>
      </c>
      <c r="AF350">
        <f>VALUE(IF(ISNUMBER(Transaction[[#This Row],[NetRevenue]]),Transaction[[#This Row],[NetRevenue]],IFERROR(IF(FIND("$",Transaction[[#This Row],[NetRevenue]])&gt;0,MID(Transaction[[#This Row],[NetRevenue]],2,10)),Transaction[[#This Row],[NetRevenue]])))</f>
        <v>455.67</v>
      </c>
      <c r="AG350">
        <f>IF(Transaction[[#This Row],[NetRevenue_Check]]="Invalid",(Transaction[[#This Row],[Quantity]]*Transaction[[#This Row],[UnitPrice_Clean]]),Transaction[[#This Row],[NetRevenue_Clean]])</f>
        <v>455.67</v>
      </c>
      <c r="AH350" t="str">
        <f>IF(Transaction[[#This Row],[Quantity]]*Transaction[[#This Row],[UnitPrice_Clean]]=Transaction[[#This Row],[NetRevenue_Clean]],"Valid","Invalid")</f>
        <v>Valid</v>
      </c>
      <c r="AI350" t="s">
        <v>23</v>
      </c>
      <c r="AJ350" t="s">
        <v>2711</v>
      </c>
      <c r="AK350" t="str">
        <f>IF(Transaction[[#This Row],[Salesperson]]="","Missing Value",TRIM(PROPER(Transaction[[#This Row],[Salesperson]])))</f>
        <v>Baldwin</v>
      </c>
      <c r="AL350" t="s">
        <v>42</v>
      </c>
      <c r="AM350" t="str">
        <f>IF(Transaction[[#This Row],[ContractType]]="","Missing Value",Transaction[[#This Row],[ContractType]])</f>
        <v>Standard PO</v>
      </c>
      <c r="AN350" t="s">
        <v>49</v>
      </c>
    </row>
    <row r="351" spans="1:40" x14ac:dyDescent="0.25">
      <c r="A351" t="s">
        <v>941</v>
      </c>
      <c r="B351" s="1">
        <v>45670</v>
      </c>
      <c r="C35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35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35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51" s="2">
        <f>IFERROR(DATE(Transaction[[#This Row],[TransactionDateY]],Transaction[[#This Row],[TransactionDateM]],Transaction[[#This Row],[TransactionDateD]]),"Missing Value")</f>
        <v>45670</v>
      </c>
      <c r="G351" t="s">
        <v>942</v>
      </c>
      <c r="H351" t="str">
        <f>IFERROR(VLOOKUP(Transaction[[#This Row],[CustomerID]],Custumer[],1,0),IF(LEN(Transaction[[#This Row],[CustomerID]])=7,LEFT(Transaction[[#This Row],[CustomerID]],6),"Invalid ID"))</f>
        <v>C-1072</v>
      </c>
      <c r="I351" t="s">
        <v>117</v>
      </c>
      <c r="J351" t="str">
        <f>TRIM(UPPER(Transaction[[#This Row],[ProductID]]))</f>
        <v>P-SI-007</v>
      </c>
      <c r="K351" t="str">
        <f>IFERROR(VLOOKUP(Transaction[[#This Row],[ProductID_Clean]],Product[],1,FALSE),"Invalid ID")</f>
        <v>P-SI-007</v>
      </c>
      <c r="L351" t="str">
        <f>TRIM(SUBSTITUTE(SUBSTITUTE(SUBSTITUTE(SUBSTITUTE(UPPER(Transaction[[#This Row],[Region]]),"EMEA REGION","EMEA"),"APAC REGION","APAC"),"NORTH AMERICA","N. AMERICA"),"N .AMERICA","N.AMERICA"))</f>
        <v>N. AMERICA</v>
      </c>
      <c r="M351" t="s">
        <v>20</v>
      </c>
      <c r="N351" t="s">
        <v>98</v>
      </c>
      <c r="O35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51" t="s">
        <v>40</v>
      </c>
      <c r="Q351" t="str">
        <f>IF(TRIM(Transaction[[#This Row],[SalesChannel]])="","Missing Value",TRIM(Transaction[[#This Row],[SalesChannel]]))</f>
        <v>Distributor</v>
      </c>
      <c r="R351" s="4">
        <v>1</v>
      </c>
      <c r="S351" s="4" t="str">
        <f>IF(Transaction[[#This Row],[Quantity]]&lt;0,"Negative-review","Valid")</f>
        <v>Valid</v>
      </c>
      <c r="T351">
        <v>822.46</v>
      </c>
      <c r="U35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822.46</v>
      </c>
      <c r="V351">
        <v>980</v>
      </c>
      <c r="W351">
        <v>980</v>
      </c>
      <c r="X35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351">
        <f>IF(Transaction[[#This Row],[GrossRevenue_Check]]="Invalid",Transaction[[#This Row],[ListPrice]]*Transaction[[#This Row],[Quantity]],Transaction[[#This Row],[GrossRevenue_Clean]])</f>
        <v>980</v>
      </c>
      <c r="Z351" t="str">
        <f>IF(Transaction[[#This Row],[GrossRevenue_Clean]]=Transaction[[#This Row],[ListPrice]]*Transaction[[#This Row],[Quantity]],"Valid","Invalid")</f>
        <v>Valid</v>
      </c>
      <c r="AA351">
        <v>157.54</v>
      </c>
      <c r="AB35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157.54</v>
      </c>
      <c r="AC351">
        <f>IF(Transaction[[#This Row],[DiscountAmount_Check2]]="Invalid",Transaction[[#This Row],[GrossRevenue_Analytical]]-Transaction[[#This Row],[NetRevenue_Analytical]],Transaction[[#This Row],[DiscountAmount_Clean]])</f>
        <v>157.54</v>
      </c>
      <c r="AD351">
        <v>822.46</v>
      </c>
      <c r="AE351" t="str">
        <f>IF(ROUND(Transaction[[#This Row],[GrossRevenue_Analytical]]-Transaction[[#This Row],[NetRevenue_Analytical]],2)=ROUND(Transaction[[#This Row],[DiscountAmount_Clean]],2),"Valid","Invalid")</f>
        <v>Valid</v>
      </c>
      <c r="AF351">
        <f>VALUE(IF(ISNUMBER(Transaction[[#This Row],[NetRevenue]]),Transaction[[#This Row],[NetRevenue]],IFERROR(IF(FIND("$",Transaction[[#This Row],[NetRevenue]])&gt;0,MID(Transaction[[#This Row],[NetRevenue]],2,10)),Transaction[[#This Row],[NetRevenue]])))</f>
        <v>822.46</v>
      </c>
      <c r="AG351">
        <f>IF(Transaction[[#This Row],[NetRevenue_Check]]="Invalid",(Transaction[[#This Row],[Quantity]]*Transaction[[#This Row],[UnitPrice_Clean]]),Transaction[[#This Row],[NetRevenue_Clean]])</f>
        <v>822.46</v>
      </c>
      <c r="AH351" t="str">
        <f>IF(Transaction[[#This Row],[Quantity]]*Transaction[[#This Row],[UnitPrice_Clean]]=Transaction[[#This Row],[NetRevenue_Clean]],"Valid","Invalid")</f>
        <v>Valid</v>
      </c>
      <c r="AI351" t="s">
        <v>23</v>
      </c>
      <c r="AJ351" t="s">
        <v>943</v>
      </c>
      <c r="AK351" t="str">
        <f>IF(Transaction[[#This Row],[Salesperson]]="","Missing Value",TRIM(PROPER(Transaction[[#This Row],[Salesperson]])))</f>
        <v>Acevedo</v>
      </c>
      <c r="AL351" t="s">
        <v>42</v>
      </c>
      <c r="AM351" t="str">
        <f>IF(Transaction[[#This Row],[ContractType]]="","Missing Value",Transaction[[#This Row],[ContractType]])</f>
        <v>Standard PO</v>
      </c>
      <c r="AN351" t="s">
        <v>35</v>
      </c>
    </row>
    <row r="352" spans="1:40" x14ac:dyDescent="0.25">
      <c r="A352" t="s">
        <v>1874</v>
      </c>
      <c r="B352" s="1">
        <v>45720</v>
      </c>
      <c r="C35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35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35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52" s="2">
        <f>IFERROR(DATE(Transaction[[#This Row],[TransactionDateY]],Transaction[[#This Row],[TransactionDateM]],Transaction[[#This Row],[TransactionDateD]]),"Missing Value")</f>
        <v>45720</v>
      </c>
      <c r="G352" t="s">
        <v>360</v>
      </c>
      <c r="H352" t="str">
        <f>IFERROR(VLOOKUP(Transaction[[#This Row],[CustomerID]],Custumer[],1,0),IF(LEN(Transaction[[#This Row],[CustomerID]])=7,LEFT(Transaction[[#This Row],[CustomerID]],6),"Invalid ID"))</f>
        <v>C-1067</v>
      </c>
      <c r="I352" t="s">
        <v>946</v>
      </c>
      <c r="J352" t="str">
        <f>TRIM(UPPER(Transaction[[#This Row],[ProductID]]))</f>
        <v>P-SI-006</v>
      </c>
      <c r="K352" t="str">
        <f>IFERROR(VLOOKUP(Transaction[[#This Row],[ProductID_Clean]],Product[],1,FALSE),"Invalid ID")</f>
        <v>P-SI-006</v>
      </c>
      <c r="L352" t="str">
        <f>TRIM(SUBSTITUTE(SUBSTITUTE(SUBSTITUTE(SUBSTITUTE(UPPER(Transaction[[#This Row],[Region]]),"EMEA REGION","EMEA"),"APAC REGION","APAC"),"NORTH AMERICA","N. AMERICA"),"N .AMERICA","N.AMERICA"))</f>
        <v>APAC</v>
      </c>
      <c r="M352" t="s">
        <v>30</v>
      </c>
      <c r="N352" t="s">
        <v>53</v>
      </c>
      <c r="O35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52" t="s">
        <v>22</v>
      </c>
      <c r="Q352" t="str">
        <f>IF(TRIM(Transaction[[#This Row],[SalesChannel]])="","Missing Value",TRIM(Transaction[[#This Row],[SalesChannel]]))</f>
        <v>Direct</v>
      </c>
      <c r="R352" s="4">
        <v>4</v>
      </c>
      <c r="S352" s="4" t="str">
        <f>IF(Transaction[[#This Row],[Quantity]]&lt;0,"Negative-review","Valid")</f>
        <v>Valid</v>
      </c>
      <c r="T352">
        <v>167.71</v>
      </c>
      <c r="U35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167.71</v>
      </c>
      <c r="V352">
        <v>215</v>
      </c>
      <c r="W352">
        <v>860</v>
      </c>
      <c r="X35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860</v>
      </c>
      <c r="Y352">
        <f>IF(Transaction[[#This Row],[GrossRevenue_Check]]="Invalid",Transaction[[#This Row],[ListPrice]]*Transaction[[#This Row],[Quantity]],Transaction[[#This Row],[GrossRevenue_Clean]])</f>
        <v>860</v>
      </c>
      <c r="Z352" t="str">
        <f>IF(Transaction[[#This Row],[GrossRevenue_Clean]]=Transaction[[#This Row],[ListPrice]]*Transaction[[#This Row],[Quantity]],"Valid","Invalid")</f>
        <v>Valid</v>
      </c>
      <c r="AA352">
        <v>189.16</v>
      </c>
      <c r="AB35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189.16</v>
      </c>
      <c r="AC352">
        <f>IF(Transaction[[#This Row],[DiscountAmount_Check2]]="Invalid",Transaction[[#This Row],[GrossRevenue_Analytical]]-Transaction[[#This Row],[NetRevenue_Analytical]],Transaction[[#This Row],[DiscountAmount_Clean]])</f>
        <v>189.16</v>
      </c>
      <c r="AD352">
        <v>670.84</v>
      </c>
      <c r="AE352" t="str">
        <f>IF(ROUND(Transaction[[#This Row],[GrossRevenue_Analytical]]-Transaction[[#This Row],[NetRevenue_Analytical]],2)=ROUND(Transaction[[#This Row],[DiscountAmount_Clean]],2),"Valid","Invalid")</f>
        <v>Valid</v>
      </c>
      <c r="AF352">
        <f>VALUE(IF(ISNUMBER(Transaction[[#This Row],[NetRevenue]]),Transaction[[#This Row],[NetRevenue]],IFERROR(IF(FIND("$",Transaction[[#This Row],[NetRevenue]])&gt;0,MID(Transaction[[#This Row],[NetRevenue]],2,10)),Transaction[[#This Row],[NetRevenue]])))</f>
        <v>670.84</v>
      </c>
      <c r="AG352">
        <f>IF(Transaction[[#This Row],[NetRevenue_Check]]="Invalid",(Transaction[[#This Row],[Quantity]]*Transaction[[#This Row],[UnitPrice_Clean]]),Transaction[[#This Row],[NetRevenue_Clean]])</f>
        <v>670.84</v>
      </c>
      <c r="AH352" t="str">
        <f>IF(Transaction[[#This Row],[Quantity]]*Transaction[[#This Row],[UnitPrice_Clean]]=Transaction[[#This Row],[NetRevenue_Clean]],"Valid","Invalid")</f>
        <v>Valid</v>
      </c>
      <c r="AI352" t="s">
        <v>23</v>
      </c>
      <c r="AJ352" t="s">
        <v>828</v>
      </c>
      <c r="AK352" t="str">
        <f>IF(Transaction[[#This Row],[Salesperson]]="","Missing Value",TRIM(PROPER(Transaction[[#This Row],[Salesperson]])))</f>
        <v>Johnson</v>
      </c>
      <c r="AL352" t="s">
        <v>25</v>
      </c>
      <c r="AM352" t="str">
        <f>IF(Transaction[[#This Row],[ContractType]]="","Missing Value",Transaction[[#This Row],[ContractType]])</f>
        <v>Frame Agreement</v>
      </c>
      <c r="AN352" t="s">
        <v>43</v>
      </c>
    </row>
    <row r="353" spans="1:40" x14ac:dyDescent="0.25">
      <c r="A353" t="s">
        <v>404</v>
      </c>
      <c r="B353" s="1">
        <v>45802</v>
      </c>
      <c r="C35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35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35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53" s="2">
        <f>IFERROR(DATE(Transaction[[#This Row],[TransactionDateY]],Transaction[[#This Row],[TransactionDateM]],Transaction[[#This Row],[TransactionDateD]]),"Missing Value")</f>
        <v>45802</v>
      </c>
      <c r="G353" t="s">
        <v>405</v>
      </c>
      <c r="H353" t="str">
        <f>IFERROR(VLOOKUP(Transaction[[#This Row],[CustomerID]],Custumer[],1,0),IF(LEN(Transaction[[#This Row],[CustomerID]])=7,LEFT(Transaction[[#This Row],[CustomerID]],6),"Invalid ID"))</f>
        <v>C-1163</v>
      </c>
      <c r="I353" t="s">
        <v>268</v>
      </c>
      <c r="J353" t="str">
        <f>TRIM(UPPER(Transaction[[#This Row],[ProductID]]))</f>
        <v>P-FS-002</v>
      </c>
      <c r="K353" t="str">
        <f>IFERROR(VLOOKUP(Transaction[[#This Row],[ProductID_Clean]],Product[],1,FALSE),"Invalid ID")</f>
        <v>P-FS-002</v>
      </c>
      <c r="L353" t="str">
        <f>TRIM(SUBSTITUTE(SUBSTITUTE(SUBSTITUTE(SUBSTITUTE(UPPER(Transaction[[#This Row],[Region]]),"EMEA REGION","EMEA"),"APAC REGION","APAC"),"NORTH AMERICA","N. AMERICA"),"N .AMERICA","N.AMERICA"))</f>
        <v>APAC</v>
      </c>
      <c r="M353" t="s">
        <v>30</v>
      </c>
      <c r="N353" t="s">
        <v>21</v>
      </c>
      <c r="O35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353" t="s">
        <v>22</v>
      </c>
      <c r="Q353" t="str">
        <f>IF(TRIM(Transaction[[#This Row],[SalesChannel]])="","Missing Value",TRIM(Transaction[[#This Row],[SalesChannel]]))</f>
        <v>Direct</v>
      </c>
      <c r="R353" s="4">
        <v>1</v>
      </c>
      <c r="S353" s="4" t="str">
        <f>IF(Transaction[[#This Row],[Quantity]]&lt;0,"Negative-review","Valid")</f>
        <v>Valid</v>
      </c>
      <c r="T353">
        <v>2156.94</v>
      </c>
      <c r="U35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2156.94</v>
      </c>
      <c r="V353">
        <v>2400</v>
      </c>
      <c r="W353">
        <v>2400</v>
      </c>
      <c r="X35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353">
        <f>IF(Transaction[[#This Row],[GrossRevenue_Check]]="Invalid",Transaction[[#This Row],[ListPrice]]*Transaction[[#This Row],[Quantity]],Transaction[[#This Row],[GrossRevenue_Clean]])</f>
        <v>2400</v>
      </c>
      <c r="Z353" t="str">
        <f>IF(Transaction[[#This Row],[GrossRevenue_Clean]]=Transaction[[#This Row],[ListPrice]]*Transaction[[#This Row],[Quantity]],"Valid","Invalid")</f>
        <v>Valid</v>
      </c>
      <c r="AA353">
        <v>243.06</v>
      </c>
      <c r="AB35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243.06</v>
      </c>
      <c r="AC353">
        <f>IF(Transaction[[#This Row],[DiscountAmount_Check2]]="Invalid",Transaction[[#This Row],[GrossRevenue_Analytical]]-Transaction[[#This Row],[NetRevenue_Analytical]],Transaction[[#This Row],[DiscountAmount_Clean]])</f>
        <v>243.06</v>
      </c>
      <c r="AD353">
        <v>2156.94</v>
      </c>
      <c r="AE353" t="str">
        <f>IF(ROUND(Transaction[[#This Row],[GrossRevenue_Analytical]]-Transaction[[#This Row],[NetRevenue_Analytical]],2)=ROUND(Transaction[[#This Row],[DiscountAmount_Clean]],2),"Valid","Invalid")</f>
        <v>Valid</v>
      </c>
      <c r="AF353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2156.94</v>
      </c>
      <c r="AG353">
        <f>IF(Transaction[[#This Row],[NetRevenue_Check]]="Invalid",(Transaction[[#This Row],[Quantity]]*Transaction[[#This Row],[UnitPrice_Clean]]),Transaction[[#This Row],[NetRevenue_Clean]])</f>
        <v>2156.94</v>
      </c>
      <c r="AH353" t="str">
        <f>IF(Transaction[[#This Row],[Quantity]]*Transaction[[#This Row],[UnitPrice_Clean]]=Transaction[[#This Row],[NetRevenue_Clean]],"Valid","Invalid")</f>
        <v>Valid</v>
      </c>
      <c r="AI353" t="s">
        <v>23</v>
      </c>
      <c r="AJ353" t="s">
        <v>406</v>
      </c>
      <c r="AK353" t="str">
        <f>IF(Transaction[[#This Row],[Salesperson]]="","Missing Value",TRIM(PROPER(Transaction[[#This Row],[Salesperson]])))</f>
        <v>Harris</v>
      </c>
      <c r="AL353" t="s">
        <v>295</v>
      </c>
      <c r="AM353" t="str">
        <f>IF(Transaction[[#This Row],[ContractType]]="","Missing Value",Transaction[[#This Row],[ContractType]])</f>
        <v>Multi-Year</v>
      </c>
      <c r="AN353" t="s">
        <v>65</v>
      </c>
    </row>
    <row r="354" spans="1:40" x14ac:dyDescent="0.25">
      <c r="A354" t="s">
        <v>2425</v>
      </c>
      <c r="B354" s="1">
        <v>45675</v>
      </c>
      <c r="C35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35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35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54" s="2">
        <f>IFERROR(DATE(Transaction[[#This Row],[TransactionDateY]],Transaction[[#This Row],[TransactionDateM]],Transaction[[#This Row],[TransactionDateD]]),"Missing Value")</f>
        <v>45675</v>
      </c>
      <c r="G354" t="s">
        <v>2232</v>
      </c>
      <c r="H354" t="str">
        <f>IFERROR(VLOOKUP(Transaction[[#This Row],[CustomerID]],Custumer[],1,0),IF(LEN(Transaction[[#This Row],[CustomerID]])=7,LEFT(Transaction[[#This Row],[CustomerID]],6),"Invalid ID"))</f>
        <v>C-1149</v>
      </c>
      <c r="I354" t="s">
        <v>46</v>
      </c>
      <c r="J354" t="str">
        <f>TRIM(UPPER(Transaction[[#This Row],[ProductID]]))</f>
        <v>P-SI-006</v>
      </c>
      <c r="K354" t="str">
        <f>IFERROR(VLOOKUP(Transaction[[#This Row],[ProductID_Clean]],Product[],1,FALSE),"Invalid ID")</f>
        <v>P-SI-006</v>
      </c>
      <c r="L354" t="str">
        <f>TRIM(SUBSTITUTE(SUBSTITUTE(SUBSTITUTE(SUBSTITUTE(UPPER(Transaction[[#This Row],[Region]]),"EMEA REGION","EMEA"),"APAC REGION","APAC"),"NORTH AMERICA","N. AMERICA"),"N .AMERICA","N.AMERICA"))</f>
        <v>N. AMERICA</v>
      </c>
      <c r="M354" t="s">
        <v>20</v>
      </c>
      <c r="N354" t="s">
        <v>53</v>
      </c>
      <c r="O35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54" t="s">
        <v>22</v>
      </c>
      <c r="Q354" t="str">
        <f>IF(TRIM(Transaction[[#This Row],[SalesChannel]])="","Missing Value",TRIM(Transaction[[#This Row],[SalesChannel]]))</f>
        <v>Direct</v>
      </c>
      <c r="R354" s="4">
        <v>1</v>
      </c>
      <c r="S354" s="4" t="str">
        <f>IF(Transaction[[#This Row],[Quantity]]&lt;0,"Negative-review","Valid")</f>
        <v>Valid</v>
      </c>
      <c r="T354">
        <v>172.39</v>
      </c>
      <c r="U35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172.39</v>
      </c>
      <c r="V354">
        <v>215</v>
      </c>
      <c r="W354">
        <v>215</v>
      </c>
      <c r="X35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354">
        <f>IF(Transaction[[#This Row],[GrossRevenue_Check]]="Invalid",Transaction[[#This Row],[ListPrice]]*Transaction[[#This Row],[Quantity]],Transaction[[#This Row],[GrossRevenue_Clean]])</f>
        <v>215</v>
      </c>
      <c r="Z354" t="str">
        <f>IF(Transaction[[#This Row],[GrossRevenue_Clean]]=Transaction[[#This Row],[ListPrice]]*Transaction[[#This Row],[Quantity]],"Valid","Invalid")</f>
        <v>Valid</v>
      </c>
      <c r="AA354">
        <v>42.61</v>
      </c>
      <c r="AB35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42.61</v>
      </c>
      <c r="AC354">
        <f>IF(Transaction[[#This Row],[DiscountAmount_Check2]]="Invalid",Transaction[[#This Row],[GrossRevenue_Analytical]]-Transaction[[#This Row],[NetRevenue_Analytical]],Transaction[[#This Row],[DiscountAmount_Clean]])</f>
        <v>42.61</v>
      </c>
      <c r="AD354">
        <v>172.39</v>
      </c>
      <c r="AE354" t="str">
        <f>IF(ROUND(Transaction[[#This Row],[GrossRevenue_Analytical]]-Transaction[[#This Row],[NetRevenue_Analytical]],2)=ROUND(Transaction[[#This Row],[DiscountAmount_Clean]],2),"Valid","Invalid")</f>
        <v>Valid</v>
      </c>
      <c r="AF35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172.39</v>
      </c>
      <c r="AG354">
        <f>IF(Transaction[[#This Row],[NetRevenue_Check]]="Invalid",(Transaction[[#This Row],[Quantity]]*Transaction[[#This Row],[UnitPrice_Clean]]),Transaction[[#This Row],[NetRevenue_Clean]])</f>
        <v>172.39</v>
      </c>
      <c r="AH354" t="str">
        <f>IF(Transaction[[#This Row],[Quantity]]*Transaction[[#This Row],[UnitPrice_Clean]]=Transaction[[#This Row],[NetRevenue_Clean]],"Valid","Invalid")</f>
        <v>Valid</v>
      </c>
      <c r="AI354" t="s">
        <v>23</v>
      </c>
      <c r="AJ354" t="s">
        <v>2426</v>
      </c>
      <c r="AK354" t="str">
        <f>IF(Transaction[[#This Row],[Salesperson]]="","Missing Value",TRIM(PROPER(Transaction[[#This Row],[Salesperson]])))</f>
        <v>Moody-Em</v>
      </c>
      <c r="AL354" t="s">
        <v>42</v>
      </c>
      <c r="AM354" t="str">
        <f>IF(Transaction[[#This Row],[ContractType]]="","Missing Value",Transaction[[#This Row],[ContractType]])</f>
        <v>Standard PO</v>
      </c>
      <c r="AN354" t="s">
        <v>43</v>
      </c>
    </row>
    <row r="355" spans="1:40" x14ac:dyDescent="0.25">
      <c r="A355" t="s">
        <v>36</v>
      </c>
      <c r="B355" t="s">
        <v>37</v>
      </c>
      <c r="C35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35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35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55" s="2">
        <f>IFERROR(DATE(Transaction[[#This Row],[TransactionDateY]],Transaction[[#This Row],[TransactionDateM]],Transaction[[#This Row],[TransactionDateD]]),"Missing Value")</f>
        <v>45711</v>
      </c>
      <c r="G355" t="s">
        <v>38</v>
      </c>
      <c r="H355" t="str">
        <f>IFERROR(VLOOKUP(Transaction[[#This Row],[CustomerID]],Custumer[],1,0),IF(LEN(Transaction[[#This Row],[CustomerID]])=7,LEFT(Transaction[[#This Row],[CustomerID]],6),"Invalid ID"))</f>
        <v>C-1027</v>
      </c>
      <c r="I355" t="s">
        <v>39</v>
      </c>
      <c r="J355" t="str">
        <f>TRIM(UPPER(Transaction[[#This Row],[ProductID]]))</f>
        <v>P-FS-006</v>
      </c>
      <c r="K355" t="str">
        <f>IFERROR(VLOOKUP(Transaction[[#This Row],[ProductID_Clean]],Product[],1,FALSE),"Invalid ID")</f>
        <v>P-FS-006</v>
      </c>
      <c r="L355" t="str">
        <f>TRIM(SUBSTITUTE(SUBSTITUTE(SUBSTITUTE(SUBSTITUTE(UPPER(Transaction[[#This Row],[Region]]),"EMEA REGION","EMEA"),"APAC REGION","APAC"),"NORTH AMERICA","N. AMERICA"),"N .AMERICA","N.AMERICA"))</f>
        <v>N. AMERICA</v>
      </c>
      <c r="M355" t="s">
        <v>20</v>
      </c>
      <c r="N355" t="s">
        <v>21</v>
      </c>
      <c r="O35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355" t="s">
        <v>40</v>
      </c>
      <c r="Q355" t="str">
        <f>IF(TRIM(Transaction[[#This Row],[SalesChannel]])="","Missing Value",TRIM(Transaction[[#This Row],[SalesChannel]]))</f>
        <v>Distributor</v>
      </c>
      <c r="R355" s="4">
        <v>2</v>
      </c>
      <c r="S355" s="4" t="str">
        <f>IF(Transaction[[#This Row],[Quantity]]&lt;0,"Negative-review","Valid")</f>
        <v>Valid</v>
      </c>
      <c r="T355">
        <v>1056.96</v>
      </c>
      <c r="U35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1056.96</v>
      </c>
      <c r="V355">
        <v>1450</v>
      </c>
      <c r="W355">
        <v>2900</v>
      </c>
      <c r="X35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2900</v>
      </c>
      <c r="Y355">
        <f>IF(Transaction[[#This Row],[GrossRevenue_Check]]="Invalid",Transaction[[#This Row],[ListPrice]]*Transaction[[#This Row],[Quantity]],Transaction[[#This Row],[GrossRevenue_Clean]])</f>
        <v>2900</v>
      </c>
      <c r="Z355" t="str">
        <f>IF(Transaction[[#This Row],[GrossRevenue_Clean]]=Transaction[[#This Row],[ListPrice]]*Transaction[[#This Row],[Quantity]],"Valid","Invalid")</f>
        <v>Valid</v>
      </c>
      <c r="AA355">
        <v>786.08</v>
      </c>
      <c r="AB35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786.08</v>
      </c>
      <c r="AC355">
        <f>IF(Transaction[[#This Row],[DiscountAmount_Check2]]="Invalid",Transaction[[#This Row],[GrossRevenue_Analytical]]-Transaction[[#This Row],[NetRevenue_Analytical]],Transaction[[#This Row],[DiscountAmount_Clean]])</f>
        <v>786.08</v>
      </c>
      <c r="AD355">
        <v>2113.92</v>
      </c>
      <c r="AE355" t="str">
        <f>IF(ROUND(Transaction[[#This Row],[GrossRevenue_Analytical]]-Transaction[[#This Row],[NetRevenue_Analytical]],2)=ROUND(Transaction[[#This Row],[DiscountAmount_Clean]],2),"Valid","Invalid")</f>
        <v>Valid</v>
      </c>
      <c r="AF355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2113.92</v>
      </c>
      <c r="AG355">
        <f>IF(Transaction[[#This Row],[NetRevenue_Check]]="Invalid",(Transaction[[#This Row],[Quantity]]*Transaction[[#This Row],[UnitPrice_Clean]]),Transaction[[#This Row],[NetRevenue_Clean]])</f>
        <v>2113.92</v>
      </c>
      <c r="AH355" t="str">
        <f>IF(Transaction[[#This Row],[Quantity]]*Transaction[[#This Row],[UnitPrice_Clean]]=Transaction[[#This Row],[NetRevenue_Clean]],"Valid","Invalid")</f>
        <v>Valid</v>
      </c>
      <c r="AI355" t="s">
        <v>23</v>
      </c>
      <c r="AJ355" t="s">
        <v>41</v>
      </c>
      <c r="AK355" t="str">
        <f>IF(Transaction[[#This Row],[Salesperson]]="","Missing Value",TRIM(PROPER(Transaction[[#This Row],[Salesperson]])))</f>
        <v>Blackwell-Em</v>
      </c>
      <c r="AL355" t="s">
        <v>42</v>
      </c>
      <c r="AM355" t="str">
        <f>IF(Transaction[[#This Row],[ContractType]]="","Missing Value",Transaction[[#This Row],[ContractType]])</f>
        <v>Standard PO</v>
      </c>
      <c r="AN355" t="s">
        <v>43</v>
      </c>
    </row>
    <row r="356" spans="1:40" x14ac:dyDescent="0.25">
      <c r="A356" t="s">
        <v>869</v>
      </c>
      <c r="B356" s="1">
        <v>45713</v>
      </c>
      <c r="C35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35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35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56" s="2">
        <f>IFERROR(DATE(Transaction[[#This Row],[TransactionDateY]],Transaction[[#This Row],[TransactionDateM]],Transaction[[#This Row],[TransactionDateD]]),"Missing Value")</f>
        <v>45713</v>
      </c>
      <c r="G356" t="s">
        <v>135</v>
      </c>
      <c r="H356" t="str">
        <f>IFERROR(VLOOKUP(Transaction[[#This Row],[CustomerID]],Custumer[],1,0),IF(LEN(Transaction[[#This Row],[CustomerID]])=7,LEFT(Transaction[[#This Row],[CustomerID]],6),"Invalid ID"))</f>
        <v>C-1112</v>
      </c>
      <c r="I356" t="s">
        <v>46</v>
      </c>
      <c r="J356" t="str">
        <f>TRIM(UPPER(Transaction[[#This Row],[ProductID]]))</f>
        <v>P-SI-006</v>
      </c>
      <c r="K356" t="str">
        <f>IFERROR(VLOOKUP(Transaction[[#This Row],[ProductID_Clean]],Product[],1,FALSE),"Invalid ID")</f>
        <v>P-SI-006</v>
      </c>
      <c r="L356" t="str">
        <f>TRIM(SUBSTITUTE(SUBSTITUTE(SUBSTITUTE(SUBSTITUTE(UPPER(Transaction[[#This Row],[Region]]),"EMEA REGION","EMEA"),"APAC REGION","APAC"),"NORTH AMERICA","N. AMERICA"),"N .AMERICA","N.AMERICA"))</f>
        <v>N. AMERICA</v>
      </c>
      <c r="M356" t="s">
        <v>168</v>
      </c>
      <c r="N356" t="s">
        <v>53</v>
      </c>
      <c r="O35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56" t="s">
        <v>40</v>
      </c>
      <c r="Q356" t="str">
        <f>IF(TRIM(Transaction[[#This Row],[SalesChannel]])="","Missing Value",TRIM(Transaction[[#This Row],[SalesChannel]]))</f>
        <v>Distributor</v>
      </c>
      <c r="R356" s="4">
        <v>2</v>
      </c>
      <c r="S356" s="4" t="str">
        <f>IF(Transaction[[#This Row],[Quantity]]&lt;0,"Negative-review","Valid")</f>
        <v>Valid</v>
      </c>
      <c r="T356">
        <v>157.51</v>
      </c>
      <c r="U35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157.51</v>
      </c>
      <c r="V356">
        <v>215</v>
      </c>
      <c r="W356">
        <v>430</v>
      </c>
      <c r="X35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356">
        <f>IF(Transaction[[#This Row],[GrossRevenue_Check]]="Invalid",Transaction[[#This Row],[ListPrice]]*Transaction[[#This Row],[Quantity]],Transaction[[#This Row],[GrossRevenue_Clean]])</f>
        <v>430</v>
      </c>
      <c r="Z356" t="str">
        <f>IF(Transaction[[#This Row],[GrossRevenue_Clean]]=Transaction[[#This Row],[ListPrice]]*Transaction[[#This Row],[Quantity]],"Valid","Invalid")</f>
        <v>Valid</v>
      </c>
      <c r="AA356">
        <v>114.98</v>
      </c>
      <c r="AB35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114.98</v>
      </c>
      <c r="AC356">
        <f>IF(Transaction[[#This Row],[DiscountAmount_Check2]]="Invalid",Transaction[[#This Row],[GrossRevenue_Analytical]]-Transaction[[#This Row],[NetRevenue_Analytical]],Transaction[[#This Row],[DiscountAmount_Clean]])</f>
        <v>114.98</v>
      </c>
      <c r="AD356" t="s">
        <v>870</v>
      </c>
      <c r="AE356" t="str">
        <f>IF(ROUND(Transaction[[#This Row],[GrossRevenue_Analytical]]-Transaction[[#This Row],[NetRevenue_Analytical]],2)=ROUND(Transaction[[#This Row],[DiscountAmount_Clean]],2),"Valid","Invalid")</f>
        <v>Valid</v>
      </c>
      <c r="AF356">
        <f>VALUE(IF(ISNUMBER(Transaction[[#This Row],[NetRevenue]]),Transaction[[#This Row],[NetRevenue]],IFERROR(IF(FIND("$",Transaction[[#This Row],[NetRevenue]])&gt;0,MID(Transaction[[#This Row],[NetRevenue]],2,10)),Transaction[[#This Row],[NetRevenue]])))</f>
        <v>315.02</v>
      </c>
      <c r="AG356">
        <f>IF(Transaction[[#This Row],[NetRevenue_Check]]="Invalid",(Transaction[[#This Row],[Quantity]]*Transaction[[#This Row],[UnitPrice_Clean]]),Transaction[[#This Row],[NetRevenue_Clean]])</f>
        <v>315.02</v>
      </c>
      <c r="AH356" t="str">
        <f>IF(Transaction[[#This Row],[Quantity]]*Transaction[[#This Row],[UnitPrice_Clean]]=Transaction[[#This Row],[NetRevenue_Clean]],"Valid","Invalid")</f>
        <v>Valid</v>
      </c>
      <c r="AI356" t="s">
        <v>23</v>
      </c>
      <c r="AJ356" t="s">
        <v>871</v>
      </c>
      <c r="AK356" t="str">
        <f>IF(Transaction[[#This Row],[Salesperson]]="","Missing Value",TRIM(PROPER(Transaction[[#This Row],[Salesperson]])))</f>
        <v>Stewart</v>
      </c>
      <c r="AL356" t="s">
        <v>25</v>
      </c>
      <c r="AM356" t="str">
        <f>IF(Transaction[[#This Row],[ContractType]]="","Missing Value",Transaction[[#This Row],[ContractType]])</f>
        <v>Frame Agreement</v>
      </c>
      <c r="AN356" t="s">
        <v>43</v>
      </c>
    </row>
    <row r="357" spans="1:40" x14ac:dyDescent="0.25">
      <c r="A357" t="s">
        <v>108</v>
      </c>
      <c r="B357" t="s">
        <v>109</v>
      </c>
      <c r="C35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35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35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57" s="2">
        <f>IFERROR(DATE(Transaction[[#This Row],[TransactionDateY]],Transaction[[#This Row],[TransactionDateM]],Transaction[[#This Row],[TransactionDateD]]),"Missing Value")</f>
        <v>45742</v>
      </c>
      <c r="G357" t="s">
        <v>110</v>
      </c>
      <c r="H357" t="str">
        <f>IFERROR(VLOOKUP(Transaction[[#This Row],[CustomerID]],Custumer[],1,0),IF(LEN(Transaction[[#This Row],[CustomerID]])=7,LEFT(Transaction[[#This Row],[CustomerID]],6),"Invalid ID"))</f>
        <v>C-1100</v>
      </c>
      <c r="I357" t="s">
        <v>111</v>
      </c>
      <c r="J357" t="str">
        <f>TRIM(UPPER(Transaction[[#This Row],[ProductID]]))</f>
        <v>P-SA-004</v>
      </c>
      <c r="K357" t="str">
        <f>IFERROR(VLOOKUP(Transaction[[#This Row],[ProductID_Clean]],Product[],1,FALSE),"Invalid ID")</f>
        <v>P-SA-004</v>
      </c>
      <c r="L357" t="str">
        <f>TRIM(SUBSTITUTE(SUBSTITUTE(SUBSTITUTE(SUBSTITUTE(UPPER(Transaction[[#This Row],[Region]]),"EMEA REGION","EMEA"),"APAC REGION","APAC"),"NORTH AMERICA","N. AMERICA"),"N .AMERICA","N.AMERICA"))</f>
        <v>EMEA</v>
      </c>
      <c r="M357" t="s">
        <v>76</v>
      </c>
      <c r="N357" t="s">
        <v>31</v>
      </c>
      <c r="O35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357" t="s">
        <v>22</v>
      </c>
      <c r="Q357" t="str">
        <f>IF(TRIM(Transaction[[#This Row],[SalesChannel]])="","Missing Value",TRIM(Transaction[[#This Row],[SalesChannel]]))</f>
        <v>Direct</v>
      </c>
      <c r="R357" s="4">
        <v>1</v>
      </c>
      <c r="S357" s="4" t="str">
        <f>IF(Transaction[[#This Row],[Quantity]]&lt;0,"Negative-review","Valid")</f>
        <v>Valid</v>
      </c>
      <c r="T357">
        <v>1349.68</v>
      </c>
      <c r="U35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1349.68</v>
      </c>
      <c r="V357">
        <v>1650</v>
      </c>
      <c r="W357">
        <v>1650</v>
      </c>
      <c r="X35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357">
        <f>IF(Transaction[[#This Row],[GrossRevenue_Check]]="Invalid",Transaction[[#This Row],[ListPrice]]*Transaction[[#This Row],[Quantity]],Transaction[[#This Row],[GrossRevenue_Clean]])</f>
        <v>1650</v>
      </c>
      <c r="Z357" t="str">
        <f>IF(Transaction[[#This Row],[GrossRevenue_Clean]]=Transaction[[#This Row],[ListPrice]]*Transaction[[#This Row],[Quantity]],"Valid","Invalid")</f>
        <v>Valid</v>
      </c>
      <c r="AA357">
        <v>300.32</v>
      </c>
      <c r="AB35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300.32</v>
      </c>
      <c r="AC357">
        <f>IF(Transaction[[#This Row],[DiscountAmount_Check2]]="Invalid",Transaction[[#This Row],[GrossRevenue_Analytical]]-Transaction[[#This Row],[NetRevenue_Analytical]],Transaction[[#This Row],[DiscountAmount_Clean]])</f>
        <v>300.32</v>
      </c>
      <c r="AD357">
        <v>1349.68</v>
      </c>
      <c r="AE357" t="str">
        <f>IF(ROUND(Transaction[[#This Row],[GrossRevenue_Analytical]]-Transaction[[#This Row],[NetRevenue_Analytical]],2)=ROUND(Transaction[[#This Row],[DiscountAmount_Clean]],2),"Valid","Invalid")</f>
        <v>Valid</v>
      </c>
      <c r="AF35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1349.68</v>
      </c>
      <c r="AG357">
        <f>IF(Transaction[[#This Row],[NetRevenue_Check]]="Invalid",(Transaction[[#This Row],[Quantity]]*Transaction[[#This Row],[UnitPrice_Clean]]),Transaction[[#This Row],[NetRevenue_Clean]])</f>
        <v>1349.68</v>
      </c>
      <c r="AH357" t="str">
        <f>IF(Transaction[[#This Row],[Quantity]]*Transaction[[#This Row],[UnitPrice_Clean]]=Transaction[[#This Row],[NetRevenue_Clean]],"Valid","Invalid")</f>
        <v>Valid</v>
      </c>
      <c r="AI357" t="s">
        <v>23</v>
      </c>
      <c r="AJ357" t="s">
        <v>112</v>
      </c>
      <c r="AK357" t="str">
        <f>IF(Transaction[[#This Row],[Salesperson]]="","Missing Value",TRIM(PROPER(Transaction[[#This Row],[Salesperson]])))</f>
        <v>Collins-Em</v>
      </c>
      <c r="AL357" t="s">
        <v>113</v>
      </c>
      <c r="AM357" t="str">
        <f>IF(Transaction[[#This Row],[ContractType]]="","Missing Value",Transaction[[#This Row],[ContractType]])</f>
        <v>Subscription</v>
      </c>
      <c r="AN357" t="s">
        <v>43</v>
      </c>
    </row>
    <row r="358" spans="1:40" x14ac:dyDescent="0.25">
      <c r="A358" t="s">
        <v>3036</v>
      </c>
      <c r="B358" s="1">
        <v>45710</v>
      </c>
      <c r="C35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35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35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58" s="2">
        <f>IFERROR(DATE(Transaction[[#This Row],[TransactionDateY]],Transaction[[#This Row],[TransactionDateM]],Transaction[[#This Row],[TransactionDateD]]),"Missing Value")</f>
        <v>45710</v>
      </c>
      <c r="G358" t="s">
        <v>247</v>
      </c>
      <c r="H358" t="str">
        <f>IFERROR(VLOOKUP(Transaction[[#This Row],[CustomerID]],Custumer[],1,0),IF(LEN(Transaction[[#This Row],[CustomerID]])=7,LEFT(Transaction[[#This Row],[CustomerID]],6),"Invalid ID"))</f>
        <v>C-1045</v>
      </c>
      <c r="I358" t="s">
        <v>46</v>
      </c>
      <c r="J358" t="str">
        <f>TRIM(UPPER(Transaction[[#This Row],[ProductID]]))</f>
        <v>P-SI-006</v>
      </c>
      <c r="K358" t="str">
        <f>IFERROR(VLOOKUP(Transaction[[#This Row],[ProductID_Clean]],Product[],1,FALSE),"Invalid ID")</f>
        <v>P-SI-006</v>
      </c>
      <c r="L358" t="str">
        <f>TRIM(SUBSTITUTE(SUBSTITUTE(SUBSTITUTE(SUBSTITUTE(UPPER(Transaction[[#This Row],[Region]]),"EMEA REGION","EMEA"),"APAC REGION","APAC"),"NORTH AMERICA","N. AMERICA"),"N .AMERICA","N.AMERICA"))</f>
        <v>EMEA</v>
      </c>
      <c r="M358" t="s">
        <v>87</v>
      </c>
      <c r="N358" t="s">
        <v>53</v>
      </c>
      <c r="O35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58" t="s">
        <v>22</v>
      </c>
      <c r="Q358" t="str">
        <f>IF(TRIM(Transaction[[#This Row],[SalesChannel]])="","Missing Value",TRIM(Transaction[[#This Row],[SalesChannel]]))</f>
        <v>Direct</v>
      </c>
      <c r="R358" s="4">
        <v>1</v>
      </c>
      <c r="S358" s="4" t="str">
        <f>IF(Transaction[[#This Row],[Quantity]]&lt;0,"Negative-review","Valid")</f>
        <v>Valid</v>
      </c>
      <c r="T358">
        <v>168.47</v>
      </c>
      <c r="U35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168.47</v>
      </c>
      <c r="V358">
        <v>215</v>
      </c>
      <c r="W358">
        <v>215</v>
      </c>
      <c r="X35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358">
        <f>IF(Transaction[[#This Row],[GrossRevenue_Check]]="Invalid",Transaction[[#This Row],[ListPrice]]*Transaction[[#This Row],[Quantity]],Transaction[[#This Row],[GrossRevenue_Clean]])</f>
        <v>215</v>
      </c>
      <c r="Z358" t="str">
        <f>IF(Transaction[[#This Row],[GrossRevenue_Clean]]=Transaction[[#This Row],[ListPrice]]*Transaction[[#This Row],[Quantity]],"Valid","Invalid")</f>
        <v>Valid</v>
      </c>
      <c r="AB35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358">
        <f>IF(Transaction[[#This Row],[DiscountAmount_Check2]]="Invalid",Transaction[[#This Row],[GrossRevenue_Analytical]]-Transaction[[#This Row],[NetRevenue_Analytical]],Transaction[[#This Row],[DiscountAmount_Clean]])</f>
        <v>46.53</v>
      </c>
      <c r="AD358">
        <v>168.47</v>
      </c>
      <c r="AE358" t="str">
        <f>IF(ROUND(Transaction[[#This Row],[GrossRevenue_Analytical]]-Transaction[[#This Row],[NetRevenue_Analytical]],2)=ROUND(Transaction[[#This Row],[DiscountAmount_Clean]],2),"Valid","Invalid")</f>
        <v>Invalid</v>
      </c>
      <c r="AF35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168.47</v>
      </c>
      <c r="AG358">
        <f>IF(Transaction[[#This Row],[NetRevenue_Check]]="Invalid",(Transaction[[#This Row],[Quantity]]*Transaction[[#This Row],[UnitPrice_Clean]]),Transaction[[#This Row],[NetRevenue_Clean]])</f>
        <v>168.47</v>
      </c>
      <c r="AH358" t="str">
        <f>IF(Transaction[[#This Row],[Quantity]]*Transaction[[#This Row],[UnitPrice_Clean]]=Transaction[[#This Row],[NetRevenue_Clean]],"Valid","Invalid")</f>
        <v>Valid</v>
      </c>
      <c r="AI358" t="s">
        <v>23</v>
      </c>
      <c r="AJ358" t="s">
        <v>2099</v>
      </c>
      <c r="AK358" t="str">
        <f>IF(Transaction[[#This Row],[Salesperson]]="","Missing Value",TRIM(PROPER(Transaction[[#This Row],[Salesperson]])))</f>
        <v>Figueroa</v>
      </c>
      <c r="AL358" t="s">
        <v>25</v>
      </c>
      <c r="AM358" t="str">
        <f>IF(Transaction[[#This Row],[ContractType]]="","Missing Value",Transaction[[#This Row],[ContractType]])</f>
        <v>Frame Agreement</v>
      </c>
      <c r="AN358" t="s">
        <v>35</v>
      </c>
    </row>
    <row r="359" spans="1:40" x14ac:dyDescent="0.25">
      <c r="A359" t="s">
        <v>1453</v>
      </c>
      <c r="B359" s="1">
        <v>45840</v>
      </c>
      <c r="C35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7</v>
      </c>
      <c r="D35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35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59" s="2">
        <f>IFERROR(DATE(Transaction[[#This Row],[TransactionDateY]],Transaction[[#This Row],[TransactionDateM]],Transaction[[#This Row],[TransactionDateD]]),"Missing Value")</f>
        <v>45840</v>
      </c>
      <c r="G359" t="s">
        <v>45</v>
      </c>
      <c r="H359" t="str">
        <f>IFERROR(VLOOKUP(Transaction[[#This Row],[CustomerID]],Custumer[],1,0),IF(LEN(Transaction[[#This Row],[CustomerID]])=7,LEFT(Transaction[[#This Row],[CustomerID]],6),"Invalid ID"))</f>
        <v>C-1155</v>
      </c>
      <c r="I359" t="s">
        <v>58</v>
      </c>
      <c r="J359" t="str">
        <f>TRIM(UPPER(Transaction[[#This Row],[ProductID]]))</f>
        <v>P-SI-005</v>
      </c>
      <c r="K359" t="str">
        <f>IFERROR(VLOOKUP(Transaction[[#This Row],[ProductID_Clean]],Product[],1,FALSE),"Invalid ID")</f>
        <v>P-SI-005</v>
      </c>
      <c r="L359" t="str">
        <f>TRIM(SUBSTITUTE(SUBSTITUTE(SUBSTITUTE(SUBSTITUTE(UPPER(Transaction[[#This Row],[Region]]),"EMEA REGION","EMEA"),"APAC REGION","APAC"),"NORTH AMERICA","N. AMERICA"),"N .AMERICA","N.AMERICA"))</f>
        <v>APAC</v>
      </c>
      <c r="M359" t="s">
        <v>122</v>
      </c>
      <c r="N359" t="s">
        <v>53</v>
      </c>
      <c r="O35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59" t="s">
        <v>40</v>
      </c>
      <c r="Q359" t="str">
        <f>IF(TRIM(Transaction[[#This Row],[SalesChannel]])="","Missing Value",TRIM(Transaction[[#This Row],[SalesChannel]]))</f>
        <v>Distributor</v>
      </c>
      <c r="R359" s="4">
        <v>4</v>
      </c>
      <c r="S359" s="4" t="str">
        <f>IF(Transaction[[#This Row],[Quantity]]&lt;0,"Negative-review","Valid")</f>
        <v>Valid</v>
      </c>
      <c r="T359">
        <v>824.52</v>
      </c>
      <c r="U35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824.52</v>
      </c>
      <c r="V359">
        <v>1120</v>
      </c>
      <c r="W359">
        <v>4480</v>
      </c>
      <c r="X35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4480</v>
      </c>
      <c r="Y359">
        <f>IF(Transaction[[#This Row],[GrossRevenue_Check]]="Invalid",Transaction[[#This Row],[ListPrice]]*Transaction[[#This Row],[Quantity]],Transaction[[#This Row],[GrossRevenue_Clean]])</f>
        <v>4480</v>
      </c>
      <c r="Z359" t="str">
        <f>IF(Transaction[[#This Row],[GrossRevenue_Clean]]=Transaction[[#This Row],[ListPrice]]*Transaction[[#This Row],[Quantity]],"Valid","Invalid")</f>
        <v>Valid</v>
      </c>
      <c r="AA359">
        <v>1181.92</v>
      </c>
      <c r="AB35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1181.92</v>
      </c>
      <c r="AC359">
        <f>IF(Transaction[[#This Row],[DiscountAmount_Check2]]="Invalid",Transaction[[#This Row],[GrossRevenue_Analytical]]-Transaction[[#This Row],[NetRevenue_Analytical]],Transaction[[#This Row],[DiscountAmount_Clean]])</f>
        <v>1181.92</v>
      </c>
      <c r="AD359">
        <v>3298.08</v>
      </c>
      <c r="AE359" t="str">
        <f>IF(ROUND(Transaction[[#This Row],[GrossRevenue_Analytical]]-Transaction[[#This Row],[NetRevenue_Analytical]],2)=ROUND(Transaction[[#This Row],[DiscountAmount_Clean]],2),"Valid","Invalid")</f>
        <v>Valid</v>
      </c>
      <c r="AF359">
        <f>VALUE(IF(ISNUMBER(Transaction[[#This Row],[NetRevenue]]),Transaction[[#This Row],[NetRevenue]],IFERROR(IF(FIND("$",Transaction[[#This Row],[NetRevenue]])&gt;0,MID(Transaction[[#This Row],[NetRevenue]],2,10)),Transaction[[#This Row],[NetRevenue]])))</f>
        <v>3298.08</v>
      </c>
      <c r="AG359">
        <f>IF(Transaction[[#This Row],[NetRevenue_Check]]="Invalid",(Transaction[[#This Row],[Quantity]]*Transaction[[#This Row],[UnitPrice_Clean]]),Transaction[[#This Row],[NetRevenue_Clean]])</f>
        <v>3298.08</v>
      </c>
      <c r="AH359" t="str">
        <f>IF(Transaction[[#This Row],[Quantity]]*Transaction[[#This Row],[UnitPrice_Clean]]=Transaction[[#This Row],[NetRevenue_Clean]],"Valid","Invalid")</f>
        <v>Valid</v>
      </c>
      <c r="AI359" t="s">
        <v>23</v>
      </c>
      <c r="AJ359" t="s">
        <v>1454</v>
      </c>
      <c r="AK359" t="str">
        <f>IF(Transaction[[#This Row],[Salesperson]]="","Missing Value",TRIM(PROPER(Transaction[[#This Row],[Salesperson]])))</f>
        <v>Ochoa</v>
      </c>
      <c r="AL359" t="s">
        <v>42</v>
      </c>
      <c r="AM359" t="str">
        <f>IF(Transaction[[#This Row],[ContractType]]="","Missing Value",Transaction[[#This Row],[ContractType]])</f>
        <v>Standard PO</v>
      </c>
      <c r="AN359" t="s">
        <v>49</v>
      </c>
    </row>
    <row r="360" spans="1:40" x14ac:dyDescent="0.25">
      <c r="A360" t="s">
        <v>1121</v>
      </c>
      <c r="B360" s="1">
        <v>45796</v>
      </c>
      <c r="C36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36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36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60" s="2">
        <f>IFERROR(DATE(Transaction[[#This Row],[TransactionDateY]],Transaction[[#This Row],[TransactionDateM]],Transaction[[#This Row],[TransactionDateD]]),"Missing Value")</f>
        <v>45796</v>
      </c>
      <c r="G360" t="s">
        <v>402</v>
      </c>
      <c r="H360" t="str">
        <f>IFERROR(VLOOKUP(Transaction[[#This Row],[CustomerID]],Custumer[],1,0),IF(LEN(Transaction[[#This Row],[CustomerID]])=7,LEFT(Transaction[[#This Row],[CustomerID]],6),"Invalid ID"))</f>
        <v>C-1041</v>
      </c>
      <c r="I360" t="s">
        <v>226</v>
      </c>
      <c r="J360" t="str">
        <f>TRIM(UPPER(Transaction[[#This Row],[ProductID]]))</f>
        <v>P-SA-002</v>
      </c>
      <c r="K360" t="str">
        <f>IFERROR(VLOOKUP(Transaction[[#This Row],[ProductID_Clean]],Product[],1,FALSE),"Invalid ID")</f>
        <v>P-SA-002</v>
      </c>
      <c r="L360" t="str">
        <f>TRIM(SUBSTITUTE(SUBSTITUTE(SUBSTITUTE(SUBSTITUTE(UPPER(Transaction[[#This Row],[Region]]),"EMEA REGION","EMEA"),"APAC REGION","APAC"),"NORTH AMERICA","N. AMERICA"),"N .AMERICA","N.AMERICA"))</f>
        <v>N. AMERICA</v>
      </c>
      <c r="M360" t="s">
        <v>20</v>
      </c>
      <c r="N360" t="s">
        <v>31</v>
      </c>
      <c r="O360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360" t="s">
        <v>40</v>
      </c>
      <c r="Q360" t="str">
        <f>IF(TRIM(Transaction[[#This Row],[SalesChannel]])="","Missing Value",TRIM(Transaction[[#This Row],[SalesChannel]]))</f>
        <v>Distributor</v>
      </c>
      <c r="R360" s="4">
        <v>1</v>
      </c>
      <c r="S360" s="4" t="str">
        <f>IF(Transaction[[#This Row],[Quantity]]&lt;0,"Negative-review","Valid")</f>
        <v>Valid</v>
      </c>
      <c r="T360">
        <v>7915.31</v>
      </c>
      <c r="U36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7915.31</v>
      </c>
      <c r="V360">
        <v>9800</v>
      </c>
      <c r="W360">
        <v>9800</v>
      </c>
      <c r="X36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360">
        <f>IF(Transaction[[#This Row],[GrossRevenue_Check]]="Invalid",Transaction[[#This Row],[ListPrice]]*Transaction[[#This Row],[Quantity]],Transaction[[#This Row],[GrossRevenue_Clean]])</f>
        <v>9800</v>
      </c>
      <c r="Z360" t="str">
        <f>IF(Transaction[[#This Row],[GrossRevenue_Clean]]=Transaction[[#This Row],[ListPrice]]*Transaction[[#This Row],[Quantity]],"Valid","Invalid")</f>
        <v>Valid</v>
      </c>
      <c r="AA360">
        <v>1884.69</v>
      </c>
      <c r="AB36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1884.69</v>
      </c>
      <c r="AC360">
        <f>IF(Transaction[[#This Row],[DiscountAmount_Check2]]="Invalid",Transaction[[#This Row],[GrossRevenue_Analytical]]-Transaction[[#This Row],[NetRevenue_Analytical]],Transaction[[#This Row],[DiscountAmount_Clean]])</f>
        <v>1884.69</v>
      </c>
      <c r="AD360">
        <v>7915.31</v>
      </c>
      <c r="AE360" t="str">
        <f>IF(ROUND(Transaction[[#This Row],[GrossRevenue_Analytical]]-Transaction[[#This Row],[NetRevenue_Analytical]],2)=ROUND(Transaction[[#This Row],[DiscountAmount_Clean]],2),"Valid","Invalid")</f>
        <v>Valid</v>
      </c>
      <c r="AF360">
        <f>VALUE(IF(ISNUMBER(Transaction[[#This Row],[NetRevenue]]),Transaction[[#This Row],[NetRevenue]],IFERROR(IF(FIND("$",Transaction[[#This Row],[NetRevenue]])&gt;0,MID(Transaction[[#This Row],[NetRevenue]],2,10)),Transaction[[#This Row],[NetRevenue]])))</f>
        <v>7915.31</v>
      </c>
      <c r="AG360">
        <f>IF(Transaction[[#This Row],[NetRevenue_Check]]="Invalid",(Transaction[[#This Row],[Quantity]]*Transaction[[#This Row],[UnitPrice_Clean]]),Transaction[[#This Row],[NetRevenue_Clean]])</f>
        <v>7915.31</v>
      </c>
      <c r="AH360" t="str">
        <f>IF(Transaction[[#This Row],[Quantity]]*Transaction[[#This Row],[UnitPrice_Clean]]=Transaction[[#This Row],[NetRevenue_Clean]],"Valid","Invalid")</f>
        <v>Valid</v>
      </c>
      <c r="AI360" t="s">
        <v>23</v>
      </c>
      <c r="AJ360" t="s">
        <v>1024</v>
      </c>
      <c r="AK360" t="str">
        <f>IF(Transaction[[#This Row],[Salesperson]]="","Missing Value",TRIM(PROPER(Transaction[[#This Row],[Salesperson]])))</f>
        <v>Kennedy</v>
      </c>
      <c r="AL360" t="s">
        <v>34</v>
      </c>
      <c r="AM360" t="str">
        <f>IF(Transaction[[#This Row],[ContractType]]="","Missing Value",Transaction[[#This Row],[ContractType]])</f>
        <v>Annual License</v>
      </c>
      <c r="AN360" t="s">
        <v>35</v>
      </c>
    </row>
    <row r="361" spans="1:40" x14ac:dyDescent="0.25">
      <c r="A361" t="s">
        <v>2273</v>
      </c>
      <c r="B361" s="1">
        <v>45702</v>
      </c>
      <c r="C36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36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36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61" s="2">
        <f>IFERROR(DATE(Transaction[[#This Row],[TransactionDateY]],Transaction[[#This Row],[TransactionDateM]],Transaction[[#This Row],[TransactionDateD]]),"Missing Value")</f>
        <v>45702</v>
      </c>
      <c r="G361" t="s">
        <v>45</v>
      </c>
      <c r="H361" t="str">
        <f>IFERROR(VLOOKUP(Transaction[[#This Row],[CustomerID]],Custumer[],1,0),IF(LEN(Transaction[[#This Row],[CustomerID]])=7,LEFT(Transaction[[#This Row],[CustomerID]],6),"Invalid ID"))</f>
        <v>C-1155</v>
      </c>
      <c r="I361" t="s">
        <v>97</v>
      </c>
      <c r="J361" t="str">
        <f>TRIM(UPPER(Transaction[[#This Row],[ProductID]]))</f>
        <v>P-SI-001</v>
      </c>
      <c r="K361" t="str">
        <f>IFERROR(VLOOKUP(Transaction[[#This Row],[ProductID_Clean]],Product[],1,FALSE),"Invalid ID")</f>
        <v>P-SI-001</v>
      </c>
      <c r="L361" t="str">
        <f>TRIM(SUBSTITUTE(SUBSTITUTE(SUBSTITUTE(SUBSTITUTE(UPPER(Transaction[[#This Row],[Region]]),"EMEA REGION","EMEA"),"APAC REGION","APAC"),"NORTH AMERICA","N. AMERICA"),"N .AMERICA","N.AMERICA"))</f>
        <v>APAC</v>
      </c>
      <c r="M361" t="s">
        <v>30</v>
      </c>
      <c r="N361" t="s">
        <v>53</v>
      </c>
      <c r="O36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61" t="s">
        <v>93</v>
      </c>
      <c r="Q361" t="str">
        <f>IF(TRIM(Transaction[[#This Row],[SalesChannel]])="","Missing Value",TRIM(Transaction[[#This Row],[SalesChannel]]))</f>
        <v>direct</v>
      </c>
      <c r="R361" s="4">
        <v>5</v>
      </c>
      <c r="S361" s="4" t="str">
        <f>IF(Transaction[[#This Row],[Quantity]]&lt;0,"Negative-review","Valid")</f>
        <v>Valid</v>
      </c>
      <c r="T361">
        <v>404.73</v>
      </c>
      <c r="U36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404.73</v>
      </c>
      <c r="V361">
        <v>485</v>
      </c>
      <c r="W361">
        <v>2425</v>
      </c>
      <c r="X36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2425</v>
      </c>
      <c r="Y361">
        <f>IF(Transaction[[#This Row],[GrossRevenue_Check]]="Invalid",Transaction[[#This Row],[ListPrice]]*Transaction[[#This Row],[Quantity]],Transaction[[#This Row],[GrossRevenue_Clean]])</f>
        <v>2425</v>
      </c>
      <c r="Z361" t="str">
        <f>IF(Transaction[[#This Row],[GrossRevenue_Clean]]=Transaction[[#This Row],[ListPrice]]*Transaction[[#This Row],[Quantity]],"Valid","Invalid")</f>
        <v>Valid</v>
      </c>
      <c r="AA361">
        <v>401.35</v>
      </c>
      <c r="AB36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401.35</v>
      </c>
      <c r="AC361">
        <f>IF(Transaction[[#This Row],[DiscountAmount_Check2]]="Invalid",Transaction[[#This Row],[GrossRevenue_Analytical]]-Transaction[[#This Row],[NetRevenue_Analytical]],Transaction[[#This Row],[DiscountAmount_Clean]])</f>
        <v>401.35</v>
      </c>
      <c r="AD361" t="s">
        <v>2274</v>
      </c>
      <c r="AE361" t="str">
        <f>IF(ROUND(Transaction[[#This Row],[GrossRevenue_Analytical]]-Transaction[[#This Row],[NetRevenue_Analytical]],2)=ROUND(Transaction[[#This Row],[DiscountAmount_Clean]],2),"Valid","Invalid")</f>
        <v>Valid</v>
      </c>
      <c r="AF36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2023.65</v>
      </c>
      <c r="AG361">
        <f>IF(Transaction[[#This Row],[NetRevenue_Check]]="Invalid",(Transaction[[#This Row],[Quantity]]*Transaction[[#This Row],[UnitPrice_Clean]]),Transaction[[#This Row],[NetRevenue_Clean]])</f>
        <v>2023.65</v>
      </c>
      <c r="AH361" t="str">
        <f>IF(Transaction[[#This Row],[Quantity]]*Transaction[[#This Row],[UnitPrice_Clean]]=Transaction[[#This Row],[NetRevenue_Clean]],"Valid","Invalid")</f>
        <v>Valid</v>
      </c>
      <c r="AI361" t="s">
        <v>23</v>
      </c>
      <c r="AJ361" t="s">
        <v>54</v>
      </c>
      <c r="AK361" t="str">
        <f>IF(Transaction[[#This Row],[Salesperson]]="","Missing Value",TRIM(PROPER(Transaction[[#This Row],[Salesperson]])))</f>
        <v>Johnson</v>
      </c>
      <c r="AL361" t="s">
        <v>42</v>
      </c>
      <c r="AM361" t="str">
        <f>IF(Transaction[[#This Row],[ContractType]]="","Missing Value",Transaction[[#This Row],[ContractType]])</f>
        <v>Standard PO</v>
      </c>
      <c r="AN361" t="s">
        <v>49</v>
      </c>
    </row>
    <row r="362" spans="1:40" x14ac:dyDescent="0.25">
      <c r="A362" t="s">
        <v>1790</v>
      </c>
      <c r="B362" s="1">
        <v>45827</v>
      </c>
      <c r="C36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36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36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62" s="2">
        <f>IFERROR(DATE(Transaction[[#This Row],[TransactionDateY]],Transaction[[#This Row],[TransactionDateM]],Transaction[[#This Row],[TransactionDateD]]),"Missing Value")</f>
        <v>45827</v>
      </c>
      <c r="G362" t="s">
        <v>195</v>
      </c>
      <c r="H362" t="str">
        <f>IFERROR(VLOOKUP(Transaction[[#This Row],[CustomerID]],Custumer[],1,0),IF(LEN(Transaction[[#This Row],[CustomerID]])=7,LEFT(Transaction[[#This Row],[CustomerID]],6),"Invalid ID"))</f>
        <v>C-1015</v>
      </c>
      <c r="I362" t="s">
        <v>62</v>
      </c>
      <c r="J362" t="str">
        <f>TRIM(UPPER(Transaction[[#This Row],[ProductID]]))</f>
        <v>P-SI-004</v>
      </c>
      <c r="K362" t="str">
        <f>IFERROR(VLOOKUP(Transaction[[#This Row],[ProductID_Clean]],Product[],1,FALSE),"Invalid ID")</f>
        <v>P-SI-004</v>
      </c>
      <c r="L362" t="str">
        <f>TRIM(SUBSTITUTE(SUBSTITUTE(SUBSTITUTE(SUBSTITUTE(UPPER(Transaction[[#This Row],[Region]]),"EMEA REGION","EMEA"),"APAC REGION","APAC"),"NORTH AMERICA","N. AMERICA"),"N .AMERICA","N.AMERICA"))</f>
        <v>N. AMERICA</v>
      </c>
      <c r="M362" t="s">
        <v>20</v>
      </c>
      <c r="N362" t="s">
        <v>53</v>
      </c>
      <c r="O36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62" t="s">
        <v>22</v>
      </c>
      <c r="Q362" t="str">
        <f>IF(TRIM(Transaction[[#This Row],[SalesChannel]])="","Missing Value",TRIM(Transaction[[#This Row],[SalesChannel]]))</f>
        <v>Direct</v>
      </c>
      <c r="R362" s="4">
        <v>1</v>
      </c>
      <c r="S362" s="4" t="str">
        <f>IF(Transaction[[#This Row],[Quantity]]&lt;0,"Negative-review","Valid")</f>
        <v>Valid</v>
      </c>
      <c r="T362" t="s">
        <v>1791</v>
      </c>
      <c r="U36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2041.36</v>
      </c>
      <c r="V362">
        <v>2450</v>
      </c>
      <c r="W362">
        <v>2450</v>
      </c>
      <c r="X36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362">
        <f>IF(Transaction[[#This Row],[GrossRevenue_Check]]="Invalid",Transaction[[#This Row],[ListPrice]]*Transaction[[#This Row],[Quantity]],Transaction[[#This Row],[GrossRevenue_Clean]])</f>
        <v>2450</v>
      </c>
      <c r="Z362" t="str">
        <f>IF(Transaction[[#This Row],[GrossRevenue_Clean]]=Transaction[[#This Row],[ListPrice]]*Transaction[[#This Row],[Quantity]],"Valid","Invalid")</f>
        <v>Valid</v>
      </c>
      <c r="AA362">
        <v>408.64</v>
      </c>
      <c r="AB36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408.64</v>
      </c>
      <c r="AC362">
        <f>IF(Transaction[[#This Row],[DiscountAmount_Check2]]="Invalid",Transaction[[#This Row],[GrossRevenue_Analytical]]-Transaction[[#This Row],[NetRevenue_Analytical]],Transaction[[#This Row],[DiscountAmount_Clean]])</f>
        <v>408.64</v>
      </c>
      <c r="AD362">
        <v>2041.36</v>
      </c>
      <c r="AE362" t="str">
        <f>IF(ROUND(Transaction[[#This Row],[GrossRevenue_Analytical]]-Transaction[[#This Row],[NetRevenue_Analytical]],2)=ROUND(Transaction[[#This Row],[DiscountAmount_Clean]],2),"Valid","Invalid")</f>
        <v>Valid</v>
      </c>
      <c r="AF36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2041.36</v>
      </c>
      <c r="AG362">
        <f>IF(Transaction[[#This Row],[NetRevenue_Check]]="Invalid",(Transaction[[#This Row],[Quantity]]*Transaction[[#This Row],[UnitPrice_Clean]]),Transaction[[#This Row],[NetRevenue_Clean]])</f>
        <v>2041.36</v>
      </c>
      <c r="AH362" t="str">
        <f>IF(Transaction[[#This Row],[Quantity]]*Transaction[[#This Row],[UnitPrice_Clean]]=Transaction[[#This Row],[NetRevenue_Clean]],"Valid","Invalid")</f>
        <v>Valid</v>
      </c>
      <c r="AI362" t="s">
        <v>23</v>
      </c>
      <c r="AJ362" t="s">
        <v>1585</v>
      </c>
      <c r="AK362" t="str">
        <f>IF(Transaction[[#This Row],[Salesperson]]="","Missing Value",TRIM(PROPER(Transaction[[#This Row],[Salesperson]])))</f>
        <v>Lucas</v>
      </c>
      <c r="AL362" t="s">
        <v>42</v>
      </c>
      <c r="AM362" t="str">
        <f>IF(Transaction[[#This Row],[ContractType]]="","Missing Value",Transaction[[#This Row],[ContractType]])</f>
        <v>Standard PO</v>
      </c>
      <c r="AN362" t="s">
        <v>26</v>
      </c>
    </row>
    <row r="363" spans="1:40" x14ac:dyDescent="0.25">
      <c r="A363" t="s">
        <v>961</v>
      </c>
      <c r="B363" t="s">
        <v>962</v>
      </c>
      <c r="C36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36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03</v>
      </c>
      <c r="E36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63" s="2">
        <f>IFERROR(DATE(Transaction[[#This Row],[TransactionDateY]],Transaction[[#This Row],[TransactionDateM]],Transaction[[#This Row],[TransactionDateD]]),"Missing Value")</f>
        <v>45691</v>
      </c>
      <c r="G363" t="s">
        <v>102</v>
      </c>
      <c r="H363" t="str">
        <f>IFERROR(VLOOKUP(Transaction[[#This Row],[CustomerID]],Custumer[],1,0),IF(LEN(Transaction[[#This Row],[CustomerID]])=7,LEFT(Transaction[[#This Row],[CustomerID]],6),"Invalid ID"))</f>
        <v>C-1120</v>
      </c>
      <c r="I363" t="s">
        <v>103</v>
      </c>
      <c r="J363" t="str">
        <f>TRIM(UPPER(Transaction[[#This Row],[ProductID]]))</f>
        <v>P-FS-005</v>
      </c>
      <c r="K363" t="str">
        <f>IFERROR(VLOOKUP(Transaction[[#This Row],[ProductID_Clean]],Product[],1,FALSE),"Invalid ID")</f>
        <v>P-FS-005</v>
      </c>
      <c r="L363" t="str">
        <f>TRIM(SUBSTITUTE(SUBSTITUTE(SUBSTITUTE(SUBSTITUTE(UPPER(Transaction[[#This Row],[Region]]),"EMEA REGION","EMEA"),"APAC REGION","APAC"),"NORTH AMERICA","N. AMERICA"),"N .AMERICA","N.AMERICA"))</f>
        <v>EMEA</v>
      </c>
      <c r="M363" t="s">
        <v>76</v>
      </c>
      <c r="N363" t="s">
        <v>244</v>
      </c>
      <c r="O36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363" t="s">
        <v>40</v>
      </c>
      <c r="Q363" t="str">
        <f>IF(TRIM(Transaction[[#This Row],[SalesChannel]])="","Missing Value",TRIM(Transaction[[#This Row],[SalesChannel]]))</f>
        <v>Distributor</v>
      </c>
      <c r="R363" s="4">
        <v>1</v>
      </c>
      <c r="S363" s="4" t="str">
        <f>IF(Transaction[[#This Row],[Quantity]]&lt;0,"Negative-review","Valid")</f>
        <v>Valid</v>
      </c>
      <c r="T363">
        <v>659.58</v>
      </c>
      <c r="U36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659.58</v>
      </c>
      <c r="V363">
        <v>950</v>
      </c>
      <c r="W363">
        <v>950</v>
      </c>
      <c r="X36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363">
        <f>IF(Transaction[[#This Row],[GrossRevenue_Check]]="Invalid",Transaction[[#This Row],[ListPrice]]*Transaction[[#This Row],[Quantity]],Transaction[[#This Row],[GrossRevenue_Clean]])</f>
        <v>950</v>
      </c>
      <c r="Z363" t="str">
        <f>IF(Transaction[[#This Row],[GrossRevenue_Clean]]=Transaction[[#This Row],[ListPrice]]*Transaction[[#This Row],[Quantity]],"Valid","Invalid")</f>
        <v>Valid</v>
      </c>
      <c r="AA363">
        <v>290.42</v>
      </c>
      <c r="AB36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290.42</v>
      </c>
      <c r="AC363">
        <f>IF(Transaction[[#This Row],[DiscountAmount_Check2]]="Invalid",Transaction[[#This Row],[GrossRevenue_Analytical]]-Transaction[[#This Row],[NetRevenue_Analytical]],Transaction[[#This Row],[DiscountAmount_Clean]])</f>
        <v>290.42</v>
      </c>
      <c r="AD363">
        <v>659.58</v>
      </c>
      <c r="AE363" t="str">
        <f>IF(ROUND(Transaction[[#This Row],[GrossRevenue_Analytical]]-Transaction[[#This Row],[NetRevenue_Analytical]],2)=ROUND(Transaction[[#This Row],[DiscountAmount_Clean]],2),"Valid","Invalid")</f>
        <v>Valid</v>
      </c>
      <c r="AF363">
        <f>VALUE(IF(ISNUMBER(Transaction[[#This Row],[NetRevenue]]),Transaction[[#This Row],[NetRevenue]],IFERROR(IF(FIND("$",Transaction[[#This Row],[NetRevenue]])&gt;0,MID(Transaction[[#This Row],[NetRevenue]],2,10)),Transaction[[#This Row],[NetRevenue]])))</f>
        <v>659.58</v>
      </c>
      <c r="AG363">
        <f>IF(Transaction[[#This Row],[NetRevenue_Check]]="Invalid",(Transaction[[#This Row],[Quantity]]*Transaction[[#This Row],[UnitPrice_Clean]]),Transaction[[#This Row],[NetRevenue_Clean]])</f>
        <v>659.58</v>
      </c>
      <c r="AH363" t="str">
        <f>IF(Transaction[[#This Row],[Quantity]]*Transaction[[#This Row],[UnitPrice_Clean]]=Transaction[[#This Row],[NetRevenue_Clean]],"Valid","Invalid")</f>
        <v>Valid</v>
      </c>
      <c r="AI363" t="s">
        <v>23</v>
      </c>
      <c r="AJ363" t="s">
        <v>963</v>
      </c>
      <c r="AK363" t="str">
        <f>IF(Transaction[[#This Row],[Salesperson]]="","Missing Value",TRIM(PROPER(Transaction[[#This Row],[Salesperson]])))</f>
        <v>Mitchell</v>
      </c>
      <c r="AL363" t="s">
        <v>42</v>
      </c>
      <c r="AM363" t="str">
        <f>IF(Transaction[[#This Row],[ContractType]]="","Missing Value",Transaction[[#This Row],[ContractType]])</f>
        <v>Standard PO</v>
      </c>
      <c r="AN363" t="s">
        <v>43</v>
      </c>
    </row>
    <row r="364" spans="1:40" x14ac:dyDescent="0.25">
      <c r="A364" t="s">
        <v>1527</v>
      </c>
      <c r="C36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36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36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364" s="2" t="str">
        <f>IFERROR(DATE(Transaction[[#This Row],[TransactionDateY]],Transaction[[#This Row],[TransactionDateM]],Transaction[[#This Row],[TransactionDateD]]),"Missing Value")</f>
        <v>Missing Value</v>
      </c>
      <c r="G364" t="s">
        <v>621</v>
      </c>
      <c r="H364" t="str">
        <f>IFERROR(VLOOKUP(Transaction[[#This Row],[CustomerID]],Custumer[],1,0),IF(LEN(Transaction[[#This Row],[CustomerID]])=7,LEFT(Transaction[[#This Row],[CustomerID]],6),"Invalid ID"))</f>
        <v>C-1064</v>
      </c>
      <c r="I364" t="s">
        <v>222</v>
      </c>
      <c r="J364" t="str">
        <f>TRIM(UPPER(Transaction[[#This Row],[ProductID]]))</f>
        <v>P-FS-003</v>
      </c>
      <c r="K364" t="str">
        <f>IFERROR(VLOOKUP(Transaction[[#This Row],[ProductID_Clean]],Product[],1,FALSE),"Invalid ID")</f>
        <v>P-FS-003</v>
      </c>
      <c r="L364" t="str">
        <f>TRIM(SUBSTITUTE(SUBSTITUTE(SUBSTITUTE(SUBSTITUTE(UPPER(Transaction[[#This Row],[Region]]),"EMEA REGION","EMEA"),"APAC REGION","APAC"),"NORTH AMERICA","N. AMERICA"),"N .AMERICA","N.AMERICA"))</f>
        <v>N. AMERICA</v>
      </c>
      <c r="M364" t="s">
        <v>20</v>
      </c>
      <c r="N364" t="s">
        <v>21</v>
      </c>
      <c r="O36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364" t="s">
        <v>40</v>
      </c>
      <c r="Q364" t="str">
        <f>IF(TRIM(Transaction[[#This Row],[SalesChannel]])="","Missing Value",TRIM(Transaction[[#This Row],[SalesChannel]]))</f>
        <v>Distributor</v>
      </c>
      <c r="R364" s="4">
        <v>1</v>
      </c>
      <c r="S364" s="4" t="str">
        <f>IF(Transaction[[#This Row],[Quantity]]&lt;0,"Negative-review","Valid")</f>
        <v>Valid</v>
      </c>
      <c r="T364">
        <v>3550.68</v>
      </c>
      <c r="U36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3550.68</v>
      </c>
      <c r="V364">
        <v>4100</v>
      </c>
      <c r="W364">
        <v>4100</v>
      </c>
      <c r="X36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4100</v>
      </c>
      <c r="Y364">
        <f>IF(Transaction[[#This Row],[GrossRevenue_Check]]="Invalid",Transaction[[#This Row],[ListPrice]]*Transaction[[#This Row],[Quantity]],Transaction[[#This Row],[GrossRevenue_Clean]])</f>
        <v>4100</v>
      </c>
      <c r="Z364" t="str">
        <f>IF(Transaction[[#This Row],[GrossRevenue_Clean]]=Transaction[[#This Row],[ListPrice]]*Transaction[[#This Row],[Quantity]],"Valid","Invalid")</f>
        <v>Valid</v>
      </c>
      <c r="AA364">
        <v>549.32000000000005</v>
      </c>
      <c r="AB36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549.32000000000005</v>
      </c>
      <c r="AC364">
        <f>IF(Transaction[[#This Row],[DiscountAmount_Check2]]="Invalid",Transaction[[#This Row],[GrossRevenue_Analytical]]-Transaction[[#This Row],[NetRevenue_Analytical]],Transaction[[#This Row],[DiscountAmount_Clean]])</f>
        <v>549.32000000000005</v>
      </c>
      <c r="AD364">
        <v>3550.68</v>
      </c>
      <c r="AE364" t="str">
        <f>IF(ROUND(Transaction[[#This Row],[GrossRevenue_Analytical]]-Transaction[[#This Row],[NetRevenue_Analytical]],2)=ROUND(Transaction[[#This Row],[DiscountAmount_Clean]],2),"Valid","Invalid")</f>
        <v>Valid</v>
      </c>
      <c r="AF364">
        <f>VALUE(IF(ISNUMBER(Transaction[[#This Row],[NetRevenue]]),Transaction[[#This Row],[NetRevenue]],IFERROR(IF(FIND("$",Transaction[[#This Row],[NetRevenue]])&gt;0,MID(Transaction[[#This Row],[NetRevenue]],2,10)),Transaction[[#This Row],[NetRevenue]])))</f>
        <v>3550.68</v>
      </c>
      <c r="AG364">
        <f>IF(Transaction[[#This Row],[NetRevenue_Check]]="Invalid",(Transaction[[#This Row],[Quantity]]*Transaction[[#This Row],[UnitPrice_Clean]]),Transaction[[#This Row],[NetRevenue_Clean]])</f>
        <v>3550.68</v>
      </c>
      <c r="AH364" t="str">
        <f>IF(Transaction[[#This Row],[Quantity]]*Transaction[[#This Row],[UnitPrice_Clean]]=Transaction[[#This Row],[NetRevenue_Clean]],"Valid","Invalid")</f>
        <v>Valid</v>
      </c>
      <c r="AI364" t="s">
        <v>99</v>
      </c>
      <c r="AJ364" t="s">
        <v>1528</v>
      </c>
      <c r="AK364" t="str">
        <f>IF(Transaction[[#This Row],[Salesperson]]="","Missing Value",TRIM(PROPER(Transaction[[#This Row],[Salesperson]])))</f>
        <v>Atkins</v>
      </c>
      <c r="AL364" t="s">
        <v>224</v>
      </c>
      <c r="AM364" t="str">
        <f>IF(Transaction[[#This Row],[ContractType]]="","Missing Value",Transaction[[#This Row],[ContractType]])</f>
        <v>Annual</v>
      </c>
      <c r="AN364" t="s">
        <v>35</v>
      </c>
    </row>
    <row r="365" spans="1:40" x14ac:dyDescent="0.25">
      <c r="A365" t="s">
        <v>1878</v>
      </c>
      <c r="B365" s="1">
        <v>45808</v>
      </c>
      <c r="C36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36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31</v>
      </c>
      <c r="E36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65" s="2">
        <f>IFERROR(DATE(Transaction[[#This Row],[TransactionDateY]],Transaction[[#This Row],[TransactionDateM]],Transaction[[#This Row],[TransactionDateD]]),"Missing Value")</f>
        <v>45808</v>
      </c>
      <c r="G365" t="s">
        <v>1668</v>
      </c>
      <c r="H365" t="str">
        <f>IFERROR(VLOOKUP(Transaction[[#This Row],[CustomerID]],Custumer[],1,0),IF(LEN(Transaction[[#This Row],[CustomerID]])=7,LEFT(Transaction[[#This Row],[CustomerID]],6),"Invalid ID"))</f>
        <v>C-1143</v>
      </c>
      <c r="I365" t="s">
        <v>226</v>
      </c>
      <c r="J365" t="str">
        <f>TRIM(UPPER(Transaction[[#This Row],[ProductID]]))</f>
        <v>P-SA-002</v>
      </c>
      <c r="K365" t="str">
        <f>IFERROR(VLOOKUP(Transaction[[#This Row],[ProductID_Clean]],Product[],1,FALSE),"Invalid ID")</f>
        <v>P-SA-002</v>
      </c>
      <c r="L365" t="str">
        <f>TRIM(SUBSTITUTE(SUBSTITUTE(SUBSTITUTE(SUBSTITUTE(UPPER(Transaction[[#This Row],[Region]]),"EMEA REGION","EMEA"),"APAC REGION","APAC"),"NORTH AMERICA","N. AMERICA"),"N .AMERICA","N.AMERICA"))</f>
        <v>EMEA</v>
      </c>
      <c r="M365" t="s">
        <v>76</v>
      </c>
      <c r="N365" t="s">
        <v>572</v>
      </c>
      <c r="O36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365" t="s">
        <v>22</v>
      </c>
      <c r="Q365" t="str">
        <f>IF(TRIM(Transaction[[#This Row],[SalesChannel]])="","Missing Value",TRIM(Transaction[[#This Row],[SalesChannel]]))</f>
        <v>Direct</v>
      </c>
      <c r="R365" s="4">
        <v>1</v>
      </c>
      <c r="S365" s="4" t="str">
        <f>IF(Transaction[[#This Row],[Quantity]]&lt;0,"Negative-review","Valid")</f>
        <v>Valid</v>
      </c>
      <c r="T365">
        <v>8311.75</v>
      </c>
      <c r="U36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8311.75</v>
      </c>
      <c r="V365">
        <v>9800</v>
      </c>
      <c r="W365">
        <v>9800</v>
      </c>
      <c r="X36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365">
        <f>IF(Transaction[[#This Row],[GrossRevenue_Check]]="Invalid",Transaction[[#This Row],[ListPrice]]*Transaction[[#This Row],[Quantity]],Transaction[[#This Row],[GrossRevenue_Clean]])</f>
        <v>9800</v>
      </c>
      <c r="Z365" t="str">
        <f>IF(Transaction[[#This Row],[GrossRevenue_Clean]]=Transaction[[#This Row],[ListPrice]]*Transaction[[#This Row],[Quantity]],"Valid","Invalid")</f>
        <v>Valid</v>
      </c>
      <c r="AA365">
        <v>1488.25</v>
      </c>
      <c r="AB36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1488.25</v>
      </c>
      <c r="AC365">
        <f>IF(Transaction[[#This Row],[DiscountAmount_Check2]]="Invalid",Transaction[[#This Row],[GrossRevenue_Analytical]]-Transaction[[#This Row],[NetRevenue_Analytical]],Transaction[[#This Row],[DiscountAmount_Clean]])</f>
        <v>1488.25</v>
      </c>
      <c r="AD365">
        <v>8311.75</v>
      </c>
      <c r="AE365" t="str">
        <f>IF(ROUND(Transaction[[#This Row],[GrossRevenue_Analytical]]-Transaction[[#This Row],[NetRevenue_Analytical]],2)=ROUND(Transaction[[#This Row],[DiscountAmount_Clean]],2),"Valid","Invalid")</f>
        <v>Valid</v>
      </c>
      <c r="AF365">
        <f>VALUE(IF(ISNUMBER(Transaction[[#This Row],[NetRevenue]]),Transaction[[#This Row],[NetRevenue]],IFERROR(IF(FIND("$",Transaction[[#This Row],[NetRevenue]])&gt;0,MID(Transaction[[#This Row],[NetRevenue]],2,10)),Transaction[[#This Row],[NetRevenue]])))</f>
        <v>8311.75</v>
      </c>
      <c r="AG365">
        <f>IF(Transaction[[#This Row],[NetRevenue_Check]]="Invalid",(Transaction[[#This Row],[Quantity]]*Transaction[[#This Row],[UnitPrice_Clean]]),Transaction[[#This Row],[NetRevenue_Clean]])</f>
        <v>8311.75</v>
      </c>
      <c r="AH365" t="str">
        <f>IF(Transaction[[#This Row],[Quantity]]*Transaction[[#This Row],[UnitPrice_Clean]]=Transaction[[#This Row],[NetRevenue_Clean]],"Valid","Invalid")</f>
        <v>Valid</v>
      </c>
      <c r="AI365" t="s">
        <v>23</v>
      </c>
      <c r="AJ365" t="s">
        <v>1165</v>
      </c>
      <c r="AK365" t="str">
        <f>IF(Transaction[[#This Row],[Salesperson]]="","Missing Value",TRIM(PROPER(Transaction[[#This Row],[Salesperson]])))</f>
        <v>Williams</v>
      </c>
      <c r="AL365" t="s">
        <v>34</v>
      </c>
      <c r="AM365" t="str">
        <f>IF(Transaction[[#This Row],[ContractType]]="","Missing Value",Transaction[[#This Row],[ContractType]])</f>
        <v>Annual License</v>
      </c>
      <c r="AN365" t="s">
        <v>26</v>
      </c>
    </row>
    <row r="366" spans="1:40" x14ac:dyDescent="0.25">
      <c r="A366" t="s">
        <v>872</v>
      </c>
      <c r="B366" s="1">
        <v>45725</v>
      </c>
      <c r="C36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36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36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66" s="2">
        <f>IFERROR(DATE(Transaction[[#This Row],[TransactionDateY]],Transaction[[#This Row],[TransactionDateM]],Transaction[[#This Row],[TransactionDateD]]),"Missing Value")</f>
        <v>45725</v>
      </c>
      <c r="G366" t="s">
        <v>102</v>
      </c>
      <c r="H366" t="str">
        <f>IFERROR(VLOOKUP(Transaction[[#This Row],[CustomerID]],Custumer[],1,0),IF(LEN(Transaction[[#This Row],[CustomerID]])=7,LEFT(Transaction[[#This Row],[CustomerID]],6),"Invalid ID"))</f>
        <v>C-1120</v>
      </c>
      <c r="I366" t="s">
        <v>29</v>
      </c>
      <c r="J366" t="str">
        <f>TRIM(UPPER(Transaction[[#This Row],[ProductID]]))</f>
        <v>P-SA-001</v>
      </c>
      <c r="K366" t="str">
        <f>IFERROR(VLOOKUP(Transaction[[#This Row],[ProductID_Clean]],Product[],1,FALSE),"Invalid ID")</f>
        <v>P-SA-001</v>
      </c>
      <c r="L366" t="str">
        <f>TRIM(SUBSTITUTE(SUBSTITUTE(SUBSTITUTE(SUBSTITUTE(UPPER(Transaction[[#This Row],[Region]]),"EMEA REGION","EMEA"),"APAC REGION","APAC"),"NORTH AMERICA","N. AMERICA"),"N .AMERICA","N.AMERICA"))</f>
        <v>EMEA</v>
      </c>
      <c r="M366" t="s">
        <v>76</v>
      </c>
      <c r="N366" t="s">
        <v>31</v>
      </c>
      <c r="O36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366" t="s">
        <v>40</v>
      </c>
      <c r="Q366" t="str">
        <f>IF(TRIM(Transaction[[#This Row],[SalesChannel]])="","Missing Value",TRIM(Transaction[[#This Row],[SalesChannel]]))</f>
        <v>Distributor</v>
      </c>
      <c r="R366" s="4">
        <v>1</v>
      </c>
      <c r="S366" s="4" t="str">
        <f>IF(Transaction[[#This Row],[Quantity]]&lt;0,"Negative-review","Valid")</f>
        <v>Valid</v>
      </c>
      <c r="T366">
        <v>3702.34</v>
      </c>
      <c r="U36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3702.34</v>
      </c>
      <c r="V366">
        <v>4200</v>
      </c>
      <c r="W366">
        <v>4200</v>
      </c>
      <c r="X36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366">
        <f>IF(Transaction[[#This Row],[GrossRevenue_Check]]="Invalid",Transaction[[#This Row],[ListPrice]]*Transaction[[#This Row],[Quantity]],Transaction[[#This Row],[GrossRevenue_Clean]])</f>
        <v>4200</v>
      </c>
      <c r="Z366" t="str">
        <f>IF(Transaction[[#This Row],[GrossRevenue_Clean]]=Transaction[[#This Row],[ListPrice]]*Transaction[[#This Row],[Quantity]],"Valid","Invalid")</f>
        <v>Valid</v>
      </c>
      <c r="AA366">
        <v>497.66</v>
      </c>
      <c r="AB36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497.66</v>
      </c>
      <c r="AC366">
        <f>IF(Transaction[[#This Row],[DiscountAmount_Check2]]="Invalid",Transaction[[#This Row],[GrossRevenue_Analytical]]-Transaction[[#This Row],[NetRevenue_Analytical]],Transaction[[#This Row],[DiscountAmount_Clean]])</f>
        <v>497.66</v>
      </c>
      <c r="AD366">
        <v>3702.34</v>
      </c>
      <c r="AE366" t="str">
        <f>IF(ROUND(Transaction[[#This Row],[GrossRevenue_Analytical]]-Transaction[[#This Row],[NetRevenue_Analytical]],2)=ROUND(Transaction[[#This Row],[DiscountAmount_Clean]],2),"Valid","Invalid")</f>
        <v>Valid</v>
      </c>
      <c r="AF366">
        <f>VALUE(IF(ISNUMBER(Transaction[[#This Row],[NetRevenue]]),Transaction[[#This Row],[NetRevenue]],IFERROR(IF(FIND("$",Transaction[[#This Row],[NetRevenue]])&gt;0,MID(Transaction[[#This Row],[NetRevenue]],2,10)),Transaction[[#This Row],[NetRevenue]])))</f>
        <v>3702.34</v>
      </c>
      <c r="AG366">
        <f>IF(Transaction[[#This Row],[NetRevenue_Check]]="Invalid",(Transaction[[#This Row],[Quantity]]*Transaction[[#This Row],[UnitPrice_Clean]]),Transaction[[#This Row],[NetRevenue_Clean]])</f>
        <v>3702.34</v>
      </c>
      <c r="AH366" t="str">
        <f>IF(Transaction[[#This Row],[Quantity]]*Transaction[[#This Row],[UnitPrice_Clean]]=Transaction[[#This Row],[NetRevenue_Clean]],"Valid","Invalid")</f>
        <v>Valid</v>
      </c>
      <c r="AI366" t="s">
        <v>23</v>
      </c>
      <c r="AJ366" t="s">
        <v>873</v>
      </c>
      <c r="AK366" t="str">
        <f>IF(Transaction[[#This Row],[Salesperson]]="","Missing Value",TRIM(PROPER(Transaction[[#This Row],[Salesperson]])))</f>
        <v>Rios</v>
      </c>
      <c r="AL366" t="s">
        <v>210</v>
      </c>
      <c r="AM366" t="str">
        <f>IF(Transaction[[#This Row],[ContractType]]="","Missing Value",Transaction[[#This Row],[ContractType]])</f>
        <v>Perpetual</v>
      </c>
      <c r="AN366" t="s">
        <v>43</v>
      </c>
    </row>
    <row r="367" spans="1:40" x14ac:dyDescent="0.25">
      <c r="A367" t="s">
        <v>1387</v>
      </c>
      <c r="B367" s="1">
        <v>45690</v>
      </c>
      <c r="C36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36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36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67" s="2">
        <f>IFERROR(DATE(Transaction[[#This Row],[TransactionDateY]],Transaction[[#This Row],[TransactionDateM]],Transaction[[#This Row],[TransactionDateD]]),"Missing Value")</f>
        <v>45690</v>
      </c>
      <c r="G367" t="s">
        <v>1385</v>
      </c>
      <c r="H367" t="str">
        <f>IFERROR(VLOOKUP(Transaction[[#This Row],[CustomerID]],Custumer[],1,0),IF(LEN(Transaction[[#This Row],[CustomerID]])=7,LEFT(Transaction[[#This Row],[CustomerID]],6),"Invalid ID"))</f>
        <v>C-1022</v>
      </c>
      <c r="I367" t="s">
        <v>97</v>
      </c>
      <c r="J367" t="str">
        <f>TRIM(UPPER(Transaction[[#This Row],[ProductID]]))</f>
        <v>P-SI-001</v>
      </c>
      <c r="K367" t="str">
        <f>IFERROR(VLOOKUP(Transaction[[#This Row],[ProductID_Clean]],Product[],1,FALSE),"Invalid ID")</f>
        <v>P-SI-001</v>
      </c>
      <c r="L367" t="str">
        <f>TRIM(SUBSTITUTE(SUBSTITUTE(SUBSTITUTE(SUBSTITUTE(UPPER(Transaction[[#This Row],[Region]]),"EMEA REGION","EMEA"),"APAC REGION","APAC"),"NORTH AMERICA","N. AMERICA"),"N .AMERICA","N.AMERICA"))</f>
        <v>N. AMERICA</v>
      </c>
      <c r="M367" t="s">
        <v>20</v>
      </c>
      <c r="N367" t="s">
        <v>53</v>
      </c>
      <c r="O36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67" t="s">
        <v>40</v>
      </c>
      <c r="Q367" t="str">
        <f>IF(TRIM(Transaction[[#This Row],[SalesChannel]])="","Missing Value",TRIM(Transaction[[#This Row],[SalesChannel]]))</f>
        <v>Distributor</v>
      </c>
      <c r="R367" s="4">
        <v>8</v>
      </c>
      <c r="S367" s="4" t="str">
        <f>IF(Transaction[[#This Row],[Quantity]]&lt;0,"Negative-review","Valid")</f>
        <v>Valid</v>
      </c>
      <c r="T367">
        <v>419.95</v>
      </c>
      <c r="U36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419.95</v>
      </c>
      <c r="V367">
        <v>485</v>
      </c>
      <c r="W367">
        <v>3880</v>
      </c>
      <c r="X36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3880</v>
      </c>
      <c r="Y367">
        <f>IF(Transaction[[#This Row],[GrossRevenue_Check]]="Invalid",Transaction[[#This Row],[ListPrice]]*Transaction[[#This Row],[Quantity]],Transaction[[#This Row],[GrossRevenue_Clean]])</f>
        <v>3880</v>
      </c>
      <c r="Z367" t="str">
        <f>IF(Transaction[[#This Row],[GrossRevenue_Clean]]=Transaction[[#This Row],[ListPrice]]*Transaction[[#This Row],[Quantity]],"Valid","Invalid")</f>
        <v>Valid</v>
      </c>
      <c r="AA367">
        <v>520.4</v>
      </c>
      <c r="AB36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520.4</v>
      </c>
      <c r="AC367">
        <f>IF(Transaction[[#This Row],[DiscountAmount_Check2]]="Invalid",Transaction[[#This Row],[GrossRevenue_Analytical]]-Transaction[[#This Row],[NetRevenue_Analytical]],Transaction[[#This Row],[DiscountAmount_Clean]])</f>
        <v>520.4</v>
      </c>
      <c r="AD367">
        <v>3359.6</v>
      </c>
      <c r="AE367" t="str">
        <f>IF(ROUND(Transaction[[#This Row],[GrossRevenue_Analytical]]-Transaction[[#This Row],[NetRevenue_Analytical]],2)=ROUND(Transaction[[#This Row],[DiscountAmount_Clean]],2),"Valid","Invalid")</f>
        <v>Valid</v>
      </c>
      <c r="AF36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3359.6</v>
      </c>
      <c r="AG367">
        <f>IF(Transaction[[#This Row],[NetRevenue_Check]]="Invalid",(Transaction[[#This Row],[Quantity]]*Transaction[[#This Row],[UnitPrice_Clean]]),Transaction[[#This Row],[NetRevenue_Clean]])</f>
        <v>3359.6</v>
      </c>
      <c r="AH367" t="str">
        <f>IF(Transaction[[#This Row],[Quantity]]*Transaction[[#This Row],[UnitPrice_Clean]]=Transaction[[#This Row],[NetRevenue_Clean]],"Valid","Invalid")</f>
        <v>Valid</v>
      </c>
      <c r="AI367" t="s">
        <v>23</v>
      </c>
      <c r="AJ367" t="s">
        <v>1388</v>
      </c>
      <c r="AK367" t="str">
        <f>IF(Transaction[[#This Row],[Salesperson]]="","Missing Value",TRIM(PROPER(Transaction[[#This Row],[Salesperson]])))</f>
        <v>Nelson-Ap</v>
      </c>
      <c r="AL367" t="s">
        <v>25</v>
      </c>
      <c r="AM367" t="str">
        <f>IF(Transaction[[#This Row],[ContractType]]="","Missing Value",Transaction[[#This Row],[ContractType]])</f>
        <v>Frame Agreement</v>
      </c>
      <c r="AN367" t="s">
        <v>49</v>
      </c>
    </row>
    <row r="368" spans="1:40" x14ac:dyDescent="0.25">
      <c r="A368" t="s">
        <v>125</v>
      </c>
      <c r="B368" s="1">
        <v>45765</v>
      </c>
      <c r="C36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36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36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68" s="2">
        <f>IFERROR(DATE(Transaction[[#This Row],[TransactionDateY]],Transaction[[#This Row],[TransactionDateM]],Transaction[[#This Row],[TransactionDateD]]),"Missing Value")</f>
        <v>45765</v>
      </c>
      <c r="G368" t="s">
        <v>126</v>
      </c>
      <c r="H368" t="str">
        <f>IFERROR(VLOOKUP(Transaction[[#This Row],[CustomerID]],Custumer[],1,0),IF(LEN(Transaction[[#This Row],[CustomerID]])=7,LEFT(Transaction[[#This Row],[CustomerID]],6),"Invalid ID"))</f>
        <v>C-1019</v>
      </c>
      <c r="I368" t="s">
        <v>97</v>
      </c>
      <c r="J368" t="str">
        <f>TRIM(UPPER(Transaction[[#This Row],[ProductID]]))</f>
        <v>P-SI-001</v>
      </c>
      <c r="K368" t="str">
        <f>IFERROR(VLOOKUP(Transaction[[#This Row],[ProductID_Clean]],Product[],1,FALSE),"Invalid ID")</f>
        <v>P-SI-001</v>
      </c>
      <c r="L368" t="str">
        <f>TRIM(SUBSTITUTE(SUBSTITUTE(SUBSTITUTE(SUBSTITUTE(UPPER(Transaction[[#This Row],[Region]]),"EMEA REGION","EMEA"),"APAC REGION","APAC"),"NORTH AMERICA","N. AMERICA"),"N .AMERICA","N.AMERICA"))</f>
        <v>APAC</v>
      </c>
      <c r="M368" t="s">
        <v>127</v>
      </c>
      <c r="N368" t="s">
        <v>53</v>
      </c>
      <c r="O36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68" t="s">
        <v>22</v>
      </c>
      <c r="Q368" t="str">
        <f>IF(TRIM(Transaction[[#This Row],[SalesChannel]])="","Missing Value",TRIM(Transaction[[#This Row],[SalesChannel]]))</f>
        <v>Direct</v>
      </c>
      <c r="R368" s="4">
        <v>4</v>
      </c>
      <c r="S368" s="4" t="str">
        <f>IF(Transaction[[#This Row],[Quantity]]&lt;0,"Negative-review","Valid")</f>
        <v>Valid</v>
      </c>
      <c r="T368">
        <v>461.83</v>
      </c>
      <c r="U36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461.83</v>
      </c>
      <c r="V368">
        <v>485</v>
      </c>
      <c r="W368">
        <v>1940</v>
      </c>
      <c r="X36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1940</v>
      </c>
      <c r="Y368">
        <f>IF(Transaction[[#This Row],[GrossRevenue_Check]]="Invalid",Transaction[[#This Row],[ListPrice]]*Transaction[[#This Row],[Quantity]],Transaction[[#This Row],[GrossRevenue_Clean]])</f>
        <v>1940</v>
      </c>
      <c r="Z368" t="str">
        <f>IF(Transaction[[#This Row],[GrossRevenue_Clean]]=Transaction[[#This Row],[ListPrice]]*Transaction[[#This Row],[Quantity]],"Valid","Invalid")</f>
        <v>Valid</v>
      </c>
      <c r="AA368">
        <v>92.68</v>
      </c>
      <c r="AB36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92.68</v>
      </c>
      <c r="AC368">
        <f>IF(Transaction[[#This Row],[DiscountAmount_Check2]]="Invalid",Transaction[[#This Row],[GrossRevenue_Analytical]]-Transaction[[#This Row],[NetRevenue_Analytical]],Transaction[[#This Row],[DiscountAmount_Clean]])</f>
        <v>92.68</v>
      </c>
      <c r="AD368">
        <v>1847.32</v>
      </c>
      <c r="AE368" t="str">
        <f>IF(ROUND(Transaction[[#This Row],[GrossRevenue_Analytical]]-Transaction[[#This Row],[NetRevenue_Analytical]],2)=ROUND(Transaction[[#This Row],[DiscountAmount_Clean]],2),"Valid","Invalid")</f>
        <v>Valid</v>
      </c>
      <c r="AF36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1847.32</v>
      </c>
      <c r="AG368">
        <f>IF(Transaction[[#This Row],[NetRevenue_Check]]="Invalid",(Transaction[[#This Row],[Quantity]]*Transaction[[#This Row],[UnitPrice_Clean]]),Transaction[[#This Row],[NetRevenue_Clean]])</f>
        <v>1847.32</v>
      </c>
      <c r="AH368" t="str">
        <f>IF(Transaction[[#This Row],[Quantity]]*Transaction[[#This Row],[UnitPrice_Clean]]=Transaction[[#This Row],[NetRevenue_Clean]],"Valid","Invalid")</f>
        <v>Valid</v>
      </c>
      <c r="AI368" t="s">
        <v>128</v>
      </c>
      <c r="AJ368" t="s">
        <v>129</v>
      </c>
      <c r="AK368" t="str">
        <f>IF(Transaction[[#This Row],[Salesperson]]="","Missing Value",TRIM(PROPER(Transaction[[#This Row],[Salesperson]])))</f>
        <v>Lloyd-Em</v>
      </c>
      <c r="AL368" t="s">
        <v>55</v>
      </c>
      <c r="AM368" t="str">
        <f>IF(Transaction[[#This Row],[ContractType]]="","Missing Value",Transaction[[#This Row],[ContractType]])</f>
        <v>Spot</v>
      </c>
      <c r="AN368" t="s">
        <v>49</v>
      </c>
    </row>
    <row r="369" spans="1:40" x14ac:dyDescent="0.25">
      <c r="A369" t="s">
        <v>1934</v>
      </c>
      <c r="B369" t="s">
        <v>303</v>
      </c>
      <c r="C36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36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36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69" s="2">
        <f>IFERROR(DATE(Transaction[[#This Row],[TransactionDateY]],Transaction[[#This Row],[TransactionDateM]],Transaction[[#This Row],[TransactionDateD]]),"Missing Value")</f>
        <v>45687</v>
      </c>
      <c r="G369" t="s">
        <v>284</v>
      </c>
      <c r="H369" t="str">
        <f>IFERROR(VLOOKUP(Transaction[[#This Row],[CustomerID]],Custumer[],1,0),IF(LEN(Transaction[[#This Row],[CustomerID]])=7,LEFT(Transaction[[#This Row],[CustomerID]],6),"Invalid ID"))</f>
        <v>C-1101</v>
      </c>
      <c r="I369" t="s">
        <v>117</v>
      </c>
      <c r="J369" t="str">
        <f>TRIM(UPPER(Transaction[[#This Row],[ProductID]]))</f>
        <v>P-SI-007</v>
      </c>
      <c r="K369" t="str">
        <f>IFERROR(VLOOKUP(Transaction[[#This Row],[ProductID_Clean]],Product[],1,FALSE),"Invalid ID")</f>
        <v>P-SI-007</v>
      </c>
      <c r="L369" t="str">
        <f>TRIM(SUBSTITUTE(SUBSTITUTE(SUBSTITUTE(SUBSTITUTE(UPPER(Transaction[[#This Row],[Region]]),"EMEA REGION","EMEA"),"APAC REGION","APAC"),"NORTH AMERICA","N. AMERICA"),"N .AMERICA","N.AMERICA"))</f>
        <v>EMEA</v>
      </c>
      <c r="M369" t="s">
        <v>683</v>
      </c>
      <c r="N369" t="s">
        <v>53</v>
      </c>
      <c r="O36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69" t="s">
        <v>22</v>
      </c>
      <c r="Q369" t="str">
        <f>IF(TRIM(Transaction[[#This Row],[SalesChannel]])="","Missing Value",TRIM(Transaction[[#This Row],[SalesChannel]]))</f>
        <v>Direct</v>
      </c>
      <c r="R369" s="4">
        <v>1</v>
      </c>
      <c r="S369" s="4" t="str">
        <f>IF(Transaction[[#This Row],[Quantity]]&lt;0,"Negative-review","Valid")</f>
        <v>Valid</v>
      </c>
      <c r="T369">
        <v>880.97</v>
      </c>
      <c r="U36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880.97</v>
      </c>
      <c r="V369">
        <v>980</v>
      </c>
      <c r="W369">
        <v>980</v>
      </c>
      <c r="X36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369">
        <f>IF(Transaction[[#This Row],[GrossRevenue_Check]]="Invalid",Transaction[[#This Row],[ListPrice]]*Transaction[[#This Row],[Quantity]],Transaction[[#This Row],[GrossRevenue_Clean]])</f>
        <v>980</v>
      </c>
      <c r="Z369" t="str">
        <f>IF(Transaction[[#This Row],[GrossRevenue_Clean]]=Transaction[[#This Row],[ListPrice]]*Transaction[[#This Row],[Quantity]],"Valid","Invalid")</f>
        <v>Valid</v>
      </c>
      <c r="AA369">
        <v>99.03</v>
      </c>
      <c r="AB36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99.03</v>
      </c>
      <c r="AC369">
        <f>IF(Transaction[[#This Row],[DiscountAmount_Check2]]="Invalid",Transaction[[#This Row],[GrossRevenue_Analytical]]-Transaction[[#This Row],[NetRevenue_Analytical]],Transaction[[#This Row],[DiscountAmount_Clean]])</f>
        <v>99.03</v>
      </c>
      <c r="AD369">
        <v>880.97</v>
      </c>
      <c r="AE369" t="str">
        <f>IF(ROUND(Transaction[[#This Row],[GrossRevenue_Analytical]]-Transaction[[#This Row],[NetRevenue_Analytical]],2)=ROUND(Transaction[[#This Row],[DiscountAmount_Clean]],2),"Valid","Invalid")</f>
        <v>Valid</v>
      </c>
      <c r="AF369">
        <f>VALUE(IF(ISNUMBER(Transaction[[#This Row],[NetRevenue]]),Transaction[[#This Row],[NetRevenue]],IFERROR(IF(FIND("$",Transaction[[#This Row],[NetRevenue]])&gt;0,MID(Transaction[[#This Row],[NetRevenue]],2,10)),Transaction[[#This Row],[NetRevenue]])))</f>
        <v>880.97</v>
      </c>
      <c r="AG369">
        <f>IF(Transaction[[#This Row],[NetRevenue_Check]]="Invalid",(Transaction[[#This Row],[Quantity]]*Transaction[[#This Row],[UnitPrice_Clean]]),Transaction[[#This Row],[NetRevenue_Clean]])</f>
        <v>880.97</v>
      </c>
      <c r="AH369" t="str">
        <f>IF(Transaction[[#This Row],[Quantity]]*Transaction[[#This Row],[UnitPrice_Clean]]=Transaction[[#This Row],[NetRevenue_Clean]],"Valid","Invalid")</f>
        <v>Valid</v>
      </c>
      <c r="AI369" t="s">
        <v>23</v>
      </c>
      <c r="AJ369" t="s">
        <v>1935</v>
      </c>
      <c r="AK369" t="str">
        <f>IF(Transaction[[#This Row],[Salesperson]]="","Missing Value",TRIM(PROPER(Transaction[[#This Row],[Salesperson]])))</f>
        <v>Kim-Na</v>
      </c>
      <c r="AL369" t="s">
        <v>42</v>
      </c>
      <c r="AM369" t="str">
        <f>IF(Transaction[[#This Row],[ContractType]]="","Missing Value",Transaction[[#This Row],[ContractType]])</f>
        <v>Standard PO</v>
      </c>
      <c r="AN369" t="s">
        <v>35</v>
      </c>
    </row>
    <row r="370" spans="1:40" x14ac:dyDescent="0.25">
      <c r="A370" t="s">
        <v>502</v>
      </c>
      <c r="B370" s="1">
        <v>45772</v>
      </c>
      <c r="C37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37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37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70" s="2">
        <f>IFERROR(DATE(Transaction[[#This Row],[TransactionDateY]],Transaction[[#This Row],[TransactionDateM]],Transaction[[#This Row],[TransactionDateD]]),"Missing Value")</f>
        <v>45772</v>
      </c>
      <c r="G370" t="s">
        <v>473</v>
      </c>
      <c r="H370" t="str">
        <f>IFERROR(VLOOKUP(Transaction[[#This Row],[CustomerID]],Custumer[],1,0),IF(LEN(Transaction[[#This Row],[CustomerID]])=7,LEFT(Transaction[[#This Row],[CustomerID]],6),"Invalid ID"))</f>
        <v>C-1016</v>
      </c>
      <c r="I370" t="s">
        <v>503</v>
      </c>
      <c r="J370" t="str">
        <f>TRIM(UPPER(Transaction[[#This Row],[ProductID]]))</f>
        <v>P-SI-005</v>
      </c>
      <c r="K370" t="str">
        <f>IFERROR(VLOOKUP(Transaction[[#This Row],[ProductID_Clean]],Product[],1,FALSE),"Invalid ID")</f>
        <v>P-SI-005</v>
      </c>
      <c r="L370" t="str">
        <f>TRIM(SUBSTITUTE(SUBSTITUTE(SUBSTITUTE(SUBSTITUTE(UPPER(Transaction[[#This Row],[Region]]),"EMEA REGION","EMEA"),"APAC REGION","APAC"),"NORTH AMERICA","N. AMERICA"),"N .AMERICA","N.AMERICA"))</f>
        <v>APAC</v>
      </c>
      <c r="M370" t="s">
        <v>30</v>
      </c>
      <c r="N370" t="s">
        <v>53</v>
      </c>
      <c r="O37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Q370" t="str">
        <f>IF(TRIM(Transaction[[#This Row],[SalesChannel]])="","Missing Value",TRIM(Transaction[[#This Row],[SalesChannel]]))</f>
        <v>Missing Value</v>
      </c>
      <c r="R370" s="4">
        <v>1</v>
      </c>
      <c r="S370" s="4" t="str">
        <f>IF(Transaction[[#This Row],[Quantity]]&lt;0,"Negative-review","Valid")</f>
        <v>Valid</v>
      </c>
      <c r="T370">
        <v>910.66</v>
      </c>
      <c r="U37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910.66</v>
      </c>
      <c r="V370">
        <v>1120</v>
      </c>
      <c r="W370">
        <v>1120</v>
      </c>
      <c r="X37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1120</v>
      </c>
      <c r="Y370">
        <f>IF(Transaction[[#This Row],[GrossRevenue_Check]]="Invalid",Transaction[[#This Row],[ListPrice]]*Transaction[[#This Row],[Quantity]],Transaction[[#This Row],[GrossRevenue_Clean]])</f>
        <v>1120</v>
      </c>
      <c r="Z370" t="str">
        <f>IF(Transaction[[#This Row],[GrossRevenue_Clean]]=Transaction[[#This Row],[ListPrice]]*Transaction[[#This Row],[Quantity]],"Valid","Invalid")</f>
        <v>Valid</v>
      </c>
      <c r="AA370">
        <v>209.34</v>
      </c>
      <c r="AB37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209.34</v>
      </c>
      <c r="AC370">
        <f>IF(Transaction[[#This Row],[DiscountAmount_Check2]]="Invalid",Transaction[[#This Row],[GrossRevenue_Analytical]]-Transaction[[#This Row],[NetRevenue_Analytical]],Transaction[[#This Row],[DiscountAmount_Clean]])</f>
        <v>209.34</v>
      </c>
      <c r="AD370">
        <v>910.66</v>
      </c>
      <c r="AE370" t="str">
        <f>IF(ROUND(Transaction[[#This Row],[GrossRevenue_Analytical]]-Transaction[[#This Row],[NetRevenue_Analytical]],2)=ROUND(Transaction[[#This Row],[DiscountAmount_Clean]],2),"Valid","Invalid")</f>
        <v>Valid</v>
      </c>
      <c r="AF370">
        <f>VALUE(IF(ISNUMBER(Transaction[[#This Row],[NetRevenue]]),Transaction[[#This Row],[NetRevenue]],IFERROR(IF(FIND("$",Transaction[[#This Row],[NetRevenue]])&gt;0,MID(Transaction[[#This Row],[NetRevenue]],2,10)),Transaction[[#This Row],[NetRevenue]])))</f>
        <v>910.66</v>
      </c>
      <c r="AG370">
        <f>IF(Transaction[[#This Row],[NetRevenue_Check]]="Invalid",(Transaction[[#This Row],[Quantity]]*Transaction[[#This Row],[UnitPrice_Clean]]),Transaction[[#This Row],[NetRevenue_Clean]])</f>
        <v>910.66</v>
      </c>
      <c r="AH370" t="str">
        <f>IF(Transaction[[#This Row],[Quantity]]*Transaction[[#This Row],[UnitPrice_Clean]]=Transaction[[#This Row],[NetRevenue_Clean]],"Valid","Invalid")</f>
        <v>Valid</v>
      </c>
      <c r="AI370" t="s">
        <v>23</v>
      </c>
      <c r="AK370" t="str">
        <f>IF(Transaction[[#This Row],[Salesperson]]="","Missing Value",TRIM(PROPER(Transaction[[#This Row],[Salesperson]])))</f>
        <v>Missing Value</v>
      </c>
      <c r="AL370" t="s">
        <v>55</v>
      </c>
      <c r="AM370" t="str">
        <f>IF(Transaction[[#This Row],[ContractType]]="","Missing Value",Transaction[[#This Row],[ContractType]])</f>
        <v>Spot</v>
      </c>
      <c r="AN370" t="s">
        <v>26</v>
      </c>
    </row>
    <row r="371" spans="1:40" x14ac:dyDescent="0.25">
      <c r="A371" t="s">
        <v>2038</v>
      </c>
      <c r="B371" t="s">
        <v>2039</v>
      </c>
      <c r="C37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37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37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71" s="2">
        <f>IFERROR(DATE(Transaction[[#This Row],[TransactionDateY]],Transaction[[#This Row],[TransactionDateM]],Transaction[[#This Row],[TransactionDateD]]),"Missing Value")</f>
        <v>45789</v>
      </c>
      <c r="G371" t="s">
        <v>2040</v>
      </c>
      <c r="H371" t="str">
        <f>IFERROR(VLOOKUP(Transaction[[#This Row],[CustomerID]],Custumer[],1,0),IF(LEN(Transaction[[#This Row],[CustomerID]])=7,LEFT(Transaction[[#This Row],[CustomerID]],6),"Invalid ID"))</f>
        <v>C-1146</v>
      </c>
      <c r="I371" t="s">
        <v>503</v>
      </c>
      <c r="J371" t="str">
        <f>TRIM(UPPER(Transaction[[#This Row],[ProductID]]))</f>
        <v>P-SI-005</v>
      </c>
      <c r="K371" t="str">
        <f>IFERROR(VLOOKUP(Transaction[[#This Row],[ProductID_Clean]],Product[],1,FALSE),"Invalid ID")</f>
        <v>P-SI-005</v>
      </c>
      <c r="L371" t="str">
        <f>TRIM(SUBSTITUTE(SUBSTITUTE(SUBSTITUTE(SUBSTITUTE(UPPER(Transaction[[#This Row],[Region]]),"EMEA REGION","EMEA"),"APAC REGION","APAC"),"NORTH AMERICA","N. AMERICA"),"N .AMERICA","N.AMERICA"))</f>
        <v>N. AMERICA</v>
      </c>
      <c r="M371" t="s">
        <v>20</v>
      </c>
      <c r="N371" t="s">
        <v>47</v>
      </c>
      <c r="O37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71" t="s">
        <v>40</v>
      </c>
      <c r="Q371" t="str">
        <f>IF(TRIM(Transaction[[#This Row],[SalesChannel]])="","Missing Value",TRIM(Transaction[[#This Row],[SalesChannel]]))</f>
        <v>Distributor</v>
      </c>
      <c r="R371" s="4">
        <v>2</v>
      </c>
      <c r="S371" s="4" t="str">
        <f>IF(Transaction[[#This Row],[Quantity]]&lt;0,"Negative-review","Valid")</f>
        <v>Valid</v>
      </c>
      <c r="T371">
        <v>913.81</v>
      </c>
      <c r="U37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913.81</v>
      </c>
      <c r="V371">
        <v>1120</v>
      </c>
      <c r="W371">
        <v>2240</v>
      </c>
      <c r="X37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2240</v>
      </c>
      <c r="Y371">
        <f>IF(Transaction[[#This Row],[GrossRevenue_Check]]="Invalid",Transaction[[#This Row],[ListPrice]]*Transaction[[#This Row],[Quantity]],Transaction[[#This Row],[GrossRevenue_Clean]])</f>
        <v>2240</v>
      </c>
      <c r="Z371" t="str">
        <f>IF(Transaction[[#This Row],[GrossRevenue_Clean]]=Transaction[[#This Row],[ListPrice]]*Transaction[[#This Row],[Quantity]],"Valid","Invalid")</f>
        <v>Valid</v>
      </c>
      <c r="AA371" t="s">
        <v>2041</v>
      </c>
      <c r="AB37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412.38</v>
      </c>
      <c r="AC371">
        <f>IF(Transaction[[#This Row],[DiscountAmount_Check2]]="Invalid",Transaction[[#This Row],[GrossRevenue_Analytical]]-Transaction[[#This Row],[NetRevenue_Analytical]],Transaction[[#This Row],[DiscountAmount_Clean]])</f>
        <v>412.38</v>
      </c>
      <c r="AD371">
        <v>1827.62</v>
      </c>
      <c r="AE371" t="str">
        <f>IF(ROUND(Transaction[[#This Row],[GrossRevenue_Analytical]]-Transaction[[#This Row],[NetRevenue_Analytical]],2)=ROUND(Transaction[[#This Row],[DiscountAmount_Clean]],2),"Valid","Invalid")</f>
        <v>Valid</v>
      </c>
      <c r="AF37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1827.62</v>
      </c>
      <c r="AG371">
        <f>IF(Transaction[[#This Row],[NetRevenue_Check]]="Invalid",(Transaction[[#This Row],[Quantity]]*Transaction[[#This Row],[UnitPrice_Clean]]),Transaction[[#This Row],[NetRevenue_Clean]])</f>
        <v>1827.62</v>
      </c>
      <c r="AH371" t="str">
        <f>IF(Transaction[[#This Row],[Quantity]]*Transaction[[#This Row],[UnitPrice_Clean]]=Transaction[[#This Row],[NetRevenue_Clean]],"Valid","Invalid")</f>
        <v>Valid</v>
      </c>
      <c r="AI371" t="s">
        <v>23</v>
      </c>
      <c r="AJ371" t="s">
        <v>2042</v>
      </c>
      <c r="AK371" t="str">
        <f>IF(Transaction[[#This Row],[Salesperson]]="","Missing Value",TRIM(PROPER(Transaction[[#This Row],[Salesperson]])))</f>
        <v>Gonzales-Em</v>
      </c>
      <c r="AL371" t="s">
        <v>42</v>
      </c>
      <c r="AM371" t="str">
        <f>IF(Transaction[[#This Row],[ContractType]]="","Missing Value",Transaction[[#This Row],[ContractType]])</f>
        <v>Standard PO</v>
      </c>
      <c r="AN371" t="s">
        <v>26</v>
      </c>
    </row>
    <row r="372" spans="1:40" x14ac:dyDescent="0.25">
      <c r="A372" t="s">
        <v>910</v>
      </c>
      <c r="B372" s="1">
        <v>45685</v>
      </c>
      <c r="C37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37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37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72" s="2">
        <f>IFERROR(DATE(Transaction[[#This Row],[TransactionDateY]],Transaction[[#This Row],[TransactionDateM]],Transaction[[#This Row],[TransactionDateD]]),"Missing Value")</f>
        <v>45685</v>
      </c>
      <c r="G372" t="s">
        <v>157</v>
      </c>
      <c r="H372" t="str">
        <f>IFERROR(VLOOKUP(Transaction[[#This Row],[CustomerID]],Custumer[],1,0),IF(LEN(Transaction[[#This Row],[CustomerID]])=7,LEFT(Transaction[[#This Row],[CustomerID]],6),"Invalid ID"))</f>
        <v>C-1021</v>
      </c>
      <c r="I372" t="s">
        <v>92</v>
      </c>
      <c r="J372" t="str">
        <f>TRIM(UPPER(Transaction[[#This Row],[ProductID]]))</f>
        <v>P-SI-008</v>
      </c>
      <c r="K372" t="str">
        <f>IFERROR(VLOOKUP(Transaction[[#This Row],[ProductID_Clean]],Product[],1,FALSE),"Invalid ID")</f>
        <v>P-SI-008</v>
      </c>
      <c r="L372" t="str">
        <f>TRIM(SUBSTITUTE(SUBSTITUTE(SUBSTITUTE(SUBSTITUTE(UPPER(Transaction[[#This Row],[Region]]),"EMEA REGION","EMEA"),"APAC REGION","APAC"),"NORTH AMERICA","N. AMERICA"),"N .AMERICA","N.AMERICA"))</f>
        <v>EMEA</v>
      </c>
      <c r="M372" t="s">
        <v>87</v>
      </c>
      <c r="N372" t="s">
        <v>53</v>
      </c>
      <c r="O37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72" t="s">
        <v>40</v>
      </c>
      <c r="Q372" t="str">
        <f>IF(TRIM(Transaction[[#This Row],[SalesChannel]])="","Missing Value",TRIM(Transaction[[#This Row],[SalesChannel]]))</f>
        <v>Distributor</v>
      </c>
      <c r="R372" s="4">
        <v>4</v>
      </c>
      <c r="S372" s="4" t="str">
        <f>IF(Transaction[[#This Row],[Quantity]]&lt;0,"Negative-review","Valid")</f>
        <v>Valid</v>
      </c>
      <c r="T372">
        <v>730.4</v>
      </c>
      <c r="U37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730.4</v>
      </c>
      <c r="V372">
        <v>950</v>
      </c>
      <c r="W372">
        <v>3800</v>
      </c>
      <c r="X37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3800</v>
      </c>
      <c r="Y372">
        <f>IF(Transaction[[#This Row],[GrossRevenue_Check]]="Invalid",Transaction[[#This Row],[ListPrice]]*Transaction[[#This Row],[Quantity]],Transaction[[#This Row],[GrossRevenue_Clean]])</f>
        <v>3800</v>
      </c>
      <c r="Z372" t="str">
        <f>IF(Transaction[[#This Row],[GrossRevenue_Clean]]=Transaction[[#This Row],[ListPrice]]*Transaction[[#This Row],[Quantity]],"Valid","Invalid")</f>
        <v>Valid</v>
      </c>
      <c r="AA372">
        <v>878.4</v>
      </c>
      <c r="AB37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878.4</v>
      </c>
      <c r="AC372">
        <f>IF(Transaction[[#This Row],[DiscountAmount_Check2]]="Invalid",Transaction[[#This Row],[GrossRevenue_Analytical]]-Transaction[[#This Row],[NetRevenue_Analytical]],Transaction[[#This Row],[DiscountAmount_Clean]])</f>
        <v>878.4</v>
      </c>
      <c r="AD372">
        <v>2921.6</v>
      </c>
      <c r="AE372" t="str">
        <f>IF(ROUND(Transaction[[#This Row],[GrossRevenue_Analytical]]-Transaction[[#This Row],[NetRevenue_Analytical]],2)=ROUND(Transaction[[#This Row],[DiscountAmount_Clean]],2),"Valid","Invalid")</f>
        <v>Valid</v>
      </c>
      <c r="AF37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2921.6</v>
      </c>
      <c r="AG372">
        <f>IF(Transaction[[#This Row],[NetRevenue_Check]]="Invalid",(Transaction[[#This Row],[Quantity]]*Transaction[[#This Row],[UnitPrice_Clean]]),Transaction[[#This Row],[NetRevenue_Clean]])</f>
        <v>2921.6</v>
      </c>
      <c r="AH372" t="str">
        <f>IF(Transaction[[#This Row],[Quantity]]*Transaction[[#This Row],[UnitPrice_Clean]]=Transaction[[#This Row],[NetRevenue_Clean]],"Valid","Invalid")</f>
        <v>Valid</v>
      </c>
      <c r="AI372" t="s">
        <v>23</v>
      </c>
      <c r="AJ372" t="s">
        <v>911</v>
      </c>
      <c r="AK372" t="str">
        <f>IF(Transaction[[#This Row],[Salesperson]]="","Missing Value",TRIM(PROPER(Transaction[[#This Row],[Salesperson]])))</f>
        <v>Huber</v>
      </c>
      <c r="AL372" t="s">
        <v>25</v>
      </c>
      <c r="AM372" t="str">
        <f>IF(Transaction[[#This Row],[ContractType]]="","Missing Value",Transaction[[#This Row],[ContractType]])</f>
        <v>Frame Agreement</v>
      </c>
      <c r="AN372" t="s">
        <v>49</v>
      </c>
    </row>
    <row r="373" spans="1:40" x14ac:dyDescent="0.25">
      <c r="A373" t="s">
        <v>2094</v>
      </c>
      <c r="B373" s="1">
        <v>45815</v>
      </c>
      <c r="C37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37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37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73" s="2">
        <f>IFERROR(DATE(Transaction[[#This Row],[TransactionDateY]],Transaction[[#This Row],[TransactionDateM]],Transaction[[#This Row],[TransactionDateD]]),"Missing Value")</f>
        <v>45815</v>
      </c>
      <c r="G373" t="s">
        <v>1235</v>
      </c>
      <c r="H373" t="str">
        <f>IFERROR(VLOOKUP(Transaction[[#This Row],[CustomerID]],Custumer[],1,0),IF(LEN(Transaction[[#This Row],[CustomerID]])=7,LEFT(Transaction[[#This Row],[CustomerID]],6),"Invalid ID"))</f>
        <v>C-1032</v>
      </c>
      <c r="I373" t="s">
        <v>97</v>
      </c>
      <c r="J373" t="str">
        <f>TRIM(UPPER(Transaction[[#This Row],[ProductID]]))</f>
        <v>P-SI-001</v>
      </c>
      <c r="K373" t="str">
        <f>IFERROR(VLOOKUP(Transaction[[#This Row],[ProductID_Clean]],Product[],1,FALSE),"Invalid ID")</f>
        <v>P-SI-001</v>
      </c>
      <c r="L373" t="str">
        <f>TRIM(SUBSTITUTE(SUBSTITUTE(SUBSTITUTE(SUBSTITUTE(UPPER(Transaction[[#This Row],[Region]]),"EMEA REGION","EMEA"),"APAC REGION","APAC"),"NORTH AMERICA","N. AMERICA"),"N .AMERICA","N.AMERICA"))</f>
        <v>EMEA</v>
      </c>
      <c r="M373" t="s">
        <v>76</v>
      </c>
      <c r="N373" t="s">
        <v>53</v>
      </c>
      <c r="O37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73" t="s">
        <v>40</v>
      </c>
      <c r="Q373" t="str">
        <f>IF(TRIM(Transaction[[#This Row],[SalesChannel]])="","Missing Value",TRIM(Transaction[[#This Row],[SalesChannel]]))</f>
        <v>Distributor</v>
      </c>
      <c r="R373" s="4">
        <v>2</v>
      </c>
      <c r="S373" s="4" t="str">
        <f>IF(Transaction[[#This Row],[Quantity]]&lt;0,"Negative-review","Valid")</f>
        <v>Valid</v>
      </c>
      <c r="T373">
        <v>409.67</v>
      </c>
      <c r="U37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409.67</v>
      </c>
      <c r="V373">
        <v>485</v>
      </c>
      <c r="W373">
        <v>970</v>
      </c>
      <c r="X37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373">
        <f>IF(Transaction[[#This Row],[GrossRevenue_Check]]="Invalid",Transaction[[#This Row],[ListPrice]]*Transaction[[#This Row],[Quantity]],Transaction[[#This Row],[GrossRevenue_Clean]])</f>
        <v>970</v>
      </c>
      <c r="Z373" t="str">
        <f>IF(Transaction[[#This Row],[GrossRevenue_Clean]]=Transaction[[#This Row],[ListPrice]]*Transaction[[#This Row],[Quantity]],"Valid","Invalid")</f>
        <v>Valid</v>
      </c>
      <c r="AA373">
        <v>150.66</v>
      </c>
      <c r="AB37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150.66</v>
      </c>
      <c r="AC373">
        <f>IF(Transaction[[#This Row],[DiscountAmount_Check2]]="Invalid",Transaction[[#This Row],[GrossRevenue_Analytical]]-Transaction[[#This Row],[NetRevenue_Analytical]],Transaction[[#This Row],[DiscountAmount_Clean]])</f>
        <v>150.66</v>
      </c>
      <c r="AD373">
        <v>819.34</v>
      </c>
      <c r="AE373" t="str">
        <f>IF(ROUND(Transaction[[#This Row],[GrossRevenue_Analytical]]-Transaction[[#This Row],[NetRevenue_Analytical]],2)=ROUND(Transaction[[#This Row],[DiscountAmount_Clean]],2),"Valid","Invalid")</f>
        <v>Valid</v>
      </c>
      <c r="AF373">
        <f>VALUE(IF(ISNUMBER(Transaction[[#This Row],[NetRevenue]]),Transaction[[#This Row],[NetRevenue]],IFERROR(IF(FIND("$",Transaction[[#This Row],[NetRevenue]])&gt;0,MID(Transaction[[#This Row],[NetRevenue]],2,10)),Transaction[[#This Row],[NetRevenue]])))</f>
        <v>819.34</v>
      </c>
      <c r="AG373">
        <f>IF(Transaction[[#This Row],[NetRevenue_Check]]="Invalid",(Transaction[[#This Row],[Quantity]]*Transaction[[#This Row],[UnitPrice_Clean]]),Transaction[[#This Row],[NetRevenue_Clean]])</f>
        <v>819.34</v>
      </c>
      <c r="AH373" t="str">
        <f>IF(Transaction[[#This Row],[Quantity]]*Transaction[[#This Row],[UnitPrice_Clean]]=Transaction[[#This Row],[NetRevenue_Clean]],"Valid","Invalid")</f>
        <v>Valid</v>
      </c>
      <c r="AI373" t="s">
        <v>128</v>
      </c>
      <c r="AJ373" t="s">
        <v>2095</v>
      </c>
      <c r="AK373" t="str">
        <f>IF(Transaction[[#This Row],[Salesperson]]="","Missing Value",TRIM(PROPER(Transaction[[#This Row],[Salesperson]])))</f>
        <v>Morgan</v>
      </c>
      <c r="AL373" t="s">
        <v>42</v>
      </c>
      <c r="AM373" t="str">
        <f>IF(Transaction[[#This Row],[ContractType]]="","Missing Value",Transaction[[#This Row],[ContractType]])</f>
        <v>Standard PO</v>
      </c>
      <c r="AN373" t="s">
        <v>49</v>
      </c>
    </row>
    <row r="374" spans="1:40" x14ac:dyDescent="0.25">
      <c r="A374" t="s">
        <v>2411</v>
      </c>
      <c r="B374" t="s">
        <v>2412</v>
      </c>
      <c r="C37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37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37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74" s="2">
        <f>IFERROR(DATE(Transaction[[#This Row],[TransactionDateY]],Transaction[[#This Row],[TransactionDateM]],Transaction[[#This Row],[TransactionDateD]]),"Missing Value")</f>
        <v>45826</v>
      </c>
      <c r="G374" t="s">
        <v>733</v>
      </c>
      <c r="H374" t="str">
        <f>IFERROR(VLOOKUP(Transaction[[#This Row],[CustomerID]],Custumer[],1,0),IF(LEN(Transaction[[#This Row],[CustomerID]])=7,LEFT(Transaction[[#This Row],[CustomerID]],6),"Invalid ID"))</f>
        <v>C-1017</v>
      </c>
      <c r="I374" t="s">
        <v>117</v>
      </c>
      <c r="J374" t="str">
        <f>TRIM(UPPER(Transaction[[#This Row],[ProductID]]))</f>
        <v>P-SI-007</v>
      </c>
      <c r="K374" t="str">
        <f>IFERROR(VLOOKUP(Transaction[[#This Row],[ProductID_Clean]],Product[],1,FALSE),"Invalid ID")</f>
        <v>P-SI-007</v>
      </c>
      <c r="L374" t="str">
        <f>TRIM(SUBSTITUTE(SUBSTITUTE(SUBSTITUTE(SUBSTITUTE(UPPER(Transaction[[#This Row],[Region]]),"EMEA REGION","EMEA"),"APAC REGION","APAC"),"NORTH AMERICA","N. AMERICA"),"N .AMERICA","N.AMERICA"))</f>
        <v>EMEA</v>
      </c>
      <c r="M374" t="s">
        <v>76</v>
      </c>
      <c r="N374" t="s">
        <v>53</v>
      </c>
      <c r="O37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74" t="s">
        <v>22</v>
      </c>
      <c r="Q374" t="str">
        <f>IF(TRIM(Transaction[[#This Row],[SalesChannel]])="","Missing Value",TRIM(Transaction[[#This Row],[SalesChannel]]))</f>
        <v>Direct</v>
      </c>
      <c r="R374" s="4">
        <v>3</v>
      </c>
      <c r="S374" s="4" t="str">
        <f>IF(Transaction[[#This Row],[Quantity]]&lt;0,"Negative-review","Valid")</f>
        <v>Valid</v>
      </c>
      <c r="T374">
        <v>862.39</v>
      </c>
      <c r="U37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862.39</v>
      </c>
      <c r="V374">
        <v>980</v>
      </c>
      <c r="W374">
        <v>2940</v>
      </c>
      <c r="X37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2940</v>
      </c>
      <c r="Y374">
        <f>IF(Transaction[[#This Row],[GrossRevenue_Check]]="Invalid",Transaction[[#This Row],[ListPrice]]*Transaction[[#This Row],[Quantity]],Transaction[[#This Row],[GrossRevenue_Clean]])</f>
        <v>2940</v>
      </c>
      <c r="Z374" t="str">
        <f>IF(Transaction[[#This Row],[GrossRevenue_Clean]]=Transaction[[#This Row],[ListPrice]]*Transaction[[#This Row],[Quantity]],"Valid","Invalid")</f>
        <v>Valid</v>
      </c>
      <c r="AA374">
        <v>352.83</v>
      </c>
      <c r="AB37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352.83</v>
      </c>
      <c r="AC374">
        <f>IF(Transaction[[#This Row],[DiscountAmount_Check2]]="Invalid",Transaction[[#This Row],[GrossRevenue_Analytical]]-Transaction[[#This Row],[NetRevenue_Analytical]],Transaction[[#This Row],[DiscountAmount_Clean]])</f>
        <v>352.83</v>
      </c>
      <c r="AD374">
        <v>2587.17</v>
      </c>
      <c r="AE374" t="str">
        <f>IF(ROUND(Transaction[[#This Row],[GrossRevenue_Analytical]]-Transaction[[#This Row],[NetRevenue_Analytical]],2)=ROUND(Transaction[[#This Row],[DiscountAmount_Clean]],2),"Valid","Invalid")</f>
        <v>Valid</v>
      </c>
      <c r="AF37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2587.17</v>
      </c>
      <c r="AG374">
        <f>IF(Transaction[[#This Row],[NetRevenue_Check]]="Invalid",(Transaction[[#This Row],[Quantity]]*Transaction[[#This Row],[UnitPrice_Clean]]),Transaction[[#This Row],[NetRevenue_Clean]])</f>
        <v>2587.17</v>
      </c>
      <c r="AH374" t="str">
        <f>IF(Transaction[[#This Row],[Quantity]]*Transaction[[#This Row],[UnitPrice_Clean]]=Transaction[[#This Row],[NetRevenue_Clean]],"Valid","Invalid")</f>
        <v>Valid</v>
      </c>
      <c r="AI374" t="s">
        <v>23</v>
      </c>
      <c r="AJ374" t="s">
        <v>976</v>
      </c>
      <c r="AK374" t="str">
        <f>IF(Transaction[[#This Row],[Salesperson]]="","Missing Value",TRIM(PROPER(Transaction[[#This Row],[Salesperson]])))</f>
        <v>Lopez-Em</v>
      </c>
      <c r="AL374" t="s">
        <v>42</v>
      </c>
      <c r="AM374" t="str">
        <f>IF(Transaction[[#This Row],[ContractType]]="","Missing Value",Transaction[[#This Row],[ContractType]])</f>
        <v>Standard PO</v>
      </c>
      <c r="AN374" t="s">
        <v>26</v>
      </c>
    </row>
    <row r="375" spans="1:40" x14ac:dyDescent="0.25">
      <c r="A375" t="s">
        <v>1405</v>
      </c>
      <c r="B375" s="1">
        <v>45735</v>
      </c>
      <c r="C37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37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37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75" s="2">
        <f>IFERROR(DATE(Transaction[[#This Row],[TransactionDateY]],Transaction[[#This Row],[TransactionDateM]],Transaction[[#This Row],[TransactionDateD]]),"Missing Value")</f>
        <v>45735</v>
      </c>
      <c r="G375" t="s">
        <v>172</v>
      </c>
      <c r="H375" t="str">
        <f>IFERROR(VLOOKUP(Transaction[[#This Row],[CustomerID]],Custumer[],1,0),IF(LEN(Transaction[[#This Row],[CustomerID]])=7,LEFT(Transaction[[#This Row],[CustomerID]],6),"Invalid ID"))</f>
        <v>C-1099</v>
      </c>
      <c r="I375" t="s">
        <v>71</v>
      </c>
      <c r="J375" t="str">
        <f>TRIM(UPPER(Transaction[[#This Row],[ProductID]]))</f>
        <v>P-SI-003</v>
      </c>
      <c r="K375" t="str">
        <f>IFERROR(VLOOKUP(Transaction[[#This Row],[ProductID_Clean]],Product[],1,FALSE),"Invalid ID")</f>
        <v>P-SI-003</v>
      </c>
      <c r="L375" t="str">
        <f>TRIM(SUBSTITUTE(SUBSTITUTE(SUBSTITUTE(SUBSTITUTE(UPPER(Transaction[[#This Row],[Region]]),"EMEA REGION","EMEA"),"APAC REGION","APAC"),"NORTH AMERICA","N. AMERICA"),"N .AMERICA","N.AMERICA"))</f>
        <v>EMEA</v>
      </c>
      <c r="M375" t="s">
        <v>76</v>
      </c>
      <c r="N375" t="s">
        <v>53</v>
      </c>
      <c r="O37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75" t="s">
        <v>22</v>
      </c>
      <c r="Q375" t="str">
        <f>IF(TRIM(Transaction[[#This Row],[SalesChannel]])="","Missing Value",TRIM(Transaction[[#This Row],[SalesChannel]]))</f>
        <v>Direct</v>
      </c>
      <c r="R375" s="4">
        <v>4</v>
      </c>
      <c r="S375" s="4" t="str">
        <f>IF(Transaction[[#This Row],[Quantity]]&lt;0,"Negative-review","Valid")</f>
        <v>Valid</v>
      </c>
      <c r="T375">
        <v>1640.38</v>
      </c>
      <c r="U37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1640.38</v>
      </c>
      <c r="V375">
        <v>1890</v>
      </c>
      <c r="W375">
        <v>7560</v>
      </c>
      <c r="X37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7560</v>
      </c>
      <c r="Y375">
        <f>IF(Transaction[[#This Row],[GrossRevenue_Check]]="Invalid",Transaction[[#This Row],[ListPrice]]*Transaction[[#This Row],[Quantity]],Transaction[[#This Row],[GrossRevenue_Clean]])</f>
        <v>7560</v>
      </c>
      <c r="Z375" t="str">
        <f>IF(Transaction[[#This Row],[GrossRevenue_Clean]]=Transaction[[#This Row],[ListPrice]]*Transaction[[#This Row],[Quantity]],"Valid","Invalid")</f>
        <v>Valid</v>
      </c>
      <c r="AA375">
        <v>998.48</v>
      </c>
      <c r="AB37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998.48</v>
      </c>
      <c r="AC375">
        <f>IF(Transaction[[#This Row],[DiscountAmount_Check2]]="Invalid",Transaction[[#This Row],[GrossRevenue_Analytical]]-Transaction[[#This Row],[NetRevenue_Analytical]],Transaction[[#This Row],[DiscountAmount_Clean]])</f>
        <v>998.48</v>
      </c>
      <c r="AD375">
        <v>6561.52</v>
      </c>
      <c r="AE375" t="str">
        <f>IF(ROUND(Transaction[[#This Row],[GrossRevenue_Analytical]]-Transaction[[#This Row],[NetRevenue_Analytical]],2)=ROUND(Transaction[[#This Row],[DiscountAmount_Clean]],2),"Valid","Invalid")</f>
        <v>Valid</v>
      </c>
      <c r="AF375">
        <f>VALUE(IF(ISNUMBER(Transaction[[#This Row],[NetRevenue]]),Transaction[[#This Row],[NetRevenue]],IFERROR(IF(FIND("$",Transaction[[#This Row],[NetRevenue]])&gt;0,MID(Transaction[[#This Row],[NetRevenue]],2,10)),Transaction[[#This Row],[NetRevenue]])))</f>
        <v>6561.52</v>
      </c>
      <c r="AG375">
        <f>IF(Transaction[[#This Row],[NetRevenue_Check]]="Invalid",(Transaction[[#This Row],[Quantity]]*Transaction[[#This Row],[UnitPrice_Clean]]),Transaction[[#This Row],[NetRevenue_Clean]])</f>
        <v>6561.52</v>
      </c>
      <c r="AH375" t="str">
        <f>IF(Transaction[[#This Row],[Quantity]]*Transaction[[#This Row],[UnitPrice_Clean]]=Transaction[[#This Row],[NetRevenue_Clean]],"Valid","Invalid")</f>
        <v>Valid</v>
      </c>
      <c r="AI375" t="s">
        <v>23</v>
      </c>
      <c r="AJ375" t="s">
        <v>1406</v>
      </c>
      <c r="AK375" t="str">
        <f>IF(Transaction[[#This Row],[Salesperson]]="","Missing Value",TRIM(PROPER(Transaction[[#This Row],[Salesperson]])))</f>
        <v>Holt-Na</v>
      </c>
      <c r="AL375" t="s">
        <v>25</v>
      </c>
      <c r="AM375" t="str">
        <f>IF(Transaction[[#This Row],[ContractType]]="","Missing Value",Transaction[[#This Row],[ContractType]])</f>
        <v>Frame Agreement</v>
      </c>
      <c r="AN375" t="s">
        <v>43</v>
      </c>
    </row>
    <row r="376" spans="1:40" x14ac:dyDescent="0.25">
      <c r="A376" t="s">
        <v>570</v>
      </c>
      <c r="B376" s="1">
        <v>45822</v>
      </c>
      <c r="C37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37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37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76" s="2">
        <f>IFERROR(DATE(Transaction[[#This Row],[TransactionDateY]],Transaction[[#This Row],[TransactionDateM]],Transaction[[#This Row],[TransactionDateD]]),"Missing Value")</f>
        <v>45822</v>
      </c>
      <c r="G376" t="s">
        <v>571</v>
      </c>
      <c r="H376" t="str">
        <f>IFERROR(VLOOKUP(Transaction[[#This Row],[CustomerID]],Custumer[],1,0),IF(LEN(Transaction[[#This Row],[CustomerID]])=7,LEFT(Transaction[[#This Row],[CustomerID]],6),"Invalid ID"))</f>
        <v>C-1060</v>
      </c>
      <c r="I376" t="s">
        <v>29</v>
      </c>
      <c r="J376" t="str">
        <f>TRIM(UPPER(Transaction[[#This Row],[ProductID]]))</f>
        <v>P-SA-001</v>
      </c>
      <c r="K376" t="str">
        <f>IFERROR(VLOOKUP(Transaction[[#This Row],[ProductID_Clean]],Product[],1,FALSE),"Invalid ID")</f>
        <v>P-SA-001</v>
      </c>
      <c r="L376" t="str">
        <f>TRIM(SUBSTITUTE(SUBSTITUTE(SUBSTITUTE(SUBSTITUTE(UPPER(Transaction[[#This Row],[Region]]),"EMEA REGION","EMEA"),"APAC REGION","APAC"),"NORTH AMERICA","N. AMERICA"),"N .AMERICA","N.AMERICA"))</f>
        <v>APAC</v>
      </c>
      <c r="M376" t="s">
        <v>30</v>
      </c>
      <c r="N376" t="s">
        <v>572</v>
      </c>
      <c r="O37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376" t="s">
        <v>173</v>
      </c>
      <c r="Q376" t="str">
        <f>IF(TRIM(Transaction[[#This Row],[SalesChannel]])="","Missing Value",TRIM(Transaction[[#This Row],[SalesChannel]]))</f>
        <v>Distributor</v>
      </c>
      <c r="R376" s="4">
        <v>2</v>
      </c>
      <c r="S376" s="4" t="str">
        <f>IF(Transaction[[#This Row],[Quantity]]&lt;0,"Negative-review","Valid")</f>
        <v>Valid</v>
      </c>
      <c r="T376">
        <v>3066.4</v>
      </c>
      <c r="U37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3066.4</v>
      </c>
      <c r="V376">
        <v>4200</v>
      </c>
      <c r="W376" t="s">
        <v>573</v>
      </c>
      <c r="X37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8400</v>
      </c>
      <c r="Y376">
        <f>IF(Transaction[[#This Row],[GrossRevenue_Check]]="Invalid",Transaction[[#This Row],[ListPrice]]*Transaction[[#This Row],[Quantity]],Transaction[[#This Row],[GrossRevenue_Clean]])</f>
        <v>8400</v>
      </c>
      <c r="Z376" t="str">
        <f>IF(Transaction[[#This Row],[GrossRevenue_Clean]]=Transaction[[#This Row],[ListPrice]]*Transaction[[#This Row],[Quantity]],"Valid","Invalid")</f>
        <v>Valid</v>
      </c>
      <c r="AA376" t="s">
        <v>574</v>
      </c>
      <c r="AB37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2267.1999999999998</v>
      </c>
      <c r="AC376">
        <f>IF(Transaction[[#This Row],[DiscountAmount_Check2]]="Invalid",Transaction[[#This Row],[GrossRevenue_Analytical]]-Transaction[[#This Row],[NetRevenue_Analytical]],Transaction[[#This Row],[DiscountAmount_Clean]])</f>
        <v>2267.1999999999998</v>
      </c>
      <c r="AD376">
        <v>6132.8</v>
      </c>
      <c r="AE376" t="str">
        <f>IF(ROUND(Transaction[[#This Row],[GrossRevenue_Analytical]]-Transaction[[#This Row],[NetRevenue_Analytical]],2)=ROUND(Transaction[[#This Row],[DiscountAmount_Clean]],2),"Valid","Invalid")</f>
        <v>Valid</v>
      </c>
      <c r="AF376">
        <f>VALUE(IF(ISNUMBER(Transaction[[#This Row],[NetRevenue]]),Transaction[[#This Row],[NetRevenue]],IFERROR(IF(FIND("$",Transaction[[#This Row],[NetRevenue]])&gt;0,MID(Transaction[[#This Row],[NetRevenue]],2,10)),Transaction[[#This Row],[NetRevenue]])))</f>
        <v>6132.8</v>
      </c>
      <c r="AG376">
        <f>IF(Transaction[[#This Row],[NetRevenue_Check]]="Invalid",(Transaction[[#This Row],[Quantity]]*Transaction[[#This Row],[UnitPrice_Clean]]),Transaction[[#This Row],[NetRevenue_Clean]])</f>
        <v>6132.8</v>
      </c>
      <c r="AH376" t="str">
        <f>IF(Transaction[[#This Row],[Quantity]]*Transaction[[#This Row],[UnitPrice_Clean]]=Transaction[[#This Row],[NetRevenue_Clean]],"Valid","Invalid")</f>
        <v>Valid</v>
      </c>
      <c r="AI376" t="s">
        <v>23</v>
      </c>
      <c r="AJ376" t="s">
        <v>575</v>
      </c>
      <c r="AK376" t="str">
        <f>IF(Transaction[[#This Row],[Salesperson]]="","Missing Value",TRIM(PROPER(Transaction[[#This Row],[Salesperson]])))</f>
        <v>Richardson</v>
      </c>
      <c r="AL376" t="s">
        <v>34</v>
      </c>
      <c r="AM376" t="str">
        <f>IF(Transaction[[#This Row],[ContractType]]="","Missing Value",Transaction[[#This Row],[ContractType]])</f>
        <v>Annual License</v>
      </c>
      <c r="AN376" t="s">
        <v>43</v>
      </c>
    </row>
    <row r="377" spans="1:40" x14ac:dyDescent="0.25">
      <c r="A377" t="s">
        <v>1806</v>
      </c>
      <c r="B377" t="s">
        <v>1807</v>
      </c>
      <c r="C37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37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37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77" s="2">
        <f>IFERROR(DATE(Transaction[[#This Row],[TransactionDateY]],Transaction[[#This Row],[TransactionDateM]],Transaction[[#This Row],[TransactionDateD]]),"Missing Value")</f>
        <v>45673</v>
      </c>
      <c r="G377" t="s">
        <v>1808</v>
      </c>
      <c r="H377" t="str">
        <f>IFERROR(VLOOKUP(Transaction[[#This Row],[CustomerID]],Custumer[],1,0),IF(LEN(Transaction[[#This Row],[CustomerID]])=7,LEFT(Transaction[[#This Row],[CustomerID]],6),"Invalid ID"))</f>
        <v>C-1127</v>
      </c>
      <c r="I377" t="s">
        <v>92</v>
      </c>
      <c r="J377" t="str">
        <f>TRIM(UPPER(Transaction[[#This Row],[ProductID]]))</f>
        <v>P-SI-008</v>
      </c>
      <c r="K377" t="str">
        <f>IFERROR(VLOOKUP(Transaction[[#This Row],[ProductID_Clean]],Product[],1,FALSE),"Invalid ID")</f>
        <v>P-SI-008</v>
      </c>
      <c r="L377" t="str">
        <f>TRIM(SUBSTITUTE(SUBSTITUTE(SUBSTITUTE(SUBSTITUTE(UPPER(Transaction[[#This Row],[Region]]),"EMEA REGION","EMEA"),"APAC REGION","APAC"),"NORTH AMERICA","N. AMERICA"),"N .AMERICA","N.AMERICA"))</f>
        <v>LATIN AMERICA</v>
      </c>
      <c r="M377" t="s">
        <v>82</v>
      </c>
      <c r="N377" t="s">
        <v>47</v>
      </c>
      <c r="O37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77" t="s">
        <v>22</v>
      </c>
      <c r="Q377" t="str">
        <f>IF(TRIM(Transaction[[#This Row],[SalesChannel]])="","Missing Value",TRIM(Transaction[[#This Row],[SalesChannel]]))</f>
        <v>Direct</v>
      </c>
      <c r="R377" s="4">
        <v>2</v>
      </c>
      <c r="S377" s="4" t="str">
        <f>IF(Transaction[[#This Row],[Quantity]]&lt;0,"Negative-review","Valid")</f>
        <v>Valid</v>
      </c>
      <c r="T377">
        <v>828.78</v>
      </c>
      <c r="U37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828.78</v>
      </c>
      <c r="V377">
        <v>950</v>
      </c>
      <c r="W377">
        <v>1900</v>
      </c>
      <c r="X37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1900</v>
      </c>
      <c r="Y377">
        <f>IF(Transaction[[#This Row],[GrossRevenue_Check]]="Invalid",Transaction[[#This Row],[ListPrice]]*Transaction[[#This Row],[Quantity]],Transaction[[#This Row],[GrossRevenue_Clean]])</f>
        <v>1900</v>
      </c>
      <c r="Z377" t="str">
        <f>IF(Transaction[[#This Row],[GrossRevenue_Clean]]=Transaction[[#This Row],[ListPrice]]*Transaction[[#This Row],[Quantity]],"Valid","Invalid")</f>
        <v>Valid</v>
      </c>
      <c r="AA377">
        <v>242.44</v>
      </c>
      <c r="AB37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242.44</v>
      </c>
      <c r="AC377">
        <f>IF(Transaction[[#This Row],[DiscountAmount_Check2]]="Invalid",Transaction[[#This Row],[GrossRevenue_Analytical]]-Transaction[[#This Row],[NetRevenue_Analytical]],Transaction[[#This Row],[DiscountAmount_Clean]])</f>
        <v>242.44</v>
      </c>
      <c r="AD377">
        <v>1657.56</v>
      </c>
      <c r="AE377" t="str">
        <f>IF(ROUND(Transaction[[#This Row],[GrossRevenue_Analytical]]-Transaction[[#This Row],[NetRevenue_Analytical]],2)=ROUND(Transaction[[#This Row],[DiscountAmount_Clean]],2),"Valid","Invalid")</f>
        <v>Valid</v>
      </c>
      <c r="AF37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1657.56</v>
      </c>
      <c r="AG377">
        <f>IF(Transaction[[#This Row],[NetRevenue_Check]]="Invalid",(Transaction[[#This Row],[Quantity]]*Transaction[[#This Row],[UnitPrice_Clean]]),Transaction[[#This Row],[NetRevenue_Clean]])</f>
        <v>1657.56</v>
      </c>
      <c r="AH377" t="str">
        <f>IF(Transaction[[#This Row],[Quantity]]*Transaction[[#This Row],[UnitPrice_Clean]]=Transaction[[#This Row],[NetRevenue_Clean]],"Valid","Invalid")</f>
        <v>Valid</v>
      </c>
      <c r="AI377" t="s">
        <v>23</v>
      </c>
      <c r="AJ377" t="s">
        <v>1472</v>
      </c>
      <c r="AK377" t="str">
        <f>IF(Transaction[[#This Row],[Salesperson]]="","Missing Value",TRIM(PROPER(Transaction[[#This Row],[Salesperson]])))</f>
        <v>Salinas-Na</v>
      </c>
      <c r="AL377" t="s">
        <v>25</v>
      </c>
      <c r="AM377" t="str">
        <f>IF(Transaction[[#This Row],[ContractType]]="","Missing Value",Transaction[[#This Row],[ContractType]])</f>
        <v>Frame Agreement</v>
      </c>
      <c r="AN377" t="s">
        <v>35</v>
      </c>
    </row>
    <row r="378" spans="1:40" x14ac:dyDescent="0.25">
      <c r="A378" t="s">
        <v>1725</v>
      </c>
      <c r="B378" s="1">
        <v>45760</v>
      </c>
      <c r="C37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37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37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78" s="2">
        <f>IFERROR(DATE(Transaction[[#This Row],[TransactionDateY]],Transaction[[#This Row],[TransactionDateM]],Transaction[[#This Row],[TransactionDateD]]),"Missing Value")</f>
        <v>45760</v>
      </c>
      <c r="G378" t="s">
        <v>186</v>
      </c>
      <c r="H378" t="str">
        <f>IFERROR(VLOOKUP(Transaction[[#This Row],[CustomerID]],Custumer[],1,0),IF(LEN(Transaction[[#This Row],[CustomerID]])=7,LEFT(Transaction[[#This Row],[CustomerID]],6),"Invalid ID"))</f>
        <v>C-1063</v>
      </c>
      <c r="I378" t="s">
        <v>29</v>
      </c>
      <c r="J378" t="str">
        <f>TRIM(UPPER(Transaction[[#This Row],[ProductID]]))</f>
        <v>P-SA-001</v>
      </c>
      <c r="K378" t="str">
        <f>IFERROR(VLOOKUP(Transaction[[#This Row],[ProductID_Clean]],Product[],1,FALSE),"Invalid ID")</f>
        <v>P-SA-001</v>
      </c>
      <c r="L378" t="str">
        <f>TRIM(SUBSTITUTE(SUBSTITUTE(SUBSTITUTE(SUBSTITUTE(UPPER(Transaction[[#This Row],[Region]]),"EMEA REGION","EMEA"),"APAC REGION","APAC"),"NORTH AMERICA","N. AMERICA"),"N .AMERICA","N.AMERICA"))</f>
        <v>N. AMERICA</v>
      </c>
      <c r="M378" t="s">
        <v>20</v>
      </c>
      <c r="N378" t="s">
        <v>31</v>
      </c>
      <c r="O37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378" t="s">
        <v>93</v>
      </c>
      <c r="Q378" t="str">
        <f>IF(TRIM(Transaction[[#This Row],[SalesChannel]])="","Missing Value",TRIM(Transaction[[#This Row],[SalesChannel]]))</f>
        <v>direct</v>
      </c>
      <c r="R378" s="4">
        <v>1</v>
      </c>
      <c r="S378" s="4" t="str">
        <f>IF(Transaction[[#This Row],[Quantity]]&lt;0,"Negative-review","Valid")</f>
        <v>Valid</v>
      </c>
      <c r="T378">
        <v>3407.33</v>
      </c>
      <c r="U37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3407.33</v>
      </c>
      <c r="V378">
        <v>4200</v>
      </c>
      <c r="W378">
        <v>4200</v>
      </c>
      <c r="X37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378">
        <f>IF(Transaction[[#This Row],[GrossRevenue_Check]]="Invalid",Transaction[[#This Row],[ListPrice]]*Transaction[[#This Row],[Quantity]],Transaction[[#This Row],[GrossRevenue_Clean]])</f>
        <v>4200</v>
      </c>
      <c r="Z378" t="str">
        <f>IF(Transaction[[#This Row],[GrossRevenue_Clean]]=Transaction[[#This Row],[ListPrice]]*Transaction[[#This Row],[Quantity]],"Valid","Invalid")</f>
        <v>Valid</v>
      </c>
      <c r="AA378">
        <v>792.67</v>
      </c>
      <c r="AB37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792.67</v>
      </c>
      <c r="AC378">
        <f>IF(Transaction[[#This Row],[DiscountAmount_Check2]]="Invalid",Transaction[[#This Row],[GrossRevenue_Analytical]]-Transaction[[#This Row],[NetRevenue_Analytical]],Transaction[[#This Row],[DiscountAmount_Clean]])</f>
        <v>792.67</v>
      </c>
      <c r="AD378">
        <v>3407.33</v>
      </c>
      <c r="AE378" t="str">
        <f>IF(ROUND(Transaction[[#This Row],[GrossRevenue_Analytical]]-Transaction[[#This Row],[NetRevenue_Analytical]],2)=ROUND(Transaction[[#This Row],[DiscountAmount_Clean]],2),"Valid","Invalid")</f>
        <v>Valid</v>
      </c>
      <c r="AF378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3407.33</v>
      </c>
      <c r="AG378">
        <f>IF(Transaction[[#This Row],[NetRevenue_Check]]="Invalid",(Transaction[[#This Row],[Quantity]]*Transaction[[#This Row],[UnitPrice_Clean]]),Transaction[[#This Row],[NetRevenue_Clean]])</f>
        <v>3407.33</v>
      </c>
      <c r="AH378" t="str">
        <f>IF(Transaction[[#This Row],[Quantity]]*Transaction[[#This Row],[UnitPrice_Clean]]=Transaction[[#This Row],[NetRevenue_Clean]],"Valid","Invalid")</f>
        <v>Valid</v>
      </c>
      <c r="AI378" t="s">
        <v>23</v>
      </c>
      <c r="AJ378" t="s">
        <v>1242</v>
      </c>
      <c r="AK378" t="str">
        <f>IF(Transaction[[#This Row],[Salesperson]]="","Missing Value",TRIM(PROPER(Transaction[[#This Row],[Salesperson]])))</f>
        <v>Adams-Na</v>
      </c>
      <c r="AL378" t="s">
        <v>113</v>
      </c>
      <c r="AM378" t="str">
        <f>IF(Transaction[[#This Row],[ContractType]]="","Missing Value",Transaction[[#This Row],[ContractType]])</f>
        <v>Subscription</v>
      </c>
      <c r="AN378" t="s">
        <v>43</v>
      </c>
    </row>
    <row r="379" spans="1:40" x14ac:dyDescent="0.25">
      <c r="A379" t="s">
        <v>455</v>
      </c>
      <c r="B379" s="1">
        <v>45833</v>
      </c>
      <c r="C37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37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37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79" s="2">
        <f>IFERROR(DATE(Transaction[[#This Row],[TransactionDateY]],Transaction[[#This Row],[TransactionDateM]],Transaction[[#This Row],[TransactionDateD]]),"Missing Value")</f>
        <v>45833</v>
      </c>
      <c r="G379" t="s">
        <v>456</v>
      </c>
      <c r="H379" t="str">
        <f>IFERROR(VLOOKUP(Transaction[[#This Row],[CustomerID]],Custumer[],1,0),IF(LEN(Transaction[[#This Row],[CustomerID]])=7,LEFT(Transaction[[#This Row],[CustomerID]],6),"Invalid ID"))</f>
        <v>C-1020</v>
      </c>
      <c r="I379" t="s">
        <v>92</v>
      </c>
      <c r="J379" t="str">
        <f>TRIM(UPPER(Transaction[[#This Row],[ProductID]]))</f>
        <v>P-SI-008</v>
      </c>
      <c r="K379" t="str">
        <f>IFERROR(VLOOKUP(Transaction[[#This Row],[ProductID_Clean]],Product[],1,FALSE),"Invalid ID")</f>
        <v>P-SI-008</v>
      </c>
      <c r="L379" t="str">
        <f>TRIM(SUBSTITUTE(SUBSTITUTE(SUBSTITUTE(SUBSTITUTE(UPPER(Transaction[[#This Row],[Region]]),"EMEA REGION","EMEA"),"APAC REGION","APAC"),"NORTH AMERICA","N. AMERICA"),"N .AMERICA","N.AMERICA"))</f>
        <v>EMEA</v>
      </c>
      <c r="M379" t="s">
        <v>76</v>
      </c>
      <c r="N379" t="s">
        <v>53</v>
      </c>
      <c r="O37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79" t="s">
        <v>22</v>
      </c>
      <c r="Q379" t="str">
        <f>IF(TRIM(Transaction[[#This Row],[SalesChannel]])="","Missing Value",TRIM(Transaction[[#This Row],[SalesChannel]]))</f>
        <v>Direct</v>
      </c>
      <c r="R379" s="4">
        <v>12</v>
      </c>
      <c r="S379" s="4" t="str">
        <f>IF(Transaction[[#This Row],[Quantity]]&lt;0,"Negative-review","Valid")</f>
        <v>Valid</v>
      </c>
      <c r="T379">
        <v>870.47</v>
      </c>
      <c r="U37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870.47</v>
      </c>
      <c r="V379">
        <v>950</v>
      </c>
      <c r="W379">
        <v>11400</v>
      </c>
      <c r="X37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11400</v>
      </c>
      <c r="Y379">
        <f>IF(Transaction[[#This Row],[GrossRevenue_Check]]="Invalid",Transaction[[#This Row],[ListPrice]]*Transaction[[#This Row],[Quantity]],Transaction[[#This Row],[GrossRevenue_Clean]])</f>
        <v>11400</v>
      </c>
      <c r="Z379" t="str">
        <f>IF(Transaction[[#This Row],[GrossRevenue_Clean]]=Transaction[[#This Row],[ListPrice]]*Transaction[[#This Row],[Quantity]],"Valid","Invalid")</f>
        <v>Valid</v>
      </c>
      <c r="AA379">
        <v>954.36</v>
      </c>
      <c r="AB37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954.36</v>
      </c>
      <c r="AC379">
        <f>IF(Transaction[[#This Row],[DiscountAmount_Check2]]="Invalid",Transaction[[#This Row],[GrossRevenue_Analytical]]-Transaction[[#This Row],[NetRevenue_Analytical]],Transaction[[#This Row],[DiscountAmount_Clean]])</f>
        <v>954.36</v>
      </c>
      <c r="AD379">
        <v>10445.64</v>
      </c>
      <c r="AE379" t="str">
        <f>IF(ROUND(Transaction[[#This Row],[GrossRevenue_Analytical]]-Transaction[[#This Row],[NetRevenue_Analytical]],2)=ROUND(Transaction[[#This Row],[DiscountAmount_Clean]],2),"Valid","Invalid")</f>
        <v>Valid</v>
      </c>
      <c r="AF37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10445.64</v>
      </c>
      <c r="AG379">
        <f>IF(Transaction[[#This Row],[NetRevenue_Check]]="Invalid",(Transaction[[#This Row],[Quantity]]*Transaction[[#This Row],[UnitPrice_Clean]]),Transaction[[#This Row],[NetRevenue_Clean]])</f>
        <v>10445.64</v>
      </c>
      <c r="AH379" t="str">
        <f>IF(Transaction[[#This Row],[Quantity]]*Transaction[[#This Row],[UnitPrice_Clean]]=Transaction[[#This Row],[NetRevenue_Clean]],"Valid","Invalid")</f>
        <v>Valid</v>
      </c>
      <c r="AI379" t="s">
        <v>23</v>
      </c>
      <c r="AJ379" t="s">
        <v>178</v>
      </c>
      <c r="AK379" t="str">
        <f>IF(Transaction[[#This Row],[Salesperson]]="","Missing Value",TRIM(PROPER(Transaction[[#This Row],[Salesperson]])))</f>
        <v>Miller</v>
      </c>
      <c r="AM379" t="str">
        <f>IF(Transaction[[#This Row],[ContractType]]="","Missing Value",Transaction[[#This Row],[ContractType]])</f>
        <v>Missing Value</v>
      </c>
      <c r="AN379" t="s">
        <v>43</v>
      </c>
    </row>
    <row r="380" spans="1:40" x14ac:dyDescent="0.25">
      <c r="A380" t="s">
        <v>2133</v>
      </c>
      <c r="B380" t="s">
        <v>2134</v>
      </c>
      <c r="C38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38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06</v>
      </c>
      <c r="E38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80" s="2">
        <f>IFERROR(DATE(Transaction[[#This Row],[TransactionDateY]],Transaction[[#This Row],[TransactionDateM]],Transaction[[#This Row],[TransactionDateD]]),"Missing Value")</f>
        <v>45783</v>
      </c>
      <c r="G380" t="s">
        <v>267</v>
      </c>
      <c r="H380" t="str">
        <f>IFERROR(VLOOKUP(Transaction[[#This Row],[CustomerID]],Custumer[],1,0),IF(LEN(Transaction[[#This Row],[CustomerID]])=7,LEFT(Transaction[[#This Row],[CustomerID]],6),"Invalid ID"))</f>
        <v>C-1119</v>
      </c>
      <c r="I380" t="s">
        <v>39</v>
      </c>
      <c r="J380" t="str">
        <f>TRIM(UPPER(Transaction[[#This Row],[ProductID]]))</f>
        <v>P-FS-006</v>
      </c>
      <c r="K380" t="str">
        <f>IFERROR(VLOOKUP(Transaction[[#This Row],[ProductID_Clean]],Product[],1,FALSE),"Invalid ID")</f>
        <v>P-FS-006</v>
      </c>
      <c r="L380" t="str">
        <f>TRIM(SUBSTITUTE(SUBSTITUTE(SUBSTITUTE(SUBSTITUTE(UPPER(Transaction[[#This Row],[Region]]),"EMEA REGION","EMEA"),"APAC REGION","APAC"),"NORTH AMERICA","N. AMERICA"),"N .AMERICA","N.AMERICA"))</f>
        <v>EMEA</v>
      </c>
      <c r="M380" t="s">
        <v>76</v>
      </c>
      <c r="N380" t="s">
        <v>21</v>
      </c>
      <c r="O380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380" t="s">
        <v>22</v>
      </c>
      <c r="Q380" t="str">
        <f>IF(TRIM(Transaction[[#This Row],[SalesChannel]])="","Missing Value",TRIM(Transaction[[#This Row],[SalesChannel]]))</f>
        <v>Direct</v>
      </c>
      <c r="R380" s="4">
        <v>1</v>
      </c>
      <c r="S380" s="4" t="str">
        <f>IF(Transaction[[#This Row],[Quantity]]&lt;0,"Negative-review","Valid")</f>
        <v>Valid</v>
      </c>
      <c r="T380">
        <v>1305.6500000000001</v>
      </c>
      <c r="U38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1305.6500000000001</v>
      </c>
      <c r="V380">
        <v>1450</v>
      </c>
      <c r="W380">
        <v>1450</v>
      </c>
      <c r="X38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380">
        <f>IF(Transaction[[#This Row],[GrossRevenue_Check]]="Invalid",Transaction[[#This Row],[ListPrice]]*Transaction[[#This Row],[Quantity]],Transaction[[#This Row],[GrossRevenue_Clean]])</f>
        <v>1450</v>
      </c>
      <c r="Z380" t="str">
        <f>IF(Transaction[[#This Row],[GrossRevenue_Clean]]=Transaction[[#This Row],[ListPrice]]*Transaction[[#This Row],[Quantity]],"Valid","Invalid")</f>
        <v>Valid</v>
      </c>
      <c r="AA380">
        <v>144.35</v>
      </c>
      <c r="AB38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144.35</v>
      </c>
      <c r="AC380">
        <f>IF(Transaction[[#This Row],[DiscountAmount_Check2]]="Invalid",Transaction[[#This Row],[GrossRevenue_Analytical]]-Transaction[[#This Row],[NetRevenue_Analytical]],Transaction[[#This Row],[DiscountAmount_Clean]])</f>
        <v>144.35</v>
      </c>
      <c r="AD380">
        <v>1305.6500000000001</v>
      </c>
      <c r="AE380" t="str">
        <f>IF(ROUND(Transaction[[#This Row],[GrossRevenue_Analytical]]-Transaction[[#This Row],[NetRevenue_Analytical]],2)=ROUND(Transaction[[#This Row],[DiscountAmount_Clean]],2),"Valid","Invalid")</f>
        <v>Valid</v>
      </c>
      <c r="AF38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1305.6500000000001</v>
      </c>
      <c r="AG380">
        <f>IF(Transaction[[#This Row],[NetRevenue_Check]]="Invalid",(Transaction[[#This Row],[Quantity]]*Transaction[[#This Row],[UnitPrice_Clean]]),Transaction[[#This Row],[NetRevenue_Clean]])</f>
        <v>1305.6500000000001</v>
      </c>
      <c r="AH380" t="str">
        <f>IF(Transaction[[#This Row],[Quantity]]*Transaction[[#This Row],[UnitPrice_Clean]]=Transaction[[#This Row],[NetRevenue_Clean]],"Valid","Invalid")</f>
        <v>Valid</v>
      </c>
      <c r="AI380" t="s">
        <v>23</v>
      </c>
      <c r="AJ380" t="s">
        <v>2135</v>
      </c>
      <c r="AK380" t="str">
        <f>IF(Transaction[[#This Row],[Salesperson]]="","Missing Value",TRIM(PROPER(Transaction[[#This Row],[Salesperson]])))</f>
        <v>Coleman-Ap</v>
      </c>
      <c r="AL380" t="s">
        <v>55</v>
      </c>
      <c r="AM380" t="str">
        <f>IF(Transaction[[#This Row],[ContractType]]="","Missing Value",Transaction[[#This Row],[ContractType]])</f>
        <v>Spot</v>
      </c>
      <c r="AN380" t="s">
        <v>49</v>
      </c>
    </row>
    <row r="381" spans="1:40" x14ac:dyDescent="0.25">
      <c r="A381" t="s">
        <v>1266</v>
      </c>
      <c r="B381" s="1">
        <v>45771</v>
      </c>
      <c r="C38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38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38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81" s="2">
        <f>IFERROR(DATE(Transaction[[#This Row],[TransactionDateY]],Transaction[[#This Row],[TransactionDateM]],Transaction[[#This Row],[TransactionDateD]]),"Missing Value")</f>
        <v>45771</v>
      </c>
      <c r="G381" t="s">
        <v>200</v>
      </c>
      <c r="H381" t="str">
        <f>IFERROR(VLOOKUP(Transaction[[#This Row],[CustomerID]],Custumer[],1,0),IF(LEN(Transaction[[#This Row],[CustomerID]])=7,LEFT(Transaction[[#This Row],[CustomerID]],6),"Invalid ID"))</f>
        <v>C-1070</v>
      </c>
      <c r="I381" t="s">
        <v>29</v>
      </c>
      <c r="J381" t="str">
        <f>TRIM(UPPER(Transaction[[#This Row],[ProductID]]))</f>
        <v>P-SA-001</v>
      </c>
      <c r="K381" t="str">
        <f>IFERROR(VLOOKUP(Transaction[[#This Row],[ProductID_Clean]],Product[],1,FALSE),"Invalid ID")</f>
        <v>P-SA-001</v>
      </c>
      <c r="L381" t="str">
        <f>TRIM(SUBSTITUTE(SUBSTITUTE(SUBSTITUTE(SUBSTITUTE(UPPER(Transaction[[#This Row],[Region]]),"EMEA REGION","EMEA"),"APAC REGION","APAC"),"NORTH AMERICA","N. AMERICA"),"N .AMERICA","N.AMERICA"))</f>
        <v>EMEA</v>
      </c>
      <c r="M381" t="s">
        <v>76</v>
      </c>
      <c r="N381" t="s">
        <v>31</v>
      </c>
      <c r="O38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381" t="s">
        <v>22</v>
      </c>
      <c r="Q381" t="str">
        <f>IF(TRIM(Transaction[[#This Row],[SalesChannel]])="","Missing Value",TRIM(Transaction[[#This Row],[SalesChannel]]))</f>
        <v>Direct</v>
      </c>
      <c r="R381" s="4">
        <v>1</v>
      </c>
      <c r="S381" s="4" t="str">
        <f>IF(Transaction[[#This Row],[Quantity]]&lt;0,"Negative-review","Valid")</f>
        <v>Valid</v>
      </c>
      <c r="T381">
        <v>3526.54</v>
      </c>
      <c r="U38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3526.54</v>
      </c>
      <c r="V381">
        <v>4200</v>
      </c>
      <c r="W381">
        <v>4200</v>
      </c>
      <c r="X38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381">
        <f>IF(Transaction[[#This Row],[GrossRevenue_Check]]="Invalid",Transaction[[#This Row],[ListPrice]]*Transaction[[#This Row],[Quantity]],Transaction[[#This Row],[GrossRevenue_Clean]])</f>
        <v>4200</v>
      </c>
      <c r="Z381" t="str">
        <f>IF(Transaction[[#This Row],[GrossRevenue_Clean]]=Transaction[[#This Row],[ListPrice]]*Transaction[[#This Row],[Quantity]],"Valid","Invalid")</f>
        <v>Valid</v>
      </c>
      <c r="AA381">
        <v>673.46</v>
      </c>
      <c r="AB38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673.46</v>
      </c>
      <c r="AC381">
        <f>IF(Transaction[[#This Row],[DiscountAmount_Check2]]="Invalid",Transaction[[#This Row],[GrossRevenue_Analytical]]-Transaction[[#This Row],[NetRevenue_Analytical]],Transaction[[#This Row],[DiscountAmount_Clean]])</f>
        <v>673.46</v>
      </c>
      <c r="AD381">
        <v>3526.54</v>
      </c>
      <c r="AE381" t="str">
        <f>IF(ROUND(Transaction[[#This Row],[GrossRevenue_Analytical]]-Transaction[[#This Row],[NetRevenue_Analytical]],2)=ROUND(Transaction[[#This Row],[DiscountAmount_Clean]],2),"Valid","Invalid")</f>
        <v>Valid</v>
      </c>
      <c r="AF381">
        <f>VALUE(IF(ISNUMBER(Transaction[[#This Row],[NetRevenue]]),Transaction[[#This Row],[NetRevenue]],IFERROR(IF(FIND("$",Transaction[[#This Row],[NetRevenue]])&gt;0,MID(Transaction[[#This Row],[NetRevenue]],2,10)),Transaction[[#This Row],[NetRevenue]])))</f>
        <v>3526.54</v>
      </c>
      <c r="AG381">
        <f>IF(Transaction[[#This Row],[NetRevenue_Check]]="Invalid",(Transaction[[#This Row],[Quantity]]*Transaction[[#This Row],[UnitPrice_Clean]]),Transaction[[#This Row],[NetRevenue_Clean]])</f>
        <v>3526.54</v>
      </c>
      <c r="AH381" t="str">
        <f>IF(Transaction[[#This Row],[Quantity]]*Transaction[[#This Row],[UnitPrice_Clean]]=Transaction[[#This Row],[NetRevenue_Clean]],"Valid","Invalid")</f>
        <v>Valid</v>
      </c>
      <c r="AI381" t="s">
        <v>23</v>
      </c>
      <c r="AJ381" t="s">
        <v>666</v>
      </c>
      <c r="AK381" t="str">
        <f>IF(Transaction[[#This Row],[Salesperson]]="","Missing Value",TRIM(PROPER(Transaction[[#This Row],[Salesperson]])))</f>
        <v>Jordan</v>
      </c>
      <c r="AL381" t="s">
        <v>113</v>
      </c>
      <c r="AM381" t="str">
        <f>IF(Transaction[[#This Row],[ContractType]]="","Missing Value",Transaction[[#This Row],[ContractType]])</f>
        <v>Subscription</v>
      </c>
      <c r="AN381" t="s">
        <v>35</v>
      </c>
    </row>
    <row r="382" spans="1:40" x14ac:dyDescent="0.25">
      <c r="A382" t="s">
        <v>497</v>
      </c>
      <c r="B382" s="1">
        <v>45678</v>
      </c>
      <c r="C38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38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38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82" s="2">
        <f>IFERROR(DATE(Transaction[[#This Row],[TransactionDateY]],Transaction[[#This Row],[TransactionDateM]],Transaction[[#This Row],[TransactionDateD]]),"Missing Value")</f>
        <v>45678</v>
      </c>
      <c r="G382" t="s">
        <v>498</v>
      </c>
      <c r="H382" t="str">
        <f>IFERROR(VLOOKUP(Transaction[[#This Row],[CustomerID]],Custumer[],1,0),IF(LEN(Transaction[[#This Row],[CustomerID]])=7,LEFT(Transaction[[#This Row],[CustomerID]],6),"Invalid ID"))</f>
        <v>C-1176</v>
      </c>
      <c r="I382" t="s">
        <v>52</v>
      </c>
      <c r="J382" t="str">
        <f>TRIM(UPPER(Transaction[[#This Row],[ProductID]]))</f>
        <v>P-SI-002</v>
      </c>
      <c r="K382" t="str">
        <f>IFERROR(VLOOKUP(Transaction[[#This Row],[ProductID_Clean]],Product[],1,FALSE),"Invalid ID")</f>
        <v>P-SI-002</v>
      </c>
      <c r="L382" t="str">
        <f>TRIM(SUBSTITUTE(SUBSTITUTE(SUBSTITUTE(SUBSTITUTE(UPPER(Transaction[[#This Row],[Region]]),"EMEA REGION","EMEA"),"APAC REGION","APAC"),"NORTH AMERICA","N. AMERICA"),"N .AMERICA","N.AMERICA"))</f>
        <v>APAC</v>
      </c>
      <c r="M382" t="s">
        <v>30</v>
      </c>
      <c r="N382" t="s">
        <v>53</v>
      </c>
      <c r="O38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82" t="s">
        <v>40</v>
      </c>
      <c r="Q382" t="str">
        <f>IF(TRIM(Transaction[[#This Row],[SalesChannel]])="","Missing Value",TRIM(Transaction[[#This Row],[SalesChannel]]))</f>
        <v>Distributor</v>
      </c>
      <c r="R382" s="4">
        <v>3</v>
      </c>
      <c r="S382" s="4" t="str">
        <f>IF(Transaction[[#This Row],[Quantity]]&lt;0,"Negative-review","Valid")</f>
        <v>Valid</v>
      </c>
      <c r="T382">
        <v>595.24</v>
      </c>
      <c r="U38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595.24</v>
      </c>
      <c r="V382">
        <v>725</v>
      </c>
      <c r="W382">
        <v>2175</v>
      </c>
      <c r="X38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2175</v>
      </c>
      <c r="Y382">
        <f>IF(Transaction[[#This Row],[GrossRevenue_Check]]="Invalid",Transaction[[#This Row],[ListPrice]]*Transaction[[#This Row],[Quantity]],Transaction[[#This Row],[GrossRevenue_Clean]])</f>
        <v>2175</v>
      </c>
      <c r="Z382" t="str">
        <f>IF(Transaction[[#This Row],[GrossRevenue_Clean]]=Transaction[[#This Row],[ListPrice]]*Transaction[[#This Row],[Quantity]],"Valid","Invalid")</f>
        <v>Valid</v>
      </c>
      <c r="AA382">
        <v>389.28</v>
      </c>
      <c r="AB38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389.28</v>
      </c>
      <c r="AC382">
        <f>IF(Transaction[[#This Row],[DiscountAmount_Check2]]="Invalid",Transaction[[#This Row],[GrossRevenue_Analytical]]-Transaction[[#This Row],[NetRevenue_Analytical]],Transaction[[#This Row],[DiscountAmount_Clean]])</f>
        <v>389.28</v>
      </c>
      <c r="AD382">
        <v>1785.72</v>
      </c>
      <c r="AE382" t="str">
        <f>IF(ROUND(Transaction[[#This Row],[GrossRevenue_Analytical]]-Transaction[[#This Row],[NetRevenue_Analytical]],2)=ROUND(Transaction[[#This Row],[DiscountAmount_Clean]],2),"Valid","Invalid")</f>
        <v>Valid</v>
      </c>
      <c r="AF38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1785.72</v>
      </c>
      <c r="AG382">
        <f>IF(Transaction[[#This Row],[NetRevenue_Check]]="Invalid",(Transaction[[#This Row],[Quantity]]*Transaction[[#This Row],[UnitPrice_Clean]]),Transaction[[#This Row],[NetRevenue_Clean]])</f>
        <v>1785.72</v>
      </c>
      <c r="AH382" t="str">
        <f>IF(Transaction[[#This Row],[Quantity]]*Transaction[[#This Row],[UnitPrice_Clean]]=Transaction[[#This Row],[NetRevenue_Clean]],"Valid","Invalid")</f>
        <v>Valid</v>
      </c>
      <c r="AI382" t="s">
        <v>23</v>
      </c>
      <c r="AJ382" t="s">
        <v>499</v>
      </c>
      <c r="AK382" t="str">
        <f>IF(Transaction[[#This Row],[Salesperson]]="","Missing Value",TRIM(PROPER(Transaction[[#This Row],[Salesperson]])))</f>
        <v>Carney</v>
      </c>
      <c r="AL382" t="s">
        <v>42</v>
      </c>
      <c r="AM382" t="str">
        <f>IF(Transaction[[#This Row],[ContractType]]="","Missing Value",Transaction[[#This Row],[ContractType]])</f>
        <v>Standard PO</v>
      </c>
      <c r="AN382" t="s">
        <v>49</v>
      </c>
    </row>
    <row r="383" spans="1:40" x14ac:dyDescent="0.25">
      <c r="A383" t="s">
        <v>2918</v>
      </c>
      <c r="B383" s="1">
        <v>45813</v>
      </c>
      <c r="C38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38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38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83" s="2">
        <f>IFERROR(DATE(Transaction[[#This Row],[TransactionDateY]],Transaction[[#This Row],[TransactionDateM]],Transaction[[#This Row],[TransactionDateD]]),"Missing Value")</f>
        <v>45813</v>
      </c>
      <c r="G383" t="s">
        <v>890</v>
      </c>
      <c r="H383" t="str">
        <f>IFERROR(VLOOKUP(Transaction[[#This Row],[CustomerID]],Custumer[],1,0),IF(LEN(Transaction[[#This Row],[CustomerID]])=7,LEFT(Transaction[[#This Row],[CustomerID]],6),"Invalid ID"))</f>
        <v>C-1134</v>
      </c>
      <c r="I383" t="s">
        <v>71</v>
      </c>
      <c r="J383" t="str">
        <f>TRIM(UPPER(Transaction[[#This Row],[ProductID]]))</f>
        <v>P-SI-003</v>
      </c>
      <c r="K383" t="str">
        <f>IFERROR(VLOOKUP(Transaction[[#This Row],[ProductID_Clean]],Product[],1,FALSE),"Invalid ID")</f>
        <v>P-SI-003</v>
      </c>
      <c r="L383" t="str">
        <f>TRIM(SUBSTITUTE(SUBSTITUTE(SUBSTITUTE(SUBSTITUTE(UPPER(Transaction[[#This Row],[Region]]),"EMEA REGION","EMEA"),"APAC REGION","APAC"),"NORTH AMERICA","N. AMERICA"),"N .AMERICA","N.AMERICA"))</f>
        <v>N. AMERICA</v>
      </c>
      <c r="M383" t="s">
        <v>20</v>
      </c>
      <c r="N383" t="s">
        <v>53</v>
      </c>
      <c r="O38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83" t="s">
        <v>40</v>
      </c>
      <c r="Q383" t="str">
        <f>IF(TRIM(Transaction[[#This Row],[SalesChannel]])="","Missing Value",TRIM(Transaction[[#This Row],[SalesChannel]]))</f>
        <v>Distributor</v>
      </c>
      <c r="R383" s="4">
        <v>1</v>
      </c>
      <c r="S383" s="4" t="str">
        <f>IF(Transaction[[#This Row],[Quantity]]&lt;0,"Negative-review","Valid")</f>
        <v>Valid</v>
      </c>
      <c r="T383">
        <v>1485.81</v>
      </c>
      <c r="U38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1485.81</v>
      </c>
      <c r="V383">
        <v>1890</v>
      </c>
      <c r="W383">
        <v>1890</v>
      </c>
      <c r="X38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383">
        <f>IF(Transaction[[#This Row],[GrossRevenue_Check]]="Invalid",Transaction[[#This Row],[ListPrice]]*Transaction[[#This Row],[Quantity]],Transaction[[#This Row],[GrossRevenue_Clean]])</f>
        <v>1890</v>
      </c>
      <c r="Z383" t="str">
        <f>IF(Transaction[[#This Row],[GrossRevenue_Clean]]=Transaction[[#This Row],[ListPrice]]*Transaction[[#This Row],[Quantity]],"Valid","Invalid")</f>
        <v>Valid</v>
      </c>
      <c r="AA383">
        <v>404.19</v>
      </c>
      <c r="AB38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404.19</v>
      </c>
      <c r="AC383">
        <f>IF(Transaction[[#This Row],[DiscountAmount_Check2]]="Invalid",Transaction[[#This Row],[GrossRevenue_Analytical]]-Transaction[[#This Row],[NetRevenue_Analytical]],Transaction[[#This Row],[DiscountAmount_Clean]])</f>
        <v>404.19</v>
      </c>
      <c r="AD383">
        <v>1485.81</v>
      </c>
      <c r="AE383" t="str">
        <f>IF(ROUND(Transaction[[#This Row],[GrossRevenue_Analytical]]-Transaction[[#This Row],[NetRevenue_Analytical]],2)=ROUND(Transaction[[#This Row],[DiscountAmount_Clean]],2),"Valid","Invalid")</f>
        <v>Valid</v>
      </c>
      <c r="AF38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1485.81</v>
      </c>
      <c r="AG383">
        <f>IF(Transaction[[#This Row],[NetRevenue_Check]]="Invalid",(Transaction[[#This Row],[Quantity]]*Transaction[[#This Row],[UnitPrice_Clean]]),Transaction[[#This Row],[NetRevenue_Clean]])</f>
        <v>1485.81</v>
      </c>
      <c r="AH383" t="str">
        <f>IF(Transaction[[#This Row],[Quantity]]*Transaction[[#This Row],[UnitPrice_Clean]]=Transaction[[#This Row],[NetRevenue_Clean]],"Valid","Invalid")</f>
        <v>Valid</v>
      </c>
      <c r="AI383" t="s">
        <v>23</v>
      </c>
      <c r="AJ383" t="s">
        <v>383</v>
      </c>
      <c r="AK383" t="str">
        <f>IF(Transaction[[#This Row],[Salesperson]]="","Missing Value",TRIM(PROPER(Transaction[[#This Row],[Salesperson]])))</f>
        <v>White</v>
      </c>
      <c r="AL383" t="s">
        <v>42</v>
      </c>
      <c r="AM383" t="str">
        <f>IF(Transaction[[#This Row],[ContractType]]="","Missing Value",Transaction[[#This Row],[ContractType]])</f>
        <v>Standard PO</v>
      </c>
      <c r="AN383" t="s">
        <v>49</v>
      </c>
    </row>
    <row r="384" spans="1:40" x14ac:dyDescent="0.25">
      <c r="A384" t="s">
        <v>2944</v>
      </c>
      <c r="B384" s="1">
        <v>45674</v>
      </c>
      <c r="C38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38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38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84" s="2">
        <f>IFERROR(DATE(Transaction[[#This Row],[TransactionDateY]],Transaction[[#This Row],[TransactionDateM]],Transaction[[#This Row],[TransactionDateD]]),"Missing Value")</f>
        <v>45674</v>
      </c>
      <c r="G384" t="s">
        <v>218</v>
      </c>
      <c r="H384" t="str">
        <f>IFERROR(VLOOKUP(Transaction[[#This Row],[CustomerID]],Custumer[],1,0),IF(LEN(Transaction[[#This Row],[CustomerID]])=7,LEFT(Transaction[[#This Row],[CustomerID]],6),"Invalid ID"))</f>
        <v>C-1098</v>
      </c>
      <c r="I384" t="s">
        <v>97</v>
      </c>
      <c r="J384" t="str">
        <f>TRIM(UPPER(Transaction[[#This Row],[ProductID]]))</f>
        <v>P-SI-001</v>
      </c>
      <c r="K384" t="str">
        <f>IFERROR(VLOOKUP(Transaction[[#This Row],[ProductID_Clean]],Product[],1,FALSE),"Invalid ID")</f>
        <v>P-SI-001</v>
      </c>
      <c r="L384" t="str">
        <f>TRIM(SUBSTITUTE(SUBSTITUTE(SUBSTITUTE(SUBSTITUTE(UPPER(Transaction[[#This Row],[Region]]),"EMEA REGION","EMEA"),"APAC REGION","APAC"),"NORTH AMERICA","N. AMERICA"),"N .AMERICA","N.AMERICA"))</f>
        <v>N. AMERICA</v>
      </c>
      <c r="M384" t="s">
        <v>495</v>
      </c>
      <c r="N384" t="s">
        <v>47</v>
      </c>
      <c r="O38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84" t="s">
        <v>22</v>
      </c>
      <c r="Q384" t="str">
        <f>IF(TRIM(Transaction[[#This Row],[SalesChannel]])="","Missing Value",TRIM(Transaction[[#This Row],[SalesChannel]]))</f>
        <v>Direct</v>
      </c>
      <c r="R384" s="4">
        <v>3</v>
      </c>
      <c r="S384" s="4" t="str">
        <f>IF(Transaction[[#This Row],[Quantity]]&lt;0,"Negative-review","Valid")</f>
        <v>Valid</v>
      </c>
      <c r="T384">
        <v>413.32</v>
      </c>
      <c r="U38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413.32</v>
      </c>
      <c r="V384">
        <v>485</v>
      </c>
      <c r="W384">
        <v>1455</v>
      </c>
      <c r="X38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384">
        <f>IF(Transaction[[#This Row],[GrossRevenue_Check]]="Invalid",Transaction[[#This Row],[ListPrice]]*Transaction[[#This Row],[Quantity]],Transaction[[#This Row],[GrossRevenue_Clean]])</f>
        <v>1455</v>
      </c>
      <c r="Z384" t="str">
        <f>IF(Transaction[[#This Row],[GrossRevenue_Clean]]=Transaction[[#This Row],[ListPrice]]*Transaction[[#This Row],[Quantity]],"Valid","Invalid")</f>
        <v>Valid</v>
      </c>
      <c r="AA384">
        <v>215.04</v>
      </c>
      <c r="AB38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215.04</v>
      </c>
      <c r="AC384">
        <f>IF(Transaction[[#This Row],[DiscountAmount_Check2]]="Invalid",Transaction[[#This Row],[GrossRevenue_Analytical]]-Transaction[[#This Row],[NetRevenue_Analytical]],Transaction[[#This Row],[DiscountAmount_Clean]])</f>
        <v>215.04</v>
      </c>
      <c r="AD384">
        <v>1239.96</v>
      </c>
      <c r="AE384" t="str">
        <f>IF(ROUND(Transaction[[#This Row],[GrossRevenue_Analytical]]-Transaction[[#This Row],[NetRevenue_Analytical]],2)=ROUND(Transaction[[#This Row],[DiscountAmount_Clean]],2),"Valid","Invalid")</f>
        <v>Valid</v>
      </c>
      <c r="AF38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1239.96</v>
      </c>
      <c r="AG384">
        <f>IF(Transaction[[#This Row],[NetRevenue_Check]]="Invalid",(Transaction[[#This Row],[Quantity]]*Transaction[[#This Row],[UnitPrice_Clean]]),Transaction[[#This Row],[NetRevenue_Clean]])</f>
        <v>1239.96</v>
      </c>
      <c r="AH384" t="str">
        <f>IF(Transaction[[#This Row],[Quantity]]*Transaction[[#This Row],[UnitPrice_Clean]]=Transaction[[#This Row],[NetRevenue_Clean]],"Valid","Invalid")</f>
        <v>Valid</v>
      </c>
      <c r="AI384" t="s">
        <v>23</v>
      </c>
      <c r="AJ384" t="s">
        <v>2945</v>
      </c>
      <c r="AK384" t="str">
        <f>IF(Transaction[[#This Row],[Salesperson]]="","Missing Value",TRIM(PROPER(Transaction[[#This Row],[Salesperson]])))</f>
        <v>Carter</v>
      </c>
      <c r="AL384" t="s">
        <v>42</v>
      </c>
      <c r="AM384" t="str">
        <f>IF(Transaction[[#This Row],[ContractType]]="","Missing Value",Transaction[[#This Row],[ContractType]])</f>
        <v>Standard PO</v>
      </c>
      <c r="AN384" t="s">
        <v>65</v>
      </c>
    </row>
    <row r="385" spans="1:40" x14ac:dyDescent="0.25">
      <c r="A385" t="s">
        <v>877</v>
      </c>
      <c r="B385" s="1">
        <v>45728</v>
      </c>
      <c r="C38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38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38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85" s="2">
        <f>IFERROR(DATE(Transaction[[#This Row],[TransactionDateY]],Transaction[[#This Row],[TransactionDateM]],Transaction[[#This Row],[TransactionDateD]]),"Missing Value")</f>
        <v>45728</v>
      </c>
      <c r="G385" t="s">
        <v>357</v>
      </c>
      <c r="H385" t="str">
        <f>IFERROR(VLOOKUP(Transaction[[#This Row],[CustomerID]],Custumer[],1,0),IF(LEN(Transaction[[#This Row],[CustomerID]])=7,LEFT(Transaction[[#This Row],[CustomerID]],6),"Invalid ID"))</f>
        <v>C-1078</v>
      </c>
      <c r="I385" t="s">
        <v>92</v>
      </c>
      <c r="J385" t="str">
        <f>TRIM(UPPER(Transaction[[#This Row],[ProductID]]))</f>
        <v>P-SI-008</v>
      </c>
      <c r="K385" t="str">
        <f>IFERROR(VLOOKUP(Transaction[[#This Row],[ProductID_Clean]],Product[],1,FALSE),"Invalid ID")</f>
        <v>P-SI-008</v>
      </c>
      <c r="L385" t="str">
        <f>TRIM(SUBSTITUTE(SUBSTITUTE(SUBSTITUTE(SUBSTITUTE(UPPER(Transaction[[#This Row],[Region]]),"EMEA REGION","EMEA"),"APAC REGION","APAC"),"NORTH AMERICA","N. AMERICA"),"N .AMERICA","N.AMERICA"))</f>
        <v>N. AMERICA</v>
      </c>
      <c r="M385" t="s">
        <v>20</v>
      </c>
      <c r="N385" t="s">
        <v>53</v>
      </c>
      <c r="O38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85" t="s">
        <v>40</v>
      </c>
      <c r="Q385" t="str">
        <f>IF(TRIM(Transaction[[#This Row],[SalesChannel]])="","Missing Value",TRIM(Transaction[[#This Row],[SalesChannel]]))</f>
        <v>Distributor</v>
      </c>
      <c r="R385" s="4">
        <v>1</v>
      </c>
      <c r="S385" s="4" t="str">
        <f>IF(Transaction[[#This Row],[Quantity]]&lt;0,"Negative-review","Valid")</f>
        <v>Valid</v>
      </c>
      <c r="T385">
        <v>736.28</v>
      </c>
      <c r="U38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736.28</v>
      </c>
      <c r="V385">
        <v>950</v>
      </c>
      <c r="W385">
        <v>950</v>
      </c>
      <c r="X38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385">
        <f>IF(Transaction[[#This Row],[GrossRevenue_Check]]="Invalid",Transaction[[#This Row],[ListPrice]]*Transaction[[#This Row],[Quantity]],Transaction[[#This Row],[GrossRevenue_Clean]])</f>
        <v>950</v>
      </c>
      <c r="Z385" t="str">
        <f>IF(Transaction[[#This Row],[GrossRevenue_Clean]]=Transaction[[#This Row],[ListPrice]]*Transaction[[#This Row],[Quantity]],"Valid","Invalid")</f>
        <v>Valid</v>
      </c>
      <c r="AA385">
        <v>213.72</v>
      </c>
      <c r="AB38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213.72</v>
      </c>
      <c r="AC385">
        <f>IF(Transaction[[#This Row],[DiscountAmount_Check2]]="Invalid",Transaction[[#This Row],[GrossRevenue_Analytical]]-Transaction[[#This Row],[NetRevenue_Analytical]],Transaction[[#This Row],[DiscountAmount_Clean]])</f>
        <v>213.72</v>
      </c>
      <c r="AD385">
        <v>736.28</v>
      </c>
      <c r="AE385" t="str">
        <f>IF(ROUND(Transaction[[#This Row],[GrossRevenue_Analytical]]-Transaction[[#This Row],[NetRevenue_Analytical]],2)=ROUND(Transaction[[#This Row],[DiscountAmount_Clean]],2),"Valid","Invalid")</f>
        <v>Valid</v>
      </c>
      <c r="AF385">
        <f>VALUE(IF(ISNUMBER(Transaction[[#This Row],[NetRevenue]]),Transaction[[#This Row],[NetRevenue]],IFERROR(IF(FIND("$",Transaction[[#This Row],[NetRevenue]])&gt;0,MID(Transaction[[#This Row],[NetRevenue]],2,10)),Transaction[[#This Row],[NetRevenue]])))</f>
        <v>736.28</v>
      </c>
      <c r="AG385">
        <f>IF(Transaction[[#This Row],[NetRevenue_Check]]="Invalid",(Transaction[[#This Row],[Quantity]]*Transaction[[#This Row],[UnitPrice_Clean]]),Transaction[[#This Row],[NetRevenue_Clean]])</f>
        <v>736.28</v>
      </c>
      <c r="AH385" t="str">
        <f>IF(Transaction[[#This Row],[Quantity]]*Transaction[[#This Row],[UnitPrice_Clean]]=Transaction[[#This Row],[NetRevenue_Clean]],"Valid","Invalid")</f>
        <v>Valid</v>
      </c>
      <c r="AI385" t="s">
        <v>23</v>
      </c>
      <c r="AJ385" t="s">
        <v>24</v>
      </c>
      <c r="AK385" t="str">
        <f>IF(Transaction[[#This Row],[Salesperson]]="","Missing Value",TRIM(PROPER(Transaction[[#This Row],[Salesperson]])))</f>
        <v>Garcia-Em</v>
      </c>
      <c r="AL385" t="s">
        <v>42</v>
      </c>
      <c r="AM385" t="str">
        <f>IF(Transaction[[#This Row],[ContractType]]="","Missing Value",Transaction[[#This Row],[ContractType]])</f>
        <v>Standard PO</v>
      </c>
      <c r="AN385" t="s">
        <v>26</v>
      </c>
    </row>
    <row r="386" spans="1:40" x14ac:dyDescent="0.25">
      <c r="A386" t="s">
        <v>317</v>
      </c>
      <c r="B386" s="1">
        <v>45820</v>
      </c>
      <c r="C38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38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38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86" s="2">
        <f>IFERROR(DATE(Transaction[[#This Row],[TransactionDateY]],Transaction[[#This Row],[TransactionDateM]],Transaction[[#This Row],[TransactionDateD]]),"Missing Value")</f>
        <v>45820</v>
      </c>
      <c r="G386" t="s">
        <v>271</v>
      </c>
      <c r="H386" t="str">
        <f>IFERROR(VLOOKUP(Transaction[[#This Row],[CustomerID]],Custumer[],1,0),IF(LEN(Transaction[[#This Row],[CustomerID]])=7,LEFT(Transaction[[#This Row],[CustomerID]],6),"Invalid ID"))</f>
        <v>C-1113</v>
      </c>
      <c r="I386" t="s">
        <v>121</v>
      </c>
      <c r="J386" t="str">
        <f>TRIM(UPPER(Transaction[[#This Row],[ProductID]]))</f>
        <v>P-FS-001</v>
      </c>
      <c r="K386" t="str">
        <f>IFERROR(VLOOKUP(Transaction[[#This Row],[ProductID_Clean]],Product[],1,FALSE),"Invalid ID")</f>
        <v>P-FS-001</v>
      </c>
      <c r="L386" t="str">
        <f>TRIM(SUBSTITUTE(SUBSTITUTE(SUBSTITUTE(SUBSTITUTE(UPPER(Transaction[[#This Row],[Region]]),"EMEA REGION","EMEA"),"APAC REGION","APAC"),"NORTH AMERICA","N. AMERICA"),"N .AMERICA","N.AMERICA"))</f>
        <v>N. AMERICA</v>
      </c>
      <c r="M386" t="s">
        <v>20</v>
      </c>
      <c r="N386" t="s">
        <v>318</v>
      </c>
      <c r="O38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386" t="s">
        <v>181</v>
      </c>
      <c r="Q386" t="str">
        <f>IF(TRIM(Transaction[[#This Row],[SalesChannel]])="","Missing Value",TRIM(Transaction[[#This Row],[SalesChannel]]))</f>
        <v>Partner Portal</v>
      </c>
      <c r="R386" s="4">
        <v>1</v>
      </c>
      <c r="S386" s="4" t="str">
        <f>IF(Transaction[[#This Row],[Quantity]]&lt;0,"Negative-review","Valid")</f>
        <v>Valid</v>
      </c>
      <c r="T386" t="s">
        <v>319</v>
      </c>
      <c r="U38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1516.96</v>
      </c>
      <c r="V386">
        <v>1850</v>
      </c>
      <c r="W386">
        <v>1850</v>
      </c>
      <c r="X38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386">
        <f>IF(Transaction[[#This Row],[GrossRevenue_Check]]="Invalid",Transaction[[#This Row],[ListPrice]]*Transaction[[#This Row],[Quantity]],Transaction[[#This Row],[GrossRevenue_Clean]])</f>
        <v>1850</v>
      </c>
      <c r="Z386" t="str">
        <f>IF(Transaction[[#This Row],[GrossRevenue_Clean]]=Transaction[[#This Row],[ListPrice]]*Transaction[[#This Row],[Quantity]],"Valid","Invalid")</f>
        <v>Valid</v>
      </c>
      <c r="AA386">
        <v>333.04</v>
      </c>
      <c r="AB38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333.04</v>
      </c>
      <c r="AC386">
        <f>IF(Transaction[[#This Row],[DiscountAmount_Check2]]="Invalid",Transaction[[#This Row],[GrossRevenue_Analytical]]-Transaction[[#This Row],[NetRevenue_Analytical]],Transaction[[#This Row],[DiscountAmount_Clean]])</f>
        <v>333.04</v>
      </c>
      <c r="AD386">
        <v>1516.96</v>
      </c>
      <c r="AE386" t="str">
        <f>IF(ROUND(Transaction[[#This Row],[GrossRevenue_Analytical]]-Transaction[[#This Row],[NetRevenue_Analytical]],2)=ROUND(Transaction[[#This Row],[DiscountAmount_Clean]],2),"Valid","Invalid")</f>
        <v>Valid</v>
      </c>
      <c r="AF38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1516.96</v>
      </c>
      <c r="AG386">
        <f>IF(Transaction[[#This Row],[NetRevenue_Check]]="Invalid",(Transaction[[#This Row],[Quantity]]*Transaction[[#This Row],[UnitPrice_Clean]]),Transaction[[#This Row],[NetRevenue_Clean]])</f>
        <v>1516.96</v>
      </c>
      <c r="AH386" t="str">
        <f>IF(Transaction[[#This Row],[Quantity]]*Transaction[[#This Row],[UnitPrice_Clean]]=Transaction[[#This Row],[NetRevenue_Clean]],"Valid","Invalid")</f>
        <v>Valid</v>
      </c>
      <c r="AI386" t="s">
        <v>23</v>
      </c>
      <c r="AJ386" t="s">
        <v>320</v>
      </c>
      <c r="AK386" t="str">
        <f>IF(Transaction[[#This Row],[Salesperson]]="","Missing Value",TRIM(PROPER(Transaction[[#This Row],[Salesperson]])))</f>
        <v>Murphy-Em</v>
      </c>
      <c r="AL386" t="s">
        <v>42</v>
      </c>
      <c r="AM386" t="str">
        <f>IF(Transaction[[#This Row],[ContractType]]="","Missing Value",Transaction[[#This Row],[ContractType]])</f>
        <v>Standard PO</v>
      </c>
      <c r="AN386" t="s">
        <v>35</v>
      </c>
    </row>
    <row r="387" spans="1:40" x14ac:dyDescent="0.25">
      <c r="A387" t="s">
        <v>538</v>
      </c>
      <c r="B387" s="1">
        <v>45798</v>
      </c>
      <c r="C38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38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38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87" s="2">
        <f>IFERROR(DATE(Transaction[[#This Row],[TransactionDateY]],Transaction[[#This Row],[TransactionDateM]],Transaction[[#This Row],[TransactionDateD]]),"Missing Value")</f>
        <v>45798</v>
      </c>
      <c r="G387" t="s">
        <v>167</v>
      </c>
      <c r="H387" t="str">
        <f>IFERROR(VLOOKUP(Transaction[[#This Row],[CustomerID]],Custumer[],1,0),IF(LEN(Transaction[[#This Row],[CustomerID]])=7,LEFT(Transaction[[#This Row],[CustomerID]],6),"Invalid ID"))</f>
        <v>C-1008</v>
      </c>
      <c r="I387" t="s">
        <v>46</v>
      </c>
      <c r="J387" t="str">
        <f>TRIM(UPPER(Transaction[[#This Row],[ProductID]]))</f>
        <v>P-SI-006</v>
      </c>
      <c r="K387" t="str">
        <f>IFERROR(VLOOKUP(Transaction[[#This Row],[ProductID_Clean]],Product[],1,FALSE),"Invalid ID")</f>
        <v>P-SI-006</v>
      </c>
      <c r="L387" t="str">
        <f>TRIM(SUBSTITUTE(SUBSTITUTE(SUBSTITUTE(SUBSTITUTE(UPPER(Transaction[[#This Row],[Region]]),"EMEA REGION","EMEA"),"APAC REGION","APAC"),"NORTH AMERICA","N. AMERICA"),"N .AMERICA","N.AMERICA"))</f>
        <v>N. AMERICA</v>
      </c>
      <c r="M387" t="s">
        <v>20</v>
      </c>
      <c r="N387" t="s">
        <v>53</v>
      </c>
      <c r="O38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87" t="s">
        <v>181</v>
      </c>
      <c r="Q387" t="str">
        <f>IF(TRIM(Transaction[[#This Row],[SalesChannel]])="","Missing Value",TRIM(Transaction[[#This Row],[SalesChannel]]))</f>
        <v>Partner Portal</v>
      </c>
      <c r="R387" s="4">
        <v>3</v>
      </c>
      <c r="S387" s="4" t="str">
        <f>IF(Transaction[[#This Row],[Quantity]]&lt;0,"Negative-review","Valid")</f>
        <v>Valid</v>
      </c>
      <c r="T387">
        <v>157.02000000000001</v>
      </c>
      <c r="U38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157.02000000000001</v>
      </c>
      <c r="V387">
        <v>215</v>
      </c>
      <c r="W387">
        <v>645</v>
      </c>
      <c r="X38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387">
        <f>IF(Transaction[[#This Row],[GrossRevenue_Check]]="Invalid",Transaction[[#This Row],[ListPrice]]*Transaction[[#This Row],[Quantity]],Transaction[[#This Row],[GrossRevenue_Clean]])</f>
        <v>645</v>
      </c>
      <c r="Z387" t="str">
        <f>IF(Transaction[[#This Row],[GrossRevenue_Clean]]=Transaction[[#This Row],[ListPrice]]*Transaction[[#This Row],[Quantity]],"Valid","Invalid")</f>
        <v>Valid</v>
      </c>
      <c r="AA387">
        <v>173.94</v>
      </c>
      <c r="AB38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173.94</v>
      </c>
      <c r="AC387">
        <f>IF(Transaction[[#This Row],[DiscountAmount_Check2]]="Invalid",Transaction[[#This Row],[GrossRevenue_Analytical]]-Transaction[[#This Row],[NetRevenue_Analytical]],Transaction[[#This Row],[DiscountAmount_Clean]])</f>
        <v>173.94</v>
      </c>
      <c r="AD387">
        <v>471.06</v>
      </c>
      <c r="AE387" t="str">
        <f>IF(ROUND(Transaction[[#This Row],[GrossRevenue_Analytical]]-Transaction[[#This Row],[NetRevenue_Analytical]],2)=ROUND(Transaction[[#This Row],[DiscountAmount_Clean]],2),"Valid","Invalid")</f>
        <v>Valid</v>
      </c>
      <c r="AF387">
        <f>VALUE(IF(ISNUMBER(Transaction[[#This Row],[NetRevenue]]),Transaction[[#This Row],[NetRevenue]],IFERROR(IF(FIND("$",Transaction[[#This Row],[NetRevenue]])&gt;0,MID(Transaction[[#This Row],[NetRevenue]],2,10)),Transaction[[#This Row],[NetRevenue]])))</f>
        <v>471.06</v>
      </c>
      <c r="AG387">
        <f>IF(Transaction[[#This Row],[NetRevenue_Check]]="Invalid",(Transaction[[#This Row],[Quantity]]*Transaction[[#This Row],[UnitPrice_Clean]]),Transaction[[#This Row],[NetRevenue_Clean]])</f>
        <v>471.06</v>
      </c>
      <c r="AH387" t="str">
        <f>IF(Transaction[[#This Row],[Quantity]]*Transaction[[#This Row],[UnitPrice_Clean]]=Transaction[[#This Row],[NetRevenue_Clean]],"Valid","Invalid")</f>
        <v>Valid</v>
      </c>
      <c r="AI387" t="s">
        <v>23</v>
      </c>
      <c r="AJ387" t="s">
        <v>539</v>
      </c>
      <c r="AK387" t="str">
        <f>IF(Transaction[[#This Row],[Salesperson]]="","Missing Value",TRIM(PROPER(Transaction[[#This Row],[Salesperson]])))</f>
        <v>Phillips-Ap</v>
      </c>
      <c r="AL387" t="s">
        <v>55</v>
      </c>
      <c r="AM387" t="str">
        <f>IF(Transaction[[#This Row],[ContractType]]="","Missing Value",Transaction[[#This Row],[ContractType]])</f>
        <v>Spot</v>
      </c>
      <c r="AN387" t="s">
        <v>26</v>
      </c>
    </row>
    <row r="388" spans="1:40" x14ac:dyDescent="0.25">
      <c r="A388" t="s">
        <v>2048</v>
      </c>
      <c r="B388" s="1">
        <v>45741</v>
      </c>
      <c r="C38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38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38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88" s="2">
        <f>IFERROR(DATE(Transaction[[#This Row],[TransactionDateY]],Transaction[[#This Row],[TransactionDateM]],Transaction[[#This Row],[TransactionDateD]]),"Missing Value")</f>
        <v>45741</v>
      </c>
      <c r="G388" t="s">
        <v>297</v>
      </c>
      <c r="H388" t="str">
        <f>IFERROR(VLOOKUP(Transaction[[#This Row],[CustomerID]],Custumer[],1,0),IF(LEN(Transaction[[#This Row],[CustomerID]])=7,LEFT(Transaction[[#This Row],[CustomerID]],6),"Invalid ID"))</f>
        <v>C-1181</v>
      </c>
      <c r="I388" t="s">
        <v>97</v>
      </c>
      <c r="J388" t="str">
        <f>TRIM(UPPER(Transaction[[#This Row],[ProductID]]))</f>
        <v>P-SI-001</v>
      </c>
      <c r="K388" t="str">
        <f>IFERROR(VLOOKUP(Transaction[[#This Row],[ProductID_Clean]],Product[],1,FALSE),"Invalid ID")</f>
        <v>P-SI-001</v>
      </c>
      <c r="L388" t="str">
        <f>TRIM(SUBSTITUTE(SUBSTITUTE(SUBSTITUTE(SUBSTITUTE(UPPER(Transaction[[#This Row],[Region]]),"EMEA REGION","EMEA"),"APAC REGION","APAC"),"NORTH AMERICA","N. AMERICA"),"N .AMERICA","N.AMERICA"))</f>
        <v>N. AMERICA</v>
      </c>
      <c r="M388" t="s">
        <v>20</v>
      </c>
      <c r="N388" t="s">
        <v>47</v>
      </c>
      <c r="O38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Q388" t="str">
        <f>IF(TRIM(Transaction[[#This Row],[SalesChannel]])="","Missing Value",TRIM(Transaction[[#This Row],[SalesChannel]]))</f>
        <v>Missing Value</v>
      </c>
      <c r="R388" s="4">
        <v>5</v>
      </c>
      <c r="S388" s="4" t="str">
        <f>IF(Transaction[[#This Row],[Quantity]]&lt;0,"Negative-review","Valid")</f>
        <v>Valid</v>
      </c>
      <c r="T388">
        <v>446.08</v>
      </c>
      <c r="U38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446.08</v>
      </c>
      <c r="V388">
        <v>485</v>
      </c>
      <c r="W388" t="s">
        <v>2049</v>
      </c>
      <c r="X38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2425</v>
      </c>
      <c r="Y388">
        <f>IF(Transaction[[#This Row],[GrossRevenue_Check]]="Invalid",Transaction[[#This Row],[ListPrice]]*Transaction[[#This Row],[Quantity]],Transaction[[#This Row],[GrossRevenue_Clean]])</f>
        <v>2425</v>
      </c>
      <c r="Z388" t="str">
        <f>IF(Transaction[[#This Row],[GrossRevenue_Clean]]=Transaction[[#This Row],[ListPrice]]*Transaction[[#This Row],[Quantity]],"Valid","Invalid")</f>
        <v>Valid</v>
      </c>
      <c r="AA388">
        <v>194.6</v>
      </c>
      <c r="AB38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194.6</v>
      </c>
      <c r="AC388">
        <f>IF(Transaction[[#This Row],[DiscountAmount_Check2]]="Invalid",Transaction[[#This Row],[GrossRevenue_Analytical]]-Transaction[[#This Row],[NetRevenue_Analytical]],Transaction[[#This Row],[DiscountAmount_Clean]])</f>
        <v>194.6</v>
      </c>
      <c r="AD388">
        <v>2230.4</v>
      </c>
      <c r="AE388" t="str">
        <f>IF(ROUND(Transaction[[#This Row],[GrossRevenue_Analytical]]-Transaction[[#This Row],[NetRevenue_Analytical]],2)=ROUND(Transaction[[#This Row],[DiscountAmount_Clean]],2),"Valid","Invalid")</f>
        <v>Valid</v>
      </c>
      <c r="AF38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2230.4</v>
      </c>
      <c r="AG388">
        <f>IF(Transaction[[#This Row],[NetRevenue_Check]]="Invalid",(Transaction[[#This Row],[Quantity]]*Transaction[[#This Row],[UnitPrice_Clean]]),Transaction[[#This Row],[NetRevenue_Clean]])</f>
        <v>2230.4</v>
      </c>
      <c r="AH388" t="str">
        <f>IF(Transaction[[#This Row],[Quantity]]*Transaction[[#This Row],[UnitPrice_Clean]]=Transaction[[#This Row],[NetRevenue_Clean]],"Valid","Invalid")</f>
        <v>Valid</v>
      </c>
      <c r="AI388" t="s">
        <v>23</v>
      </c>
      <c r="AJ388" t="s">
        <v>2050</v>
      </c>
      <c r="AK388" t="str">
        <f>IF(Transaction[[#This Row],[Salesperson]]="","Missing Value",TRIM(PROPER(Transaction[[#This Row],[Salesperson]])))</f>
        <v>Griffin-Na</v>
      </c>
      <c r="AL388" t="s">
        <v>25</v>
      </c>
      <c r="AM388" t="str">
        <f>IF(Transaction[[#This Row],[ContractType]]="","Missing Value",Transaction[[#This Row],[ContractType]])</f>
        <v>Frame Agreement</v>
      </c>
      <c r="AN388" t="s">
        <v>49</v>
      </c>
    </row>
    <row r="389" spans="1:40" x14ac:dyDescent="0.25">
      <c r="A389" t="s">
        <v>2776</v>
      </c>
      <c r="B389" s="1">
        <v>45810</v>
      </c>
      <c r="C38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38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38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89" s="2">
        <f>IFERROR(DATE(Transaction[[#This Row],[TransactionDateY]],Transaction[[#This Row],[TransactionDateM]],Transaction[[#This Row],[TransactionDateD]]),"Missing Value")</f>
        <v>45810</v>
      </c>
      <c r="G389" t="s">
        <v>429</v>
      </c>
      <c r="H389" t="str">
        <f>IFERROR(VLOOKUP(Transaction[[#This Row],[CustomerID]],Custumer[],1,0),IF(LEN(Transaction[[#This Row],[CustomerID]])=7,LEFT(Transaction[[#This Row],[CustomerID]],6),"Invalid ID"))</f>
        <v>C-1009</v>
      </c>
      <c r="I389" t="s">
        <v>92</v>
      </c>
      <c r="J389" t="str">
        <f>TRIM(UPPER(Transaction[[#This Row],[ProductID]]))</f>
        <v>P-SI-008</v>
      </c>
      <c r="K389" t="str">
        <f>IFERROR(VLOOKUP(Transaction[[#This Row],[ProductID_Clean]],Product[],1,FALSE),"Invalid ID")</f>
        <v>P-SI-008</v>
      </c>
      <c r="L389" t="str">
        <f>TRIM(SUBSTITUTE(SUBSTITUTE(SUBSTITUTE(SUBSTITUTE(UPPER(Transaction[[#This Row],[Region]]),"EMEA REGION","EMEA"),"APAC REGION","APAC"),"NORTH AMERICA","N. AMERICA"),"N .AMERICA","N.AMERICA"))</f>
        <v>EMEA</v>
      </c>
      <c r="M389" t="s">
        <v>76</v>
      </c>
      <c r="N389" t="s">
        <v>53</v>
      </c>
      <c r="O38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89" t="s">
        <v>22</v>
      </c>
      <c r="Q389" t="str">
        <f>IF(TRIM(Transaction[[#This Row],[SalesChannel]])="","Missing Value",TRIM(Transaction[[#This Row],[SalesChannel]]))</f>
        <v>Direct</v>
      </c>
      <c r="R389" s="4">
        <v>10</v>
      </c>
      <c r="S389" s="4" t="str">
        <f>IF(Transaction[[#This Row],[Quantity]]&lt;0,"Negative-review","Valid")</f>
        <v>Valid</v>
      </c>
      <c r="T389">
        <v>821.14</v>
      </c>
      <c r="U38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821.14</v>
      </c>
      <c r="V389">
        <v>950</v>
      </c>
      <c r="W389">
        <v>9500</v>
      </c>
      <c r="X38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9500</v>
      </c>
      <c r="Y389">
        <f>IF(Transaction[[#This Row],[GrossRevenue_Check]]="Invalid",Transaction[[#This Row],[ListPrice]]*Transaction[[#This Row],[Quantity]],Transaction[[#This Row],[GrossRevenue_Clean]])</f>
        <v>9500</v>
      </c>
      <c r="Z389" t="str">
        <f>IF(Transaction[[#This Row],[GrossRevenue_Clean]]=Transaction[[#This Row],[ListPrice]]*Transaction[[#This Row],[Quantity]],"Valid","Invalid")</f>
        <v>Valid</v>
      </c>
      <c r="AA389">
        <v>1288.5999999999999</v>
      </c>
      <c r="AB38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1288.5999999999999</v>
      </c>
      <c r="AC389">
        <f>IF(Transaction[[#This Row],[DiscountAmount_Check2]]="Invalid",Transaction[[#This Row],[GrossRevenue_Analytical]]-Transaction[[#This Row],[NetRevenue_Analytical]],Transaction[[#This Row],[DiscountAmount_Clean]])</f>
        <v>1288.5999999999999</v>
      </c>
      <c r="AD389">
        <v>8211.4</v>
      </c>
      <c r="AE389" t="str">
        <f>IF(ROUND(Transaction[[#This Row],[GrossRevenue_Analytical]]-Transaction[[#This Row],[NetRevenue_Analytical]],2)=ROUND(Transaction[[#This Row],[DiscountAmount_Clean]],2),"Valid","Invalid")</f>
        <v>Valid</v>
      </c>
      <c r="AF389">
        <f>VALUE(IF(ISNUMBER(Transaction[[#This Row],[NetRevenue]]),Transaction[[#This Row],[NetRevenue]],IFERROR(IF(FIND("$",Transaction[[#This Row],[NetRevenue]])&gt;0,MID(Transaction[[#This Row],[NetRevenue]],2,10)),Transaction[[#This Row],[NetRevenue]])))</f>
        <v>8211.4</v>
      </c>
      <c r="AG389">
        <f>IF(Transaction[[#This Row],[NetRevenue_Check]]="Invalid",(Transaction[[#This Row],[Quantity]]*Transaction[[#This Row],[UnitPrice_Clean]]),Transaction[[#This Row],[NetRevenue_Clean]])</f>
        <v>8211.4</v>
      </c>
      <c r="AH389" t="str">
        <f>IF(Transaction[[#This Row],[Quantity]]*Transaction[[#This Row],[UnitPrice_Clean]]=Transaction[[#This Row],[NetRevenue_Clean]],"Valid","Invalid")</f>
        <v>Valid</v>
      </c>
      <c r="AI389" t="s">
        <v>23</v>
      </c>
      <c r="AJ389" t="s">
        <v>2777</v>
      </c>
      <c r="AK389" t="str">
        <f>IF(Transaction[[#This Row],[Salesperson]]="","Missing Value",TRIM(PROPER(Transaction[[#This Row],[Salesperson]])))</f>
        <v>Robbins-Em</v>
      </c>
      <c r="AL389" t="s">
        <v>42</v>
      </c>
      <c r="AM389" t="str">
        <f>IF(Transaction[[#This Row],[ContractType]]="","Missing Value",Transaction[[#This Row],[ContractType]])</f>
        <v>Standard PO</v>
      </c>
      <c r="AN389" t="s">
        <v>49</v>
      </c>
    </row>
    <row r="390" spans="1:40" x14ac:dyDescent="0.25">
      <c r="A390" t="s">
        <v>3064</v>
      </c>
      <c r="B390" t="s">
        <v>641</v>
      </c>
      <c r="C39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39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39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90" s="2">
        <f>IFERROR(DATE(Transaction[[#This Row],[TransactionDateY]],Transaction[[#This Row],[TransactionDateM]],Transaction[[#This Row],[TransactionDateD]]),"Missing Value")</f>
        <v>45733</v>
      </c>
      <c r="G390" t="s">
        <v>1553</v>
      </c>
      <c r="H390" t="str">
        <f>IFERROR(VLOOKUP(Transaction[[#This Row],[CustomerID]],Custumer[],1,0),IF(LEN(Transaction[[#This Row],[CustomerID]])=7,LEFT(Transaction[[#This Row],[CustomerID]],6),"Invalid ID"))</f>
        <v>C-1150</v>
      </c>
      <c r="I390" t="s">
        <v>92</v>
      </c>
      <c r="J390" t="str">
        <f>TRIM(UPPER(Transaction[[#This Row],[ProductID]]))</f>
        <v>P-SI-008</v>
      </c>
      <c r="K390" t="str">
        <f>IFERROR(VLOOKUP(Transaction[[#This Row],[ProductID_Clean]],Product[],1,FALSE),"Invalid ID")</f>
        <v>P-SI-008</v>
      </c>
      <c r="L390" t="str">
        <f>TRIM(SUBSTITUTE(SUBSTITUTE(SUBSTITUTE(SUBSTITUTE(UPPER(Transaction[[#This Row],[Region]]),"EMEA REGION","EMEA"),"APAC REGION","APAC"),"NORTH AMERICA","N. AMERICA"),"N .AMERICA","N.AMERICA"))</f>
        <v>N. AMERICA</v>
      </c>
      <c r="M390" t="s">
        <v>20</v>
      </c>
      <c r="N390" t="s">
        <v>53</v>
      </c>
      <c r="O39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90" t="s">
        <v>40</v>
      </c>
      <c r="Q390" t="str">
        <f>IF(TRIM(Transaction[[#This Row],[SalesChannel]])="","Missing Value",TRIM(Transaction[[#This Row],[SalesChannel]]))</f>
        <v>Distributor</v>
      </c>
      <c r="R390" s="4">
        <v>2</v>
      </c>
      <c r="S390" s="4" t="str">
        <f>IF(Transaction[[#This Row],[Quantity]]&lt;0,"Negative-review","Valid")</f>
        <v>Valid</v>
      </c>
      <c r="T390">
        <v>790.93</v>
      </c>
      <c r="U39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790.93</v>
      </c>
      <c r="V390">
        <v>950</v>
      </c>
      <c r="W390">
        <v>1900</v>
      </c>
      <c r="X39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1900</v>
      </c>
      <c r="Y390">
        <f>IF(Transaction[[#This Row],[GrossRevenue_Check]]="Invalid",Transaction[[#This Row],[ListPrice]]*Transaction[[#This Row],[Quantity]],Transaction[[#This Row],[GrossRevenue_Clean]])</f>
        <v>1900</v>
      </c>
      <c r="Z390" t="str">
        <f>IF(Transaction[[#This Row],[GrossRevenue_Clean]]=Transaction[[#This Row],[ListPrice]]*Transaction[[#This Row],[Quantity]],"Valid","Invalid")</f>
        <v>Valid</v>
      </c>
      <c r="AA390">
        <v>318.14</v>
      </c>
      <c r="AB39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318.14</v>
      </c>
      <c r="AC390">
        <f>IF(Transaction[[#This Row],[DiscountAmount_Check2]]="Invalid",Transaction[[#This Row],[GrossRevenue_Analytical]]-Transaction[[#This Row],[NetRevenue_Analytical]],Transaction[[#This Row],[DiscountAmount_Clean]])</f>
        <v>318.14</v>
      </c>
      <c r="AD390">
        <v>1581.86</v>
      </c>
      <c r="AE390" t="str">
        <f>IF(ROUND(Transaction[[#This Row],[GrossRevenue_Analytical]]-Transaction[[#This Row],[NetRevenue_Analytical]],2)=ROUND(Transaction[[#This Row],[DiscountAmount_Clean]],2),"Valid","Invalid")</f>
        <v>Valid</v>
      </c>
      <c r="AF39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1581.86</v>
      </c>
      <c r="AG390">
        <f>IF(Transaction[[#This Row],[NetRevenue_Check]]="Invalid",(Transaction[[#This Row],[Quantity]]*Transaction[[#This Row],[UnitPrice_Clean]]),Transaction[[#This Row],[NetRevenue_Clean]])</f>
        <v>1581.86</v>
      </c>
      <c r="AH390" t="str">
        <f>IF(Transaction[[#This Row],[Quantity]]*Transaction[[#This Row],[UnitPrice_Clean]]=Transaction[[#This Row],[NetRevenue_Clean]],"Valid","Invalid")</f>
        <v>Valid</v>
      </c>
      <c r="AI390" t="s">
        <v>23</v>
      </c>
      <c r="AJ390" t="s">
        <v>3065</v>
      </c>
      <c r="AK390" t="str">
        <f>IF(Transaction[[#This Row],[Salesperson]]="","Missing Value",TRIM(PROPER(Transaction[[#This Row],[Salesperson]])))</f>
        <v>Jackson-Na</v>
      </c>
      <c r="AL390" t="s">
        <v>25</v>
      </c>
      <c r="AM390" t="str">
        <f>IF(Transaction[[#This Row],[ContractType]]="","Missing Value",Transaction[[#This Row],[ContractType]])</f>
        <v>Frame Agreement</v>
      </c>
      <c r="AN390" t="s">
        <v>65</v>
      </c>
    </row>
    <row r="391" spans="1:40" x14ac:dyDescent="0.25">
      <c r="A391" t="s">
        <v>1875</v>
      </c>
      <c r="B391" s="1">
        <v>45787</v>
      </c>
      <c r="C39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39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39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91" s="2">
        <f>IFERROR(DATE(Transaction[[#This Row],[TransactionDateY]],Transaction[[#This Row],[TransactionDateM]],Transaction[[#This Row],[TransactionDateD]]),"Missing Value")</f>
        <v>45787</v>
      </c>
      <c r="G391" t="s">
        <v>541</v>
      </c>
      <c r="H391" t="str">
        <f>IFERROR(VLOOKUP(Transaction[[#This Row],[CustomerID]],Custumer[],1,0),IF(LEN(Transaction[[#This Row],[CustomerID]])=7,LEFT(Transaction[[#This Row],[CustomerID]],6),"Invalid ID"))</f>
        <v>C-1075</v>
      </c>
      <c r="I391" t="s">
        <v>103</v>
      </c>
      <c r="J391" t="str">
        <f>TRIM(UPPER(Transaction[[#This Row],[ProductID]]))</f>
        <v>P-FS-005</v>
      </c>
      <c r="K391" t="str">
        <f>IFERROR(VLOOKUP(Transaction[[#This Row],[ProductID_Clean]],Product[],1,FALSE),"Invalid ID")</f>
        <v>P-FS-005</v>
      </c>
      <c r="L391" t="str">
        <f>TRIM(SUBSTITUTE(SUBSTITUTE(SUBSTITUTE(SUBSTITUTE(UPPER(Transaction[[#This Row],[Region]]),"EMEA REGION","EMEA"),"APAC REGION","APAC"),"NORTH AMERICA","N. AMERICA"),"N .AMERICA","N.AMERICA"))</f>
        <v>N. AMERICA</v>
      </c>
      <c r="M391" t="s">
        <v>20</v>
      </c>
      <c r="N391" t="s">
        <v>21</v>
      </c>
      <c r="O391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391" t="s">
        <v>22</v>
      </c>
      <c r="Q391" t="str">
        <f>IF(TRIM(Transaction[[#This Row],[SalesChannel]])="","Missing Value",TRIM(Transaction[[#This Row],[SalesChannel]]))</f>
        <v>Direct</v>
      </c>
      <c r="R391" s="4">
        <v>1</v>
      </c>
      <c r="S391" s="4" t="str">
        <f>IF(Transaction[[#This Row],[Quantity]]&lt;0,"Negative-review","Valid")</f>
        <v>Valid</v>
      </c>
      <c r="T391">
        <v>725.49</v>
      </c>
      <c r="U39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725.49</v>
      </c>
      <c r="V391">
        <v>950</v>
      </c>
      <c r="W391">
        <v>950</v>
      </c>
      <c r="X39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391">
        <f>IF(Transaction[[#This Row],[GrossRevenue_Check]]="Invalid",Transaction[[#This Row],[ListPrice]]*Transaction[[#This Row],[Quantity]],Transaction[[#This Row],[GrossRevenue_Clean]])</f>
        <v>950</v>
      </c>
      <c r="Z391" t="str">
        <f>IF(Transaction[[#This Row],[GrossRevenue_Clean]]=Transaction[[#This Row],[ListPrice]]*Transaction[[#This Row],[Quantity]],"Valid","Invalid")</f>
        <v>Valid</v>
      </c>
      <c r="AA391">
        <v>224.51</v>
      </c>
      <c r="AB39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224.51</v>
      </c>
      <c r="AC391">
        <f>IF(Transaction[[#This Row],[DiscountAmount_Check2]]="Invalid",Transaction[[#This Row],[GrossRevenue_Analytical]]-Transaction[[#This Row],[NetRevenue_Analytical]],Transaction[[#This Row],[DiscountAmount_Clean]])</f>
        <v>224.51</v>
      </c>
      <c r="AD391">
        <v>725.49</v>
      </c>
      <c r="AE391" t="str">
        <f>IF(ROUND(Transaction[[#This Row],[GrossRevenue_Analytical]]-Transaction[[#This Row],[NetRevenue_Analytical]],2)=ROUND(Transaction[[#This Row],[DiscountAmount_Clean]],2),"Valid","Invalid")</f>
        <v>Valid</v>
      </c>
      <c r="AF391">
        <f>VALUE(IF(ISNUMBER(Transaction[[#This Row],[NetRevenue]]),Transaction[[#This Row],[NetRevenue]],IFERROR(IF(FIND("$",Transaction[[#This Row],[NetRevenue]])&gt;0,MID(Transaction[[#This Row],[NetRevenue]],2,10)),Transaction[[#This Row],[NetRevenue]])))</f>
        <v>725.49</v>
      </c>
      <c r="AG391">
        <f>IF(Transaction[[#This Row],[NetRevenue_Check]]="Invalid",(Transaction[[#This Row],[Quantity]]*Transaction[[#This Row],[UnitPrice_Clean]]),Transaction[[#This Row],[NetRevenue_Clean]])</f>
        <v>725.49</v>
      </c>
      <c r="AH391" t="str">
        <f>IF(Transaction[[#This Row],[Quantity]]*Transaction[[#This Row],[UnitPrice_Clean]]=Transaction[[#This Row],[NetRevenue_Clean]],"Valid","Invalid")</f>
        <v>Valid</v>
      </c>
      <c r="AI391" t="s">
        <v>23</v>
      </c>
      <c r="AJ391" t="s">
        <v>1876</v>
      </c>
      <c r="AK391" t="str">
        <f>IF(Transaction[[#This Row],[Salesperson]]="","Missing Value",TRIM(PROPER(Transaction[[#This Row],[Salesperson]])))</f>
        <v>Wallace-Em</v>
      </c>
      <c r="AL391" t="s">
        <v>42</v>
      </c>
      <c r="AM391" t="str">
        <f>IF(Transaction[[#This Row],[ContractType]]="","Missing Value",Transaction[[#This Row],[ContractType]])</f>
        <v>Standard PO</v>
      </c>
      <c r="AN391" t="s">
        <v>49</v>
      </c>
    </row>
    <row r="392" spans="1:40" x14ac:dyDescent="0.25">
      <c r="A392" t="s">
        <v>3015</v>
      </c>
      <c r="B392" s="1">
        <v>45768</v>
      </c>
      <c r="C39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39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39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92" s="2">
        <f>IFERROR(DATE(Transaction[[#This Row],[TransactionDateY]],Transaction[[#This Row],[TransactionDateM]],Transaction[[#This Row],[TransactionDateD]]),"Missing Value")</f>
        <v>45768</v>
      </c>
      <c r="G392" t="s">
        <v>336</v>
      </c>
      <c r="H392" t="str">
        <f>IFERROR(VLOOKUP(Transaction[[#This Row],[CustomerID]],Custumer[],1,0),IF(LEN(Transaction[[#This Row],[CustomerID]])=7,LEFT(Transaction[[#This Row],[CustomerID]],6),"Invalid ID"))</f>
        <v>C-1109</v>
      </c>
      <c r="I392" t="s">
        <v>111</v>
      </c>
      <c r="J392" t="str">
        <f>TRIM(UPPER(Transaction[[#This Row],[ProductID]]))</f>
        <v>P-SA-004</v>
      </c>
      <c r="K392" t="str">
        <f>IFERROR(VLOOKUP(Transaction[[#This Row],[ProductID_Clean]],Product[],1,FALSE),"Invalid ID")</f>
        <v>P-SA-004</v>
      </c>
      <c r="L392" t="str">
        <f>TRIM(SUBSTITUTE(SUBSTITUTE(SUBSTITUTE(SUBSTITUTE(UPPER(Transaction[[#This Row],[Region]]),"EMEA REGION","EMEA"),"APAC REGION","APAC"),"NORTH AMERICA","N. AMERICA"),"N .AMERICA","N.AMERICA"))</f>
        <v>EMEA</v>
      </c>
      <c r="M392" t="s">
        <v>683</v>
      </c>
      <c r="N392" t="s">
        <v>31</v>
      </c>
      <c r="O39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392" t="s">
        <v>40</v>
      </c>
      <c r="Q392" t="str">
        <f>IF(TRIM(Transaction[[#This Row],[SalesChannel]])="","Missing Value",TRIM(Transaction[[#This Row],[SalesChannel]]))</f>
        <v>Distributor</v>
      </c>
      <c r="R392" s="4">
        <v>1</v>
      </c>
      <c r="S392" s="4" t="str">
        <f>IF(Transaction[[#This Row],[Quantity]]&lt;0,"Negative-review","Valid")</f>
        <v>Valid</v>
      </c>
      <c r="T392">
        <v>1434.98</v>
      </c>
      <c r="U39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1434.98</v>
      </c>
      <c r="V392">
        <v>1650</v>
      </c>
      <c r="W392">
        <v>1650</v>
      </c>
      <c r="X39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392">
        <f>IF(Transaction[[#This Row],[GrossRevenue_Check]]="Invalid",Transaction[[#This Row],[ListPrice]]*Transaction[[#This Row],[Quantity]],Transaction[[#This Row],[GrossRevenue_Clean]])</f>
        <v>1650</v>
      </c>
      <c r="Z392" t="str">
        <f>IF(Transaction[[#This Row],[GrossRevenue_Clean]]=Transaction[[#This Row],[ListPrice]]*Transaction[[#This Row],[Quantity]],"Valid","Invalid")</f>
        <v>Valid</v>
      </c>
      <c r="AA392">
        <v>215.02</v>
      </c>
      <c r="AB39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215.02</v>
      </c>
      <c r="AC392">
        <f>IF(Transaction[[#This Row],[DiscountAmount_Check2]]="Invalid",Transaction[[#This Row],[GrossRevenue_Analytical]]-Transaction[[#This Row],[NetRevenue_Analytical]],Transaction[[#This Row],[DiscountAmount_Clean]])</f>
        <v>215.02</v>
      </c>
      <c r="AD392">
        <v>1434.98</v>
      </c>
      <c r="AE392" t="str">
        <f>IF(ROUND(Transaction[[#This Row],[GrossRevenue_Analytical]]-Transaction[[#This Row],[NetRevenue_Analytical]],2)=ROUND(Transaction[[#This Row],[DiscountAmount_Clean]],2),"Valid","Invalid")</f>
        <v>Valid</v>
      </c>
      <c r="AF39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1434.98</v>
      </c>
      <c r="AG392">
        <f>IF(Transaction[[#This Row],[NetRevenue_Check]]="Invalid",(Transaction[[#This Row],[Quantity]]*Transaction[[#This Row],[UnitPrice_Clean]]),Transaction[[#This Row],[NetRevenue_Clean]])</f>
        <v>1434.98</v>
      </c>
      <c r="AH392" t="str">
        <f>IF(Transaction[[#This Row],[Quantity]]*Transaction[[#This Row],[UnitPrice_Clean]]=Transaction[[#This Row],[NetRevenue_Clean]],"Valid","Invalid")</f>
        <v>Valid</v>
      </c>
      <c r="AI392" t="s">
        <v>23</v>
      </c>
      <c r="AJ392" t="s">
        <v>1853</v>
      </c>
      <c r="AK392" t="str">
        <f>IF(Transaction[[#This Row],[Salesperson]]="","Missing Value",TRIM(PROPER(Transaction[[#This Row],[Salesperson]])))</f>
        <v>West</v>
      </c>
      <c r="AL392" t="s">
        <v>34</v>
      </c>
      <c r="AM392" t="str">
        <f>IF(Transaction[[#This Row],[ContractType]]="","Missing Value",Transaction[[#This Row],[ContractType]])</f>
        <v>Annual License</v>
      </c>
      <c r="AN392" t="s">
        <v>65</v>
      </c>
    </row>
    <row r="393" spans="1:40" x14ac:dyDescent="0.25">
      <c r="A393" t="s">
        <v>1621</v>
      </c>
      <c r="B393" s="1">
        <v>45837</v>
      </c>
      <c r="C39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39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29</v>
      </c>
      <c r="E39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93" s="2">
        <f>IFERROR(DATE(Transaction[[#This Row],[TransactionDateY]],Transaction[[#This Row],[TransactionDateM]],Transaction[[#This Row],[TransactionDateD]]),"Missing Value")</f>
        <v>45837</v>
      </c>
      <c r="G393" t="s">
        <v>57</v>
      </c>
      <c r="H393" t="str">
        <f>IFERROR(VLOOKUP(Transaction[[#This Row],[CustomerID]],Custumer[],1,0),IF(LEN(Transaction[[#This Row],[CustomerID]])=7,LEFT(Transaction[[#This Row],[CustomerID]],6),"Invalid ID"))</f>
        <v>C-1035</v>
      </c>
      <c r="I393" t="s">
        <v>46</v>
      </c>
      <c r="J393" t="str">
        <f>TRIM(UPPER(Transaction[[#This Row],[ProductID]]))</f>
        <v>P-SI-006</v>
      </c>
      <c r="K393" t="str">
        <f>IFERROR(VLOOKUP(Transaction[[#This Row],[ProductID_Clean]],Product[],1,FALSE),"Invalid ID")</f>
        <v>P-SI-006</v>
      </c>
      <c r="L393" t="str">
        <f>TRIM(SUBSTITUTE(SUBSTITUTE(SUBSTITUTE(SUBSTITUTE(UPPER(Transaction[[#This Row],[Region]]),"EMEA REGION","EMEA"),"APAC REGION","APAC"),"NORTH AMERICA","N. AMERICA"),"N .AMERICA","N.AMERICA"))</f>
        <v>N. AMERICA</v>
      </c>
      <c r="M393" t="s">
        <v>20</v>
      </c>
      <c r="N393" t="s">
        <v>53</v>
      </c>
      <c r="O39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93" t="s">
        <v>32</v>
      </c>
      <c r="Q393" t="str">
        <f>IF(TRIM(Transaction[[#This Row],[SalesChannel]])="","Missing Value",TRIM(Transaction[[#This Row],[SalesChannel]]))</f>
        <v>Direct</v>
      </c>
      <c r="R393" s="4">
        <v>1</v>
      </c>
      <c r="S393" s="4" t="str">
        <f>IF(Transaction[[#This Row],[Quantity]]&lt;0,"Negative-review","Valid")</f>
        <v>Valid</v>
      </c>
      <c r="T393">
        <v>193.52</v>
      </c>
      <c r="U39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193.52</v>
      </c>
      <c r="V393">
        <v>215</v>
      </c>
      <c r="W393">
        <v>215</v>
      </c>
      <c r="X39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393">
        <f>IF(Transaction[[#This Row],[GrossRevenue_Check]]="Invalid",Transaction[[#This Row],[ListPrice]]*Transaction[[#This Row],[Quantity]],Transaction[[#This Row],[GrossRevenue_Clean]])</f>
        <v>215</v>
      </c>
      <c r="Z393" t="str">
        <f>IF(Transaction[[#This Row],[GrossRevenue_Clean]]=Transaction[[#This Row],[ListPrice]]*Transaction[[#This Row],[Quantity]],"Valid","Invalid")</f>
        <v>Valid</v>
      </c>
      <c r="AA393">
        <v>21.48</v>
      </c>
      <c r="AB39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21.48</v>
      </c>
      <c r="AC393">
        <f>IF(Transaction[[#This Row],[DiscountAmount_Check2]]="Invalid",Transaction[[#This Row],[GrossRevenue_Analytical]]-Transaction[[#This Row],[NetRevenue_Analytical]],Transaction[[#This Row],[DiscountAmount_Clean]])</f>
        <v>21.48</v>
      </c>
      <c r="AD393">
        <v>193.52</v>
      </c>
      <c r="AE393" t="str">
        <f>IF(ROUND(Transaction[[#This Row],[GrossRevenue_Analytical]]-Transaction[[#This Row],[NetRevenue_Analytical]],2)=ROUND(Transaction[[#This Row],[DiscountAmount_Clean]],2),"Valid","Invalid")</f>
        <v>Valid</v>
      </c>
      <c r="AF39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193.52</v>
      </c>
      <c r="AG393">
        <f>IF(Transaction[[#This Row],[NetRevenue_Check]]="Invalid",(Transaction[[#This Row],[Quantity]]*Transaction[[#This Row],[UnitPrice_Clean]]),Transaction[[#This Row],[NetRevenue_Clean]])</f>
        <v>193.52</v>
      </c>
      <c r="AH393" t="str">
        <f>IF(Transaction[[#This Row],[Quantity]]*Transaction[[#This Row],[UnitPrice_Clean]]=Transaction[[#This Row],[NetRevenue_Clean]],"Valid","Invalid")</f>
        <v>Valid</v>
      </c>
      <c r="AI393" t="s">
        <v>23</v>
      </c>
      <c r="AJ393" t="s">
        <v>1622</v>
      </c>
      <c r="AK393" t="str">
        <f>IF(Transaction[[#This Row],[Salesperson]]="","Missing Value",TRIM(PROPER(Transaction[[#This Row],[Salesperson]])))</f>
        <v>Acosta-Ap</v>
      </c>
      <c r="AL393" t="s">
        <v>25</v>
      </c>
      <c r="AM393" t="str">
        <f>IF(Transaction[[#This Row],[ContractType]]="","Missing Value",Transaction[[#This Row],[ContractType]])</f>
        <v>Frame Agreement</v>
      </c>
      <c r="AN393" t="s">
        <v>35</v>
      </c>
    </row>
    <row r="394" spans="1:40" x14ac:dyDescent="0.25">
      <c r="A394" t="s">
        <v>1744</v>
      </c>
      <c r="B394" t="s">
        <v>1745</v>
      </c>
      <c r="C39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39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39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94" s="2">
        <f>IFERROR(DATE(Transaction[[#This Row],[TransactionDateY]],Transaction[[#This Row],[TransactionDateM]],Transaction[[#This Row],[TransactionDateD]]),"Missing Value")</f>
        <v>45824</v>
      </c>
      <c r="G394" t="s">
        <v>239</v>
      </c>
      <c r="H394" t="str">
        <f>IFERROR(VLOOKUP(Transaction[[#This Row],[CustomerID]],Custumer[],1,0),IF(LEN(Transaction[[#This Row],[CustomerID]])=7,LEFT(Transaction[[#This Row],[CustomerID]],6),"Invalid ID"))</f>
        <v>C-1092</v>
      </c>
      <c r="I394" t="s">
        <v>97</v>
      </c>
      <c r="J394" t="str">
        <f>TRIM(UPPER(Transaction[[#This Row],[ProductID]]))</f>
        <v>P-SI-001</v>
      </c>
      <c r="K394" t="str">
        <f>IFERROR(VLOOKUP(Transaction[[#This Row],[ProductID_Clean]],Product[],1,FALSE),"Invalid ID")</f>
        <v>P-SI-001</v>
      </c>
      <c r="L394" t="str">
        <f>TRIM(SUBSTITUTE(SUBSTITUTE(SUBSTITUTE(SUBSTITUTE(UPPER(Transaction[[#This Row],[Region]]),"EMEA REGION","EMEA"),"APAC REGION","APAC"),"NORTH AMERICA","N. AMERICA"),"N .AMERICA","N.AMERICA"))</f>
        <v>N. AMERICA</v>
      </c>
      <c r="M394" t="s">
        <v>20</v>
      </c>
      <c r="N394" t="s">
        <v>53</v>
      </c>
      <c r="O39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94" t="s">
        <v>40</v>
      </c>
      <c r="Q394" t="str">
        <f>IF(TRIM(Transaction[[#This Row],[SalesChannel]])="","Missing Value",TRIM(Transaction[[#This Row],[SalesChannel]]))</f>
        <v>Distributor</v>
      </c>
      <c r="R394" s="4">
        <v>1</v>
      </c>
      <c r="S394" s="4" t="str">
        <f>IF(Transaction[[#This Row],[Quantity]]&lt;0,"Negative-review","Valid")</f>
        <v>Valid</v>
      </c>
      <c r="T394">
        <v>384.6</v>
      </c>
      <c r="U39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384.6</v>
      </c>
      <c r="V394">
        <v>485</v>
      </c>
      <c r="W394">
        <v>485</v>
      </c>
      <c r="X39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394">
        <f>IF(Transaction[[#This Row],[GrossRevenue_Check]]="Invalid",Transaction[[#This Row],[ListPrice]]*Transaction[[#This Row],[Quantity]],Transaction[[#This Row],[GrossRevenue_Clean]])</f>
        <v>485</v>
      </c>
      <c r="Z394" t="str">
        <f>IF(Transaction[[#This Row],[GrossRevenue_Clean]]=Transaction[[#This Row],[ListPrice]]*Transaction[[#This Row],[Quantity]],"Valid","Invalid")</f>
        <v>Valid</v>
      </c>
      <c r="AA394">
        <v>100.4</v>
      </c>
      <c r="AB39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100.4</v>
      </c>
      <c r="AC394">
        <f>IF(Transaction[[#This Row],[DiscountAmount_Check2]]="Invalid",Transaction[[#This Row],[GrossRevenue_Analytical]]-Transaction[[#This Row],[NetRevenue_Analytical]],Transaction[[#This Row],[DiscountAmount_Clean]])</f>
        <v>100.4</v>
      </c>
      <c r="AD394">
        <v>384.6</v>
      </c>
      <c r="AE394" t="str">
        <f>IF(ROUND(Transaction[[#This Row],[GrossRevenue_Analytical]]-Transaction[[#This Row],[NetRevenue_Analytical]],2)=ROUND(Transaction[[#This Row],[DiscountAmount_Clean]],2),"Valid","Invalid")</f>
        <v>Valid</v>
      </c>
      <c r="AF394">
        <f>VALUE(IF(ISNUMBER(Transaction[[#This Row],[NetRevenue]]),Transaction[[#This Row],[NetRevenue]],IFERROR(IF(FIND("$",Transaction[[#This Row],[NetRevenue]])&gt;0,MID(Transaction[[#This Row],[NetRevenue]],2,10)),Transaction[[#This Row],[NetRevenue]])))</f>
        <v>384.6</v>
      </c>
      <c r="AG394">
        <f>IF(Transaction[[#This Row],[NetRevenue_Check]]="Invalid",(Transaction[[#This Row],[Quantity]]*Transaction[[#This Row],[UnitPrice_Clean]]),Transaction[[#This Row],[NetRevenue_Clean]])</f>
        <v>384.6</v>
      </c>
      <c r="AH394" t="str">
        <f>IF(Transaction[[#This Row],[Quantity]]*Transaction[[#This Row],[UnitPrice_Clean]]=Transaction[[#This Row],[NetRevenue_Clean]],"Valid","Invalid")</f>
        <v>Valid</v>
      </c>
      <c r="AI394" t="s">
        <v>23</v>
      </c>
      <c r="AJ394" t="s">
        <v>1746</v>
      </c>
      <c r="AK394" t="str">
        <f>IF(Transaction[[#This Row],[Salesperson]]="","Missing Value",TRIM(PROPER(Transaction[[#This Row],[Salesperson]])))</f>
        <v>Buck-Em</v>
      </c>
      <c r="AL394" t="s">
        <v>55</v>
      </c>
      <c r="AM394" t="str">
        <f>IF(Transaction[[#This Row],[ContractType]]="","Missing Value",Transaction[[#This Row],[ContractType]])</f>
        <v>Spot</v>
      </c>
      <c r="AN394" t="s">
        <v>43</v>
      </c>
    </row>
    <row r="395" spans="1:40" x14ac:dyDescent="0.25">
      <c r="A395" t="s">
        <v>811</v>
      </c>
      <c r="B395" s="1">
        <v>45713</v>
      </c>
      <c r="C39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39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39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95" s="2">
        <f>IFERROR(DATE(Transaction[[#This Row],[TransactionDateY]],Transaction[[#This Row],[TransactionDateM]],Transaction[[#This Row],[TransactionDateD]]),"Missing Value")</f>
        <v>45713</v>
      </c>
      <c r="G395" t="s">
        <v>473</v>
      </c>
      <c r="H395" t="str">
        <f>IFERROR(VLOOKUP(Transaction[[#This Row],[CustomerID]],Custumer[],1,0),IF(LEN(Transaction[[#This Row],[CustomerID]])=7,LEFT(Transaction[[#This Row],[CustomerID]],6),"Invalid ID"))</f>
        <v>C-1016</v>
      </c>
      <c r="I395" t="s">
        <v>97</v>
      </c>
      <c r="J395" t="str">
        <f>TRIM(UPPER(Transaction[[#This Row],[ProductID]]))</f>
        <v>P-SI-001</v>
      </c>
      <c r="K395" t="str">
        <f>IFERROR(VLOOKUP(Transaction[[#This Row],[ProductID_Clean]],Product[],1,FALSE),"Invalid ID")</f>
        <v>P-SI-001</v>
      </c>
      <c r="L395" t="str">
        <f>TRIM(SUBSTITUTE(SUBSTITUTE(SUBSTITUTE(SUBSTITUTE(UPPER(Transaction[[#This Row],[Region]]),"EMEA REGION","EMEA"),"APAC REGION","APAC"),"NORTH AMERICA","N. AMERICA"),"N .AMERICA","N.AMERICA"))</f>
        <v>APAC</v>
      </c>
      <c r="M395" t="s">
        <v>30</v>
      </c>
      <c r="N395" t="s">
        <v>47</v>
      </c>
      <c r="O39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95" t="s">
        <v>40</v>
      </c>
      <c r="Q395" t="str">
        <f>IF(TRIM(Transaction[[#This Row],[SalesChannel]])="","Missing Value",TRIM(Transaction[[#This Row],[SalesChannel]]))</f>
        <v>Distributor</v>
      </c>
      <c r="R395" s="4">
        <v>1</v>
      </c>
      <c r="S395" s="4" t="str">
        <f>IF(Transaction[[#This Row],[Quantity]]&lt;0,"Negative-review","Valid")</f>
        <v>Valid</v>
      </c>
      <c r="T395">
        <v>351.16</v>
      </c>
      <c r="U39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351.16</v>
      </c>
      <c r="V395">
        <v>485</v>
      </c>
      <c r="W395">
        <v>485</v>
      </c>
      <c r="X39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395">
        <f>IF(Transaction[[#This Row],[GrossRevenue_Check]]="Invalid",Transaction[[#This Row],[ListPrice]]*Transaction[[#This Row],[Quantity]],Transaction[[#This Row],[GrossRevenue_Clean]])</f>
        <v>485</v>
      </c>
      <c r="Z395" t="str">
        <f>IF(Transaction[[#This Row],[GrossRevenue_Clean]]=Transaction[[#This Row],[ListPrice]]*Transaction[[#This Row],[Quantity]],"Valid","Invalid")</f>
        <v>Valid</v>
      </c>
      <c r="AA395">
        <v>133.84</v>
      </c>
      <c r="AB39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133.84</v>
      </c>
      <c r="AC395">
        <f>IF(Transaction[[#This Row],[DiscountAmount_Check2]]="Invalid",Transaction[[#This Row],[GrossRevenue_Analytical]]-Transaction[[#This Row],[NetRevenue_Analytical]],Transaction[[#This Row],[DiscountAmount_Clean]])</f>
        <v>133.84</v>
      </c>
      <c r="AD395">
        <v>351.16</v>
      </c>
      <c r="AE395" t="str">
        <f>IF(ROUND(Transaction[[#This Row],[GrossRevenue_Analytical]]-Transaction[[#This Row],[NetRevenue_Analytical]],2)=ROUND(Transaction[[#This Row],[DiscountAmount_Clean]],2),"Valid","Invalid")</f>
        <v>Valid</v>
      </c>
      <c r="AF39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351.16</v>
      </c>
      <c r="AG395">
        <f>IF(Transaction[[#This Row],[NetRevenue_Check]]="Invalid",(Transaction[[#This Row],[Quantity]]*Transaction[[#This Row],[UnitPrice_Clean]]),Transaction[[#This Row],[NetRevenue_Clean]])</f>
        <v>351.16</v>
      </c>
      <c r="AH395" t="str">
        <f>IF(Transaction[[#This Row],[Quantity]]*Transaction[[#This Row],[UnitPrice_Clean]]=Transaction[[#This Row],[NetRevenue_Clean]],"Valid","Invalid")</f>
        <v>Valid</v>
      </c>
      <c r="AI395" t="s">
        <v>23</v>
      </c>
      <c r="AJ395" t="s">
        <v>812</v>
      </c>
      <c r="AK395" t="str">
        <f>IF(Transaction[[#This Row],[Salesperson]]="","Missing Value",TRIM(PROPER(Transaction[[#This Row],[Salesperson]])))</f>
        <v>Mendez-Na</v>
      </c>
      <c r="AL395" t="s">
        <v>42</v>
      </c>
      <c r="AM395" t="str">
        <f>IF(Transaction[[#This Row],[ContractType]]="","Missing Value",Transaction[[#This Row],[ContractType]])</f>
        <v>Standard PO</v>
      </c>
      <c r="AN395" t="s">
        <v>26</v>
      </c>
    </row>
    <row r="396" spans="1:40" x14ac:dyDescent="0.25">
      <c r="A396" t="s">
        <v>2921</v>
      </c>
      <c r="B396" s="1">
        <v>45773</v>
      </c>
      <c r="C39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39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39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96" s="2">
        <f>IFERROR(DATE(Transaction[[#This Row],[TransactionDateY]],Transaction[[#This Row],[TransactionDateM]],Transaction[[#This Row],[TransactionDateD]]),"Missing Value")</f>
        <v>45773</v>
      </c>
      <c r="G396" t="s">
        <v>1592</v>
      </c>
      <c r="H396" t="str">
        <f>IFERROR(VLOOKUP(Transaction[[#This Row],[CustomerID]],Custumer[],1,0),IF(LEN(Transaction[[#This Row],[CustomerID]])=7,LEFT(Transaction[[#This Row],[CustomerID]],6),"Invalid ID"))</f>
        <v>C-1028</v>
      </c>
      <c r="I396" t="s">
        <v>52</v>
      </c>
      <c r="J396" t="str">
        <f>TRIM(UPPER(Transaction[[#This Row],[ProductID]]))</f>
        <v>P-SI-002</v>
      </c>
      <c r="K396" t="str">
        <f>IFERROR(VLOOKUP(Transaction[[#This Row],[ProductID_Clean]],Product[],1,FALSE),"Invalid ID")</f>
        <v>P-SI-002</v>
      </c>
      <c r="L396" t="str">
        <f>TRIM(SUBSTITUTE(SUBSTITUTE(SUBSTITUTE(SUBSTITUTE(UPPER(Transaction[[#This Row],[Region]]),"EMEA REGION","EMEA"),"APAC REGION","APAC"),"NORTH AMERICA","N. AMERICA"),"N .AMERICA","N.AMERICA"))</f>
        <v>EMEA</v>
      </c>
      <c r="M396" t="s">
        <v>76</v>
      </c>
      <c r="N396" t="s">
        <v>98</v>
      </c>
      <c r="O39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96" t="s">
        <v>22</v>
      </c>
      <c r="Q396" t="str">
        <f>IF(TRIM(Transaction[[#This Row],[SalesChannel]])="","Missing Value",TRIM(Transaction[[#This Row],[SalesChannel]]))</f>
        <v>Direct</v>
      </c>
      <c r="R396" s="4">
        <v>1</v>
      </c>
      <c r="S396" s="4" t="str">
        <f>IF(Transaction[[#This Row],[Quantity]]&lt;0,"Negative-review","Valid")</f>
        <v>Valid</v>
      </c>
      <c r="T396">
        <v>654.66999999999996</v>
      </c>
      <c r="U39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654.66999999999996</v>
      </c>
      <c r="V396">
        <v>725</v>
      </c>
      <c r="W396">
        <v>725</v>
      </c>
      <c r="X39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396">
        <f>IF(Transaction[[#This Row],[GrossRevenue_Check]]="Invalid",Transaction[[#This Row],[ListPrice]]*Transaction[[#This Row],[Quantity]],Transaction[[#This Row],[GrossRevenue_Clean]])</f>
        <v>725</v>
      </c>
      <c r="Z396" t="str">
        <f>IF(Transaction[[#This Row],[GrossRevenue_Clean]]=Transaction[[#This Row],[ListPrice]]*Transaction[[#This Row],[Quantity]],"Valid","Invalid")</f>
        <v>Valid</v>
      </c>
      <c r="AA396">
        <v>70.33</v>
      </c>
      <c r="AB39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70.33</v>
      </c>
      <c r="AC396">
        <f>IF(Transaction[[#This Row],[DiscountAmount_Check2]]="Invalid",Transaction[[#This Row],[GrossRevenue_Analytical]]-Transaction[[#This Row],[NetRevenue_Analytical]],Transaction[[#This Row],[DiscountAmount_Clean]])</f>
        <v>70.33</v>
      </c>
      <c r="AD396">
        <v>654.66999999999996</v>
      </c>
      <c r="AE396" t="str">
        <f>IF(ROUND(Transaction[[#This Row],[GrossRevenue_Analytical]]-Transaction[[#This Row],[NetRevenue_Analytical]],2)=ROUND(Transaction[[#This Row],[DiscountAmount_Clean]],2),"Valid","Invalid")</f>
        <v>Valid</v>
      </c>
      <c r="AF396">
        <f>VALUE(IF(ISNUMBER(Transaction[[#This Row],[NetRevenue]]),Transaction[[#This Row],[NetRevenue]],IFERROR(IF(FIND("$",Transaction[[#This Row],[NetRevenue]])&gt;0,MID(Transaction[[#This Row],[NetRevenue]],2,10)),Transaction[[#This Row],[NetRevenue]])))</f>
        <v>654.66999999999996</v>
      </c>
      <c r="AG396">
        <f>IF(Transaction[[#This Row],[NetRevenue_Check]]="Invalid",(Transaction[[#This Row],[Quantity]]*Transaction[[#This Row],[UnitPrice_Clean]]),Transaction[[#This Row],[NetRevenue_Clean]])</f>
        <v>654.66999999999996</v>
      </c>
      <c r="AH396" t="str">
        <f>IF(Transaction[[#This Row],[Quantity]]*Transaction[[#This Row],[UnitPrice_Clean]]=Transaction[[#This Row],[NetRevenue_Clean]],"Valid","Invalid")</f>
        <v>Valid</v>
      </c>
      <c r="AI396" t="s">
        <v>23</v>
      </c>
      <c r="AJ396" t="s">
        <v>1096</v>
      </c>
      <c r="AK396" t="str">
        <f>IF(Transaction[[#This Row],[Salesperson]]="","Missing Value",TRIM(PROPER(Transaction[[#This Row],[Salesperson]])))</f>
        <v>Graham-Na</v>
      </c>
      <c r="AL396" t="s">
        <v>55</v>
      </c>
      <c r="AM396" t="str">
        <f>IF(Transaction[[#This Row],[ContractType]]="","Missing Value",Transaction[[#This Row],[ContractType]])</f>
        <v>Spot</v>
      </c>
      <c r="AN396" t="s">
        <v>43</v>
      </c>
    </row>
    <row r="397" spans="1:40" x14ac:dyDescent="0.25">
      <c r="A397" t="s">
        <v>2865</v>
      </c>
      <c r="B397" s="1">
        <v>45744</v>
      </c>
      <c r="C39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39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39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97" s="2">
        <f>IFERROR(DATE(Transaction[[#This Row],[TransactionDateY]],Transaction[[#This Row],[TransactionDateM]],Transaction[[#This Row],[TransactionDateD]]),"Missing Value")</f>
        <v>45744</v>
      </c>
      <c r="G397" t="s">
        <v>2866</v>
      </c>
      <c r="H397" t="str">
        <f>IFERROR(VLOOKUP(Transaction[[#This Row],[CustomerID]],Custumer[],1,0),IF(LEN(Transaction[[#This Row],[CustomerID]])=7,LEFT(Transaction[[#This Row],[CustomerID]],6),"Invalid ID"))</f>
        <v>C-1175</v>
      </c>
      <c r="I397" t="s">
        <v>52</v>
      </c>
      <c r="J397" t="str">
        <f>TRIM(UPPER(Transaction[[#This Row],[ProductID]]))</f>
        <v>P-SI-002</v>
      </c>
      <c r="K397" t="str">
        <f>IFERROR(VLOOKUP(Transaction[[#This Row],[ProductID_Clean]],Product[],1,FALSE),"Invalid ID")</f>
        <v>P-SI-002</v>
      </c>
      <c r="L397" t="str">
        <f>TRIM(SUBSTITUTE(SUBSTITUTE(SUBSTITUTE(SUBSTITUTE(UPPER(Transaction[[#This Row],[Region]]),"EMEA REGION","EMEA"),"APAC REGION","APAC"),"NORTH AMERICA","N. AMERICA"),"N .AMERICA","N.AMERICA"))</f>
        <v>N. AMERICA</v>
      </c>
      <c r="M397" t="s">
        <v>204</v>
      </c>
      <c r="N397" t="s">
        <v>53</v>
      </c>
      <c r="O39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97" t="s">
        <v>22</v>
      </c>
      <c r="Q397" t="str">
        <f>IF(TRIM(Transaction[[#This Row],[SalesChannel]])="","Missing Value",TRIM(Transaction[[#This Row],[SalesChannel]]))</f>
        <v>Direct</v>
      </c>
      <c r="R397" s="4">
        <v>2</v>
      </c>
      <c r="S397" s="4" t="str">
        <f>IF(Transaction[[#This Row],[Quantity]]&lt;0,"Negative-review","Valid")</f>
        <v>Valid</v>
      </c>
      <c r="T397">
        <v>642.78</v>
      </c>
      <c r="U39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642.78</v>
      </c>
      <c r="V397">
        <v>725</v>
      </c>
      <c r="W397">
        <v>1450</v>
      </c>
      <c r="X39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397">
        <f>IF(Transaction[[#This Row],[GrossRevenue_Check]]="Invalid",Transaction[[#This Row],[ListPrice]]*Transaction[[#This Row],[Quantity]],Transaction[[#This Row],[GrossRevenue_Clean]])</f>
        <v>1450</v>
      </c>
      <c r="Z397" t="str">
        <f>IF(Transaction[[#This Row],[GrossRevenue_Clean]]=Transaction[[#This Row],[ListPrice]]*Transaction[[#This Row],[Quantity]],"Valid","Invalid")</f>
        <v>Valid</v>
      </c>
      <c r="AA397">
        <v>164.44</v>
      </c>
      <c r="AB39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164.44</v>
      </c>
      <c r="AC397">
        <f>IF(Transaction[[#This Row],[DiscountAmount_Check2]]="Invalid",Transaction[[#This Row],[GrossRevenue_Analytical]]-Transaction[[#This Row],[NetRevenue_Analytical]],Transaction[[#This Row],[DiscountAmount_Clean]])</f>
        <v>164.44</v>
      </c>
      <c r="AD397">
        <v>1285.56</v>
      </c>
      <c r="AE397" t="str">
        <f>IF(ROUND(Transaction[[#This Row],[GrossRevenue_Analytical]]-Transaction[[#This Row],[NetRevenue_Analytical]],2)=ROUND(Transaction[[#This Row],[DiscountAmount_Clean]],2),"Valid","Invalid")</f>
        <v>Valid</v>
      </c>
      <c r="AF39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1285.56</v>
      </c>
      <c r="AG397">
        <f>IF(Transaction[[#This Row],[NetRevenue_Check]]="Invalid",(Transaction[[#This Row],[Quantity]]*Transaction[[#This Row],[UnitPrice_Clean]]),Transaction[[#This Row],[NetRevenue_Clean]])</f>
        <v>1285.56</v>
      </c>
      <c r="AH397" t="str">
        <f>IF(Transaction[[#This Row],[Quantity]]*Transaction[[#This Row],[UnitPrice_Clean]]=Transaction[[#This Row],[NetRevenue_Clean]],"Valid","Invalid")</f>
        <v>Valid</v>
      </c>
      <c r="AI397" t="s">
        <v>23</v>
      </c>
      <c r="AJ397" t="s">
        <v>2550</v>
      </c>
      <c r="AK397" t="str">
        <f>IF(Transaction[[#This Row],[Salesperson]]="","Missing Value",TRIM(PROPER(Transaction[[#This Row],[Salesperson]])))</f>
        <v>Fowler-Na</v>
      </c>
      <c r="AL397" t="s">
        <v>25</v>
      </c>
      <c r="AM397" t="str">
        <f>IF(Transaction[[#This Row],[ContractType]]="","Missing Value",Transaction[[#This Row],[ContractType]])</f>
        <v>Frame Agreement</v>
      </c>
      <c r="AN397" t="s">
        <v>43</v>
      </c>
    </row>
    <row r="398" spans="1:40" x14ac:dyDescent="0.25">
      <c r="A398" t="s">
        <v>2124</v>
      </c>
      <c r="B398" s="1">
        <v>45764</v>
      </c>
      <c r="C39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39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39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98" s="2">
        <f>IFERROR(DATE(Transaction[[#This Row],[TransactionDateY]],Transaction[[#This Row],[TransactionDateM]],Transaction[[#This Row],[TransactionDateD]]),"Missing Value")</f>
        <v>45764</v>
      </c>
      <c r="G398" t="s">
        <v>541</v>
      </c>
      <c r="H398" t="str">
        <f>IFERROR(VLOOKUP(Transaction[[#This Row],[CustomerID]],Custumer[],1,0),IF(LEN(Transaction[[#This Row],[CustomerID]])=7,LEFT(Transaction[[#This Row],[CustomerID]],6),"Invalid ID"))</f>
        <v>C-1075</v>
      </c>
      <c r="I398" t="s">
        <v>117</v>
      </c>
      <c r="J398" t="str">
        <f>TRIM(UPPER(Transaction[[#This Row],[ProductID]]))</f>
        <v>P-SI-007</v>
      </c>
      <c r="K398" t="str">
        <f>IFERROR(VLOOKUP(Transaction[[#This Row],[ProductID_Clean]],Product[],1,FALSE),"Invalid ID")</f>
        <v>P-SI-007</v>
      </c>
      <c r="L398" t="str">
        <f>TRIM(SUBSTITUTE(SUBSTITUTE(SUBSTITUTE(SUBSTITUTE(UPPER(Transaction[[#This Row],[Region]]),"EMEA REGION","EMEA"),"APAC REGION","APAC"),"NORTH AMERICA","N. AMERICA"),"N .AMERICA","N.AMERICA"))</f>
        <v>N. AMERICA</v>
      </c>
      <c r="M398" t="s">
        <v>20</v>
      </c>
      <c r="N398" t="s">
        <v>53</v>
      </c>
      <c r="O39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398" t="s">
        <v>93</v>
      </c>
      <c r="Q398" t="str">
        <f>IF(TRIM(Transaction[[#This Row],[SalesChannel]])="","Missing Value",TRIM(Transaction[[#This Row],[SalesChannel]]))</f>
        <v>direct</v>
      </c>
      <c r="R398" s="4">
        <v>2</v>
      </c>
      <c r="S398" s="4" t="str">
        <f>IF(Transaction[[#This Row],[Quantity]]&lt;0,"Negative-review","Valid")</f>
        <v>Valid</v>
      </c>
      <c r="T398">
        <v>886.7</v>
      </c>
      <c r="U39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886.7</v>
      </c>
      <c r="V398">
        <v>980</v>
      </c>
      <c r="W398">
        <v>1960</v>
      </c>
      <c r="X39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</v>
      </c>
      <c r="Y398">
        <f>IF(Transaction[[#This Row],[GrossRevenue_Check]]="Invalid",Transaction[[#This Row],[ListPrice]]*Transaction[[#This Row],[Quantity]],Transaction[[#This Row],[GrossRevenue_Clean]])</f>
        <v>1960</v>
      </c>
      <c r="Z398" t="str">
        <f>IF(Transaction[[#This Row],[GrossRevenue_Clean]]=Transaction[[#This Row],[ListPrice]]*Transaction[[#This Row],[Quantity]],"Valid","Invalid")</f>
        <v>Valid</v>
      </c>
      <c r="AA398">
        <v>186.6</v>
      </c>
      <c r="AB39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186.6</v>
      </c>
      <c r="AC398">
        <f>IF(Transaction[[#This Row],[DiscountAmount_Check2]]="Invalid",Transaction[[#This Row],[GrossRevenue_Analytical]]-Transaction[[#This Row],[NetRevenue_Analytical]],Transaction[[#This Row],[DiscountAmount_Clean]])</f>
        <v>186.6</v>
      </c>
      <c r="AD398">
        <v>1773.4</v>
      </c>
      <c r="AE398" t="str">
        <f>IF(ROUND(Transaction[[#This Row],[GrossRevenue_Analytical]]-Transaction[[#This Row],[NetRevenue_Analytical]],2)=ROUND(Transaction[[#This Row],[DiscountAmount_Clean]],2),"Valid","Invalid")</f>
        <v>Valid</v>
      </c>
      <c r="AF39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1773.4</v>
      </c>
      <c r="AG398">
        <f>IF(Transaction[[#This Row],[NetRevenue_Check]]="Invalid",(Transaction[[#This Row],[Quantity]]*Transaction[[#This Row],[UnitPrice_Clean]]),Transaction[[#This Row],[NetRevenue_Clean]])</f>
        <v>1773.4</v>
      </c>
      <c r="AH398" t="str">
        <f>IF(Transaction[[#This Row],[Quantity]]*Transaction[[#This Row],[UnitPrice_Clean]]=Transaction[[#This Row],[NetRevenue_Clean]],"Valid","Invalid")</f>
        <v>Valid</v>
      </c>
      <c r="AI398" t="s">
        <v>128</v>
      </c>
      <c r="AJ398" t="s">
        <v>2125</v>
      </c>
      <c r="AK398" t="str">
        <f>IF(Transaction[[#This Row],[Salesperson]]="","Missing Value",TRIM(PROPER(Transaction[[#This Row],[Salesperson]])))</f>
        <v>Moody-Ap</v>
      </c>
      <c r="AL398" t="s">
        <v>42</v>
      </c>
      <c r="AM398" t="str">
        <f>IF(Transaction[[#This Row],[ContractType]]="","Missing Value",Transaction[[#This Row],[ContractType]])</f>
        <v>Standard PO</v>
      </c>
      <c r="AN398" t="s">
        <v>49</v>
      </c>
    </row>
    <row r="399" spans="1:40" x14ac:dyDescent="0.25">
      <c r="A399" t="s">
        <v>886</v>
      </c>
      <c r="B399" t="s">
        <v>887</v>
      </c>
      <c r="C39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39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39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399" s="2">
        <f>IFERROR(DATE(Transaction[[#This Row],[TransactionDateY]],Transaction[[#This Row],[TransactionDateM]],Transaction[[#This Row],[TransactionDateD]]),"Missing Value")</f>
        <v>45682</v>
      </c>
      <c r="G399" t="s">
        <v>336</v>
      </c>
      <c r="H399" t="str">
        <f>IFERROR(VLOOKUP(Transaction[[#This Row],[CustomerID]],Custumer[],1,0),IF(LEN(Transaction[[#This Row],[CustomerID]])=7,LEFT(Transaction[[#This Row],[CustomerID]],6),"Invalid ID"))</f>
        <v>C-1109</v>
      </c>
      <c r="I399" t="s">
        <v>258</v>
      </c>
      <c r="J399" t="str">
        <f>TRIM(UPPER(Transaction[[#This Row],[ProductID]]))</f>
        <v>P-SA-003</v>
      </c>
      <c r="K399" t="str">
        <f>IFERROR(VLOOKUP(Transaction[[#This Row],[ProductID_Clean]],Product[],1,FALSE),"Invalid ID")</f>
        <v>P-SA-003</v>
      </c>
      <c r="L399" t="str">
        <f>TRIM(SUBSTITUTE(SUBSTITUTE(SUBSTITUTE(SUBSTITUTE(UPPER(Transaction[[#This Row],[Region]]),"EMEA REGION","EMEA"),"APAC REGION","APAC"),"NORTH AMERICA","N. AMERICA"),"N .AMERICA","N.AMERICA"))</f>
        <v>EMEA</v>
      </c>
      <c r="M399" t="s">
        <v>76</v>
      </c>
      <c r="N399" t="s">
        <v>205</v>
      </c>
      <c r="O39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399" t="s">
        <v>22</v>
      </c>
      <c r="Q399" t="str">
        <f>IF(TRIM(Transaction[[#This Row],[SalesChannel]])="","Missing Value",TRIM(Transaction[[#This Row],[SalesChannel]]))</f>
        <v>Direct</v>
      </c>
      <c r="R399" s="4">
        <v>1</v>
      </c>
      <c r="S399" s="4" t="str">
        <f>IF(Transaction[[#This Row],[Quantity]]&lt;0,"Negative-review","Valid")</f>
        <v>Valid</v>
      </c>
      <c r="T399">
        <v>2464.0100000000002</v>
      </c>
      <c r="U39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2464.0100000000002</v>
      </c>
      <c r="V399">
        <v>2750</v>
      </c>
      <c r="W399">
        <v>2750</v>
      </c>
      <c r="X39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399">
        <f>IF(Transaction[[#This Row],[GrossRevenue_Check]]="Invalid",Transaction[[#This Row],[ListPrice]]*Transaction[[#This Row],[Quantity]],Transaction[[#This Row],[GrossRevenue_Clean]])</f>
        <v>2750</v>
      </c>
      <c r="Z399" t="str">
        <f>IF(Transaction[[#This Row],[GrossRevenue_Clean]]=Transaction[[#This Row],[ListPrice]]*Transaction[[#This Row],[Quantity]],"Valid","Invalid")</f>
        <v>Valid</v>
      </c>
      <c r="AA399">
        <v>285.99</v>
      </c>
      <c r="AB39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285.99</v>
      </c>
      <c r="AC399">
        <f>IF(Transaction[[#This Row],[DiscountAmount_Check2]]="Invalid",Transaction[[#This Row],[GrossRevenue_Analytical]]-Transaction[[#This Row],[NetRevenue_Analytical]],Transaction[[#This Row],[DiscountAmount_Clean]])</f>
        <v>285.99</v>
      </c>
      <c r="AD399">
        <v>2464.0100000000002</v>
      </c>
      <c r="AE399" t="str">
        <f>IF(ROUND(Transaction[[#This Row],[GrossRevenue_Analytical]]-Transaction[[#This Row],[NetRevenue_Analytical]],2)=ROUND(Transaction[[#This Row],[DiscountAmount_Clean]],2),"Valid","Invalid")</f>
        <v>Valid</v>
      </c>
      <c r="AF39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2464.0100000000002</v>
      </c>
      <c r="AG399">
        <f>IF(Transaction[[#This Row],[NetRevenue_Check]]="Invalid",(Transaction[[#This Row],[Quantity]]*Transaction[[#This Row],[UnitPrice_Clean]]),Transaction[[#This Row],[NetRevenue_Clean]])</f>
        <v>2464.0100000000002</v>
      </c>
      <c r="AH399" t="str">
        <f>IF(Transaction[[#This Row],[Quantity]]*Transaction[[#This Row],[UnitPrice_Clean]]=Transaction[[#This Row],[NetRevenue_Clean]],"Valid","Invalid")</f>
        <v>Valid</v>
      </c>
      <c r="AI399" t="s">
        <v>23</v>
      </c>
      <c r="AJ399" t="s">
        <v>888</v>
      </c>
      <c r="AK399" t="str">
        <f>IF(Transaction[[#This Row],[Salesperson]]="","Missing Value",TRIM(PROPER(Transaction[[#This Row],[Salesperson]])))</f>
        <v>Brown</v>
      </c>
      <c r="AL399" t="s">
        <v>34</v>
      </c>
      <c r="AM399" t="str">
        <f>IF(Transaction[[#This Row],[ContractType]]="","Missing Value",Transaction[[#This Row],[ContractType]])</f>
        <v>Annual License</v>
      </c>
      <c r="AN399" t="s">
        <v>65</v>
      </c>
    </row>
    <row r="400" spans="1:40" x14ac:dyDescent="0.25">
      <c r="A400" t="s">
        <v>921</v>
      </c>
      <c r="B400" t="s">
        <v>922</v>
      </c>
      <c r="C40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40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40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00" s="2">
        <f>IFERROR(DATE(Transaction[[#This Row],[TransactionDateY]],Transaction[[#This Row],[TransactionDateM]],Transaction[[#This Row],[TransactionDateD]]),"Missing Value")</f>
        <v>45712</v>
      </c>
      <c r="G400" t="s">
        <v>38</v>
      </c>
      <c r="H400" t="str">
        <f>IFERROR(VLOOKUP(Transaction[[#This Row],[CustomerID]],Custumer[],1,0),IF(LEN(Transaction[[#This Row],[CustomerID]])=7,LEFT(Transaction[[#This Row],[CustomerID]],6),"Invalid ID"))</f>
        <v>C-1027</v>
      </c>
      <c r="I400" t="s">
        <v>121</v>
      </c>
      <c r="J400" t="str">
        <f>TRIM(UPPER(Transaction[[#This Row],[ProductID]]))</f>
        <v>P-FS-001</v>
      </c>
      <c r="K400" t="str">
        <f>IFERROR(VLOOKUP(Transaction[[#This Row],[ProductID_Clean]],Product[],1,FALSE),"Invalid ID")</f>
        <v>P-FS-001</v>
      </c>
      <c r="L400" t="str">
        <f>TRIM(SUBSTITUTE(SUBSTITUTE(SUBSTITUTE(SUBSTITUTE(UPPER(Transaction[[#This Row],[Region]]),"EMEA REGION","EMEA"),"APAC REGION","APAC"),"NORTH AMERICA","N. AMERICA"),"N .AMERICA","N.AMERICA"))</f>
        <v>N. AMERICA</v>
      </c>
      <c r="M400" t="s">
        <v>168</v>
      </c>
      <c r="N400" t="s">
        <v>21</v>
      </c>
      <c r="O400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400" t="s">
        <v>22</v>
      </c>
      <c r="Q400" t="str">
        <f>IF(TRIM(Transaction[[#This Row],[SalesChannel]])="","Missing Value",TRIM(Transaction[[#This Row],[SalesChannel]]))</f>
        <v>Direct</v>
      </c>
      <c r="R400" s="4">
        <v>1</v>
      </c>
      <c r="S400" s="4" t="str">
        <f>IF(Transaction[[#This Row],[Quantity]]&lt;0,"Negative-review","Valid")</f>
        <v>Valid</v>
      </c>
      <c r="T400">
        <v>1353.7</v>
      </c>
      <c r="U40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1353.7</v>
      </c>
      <c r="V400">
        <v>1850</v>
      </c>
      <c r="W400">
        <v>1850</v>
      </c>
      <c r="X40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400">
        <f>IF(Transaction[[#This Row],[GrossRevenue_Check]]="Invalid",Transaction[[#This Row],[ListPrice]]*Transaction[[#This Row],[Quantity]],Transaction[[#This Row],[GrossRevenue_Clean]])</f>
        <v>1850</v>
      </c>
      <c r="Z400" t="str">
        <f>IF(Transaction[[#This Row],[GrossRevenue_Clean]]=Transaction[[#This Row],[ListPrice]]*Transaction[[#This Row],[Quantity]],"Valid","Invalid")</f>
        <v>Valid</v>
      </c>
      <c r="AB40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400">
        <f>IF(Transaction[[#This Row],[DiscountAmount_Check2]]="Invalid",Transaction[[#This Row],[GrossRevenue_Analytical]]-Transaction[[#This Row],[NetRevenue_Analytical]],Transaction[[#This Row],[DiscountAmount_Clean]])</f>
        <v>496.29999999999995</v>
      </c>
      <c r="AD400">
        <v>1353.7</v>
      </c>
      <c r="AE400" t="str">
        <f>IF(ROUND(Transaction[[#This Row],[GrossRevenue_Analytical]]-Transaction[[#This Row],[NetRevenue_Analytical]],2)=ROUND(Transaction[[#This Row],[DiscountAmount_Clean]],2),"Valid","Invalid")</f>
        <v>Invalid</v>
      </c>
      <c r="AF40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1353.7</v>
      </c>
      <c r="AG400">
        <f>IF(Transaction[[#This Row],[NetRevenue_Check]]="Invalid",(Transaction[[#This Row],[Quantity]]*Transaction[[#This Row],[UnitPrice_Clean]]),Transaction[[#This Row],[NetRevenue_Clean]])</f>
        <v>1353.7</v>
      </c>
      <c r="AH400" t="str">
        <f>IF(Transaction[[#This Row],[Quantity]]*Transaction[[#This Row],[UnitPrice_Clean]]=Transaction[[#This Row],[NetRevenue_Clean]],"Valid","Invalid")</f>
        <v>Valid</v>
      </c>
      <c r="AI400" t="s">
        <v>23</v>
      </c>
      <c r="AJ400" t="s">
        <v>923</v>
      </c>
      <c r="AK400" t="str">
        <f>IF(Transaction[[#This Row],[Salesperson]]="","Missing Value",TRIM(PROPER(Transaction[[#This Row],[Salesperson]])))</f>
        <v>Webb</v>
      </c>
      <c r="AL400" t="s">
        <v>42</v>
      </c>
      <c r="AM400" t="str">
        <f>IF(Transaction[[#This Row],[ContractType]]="","Missing Value",Transaction[[#This Row],[ContractType]])</f>
        <v>Standard PO</v>
      </c>
      <c r="AN400" t="s">
        <v>43</v>
      </c>
    </row>
    <row r="401" spans="1:40" x14ac:dyDescent="0.25">
      <c r="A401" t="s">
        <v>2182</v>
      </c>
      <c r="B401" s="1">
        <v>45828</v>
      </c>
      <c r="C40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40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40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01" s="2">
        <f>IFERROR(DATE(Transaction[[#This Row],[TransactionDateY]],Transaction[[#This Row],[TransactionDateM]],Transaction[[#This Row],[TransactionDateD]]),"Missing Value")</f>
        <v>45828</v>
      </c>
      <c r="G401" t="s">
        <v>1671</v>
      </c>
      <c r="H401" t="str">
        <f>IFERROR(VLOOKUP(Transaction[[#This Row],[CustomerID]],Custumer[],1,0),IF(LEN(Transaction[[#This Row],[CustomerID]])=7,LEFT(Transaction[[#This Row],[CustomerID]],6),"Invalid ID"))</f>
        <v>C-1183</v>
      </c>
      <c r="I401" t="s">
        <v>979</v>
      </c>
      <c r="J401" t="str">
        <f>TRIM(UPPER(Transaction[[#This Row],[ProductID]]))</f>
        <v>P-SI-003</v>
      </c>
      <c r="K401" t="str">
        <f>IFERROR(VLOOKUP(Transaction[[#This Row],[ProductID_Clean]],Product[],1,FALSE),"Invalid ID")</f>
        <v>P-SI-003</v>
      </c>
      <c r="L401" t="str">
        <f>TRIM(SUBSTITUTE(SUBSTITUTE(SUBSTITUTE(SUBSTITUTE(UPPER(Transaction[[#This Row],[Region]]),"EMEA REGION","EMEA"),"APAC REGION","APAC"),"NORTH AMERICA","N. AMERICA"),"N .AMERICA","N.AMERICA"))</f>
        <v>N. AMERICA</v>
      </c>
      <c r="M401" t="s">
        <v>20</v>
      </c>
      <c r="N401" t="s">
        <v>53</v>
      </c>
      <c r="O40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01" t="s">
        <v>22</v>
      </c>
      <c r="Q401" t="str">
        <f>IF(TRIM(Transaction[[#This Row],[SalesChannel]])="","Missing Value",TRIM(Transaction[[#This Row],[SalesChannel]]))</f>
        <v>Direct</v>
      </c>
      <c r="R401" s="4">
        <v>8</v>
      </c>
      <c r="S401" s="4" t="str">
        <f>IF(Transaction[[#This Row],[Quantity]]&lt;0,"Negative-review","Valid")</f>
        <v>Valid</v>
      </c>
      <c r="T401" t="s">
        <v>2183</v>
      </c>
      <c r="U40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1757.31</v>
      </c>
      <c r="V401">
        <v>1890</v>
      </c>
      <c r="W401">
        <v>15120</v>
      </c>
      <c r="X40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15120</v>
      </c>
      <c r="Y401">
        <f>IF(Transaction[[#This Row],[GrossRevenue_Check]]="Invalid",Transaction[[#This Row],[ListPrice]]*Transaction[[#This Row],[Quantity]],Transaction[[#This Row],[GrossRevenue_Clean]])</f>
        <v>15120</v>
      </c>
      <c r="Z401" t="str">
        <f>IF(Transaction[[#This Row],[GrossRevenue_Clean]]=Transaction[[#This Row],[ListPrice]]*Transaction[[#This Row],[Quantity]],"Valid","Invalid")</f>
        <v>Valid</v>
      </c>
      <c r="AA401">
        <v>1061.52</v>
      </c>
      <c r="AB40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1061.52</v>
      </c>
      <c r="AC401">
        <f>IF(Transaction[[#This Row],[DiscountAmount_Check2]]="Invalid",Transaction[[#This Row],[GrossRevenue_Analytical]]-Transaction[[#This Row],[NetRevenue_Analytical]],Transaction[[#This Row],[DiscountAmount_Clean]])</f>
        <v>1061.52</v>
      </c>
      <c r="AD401">
        <v>14058.48</v>
      </c>
      <c r="AE401" t="str">
        <f>IF(ROUND(Transaction[[#This Row],[GrossRevenue_Analytical]]-Transaction[[#This Row],[NetRevenue_Analytical]],2)=ROUND(Transaction[[#This Row],[DiscountAmount_Clean]],2),"Valid","Invalid")</f>
        <v>Valid</v>
      </c>
      <c r="AF40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14058.48</v>
      </c>
      <c r="AG401">
        <f>IF(Transaction[[#This Row],[NetRevenue_Check]]="Invalid",(Transaction[[#This Row],[Quantity]]*Transaction[[#This Row],[UnitPrice_Clean]]),Transaction[[#This Row],[NetRevenue_Clean]])</f>
        <v>14058.48</v>
      </c>
      <c r="AH401" t="str">
        <f>IF(Transaction[[#This Row],[Quantity]]*Transaction[[#This Row],[UnitPrice_Clean]]=Transaction[[#This Row],[NetRevenue_Clean]],"Valid","Invalid")</f>
        <v>Valid</v>
      </c>
      <c r="AI401" t="s">
        <v>23</v>
      </c>
      <c r="AJ401" t="s">
        <v>1004</v>
      </c>
      <c r="AK401" t="str">
        <f>IF(Transaction[[#This Row],[Salesperson]]="","Missing Value",TRIM(PROPER(Transaction[[#This Row],[Salesperson]])))</f>
        <v>Sullivan</v>
      </c>
      <c r="AL401" t="s">
        <v>42</v>
      </c>
      <c r="AM401" t="str">
        <f>IF(Transaction[[#This Row],[ContractType]]="","Missing Value",Transaction[[#This Row],[ContractType]])</f>
        <v>Standard PO</v>
      </c>
      <c r="AN401" t="s">
        <v>35</v>
      </c>
    </row>
    <row r="402" spans="1:40" x14ac:dyDescent="0.25">
      <c r="A402" t="s">
        <v>2435</v>
      </c>
      <c r="B402" s="1">
        <v>45713</v>
      </c>
      <c r="C40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40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40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02" s="2">
        <f>IFERROR(DATE(Transaction[[#This Row],[TransactionDateY]],Transaction[[#This Row],[TransactionDateM]],Transaction[[#This Row],[TransactionDateD]]),"Missing Value")</f>
        <v>45713</v>
      </c>
      <c r="G402" t="s">
        <v>2362</v>
      </c>
      <c r="H402" t="str">
        <f>IFERROR(VLOOKUP(Transaction[[#This Row],[CustomerID]],Custumer[],1,0),IF(LEN(Transaction[[#This Row],[CustomerID]])=7,LEFT(Transaction[[#This Row],[CustomerID]],6),"Invalid ID"))</f>
        <v>C-1180</v>
      </c>
      <c r="I402" t="s">
        <v>29</v>
      </c>
      <c r="J402" t="str">
        <f>TRIM(UPPER(Transaction[[#This Row],[ProductID]]))</f>
        <v>P-SA-001</v>
      </c>
      <c r="K402" t="str">
        <f>IFERROR(VLOOKUP(Transaction[[#This Row],[ProductID_Clean]],Product[],1,FALSE),"Invalid ID")</f>
        <v>P-SA-001</v>
      </c>
      <c r="L402" t="str">
        <f>TRIM(SUBSTITUTE(SUBSTITUTE(SUBSTITUTE(SUBSTITUTE(UPPER(Transaction[[#This Row],[Region]]),"EMEA REGION","EMEA"),"APAC REGION","APAC"),"NORTH AMERICA","N. AMERICA"),"N .AMERICA","N.AMERICA"))</f>
        <v>N. AMERICA</v>
      </c>
      <c r="M402" t="s">
        <v>204</v>
      </c>
      <c r="N402" t="s">
        <v>205</v>
      </c>
      <c r="O40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402" t="s">
        <v>40</v>
      </c>
      <c r="Q402" t="str">
        <f>IF(TRIM(Transaction[[#This Row],[SalesChannel]])="","Missing Value",TRIM(Transaction[[#This Row],[SalesChannel]]))</f>
        <v>Distributor</v>
      </c>
      <c r="R402" s="4">
        <v>1</v>
      </c>
      <c r="S402" s="4" t="str">
        <f>IF(Transaction[[#This Row],[Quantity]]&lt;0,"Negative-review","Valid")</f>
        <v>Valid</v>
      </c>
      <c r="T402">
        <v>3492.9</v>
      </c>
      <c r="U40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3492.9</v>
      </c>
      <c r="V402">
        <v>4200</v>
      </c>
      <c r="W402">
        <v>4200</v>
      </c>
      <c r="X40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402">
        <f>IF(Transaction[[#This Row],[GrossRevenue_Check]]="Invalid",Transaction[[#This Row],[ListPrice]]*Transaction[[#This Row],[Quantity]],Transaction[[#This Row],[GrossRevenue_Clean]])</f>
        <v>4200</v>
      </c>
      <c r="Z402" t="str">
        <f>IF(Transaction[[#This Row],[GrossRevenue_Clean]]=Transaction[[#This Row],[ListPrice]]*Transaction[[#This Row],[Quantity]],"Valid","Invalid")</f>
        <v>Valid</v>
      </c>
      <c r="AB40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402">
        <f>IF(Transaction[[#This Row],[DiscountAmount_Check2]]="Invalid",Transaction[[#This Row],[GrossRevenue_Analytical]]-Transaction[[#This Row],[NetRevenue_Analytical]],Transaction[[#This Row],[DiscountAmount_Clean]])</f>
        <v>707.09999999999991</v>
      </c>
      <c r="AD402">
        <v>3492.9</v>
      </c>
      <c r="AE402" t="str">
        <f>IF(ROUND(Transaction[[#This Row],[GrossRevenue_Analytical]]-Transaction[[#This Row],[NetRevenue_Analytical]],2)=ROUND(Transaction[[#This Row],[DiscountAmount_Clean]],2),"Valid","Invalid")</f>
        <v>Invalid</v>
      </c>
      <c r="AF402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3492.9</v>
      </c>
      <c r="AG402">
        <f>IF(Transaction[[#This Row],[NetRevenue_Check]]="Invalid",(Transaction[[#This Row],[Quantity]]*Transaction[[#This Row],[UnitPrice_Clean]]),Transaction[[#This Row],[NetRevenue_Clean]])</f>
        <v>3492.9</v>
      </c>
      <c r="AH402" t="str">
        <f>IF(Transaction[[#This Row],[Quantity]]*Transaction[[#This Row],[UnitPrice_Clean]]=Transaction[[#This Row],[NetRevenue_Clean]],"Valid","Invalid")</f>
        <v>Valid</v>
      </c>
      <c r="AI402" t="s">
        <v>99</v>
      </c>
      <c r="AJ402" t="s">
        <v>993</v>
      </c>
      <c r="AK402" t="str">
        <f>IF(Transaction[[#This Row],[Salesperson]]="","Missing Value",TRIM(PROPER(Transaction[[#This Row],[Salesperson]])))</f>
        <v>Miller-Ap</v>
      </c>
      <c r="AL402" t="s">
        <v>34</v>
      </c>
      <c r="AM402" t="str">
        <f>IF(Transaction[[#This Row],[ContractType]]="","Missing Value",Transaction[[#This Row],[ContractType]])</f>
        <v>Annual License</v>
      </c>
      <c r="AN402" t="s">
        <v>49</v>
      </c>
    </row>
    <row r="403" spans="1:40" x14ac:dyDescent="0.25">
      <c r="A403" t="s">
        <v>1007</v>
      </c>
      <c r="B403" s="1">
        <v>45833</v>
      </c>
      <c r="C40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40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40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03" s="2">
        <f>IFERROR(DATE(Transaction[[#This Row],[TransactionDateY]],Transaction[[#This Row],[TransactionDateM]],Transaction[[#This Row],[TransactionDateD]]),"Missing Value")</f>
        <v>45833</v>
      </c>
      <c r="G403" t="s">
        <v>180</v>
      </c>
      <c r="H403" t="str">
        <f>IFERROR(VLOOKUP(Transaction[[#This Row],[CustomerID]],Custumer[],1,0),IF(LEN(Transaction[[#This Row],[CustomerID]])=7,LEFT(Transaction[[#This Row],[CustomerID]],6),"Invalid ID"))</f>
        <v>C-1158</v>
      </c>
      <c r="I403" t="s">
        <v>703</v>
      </c>
      <c r="J403" t="str">
        <f>TRIM(UPPER(Transaction[[#This Row],[ProductID]]))</f>
        <v>P-SI-001</v>
      </c>
      <c r="K403" t="str">
        <f>IFERROR(VLOOKUP(Transaction[[#This Row],[ProductID_Clean]],Product[],1,FALSE),"Invalid ID")</f>
        <v>P-SI-001</v>
      </c>
      <c r="L403" t="str">
        <f>TRIM(SUBSTITUTE(SUBSTITUTE(SUBSTITUTE(SUBSTITUTE(UPPER(Transaction[[#This Row],[Region]]),"EMEA REGION","EMEA"),"APAC REGION","APAC"),"NORTH AMERICA","N. AMERICA"),"N .AMERICA","N.AMERICA"))</f>
        <v>EMEA</v>
      </c>
      <c r="M403" t="s">
        <v>76</v>
      </c>
      <c r="N403" t="s">
        <v>53</v>
      </c>
      <c r="O40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03" t="s">
        <v>22</v>
      </c>
      <c r="Q403" t="str">
        <f>IF(TRIM(Transaction[[#This Row],[SalesChannel]])="","Missing Value",TRIM(Transaction[[#This Row],[SalesChannel]]))</f>
        <v>Direct</v>
      </c>
      <c r="R403" s="4">
        <v>4</v>
      </c>
      <c r="S403" s="4" t="str">
        <f>IF(Transaction[[#This Row],[Quantity]]&lt;0,"Negative-review","Valid")</f>
        <v>Valid</v>
      </c>
      <c r="T403">
        <v>480.5</v>
      </c>
      <c r="U40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480.5</v>
      </c>
      <c r="V403">
        <v>485</v>
      </c>
      <c r="W403">
        <v>1940</v>
      </c>
      <c r="X40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1940</v>
      </c>
      <c r="Y403">
        <f>IF(Transaction[[#This Row],[GrossRevenue_Check]]="Invalid",Transaction[[#This Row],[ListPrice]]*Transaction[[#This Row],[Quantity]],Transaction[[#This Row],[GrossRevenue_Clean]])</f>
        <v>1940</v>
      </c>
      <c r="Z403" t="str">
        <f>IF(Transaction[[#This Row],[GrossRevenue_Clean]]=Transaction[[#This Row],[ListPrice]]*Transaction[[#This Row],[Quantity]],"Valid","Invalid")</f>
        <v>Valid</v>
      </c>
      <c r="AA403">
        <v>18</v>
      </c>
      <c r="AB40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</v>
      </c>
      <c r="AC403">
        <f>IF(Transaction[[#This Row],[DiscountAmount_Check2]]="Invalid",Transaction[[#This Row],[GrossRevenue_Analytical]]-Transaction[[#This Row],[NetRevenue_Analytical]],Transaction[[#This Row],[DiscountAmount_Clean]])</f>
        <v>18</v>
      </c>
      <c r="AD403">
        <v>1922</v>
      </c>
      <c r="AE403" t="str">
        <f>IF(ROUND(Transaction[[#This Row],[GrossRevenue_Analytical]]-Transaction[[#This Row],[NetRevenue_Analytical]],2)=ROUND(Transaction[[#This Row],[DiscountAmount_Clean]],2),"Valid","Invalid")</f>
        <v>Valid</v>
      </c>
      <c r="AF40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1922</v>
      </c>
      <c r="AG403">
        <f>IF(Transaction[[#This Row],[NetRevenue_Check]]="Invalid",(Transaction[[#This Row],[Quantity]]*Transaction[[#This Row],[UnitPrice_Clean]]),Transaction[[#This Row],[NetRevenue_Clean]])</f>
        <v>1922</v>
      </c>
      <c r="AH403" t="str">
        <f>IF(Transaction[[#This Row],[Quantity]]*Transaction[[#This Row],[UnitPrice_Clean]]=Transaction[[#This Row],[NetRevenue_Clean]],"Valid","Invalid")</f>
        <v>Valid</v>
      </c>
      <c r="AI403" t="s">
        <v>23</v>
      </c>
      <c r="AJ403" t="s">
        <v>1008</v>
      </c>
      <c r="AK403" t="str">
        <f>IF(Transaction[[#This Row],[Salesperson]]="","Missing Value",TRIM(PROPER(Transaction[[#This Row],[Salesperson]])))</f>
        <v>Brady-Na</v>
      </c>
      <c r="AL403" t="s">
        <v>42</v>
      </c>
      <c r="AM403" t="str">
        <f>IF(Transaction[[#This Row],[ContractType]]="","Missing Value",Transaction[[#This Row],[ContractType]])</f>
        <v>Standard PO</v>
      </c>
      <c r="AN403" t="s">
        <v>65</v>
      </c>
    </row>
    <row r="404" spans="1:40" x14ac:dyDescent="0.25">
      <c r="A404" t="s">
        <v>387</v>
      </c>
      <c r="C40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40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40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404" s="2" t="str">
        <f>IFERROR(DATE(Transaction[[#This Row],[TransactionDateY]],Transaction[[#This Row],[TransactionDateM]],Transaction[[#This Row],[TransactionDateD]]),"Missing Value")</f>
        <v>Missing Value</v>
      </c>
      <c r="G404" t="s">
        <v>388</v>
      </c>
      <c r="H404" t="str">
        <f>IFERROR(VLOOKUP(Transaction[[#This Row],[CustomerID]],Custumer[],1,0),IF(LEN(Transaction[[#This Row],[CustomerID]])=7,LEFT(Transaction[[#This Row],[CustomerID]],6),"Invalid ID"))</f>
        <v>C-1184</v>
      </c>
      <c r="I404" t="s">
        <v>52</v>
      </c>
      <c r="J404" t="str">
        <f>TRIM(UPPER(Transaction[[#This Row],[ProductID]]))</f>
        <v>P-SI-002</v>
      </c>
      <c r="K404" t="str">
        <f>IFERROR(VLOOKUP(Transaction[[#This Row],[ProductID_Clean]],Product[],1,FALSE),"Invalid ID")</f>
        <v>P-SI-002</v>
      </c>
      <c r="L404" t="str">
        <f>TRIM(SUBSTITUTE(SUBSTITUTE(SUBSTITUTE(SUBSTITUTE(UPPER(Transaction[[#This Row],[Region]]),"EMEA REGION","EMEA"),"APAC REGION","APAC"),"NORTH AMERICA","N. AMERICA"),"N .AMERICA","N.AMERICA"))</f>
        <v>N. AMERICA</v>
      </c>
      <c r="M404" t="s">
        <v>20</v>
      </c>
      <c r="N404" t="s">
        <v>53</v>
      </c>
      <c r="O40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04" t="s">
        <v>22</v>
      </c>
      <c r="Q404" t="str">
        <f>IF(TRIM(Transaction[[#This Row],[SalesChannel]])="","Missing Value",TRIM(Transaction[[#This Row],[SalesChannel]]))</f>
        <v>Direct</v>
      </c>
      <c r="R404" s="4">
        <v>4</v>
      </c>
      <c r="S404" s="4" t="str">
        <f>IF(Transaction[[#This Row],[Quantity]]&lt;0,"Negative-review","Valid")</f>
        <v>Valid</v>
      </c>
      <c r="T404">
        <v>658.18</v>
      </c>
      <c r="U40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658.18</v>
      </c>
      <c r="V404">
        <v>725</v>
      </c>
      <c r="W404">
        <v>2900</v>
      </c>
      <c r="X40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2900</v>
      </c>
      <c r="Y404">
        <f>IF(Transaction[[#This Row],[GrossRevenue_Check]]="Invalid",Transaction[[#This Row],[ListPrice]]*Transaction[[#This Row],[Quantity]],Transaction[[#This Row],[GrossRevenue_Clean]])</f>
        <v>2900</v>
      </c>
      <c r="Z404" t="str">
        <f>IF(Transaction[[#This Row],[GrossRevenue_Clean]]=Transaction[[#This Row],[ListPrice]]*Transaction[[#This Row],[Quantity]],"Valid","Invalid")</f>
        <v>Valid</v>
      </c>
      <c r="AA404">
        <v>267.27999999999997</v>
      </c>
      <c r="AB40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267.27999999999997</v>
      </c>
      <c r="AC404">
        <f>IF(Transaction[[#This Row],[DiscountAmount_Check2]]="Invalid",Transaction[[#This Row],[GrossRevenue_Analytical]]-Transaction[[#This Row],[NetRevenue_Analytical]],Transaction[[#This Row],[DiscountAmount_Clean]])</f>
        <v>267.27999999999997</v>
      </c>
      <c r="AD404">
        <v>2632.72</v>
      </c>
      <c r="AE404" t="str">
        <f>IF(ROUND(Transaction[[#This Row],[GrossRevenue_Analytical]]-Transaction[[#This Row],[NetRevenue_Analytical]],2)=ROUND(Transaction[[#This Row],[DiscountAmount_Clean]],2),"Valid","Invalid")</f>
        <v>Valid</v>
      </c>
      <c r="AF40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2632.72</v>
      </c>
      <c r="AG404">
        <f>IF(Transaction[[#This Row],[NetRevenue_Check]]="Invalid",(Transaction[[#This Row],[Quantity]]*Transaction[[#This Row],[UnitPrice_Clean]]),Transaction[[#This Row],[NetRevenue_Clean]])</f>
        <v>2632.72</v>
      </c>
      <c r="AH404" t="str">
        <f>IF(Transaction[[#This Row],[Quantity]]*Transaction[[#This Row],[UnitPrice_Clean]]=Transaction[[#This Row],[NetRevenue_Clean]],"Valid","Invalid")</f>
        <v>Valid</v>
      </c>
      <c r="AI404" t="s">
        <v>99</v>
      </c>
      <c r="AJ404" t="s">
        <v>389</v>
      </c>
      <c r="AK404" t="str">
        <f>IF(Transaction[[#This Row],[Salesperson]]="","Missing Value",TRIM(PROPER(Transaction[[#This Row],[Salesperson]])))</f>
        <v>Moore</v>
      </c>
      <c r="AL404" t="s">
        <v>55</v>
      </c>
      <c r="AM404" t="str">
        <f>IF(Transaction[[#This Row],[ContractType]]="","Missing Value",Transaction[[#This Row],[ContractType]])</f>
        <v>Spot</v>
      </c>
      <c r="AN404" t="s">
        <v>43</v>
      </c>
    </row>
    <row r="405" spans="1:40" x14ac:dyDescent="0.25">
      <c r="A405" t="s">
        <v>2761</v>
      </c>
      <c r="B405" s="1">
        <v>45679</v>
      </c>
      <c r="C40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40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40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05" s="2">
        <f>IFERROR(DATE(Transaction[[#This Row],[TransactionDateY]],Transaction[[#This Row],[TransactionDateM]],Transaction[[#This Row],[TransactionDateD]]),"Missing Value")</f>
        <v>45679</v>
      </c>
      <c r="G405" t="s">
        <v>116</v>
      </c>
      <c r="H405" t="str">
        <f>IFERROR(VLOOKUP(Transaction[[#This Row],[CustomerID]],Custumer[],1,0),IF(LEN(Transaction[[#This Row],[CustomerID]])=7,LEFT(Transaction[[#This Row],[CustomerID]],6),"Invalid ID"))</f>
        <v>C-1167</v>
      </c>
      <c r="I405" t="s">
        <v>39</v>
      </c>
      <c r="J405" t="str">
        <f>TRIM(UPPER(Transaction[[#This Row],[ProductID]]))</f>
        <v>P-FS-006</v>
      </c>
      <c r="K405" t="str">
        <f>IFERROR(VLOOKUP(Transaction[[#This Row],[ProductID_Clean]],Product[],1,FALSE),"Invalid ID")</f>
        <v>P-FS-006</v>
      </c>
      <c r="L405" t="str">
        <f>TRIM(SUBSTITUTE(SUBSTITUTE(SUBSTITUTE(SUBSTITUTE(UPPER(Transaction[[#This Row],[Region]]),"EMEA REGION","EMEA"),"APAC REGION","APAC"),"NORTH AMERICA","N. AMERICA"),"N .AMERICA","N.AMERICA"))</f>
        <v>EMEA</v>
      </c>
      <c r="M405" t="s">
        <v>177</v>
      </c>
      <c r="N405" t="s">
        <v>21</v>
      </c>
      <c r="O40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Q405" t="str">
        <f>IF(TRIM(Transaction[[#This Row],[SalesChannel]])="","Missing Value",TRIM(Transaction[[#This Row],[SalesChannel]]))</f>
        <v>Missing Value</v>
      </c>
      <c r="R405" s="4">
        <v>1</v>
      </c>
      <c r="S405" s="4" t="str">
        <f>IF(Transaction[[#This Row],[Quantity]]&lt;0,"Negative-review","Valid")</f>
        <v>Valid</v>
      </c>
      <c r="T405">
        <v>1200.42</v>
      </c>
      <c r="U40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1200.42</v>
      </c>
      <c r="V405">
        <v>1450</v>
      </c>
      <c r="W405">
        <v>1450</v>
      </c>
      <c r="X40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405">
        <f>IF(Transaction[[#This Row],[GrossRevenue_Check]]="Invalid",Transaction[[#This Row],[ListPrice]]*Transaction[[#This Row],[Quantity]],Transaction[[#This Row],[GrossRevenue_Clean]])</f>
        <v>1450</v>
      </c>
      <c r="Z405" t="str">
        <f>IF(Transaction[[#This Row],[GrossRevenue_Clean]]=Transaction[[#This Row],[ListPrice]]*Transaction[[#This Row],[Quantity]],"Valid","Invalid")</f>
        <v>Valid</v>
      </c>
      <c r="AA405">
        <v>249.58</v>
      </c>
      <c r="AB40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249.58</v>
      </c>
      <c r="AC405">
        <f>IF(Transaction[[#This Row],[DiscountAmount_Check2]]="Invalid",Transaction[[#This Row],[GrossRevenue_Analytical]]-Transaction[[#This Row],[NetRevenue_Analytical]],Transaction[[#This Row],[DiscountAmount_Clean]])</f>
        <v>249.58</v>
      </c>
      <c r="AD405">
        <v>1200.42</v>
      </c>
      <c r="AE405" t="str">
        <f>IF(ROUND(Transaction[[#This Row],[GrossRevenue_Analytical]]-Transaction[[#This Row],[NetRevenue_Analytical]],2)=ROUND(Transaction[[#This Row],[DiscountAmount_Clean]],2),"Valid","Invalid")</f>
        <v>Valid</v>
      </c>
      <c r="AF40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1200.42</v>
      </c>
      <c r="AG405">
        <f>IF(Transaction[[#This Row],[NetRevenue_Check]]="Invalid",(Transaction[[#This Row],[Quantity]]*Transaction[[#This Row],[UnitPrice_Clean]]),Transaction[[#This Row],[NetRevenue_Clean]])</f>
        <v>1200.42</v>
      </c>
      <c r="AH405" t="str">
        <f>IF(Transaction[[#This Row],[Quantity]]*Transaction[[#This Row],[UnitPrice_Clean]]=Transaction[[#This Row],[NetRevenue_Clean]],"Valid","Invalid")</f>
        <v>Valid</v>
      </c>
      <c r="AI405" t="s">
        <v>23</v>
      </c>
      <c r="AJ405" t="s">
        <v>828</v>
      </c>
      <c r="AK405" t="str">
        <f>IF(Transaction[[#This Row],[Salesperson]]="","Missing Value",TRIM(PROPER(Transaction[[#This Row],[Salesperson]])))</f>
        <v>Johnson</v>
      </c>
      <c r="AL405" t="s">
        <v>42</v>
      </c>
      <c r="AM405" t="str">
        <f>IF(Transaction[[#This Row],[ContractType]]="","Missing Value",Transaction[[#This Row],[ContractType]])</f>
        <v>Standard PO</v>
      </c>
      <c r="AN405" t="s">
        <v>49</v>
      </c>
    </row>
    <row r="406" spans="1:40" x14ac:dyDescent="0.25">
      <c r="A406" t="s">
        <v>2979</v>
      </c>
      <c r="B406" s="1">
        <v>45768</v>
      </c>
      <c r="C40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40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40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06" s="2">
        <f>IFERROR(DATE(Transaction[[#This Row],[TransactionDateY]],Transaction[[#This Row],[TransactionDateM]],Transaction[[#This Row],[TransactionDateD]]),"Missing Value")</f>
        <v>45768</v>
      </c>
      <c r="G406" t="s">
        <v>484</v>
      </c>
      <c r="H406" t="str">
        <f>IFERROR(VLOOKUP(Transaction[[#This Row],[CustomerID]],Custumer[],1,0),IF(LEN(Transaction[[#This Row],[CustomerID]])=7,LEFT(Transaction[[#This Row],[CustomerID]],6),"Invalid ID"))</f>
        <v>C-1104</v>
      </c>
      <c r="I406" t="s">
        <v>52</v>
      </c>
      <c r="J406" t="str">
        <f>TRIM(UPPER(Transaction[[#This Row],[ProductID]]))</f>
        <v>P-SI-002</v>
      </c>
      <c r="K406" t="str">
        <f>IFERROR(VLOOKUP(Transaction[[#This Row],[ProductID_Clean]],Product[],1,FALSE),"Invalid ID")</f>
        <v>P-SI-002</v>
      </c>
      <c r="L406" t="str">
        <f>TRIM(SUBSTITUTE(SUBSTITUTE(SUBSTITUTE(SUBSTITUTE(UPPER(Transaction[[#This Row],[Region]]),"EMEA REGION","EMEA"),"APAC REGION","APAC"),"NORTH AMERICA","N. AMERICA"),"N .AMERICA","N.AMERICA"))</f>
        <v>N. AMERICA</v>
      </c>
      <c r="M406" t="s">
        <v>20</v>
      </c>
      <c r="N406" t="s">
        <v>47</v>
      </c>
      <c r="O40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06" t="s">
        <v>40</v>
      </c>
      <c r="Q406" t="str">
        <f>IF(TRIM(Transaction[[#This Row],[SalesChannel]])="","Missing Value",TRIM(Transaction[[#This Row],[SalesChannel]]))</f>
        <v>Distributor</v>
      </c>
      <c r="R406" s="4">
        <v>3</v>
      </c>
      <c r="S406" s="4" t="str">
        <f>IF(Transaction[[#This Row],[Quantity]]&lt;0,"Negative-review","Valid")</f>
        <v>Valid</v>
      </c>
      <c r="T406">
        <v>652.25</v>
      </c>
      <c r="U40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652.25</v>
      </c>
      <c r="V406">
        <v>725</v>
      </c>
      <c r="W406" t="s">
        <v>2317</v>
      </c>
      <c r="X40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2175</v>
      </c>
      <c r="Y406">
        <f>IF(Transaction[[#This Row],[GrossRevenue_Check]]="Invalid",Transaction[[#This Row],[ListPrice]]*Transaction[[#This Row],[Quantity]],Transaction[[#This Row],[GrossRevenue_Clean]])</f>
        <v>2175</v>
      </c>
      <c r="Z406" t="str">
        <f>IF(Transaction[[#This Row],[GrossRevenue_Clean]]=Transaction[[#This Row],[ListPrice]]*Transaction[[#This Row],[Quantity]],"Valid","Invalid")</f>
        <v>Valid</v>
      </c>
      <c r="AA406">
        <v>218.25</v>
      </c>
      <c r="AB40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218.25</v>
      </c>
      <c r="AC406">
        <f>IF(Transaction[[#This Row],[DiscountAmount_Check2]]="Invalid",Transaction[[#This Row],[GrossRevenue_Analytical]]-Transaction[[#This Row],[NetRevenue_Analytical]],Transaction[[#This Row],[DiscountAmount_Clean]])</f>
        <v>218.25</v>
      </c>
      <c r="AD406">
        <v>1956.75</v>
      </c>
      <c r="AE406" t="str">
        <f>IF(ROUND(Transaction[[#This Row],[GrossRevenue_Analytical]]-Transaction[[#This Row],[NetRevenue_Analytical]],2)=ROUND(Transaction[[#This Row],[DiscountAmount_Clean]],2),"Valid","Invalid")</f>
        <v>Valid</v>
      </c>
      <c r="AF40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1956.75</v>
      </c>
      <c r="AG406">
        <f>IF(Transaction[[#This Row],[NetRevenue_Check]]="Invalid",(Transaction[[#This Row],[Quantity]]*Transaction[[#This Row],[UnitPrice_Clean]]),Transaction[[#This Row],[NetRevenue_Clean]])</f>
        <v>1956.75</v>
      </c>
      <c r="AH406" t="str">
        <f>IF(Transaction[[#This Row],[Quantity]]*Transaction[[#This Row],[UnitPrice_Clean]]=Transaction[[#This Row],[NetRevenue_Clean]],"Valid","Invalid")</f>
        <v>Valid</v>
      </c>
      <c r="AI406" t="s">
        <v>23</v>
      </c>
      <c r="AJ406" t="s">
        <v>2980</v>
      </c>
      <c r="AK406" t="str">
        <f>IF(Transaction[[#This Row],[Salesperson]]="","Missing Value",TRIM(PROPER(Transaction[[#This Row],[Salesperson]])))</f>
        <v>Allison</v>
      </c>
      <c r="AL406" t="s">
        <v>42</v>
      </c>
      <c r="AM406" t="str">
        <f>IF(Transaction[[#This Row],[ContractType]]="","Missing Value",Transaction[[#This Row],[ContractType]])</f>
        <v>Standard PO</v>
      </c>
      <c r="AN406" t="s">
        <v>49</v>
      </c>
    </row>
    <row r="407" spans="1:40" x14ac:dyDescent="0.25">
      <c r="A407" t="s">
        <v>2731</v>
      </c>
      <c r="B407" s="1">
        <v>45753</v>
      </c>
      <c r="C40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40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40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07" s="2">
        <f>IFERROR(DATE(Transaction[[#This Row],[TransactionDateY]],Transaction[[#This Row],[TransactionDateM]],Transaction[[#This Row],[TransactionDateD]]),"Missing Value")</f>
        <v>45753</v>
      </c>
      <c r="G407" t="s">
        <v>1636</v>
      </c>
      <c r="H407" t="str">
        <f>IFERROR(VLOOKUP(Transaction[[#This Row],[CustomerID]],Custumer[],1,0),IF(LEN(Transaction[[#This Row],[CustomerID]])=7,LEFT(Transaction[[#This Row],[CustomerID]],6),"Invalid ID"))</f>
        <v>C-1140</v>
      </c>
      <c r="I407" t="s">
        <v>92</v>
      </c>
      <c r="J407" t="str">
        <f>TRIM(UPPER(Transaction[[#This Row],[ProductID]]))</f>
        <v>P-SI-008</v>
      </c>
      <c r="K407" t="str">
        <f>IFERROR(VLOOKUP(Transaction[[#This Row],[ProductID_Clean]],Product[],1,FALSE),"Invalid ID")</f>
        <v>P-SI-008</v>
      </c>
      <c r="L407" t="str">
        <f>TRIM(SUBSTITUTE(SUBSTITUTE(SUBSTITUTE(SUBSTITUTE(UPPER(Transaction[[#This Row],[Region]]),"EMEA REGION","EMEA"),"APAC REGION","APAC"),"NORTH AMERICA","N. AMERICA"),"N .AMERICA","N.AMERICA"))</f>
        <v>N. AMERICA</v>
      </c>
      <c r="M407" t="s">
        <v>20</v>
      </c>
      <c r="N407" t="s">
        <v>53</v>
      </c>
      <c r="O40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07" t="s">
        <v>633</v>
      </c>
      <c r="Q407" t="str">
        <f>IF(TRIM(Transaction[[#This Row],[SalesChannel]])="","Missing Value",TRIM(Transaction[[#This Row],[SalesChannel]]))</f>
        <v>distributor</v>
      </c>
      <c r="R407" s="4">
        <v>2</v>
      </c>
      <c r="S407" s="4" t="str">
        <f>IF(Transaction[[#This Row],[Quantity]]&lt;0,"Negative-review","Valid")</f>
        <v>Valid</v>
      </c>
      <c r="T407">
        <v>804.22</v>
      </c>
      <c r="U40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804.22</v>
      </c>
      <c r="V407">
        <v>950</v>
      </c>
      <c r="W407">
        <v>1900</v>
      </c>
      <c r="X40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1900</v>
      </c>
      <c r="Y407">
        <f>IF(Transaction[[#This Row],[GrossRevenue_Check]]="Invalid",Transaction[[#This Row],[ListPrice]]*Transaction[[#This Row],[Quantity]],Transaction[[#This Row],[GrossRevenue_Clean]])</f>
        <v>1900</v>
      </c>
      <c r="Z407" t="str">
        <f>IF(Transaction[[#This Row],[GrossRevenue_Clean]]=Transaction[[#This Row],[ListPrice]]*Transaction[[#This Row],[Quantity]],"Valid","Invalid")</f>
        <v>Valid</v>
      </c>
      <c r="AA407">
        <v>291.56</v>
      </c>
      <c r="AB40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291.56</v>
      </c>
      <c r="AC407">
        <f>IF(Transaction[[#This Row],[DiscountAmount_Check2]]="Invalid",Transaction[[#This Row],[GrossRevenue_Analytical]]-Transaction[[#This Row],[NetRevenue_Analytical]],Transaction[[#This Row],[DiscountAmount_Clean]])</f>
        <v>291.56</v>
      </c>
      <c r="AD407" t="s">
        <v>2732</v>
      </c>
      <c r="AE407" t="str">
        <f>IF(ROUND(Transaction[[#This Row],[GrossRevenue_Analytical]]-Transaction[[#This Row],[NetRevenue_Analytical]],2)=ROUND(Transaction[[#This Row],[DiscountAmount_Clean]],2),"Valid","Invalid")</f>
        <v>Valid</v>
      </c>
      <c r="AF40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1608.44</v>
      </c>
      <c r="AG407">
        <f>IF(Transaction[[#This Row],[NetRevenue_Check]]="Invalid",(Transaction[[#This Row],[Quantity]]*Transaction[[#This Row],[UnitPrice_Clean]]),Transaction[[#This Row],[NetRevenue_Clean]])</f>
        <v>1608.44</v>
      </c>
      <c r="AH407" t="str">
        <f>IF(Transaction[[#This Row],[Quantity]]*Transaction[[#This Row],[UnitPrice_Clean]]=Transaction[[#This Row],[NetRevenue_Clean]],"Valid","Invalid")</f>
        <v>Valid</v>
      </c>
      <c r="AI407" t="s">
        <v>23</v>
      </c>
      <c r="AJ407" t="s">
        <v>1516</v>
      </c>
      <c r="AK407" t="str">
        <f>IF(Transaction[[#This Row],[Salesperson]]="","Missing Value",TRIM(PROPER(Transaction[[#This Row],[Salesperson]])))</f>
        <v>Gregory</v>
      </c>
      <c r="AL407" t="s">
        <v>25</v>
      </c>
      <c r="AM407" t="str">
        <f>IF(Transaction[[#This Row],[ContractType]]="","Missing Value",Transaction[[#This Row],[ContractType]])</f>
        <v>Frame Agreement</v>
      </c>
      <c r="AN407" t="s">
        <v>35</v>
      </c>
    </row>
    <row r="408" spans="1:40" x14ac:dyDescent="0.25">
      <c r="A408" t="s">
        <v>2685</v>
      </c>
      <c r="B408" t="s">
        <v>2686</v>
      </c>
      <c r="C40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40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40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08" s="2">
        <f>IFERROR(DATE(Transaction[[#This Row],[TransactionDateY]],Transaction[[#This Row],[TransactionDateM]],Transaction[[#This Row],[TransactionDateD]]),"Missing Value")</f>
        <v>45800</v>
      </c>
      <c r="G408" t="s">
        <v>1385</v>
      </c>
      <c r="H408" t="str">
        <f>IFERROR(VLOOKUP(Transaction[[#This Row],[CustomerID]],Custumer[],1,0),IF(LEN(Transaction[[#This Row],[CustomerID]])=7,LEFT(Transaction[[#This Row],[CustomerID]],6),"Invalid ID"))</f>
        <v>C-1022</v>
      </c>
      <c r="I408" t="s">
        <v>62</v>
      </c>
      <c r="J408" t="str">
        <f>TRIM(UPPER(Transaction[[#This Row],[ProductID]]))</f>
        <v>P-SI-004</v>
      </c>
      <c r="K408" t="str">
        <f>IFERROR(VLOOKUP(Transaction[[#This Row],[ProductID_Clean]],Product[],1,FALSE),"Invalid ID")</f>
        <v>P-SI-004</v>
      </c>
      <c r="L408" t="str">
        <f>TRIM(SUBSTITUTE(SUBSTITUTE(SUBSTITUTE(SUBSTITUTE(UPPER(Transaction[[#This Row],[Region]]),"EMEA REGION","EMEA"),"APAC REGION","APAC"),"NORTH AMERICA","N. AMERICA"),"N .AMERICA","N.AMERICA"))</f>
        <v>N. AMERICA</v>
      </c>
      <c r="M408" t="s">
        <v>20</v>
      </c>
      <c r="N408" t="s">
        <v>53</v>
      </c>
      <c r="O40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08" t="s">
        <v>22</v>
      </c>
      <c r="Q408" t="str">
        <f>IF(TRIM(Transaction[[#This Row],[SalesChannel]])="","Missing Value",TRIM(Transaction[[#This Row],[SalesChannel]]))</f>
        <v>Direct</v>
      </c>
      <c r="R408" s="4">
        <v>2</v>
      </c>
      <c r="S408" s="4" t="str">
        <f>IF(Transaction[[#This Row],[Quantity]]&lt;0,"Negative-review","Valid")</f>
        <v>Valid</v>
      </c>
      <c r="T408">
        <v>2312.77</v>
      </c>
      <c r="U40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2312.77</v>
      </c>
      <c r="V408">
        <v>2450</v>
      </c>
      <c r="W408">
        <v>4900</v>
      </c>
      <c r="X40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</v>
      </c>
      <c r="Y408">
        <f>IF(Transaction[[#This Row],[GrossRevenue_Check]]="Invalid",Transaction[[#This Row],[ListPrice]]*Transaction[[#This Row],[Quantity]],Transaction[[#This Row],[GrossRevenue_Clean]])</f>
        <v>4900</v>
      </c>
      <c r="Z408" t="str">
        <f>IF(Transaction[[#This Row],[GrossRevenue_Clean]]=Transaction[[#This Row],[ListPrice]]*Transaction[[#This Row],[Quantity]],"Valid","Invalid")</f>
        <v>Valid</v>
      </c>
      <c r="AA408">
        <v>274.45999999999998</v>
      </c>
      <c r="AB40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274.45999999999998</v>
      </c>
      <c r="AC408">
        <f>IF(Transaction[[#This Row],[DiscountAmount_Check2]]="Invalid",Transaction[[#This Row],[GrossRevenue_Analytical]]-Transaction[[#This Row],[NetRevenue_Analytical]],Transaction[[#This Row],[DiscountAmount_Clean]])</f>
        <v>274.45999999999998</v>
      </c>
      <c r="AD408">
        <v>4625.54</v>
      </c>
      <c r="AE408" t="str">
        <f>IF(ROUND(Transaction[[#This Row],[GrossRevenue_Analytical]]-Transaction[[#This Row],[NetRevenue_Analytical]],2)=ROUND(Transaction[[#This Row],[DiscountAmount_Clean]],2),"Valid","Invalid")</f>
        <v>Valid</v>
      </c>
      <c r="AF408">
        <f>VALUE(IF(ISNUMBER(Transaction[[#This Row],[NetRevenue]]),Transaction[[#This Row],[NetRevenue]],IFERROR(IF(FIND("$",Transaction[[#This Row],[NetRevenue]])&gt;0,MID(Transaction[[#This Row],[NetRevenue]],2,10)),Transaction[[#This Row],[NetRevenue]])))</f>
        <v>4625.54</v>
      </c>
      <c r="AG408">
        <f>IF(Transaction[[#This Row],[NetRevenue_Check]]="Invalid",(Transaction[[#This Row],[Quantity]]*Transaction[[#This Row],[UnitPrice_Clean]]),Transaction[[#This Row],[NetRevenue_Clean]])</f>
        <v>4625.54</v>
      </c>
      <c r="AH408" t="str">
        <f>IF(Transaction[[#This Row],[Quantity]]*Transaction[[#This Row],[UnitPrice_Clean]]=Transaction[[#This Row],[NetRevenue_Clean]],"Valid","Invalid")</f>
        <v>Valid</v>
      </c>
      <c r="AI408" t="s">
        <v>23</v>
      </c>
      <c r="AJ408" t="s">
        <v>2687</v>
      </c>
      <c r="AK408" t="str">
        <f>IF(Transaction[[#This Row],[Salesperson]]="","Missing Value",TRIM(PROPER(Transaction[[#This Row],[Salesperson]])))</f>
        <v>Kim</v>
      </c>
      <c r="AL408" t="s">
        <v>42</v>
      </c>
      <c r="AM408" t="str">
        <f>IF(Transaction[[#This Row],[ContractType]]="","Missing Value",Transaction[[#This Row],[ContractType]])</f>
        <v>Standard PO</v>
      </c>
      <c r="AN408" t="s">
        <v>49</v>
      </c>
    </row>
    <row r="409" spans="1:40" x14ac:dyDescent="0.25">
      <c r="A409" t="s">
        <v>1691</v>
      </c>
      <c r="B409" t="s">
        <v>862</v>
      </c>
      <c r="C40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40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31</v>
      </c>
      <c r="E40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09" s="2">
        <f>IFERROR(DATE(Transaction[[#This Row],[TransactionDateY]],Transaction[[#This Row],[TransactionDateM]],Transaction[[#This Row],[TransactionDateD]]),"Missing Value")</f>
        <v>45808</v>
      </c>
      <c r="G409" t="s">
        <v>1692</v>
      </c>
      <c r="H409" t="str">
        <f>IFERROR(VLOOKUP(Transaction[[#This Row],[CustomerID]],Custumer[],1,0),IF(LEN(Transaction[[#This Row],[CustomerID]])=7,LEFT(Transaction[[#This Row],[CustomerID]],6),"Invalid ID"))</f>
        <v>C-1053</v>
      </c>
      <c r="I409" t="s">
        <v>258</v>
      </c>
      <c r="J409" t="str">
        <f>TRIM(UPPER(Transaction[[#This Row],[ProductID]]))</f>
        <v>P-SA-003</v>
      </c>
      <c r="K409" t="str">
        <f>IFERROR(VLOOKUP(Transaction[[#This Row],[ProductID_Clean]],Product[],1,FALSE),"Invalid ID")</f>
        <v>P-SA-003</v>
      </c>
      <c r="L409" t="str">
        <f>TRIM(SUBSTITUTE(SUBSTITUTE(SUBSTITUTE(SUBSTITUTE(UPPER(Transaction[[#This Row],[Region]]),"EMEA REGION","EMEA"),"APAC REGION","APAC"),"NORTH AMERICA","N. AMERICA"),"N .AMERICA","N.AMERICA"))</f>
        <v>LATIN AMERICA</v>
      </c>
      <c r="M409" t="s">
        <v>82</v>
      </c>
      <c r="N409" t="s">
        <v>31</v>
      </c>
      <c r="O40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409" t="s">
        <v>181</v>
      </c>
      <c r="Q409" t="str">
        <f>IF(TRIM(Transaction[[#This Row],[SalesChannel]])="","Missing Value",TRIM(Transaction[[#This Row],[SalesChannel]]))</f>
        <v>Partner Portal</v>
      </c>
      <c r="R409" s="4">
        <v>1</v>
      </c>
      <c r="S409" s="4" t="str">
        <f>IF(Transaction[[#This Row],[Quantity]]&lt;0,"Negative-review","Valid")</f>
        <v>Valid</v>
      </c>
      <c r="T409">
        <v>2203.2600000000002</v>
      </c>
      <c r="U40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2203.2600000000002</v>
      </c>
      <c r="V409">
        <v>2750</v>
      </c>
      <c r="W409">
        <v>2750</v>
      </c>
      <c r="X40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409">
        <f>IF(Transaction[[#This Row],[GrossRevenue_Check]]="Invalid",Transaction[[#This Row],[ListPrice]]*Transaction[[#This Row],[Quantity]],Transaction[[#This Row],[GrossRevenue_Clean]])</f>
        <v>2750</v>
      </c>
      <c r="Z409" t="str">
        <f>IF(Transaction[[#This Row],[GrossRevenue_Clean]]=Transaction[[#This Row],[ListPrice]]*Transaction[[#This Row],[Quantity]],"Valid","Invalid")</f>
        <v>Valid</v>
      </c>
      <c r="AA409">
        <v>546.74</v>
      </c>
      <c r="AB40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546.74</v>
      </c>
      <c r="AC409">
        <f>IF(Transaction[[#This Row],[DiscountAmount_Check2]]="Invalid",Transaction[[#This Row],[GrossRevenue_Analytical]]-Transaction[[#This Row],[NetRevenue_Analytical]],Transaction[[#This Row],[DiscountAmount_Clean]])</f>
        <v>546.74</v>
      </c>
      <c r="AD409">
        <v>2203.2600000000002</v>
      </c>
      <c r="AE409" t="str">
        <f>IF(ROUND(Transaction[[#This Row],[GrossRevenue_Analytical]]-Transaction[[#This Row],[NetRevenue_Analytical]],2)=ROUND(Transaction[[#This Row],[DiscountAmount_Clean]],2),"Valid","Invalid")</f>
        <v>Valid</v>
      </c>
      <c r="AF40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2203.2600000000002</v>
      </c>
      <c r="AG409">
        <f>IF(Transaction[[#This Row],[NetRevenue_Check]]="Invalid",(Transaction[[#This Row],[Quantity]]*Transaction[[#This Row],[UnitPrice_Clean]]),Transaction[[#This Row],[NetRevenue_Clean]])</f>
        <v>2203.2600000000002</v>
      </c>
      <c r="AH409" t="str">
        <f>IF(Transaction[[#This Row],[Quantity]]*Transaction[[#This Row],[UnitPrice_Clean]]=Transaction[[#This Row],[NetRevenue_Clean]],"Valid","Invalid")</f>
        <v>Valid</v>
      </c>
      <c r="AI409" t="s">
        <v>23</v>
      </c>
      <c r="AJ409" t="s">
        <v>1693</v>
      </c>
      <c r="AK409" t="str">
        <f>IF(Transaction[[#This Row],[Salesperson]]="","Missing Value",TRIM(PROPER(Transaction[[#This Row],[Salesperson]])))</f>
        <v>Martinez-Em</v>
      </c>
      <c r="AL409" t="s">
        <v>210</v>
      </c>
      <c r="AM409" t="str">
        <f>IF(Transaction[[#This Row],[ContractType]]="","Missing Value",Transaction[[#This Row],[ContractType]])</f>
        <v>Perpetual</v>
      </c>
      <c r="AN409" t="s">
        <v>35</v>
      </c>
    </row>
    <row r="410" spans="1:40" x14ac:dyDescent="0.25">
      <c r="A410" t="s">
        <v>680</v>
      </c>
      <c r="B410" s="1">
        <v>45742</v>
      </c>
      <c r="C41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41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41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10" s="2">
        <f>IFERROR(DATE(Transaction[[#This Row],[TransactionDateY]],Transaction[[#This Row],[TransactionDateM]],Transaction[[#This Row],[TransactionDateD]]),"Missing Value")</f>
        <v>45742</v>
      </c>
      <c r="G410" t="s">
        <v>541</v>
      </c>
      <c r="H410" t="str">
        <f>IFERROR(VLOOKUP(Transaction[[#This Row],[CustomerID]],Custumer[],1,0),IF(LEN(Transaction[[#This Row],[CustomerID]])=7,LEFT(Transaction[[#This Row],[CustomerID]],6),"Invalid ID"))</f>
        <v>C-1075</v>
      </c>
      <c r="I410" t="s">
        <v>117</v>
      </c>
      <c r="J410" t="str">
        <f>TRIM(UPPER(Transaction[[#This Row],[ProductID]]))</f>
        <v>P-SI-007</v>
      </c>
      <c r="K410" t="str">
        <f>IFERROR(VLOOKUP(Transaction[[#This Row],[ProductID_Clean]],Product[],1,FALSE),"Invalid ID")</f>
        <v>P-SI-007</v>
      </c>
      <c r="L410" t="str">
        <f>TRIM(SUBSTITUTE(SUBSTITUTE(SUBSTITUTE(SUBSTITUTE(UPPER(Transaction[[#This Row],[Region]]),"EMEA REGION","EMEA"),"APAC REGION","APAC"),"NORTH AMERICA","N. AMERICA"),"N .AMERICA","N.AMERICA"))</f>
        <v>N. AMERICA</v>
      </c>
      <c r="M410" t="s">
        <v>20</v>
      </c>
      <c r="N410" t="s">
        <v>53</v>
      </c>
      <c r="O41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10" t="s">
        <v>22</v>
      </c>
      <c r="Q410" t="str">
        <f>IF(TRIM(Transaction[[#This Row],[SalesChannel]])="","Missing Value",TRIM(Transaction[[#This Row],[SalesChannel]]))</f>
        <v>Direct</v>
      </c>
      <c r="R410" s="4">
        <v>10</v>
      </c>
      <c r="S410" s="4" t="str">
        <f>IF(Transaction[[#This Row],[Quantity]]&lt;0,"Negative-review","Valid")</f>
        <v>Valid</v>
      </c>
      <c r="T410">
        <v>887.32</v>
      </c>
      <c r="U41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887.32</v>
      </c>
      <c r="V410">
        <v>980</v>
      </c>
      <c r="W410">
        <v>9800</v>
      </c>
      <c r="X41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410">
        <f>IF(Transaction[[#This Row],[GrossRevenue_Check]]="Invalid",Transaction[[#This Row],[ListPrice]]*Transaction[[#This Row],[Quantity]],Transaction[[#This Row],[GrossRevenue_Clean]])</f>
        <v>9800</v>
      </c>
      <c r="Z410" t="str">
        <f>IF(Transaction[[#This Row],[GrossRevenue_Clean]]=Transaction[[#This Row],[ListPrice]]*Transaction[[#This Row],[Quantity]],"Valid","Invalid")</f>
        <v>Valid</v>
      </c>
      <c r="AA410">
        <v>926.8</v>
      </c>
      <c r="AB41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926.8</v>
      </c>
      <c r="AC410">
        <f>IF(Transaction[[#This Row],[DiscountAmount_Check2]]="Invalid",Transaction[[#This Row],[GrossRevenue_Analytical]]-Transaction[[#This Row],[NetRevenue_Analytical]],Transaction[[#This Row],[DiscountAmount_Clean]])</f>
        <v>926.8</v>
      </c>
      <c r="AD410">
        <v>8873.2000000000007</v>
      </c>
      <c r="AE410" t="str">
        <f>IF(ROUND(Transaction[[#This Row],[GrossRevenue_Analytical]]-Transaction[[#This Row],[NetRevenue_Analytical]],2)=ROUND(Transaction[[#This Row],[DiscountAmount_Clean]],2),"Valid","Invalid")</f>
        <v>Valid</v>
      </c>
      <c r="AF410">
        <f>VALUE(IF(ISNUMBER(Transaction[[#This Row],[NetRevenue]]),Transaction[[#This Row],[NetRevenue]],IFERROR(IF(FIND("$",Transaction[[#This Row],[NetRevenue]])&gt;0,MID(Transaction[[#This Row],[NetRevenue]],2,10)),Transaction[[#This Row],[NetRevenue]])))</f>
        <v>8873.2000000000007</v>
      </c>
      <c r="AG410">
        <f>IF(Transaction[[#This Row],[NetRevenue_Check]]="Invalid",(Transaction[[#This Row],[Quantity]]*Transaction[[#This Row],[UnitPrice_Clean]]),Transaction[[#This Row],[NetRevenue_Clean]])</f>
        <v>8873.2000000000007</v>
      </c>
      <c r="AH410" t="str">
        <f>IF(Transaction[[#This Row],[Quantity]]*Transaction[[#This Row],[UnitPrice_Clean]]=Transaction[[#This Row],[NetRevenue_Clean]],"Valid","Invalid")</f>
        <v>Valid</v>
      </c>
      <c r="AI410" t="s">
        <v>99</v>
      </c>
      <c r="AJ410" t="s">
        <v>681</v>
      </c>
      <c r="AK410" t="str">
        <f>IF(Transaction[[#This Row],[Salesperson]]="","Missing Value",TRIM(PROPER(Transaction[[#This Row],[Salesperson]])))</f>
        <v>Young-Na</v>
      </c>
      <c r="AL410" t="s">
        <v>42</v>
      </c>
      <c r="AM410" t="str">
        <f>IF(Transaction[[#This Row],[ContractType]]="","Missing Value",Transaction[[#This Row],[ContractType]])</f>
        <v>Standard PO</v>
      </c>
      <c r="AN410" t="s">
        <v>49</v>
      </c>
    </row>
    <row r="411" spans="1:40" x14ac:dyDescent="0.25">
      <c r="A411" t="s">
        <v>2894</v>
      </c>
      <c r="B411" s="1">
        <v>45748</v>
      </c>
      <c r="C41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41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41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11" s="2">
        <f>IFERROR(DATE(Transaction[[#This Row],[TransactionDateY]],Transaction[[#This Row],[TransactionDateM]],Transaction[[#This Row],[TransactionDateD]]),"Missing Value")</f>
        <v>45748</v>
      </c>
      <c r="G411" t="s">
        <v>61</v>
      </c>
      <c r="H411" t="str">
        <f>IFERROR(VLOOKUP(Transaction[[#This Row],[CustomerID]],Custumer[],1,0),IF(LEN(Transaction[[#This Row],[CustomerID]])=7,LEFT(Transaction[[#This Row],[CustomerID]],6),"Invalid ID"))</f>
        <v>C-1108</v>
      </c>
      <c r="I411" t="s">
        <v>75</v>
      </c>
      <c r="J411" t="str">
        <f>TRIM(UPPER(Transaction[[#This Row],[ProductID]]))</f>
        <v>P-SA-005</v>
      </c>
      <c r="K411" t="str">
        <f>IFERROR(VLOOKUP(Transaction[[#This Row],[ProductID_Clean]],Product[],1,FALSE),"Invalid ID")</f>
        <v>P-SA-005</v>
      </c>
      <c r="L411" t="str">
        <f>TRIM(SUBSTITUTE(SUBSTITUTE(SUBSTITUTE(SUBSTITUTE(UPPER(Transaction[[#This Row],[Region]]),"EMEA REGION","EMEA"),"APAC REGION","APAC"),"NORTH AMERICA","N. AMERICA"),"N .AMERICA","N.AMERICA"))</f>
        <v>APAC</v>
      </c>
      <c r="M411" t="s">
        <v>30</v>
      </c>
      <c r="N411" t="s">
        <v>31</v>
      </c>
      <c r="O41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411" t="s">
        <v>181</v>
      </c>
      <c r="Q411" t="str">
        <f>IF(TRIM(Transaction[[#This Row],[SalesChannel]])="","Missing Value",TRIM(Transaction[[#This Row],[SalesChannel]]))</f>
        <v>Partner Portal</v>
      </c>
      <c r="R411" s="4">
        <v>1</v>
      </c>
      <c r="S411" s="4" t="str">
        <f>IF(Transaction[[#This Row],[Quantity]]&lt;0,"Negative-review","Valid")</f>
        <v>Valid</v>
      </c>
      <c r="T411">
        <v>2522.25</v>
      </c>
      <c r="U41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2522.25</v>
      </c>
      <c r="V411">
        <v>3200</v>
      </c>
      <c r="W411">
        <v>3200</v>
      </c>
      <c r="X41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411">
        <f>IF(Transaction[[#This Row],[GrossRevenue_Check]]="Invalid",Transaction[[#This Row],[ListPrice]]*Transaction[[#This Row],[Quantity]],Transaction[[#This Row],[GrossRevenue_Clean]])</f>
        <v>3200</v>
      </c>
      <c r="Z411" t="str">
        <f>IF(Transaction[[#This Row],[GrossRevenue_Clean]]=Transaction[[#This Row],[ListPrice]]*Transaction[[#This Row],[Quantity]],"Valid","Invalid")</f>
        <v>Valid</v>
      </c>
      <c r="AA411">
        <v>677.75</v>
      </c>
      <c r="AB41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677.75</v>
      </c>
      <c r="AC411">
        <f>IF(Transaction[[#This Row],[DiscountAmount_Check2]]="Invalid",Transaction[[#This Row],[GrossRevenue_Analytical]]-Transaction[[#This Row],[NetRevenue_Analytical]],Transaction[[#This Row],[DiscountAmount_Clean]])</f>
        <v>677.75</v>
      </c>
      <c r="AD411">
        <v>2522.25</v>
      </c>
      <c r="AE411" t="str">
        <f>IF(ROUND(Transaction[[#This Row],[GrossRevenue_Analytical]]-Transaction[[#This Row],[NetRevenue_Analytical]],2)=ROUND(Transaction[[#This Row],[DiscountAmount_Clean]],2),"Valid","Invalid")</f>
        <v>Valid</v>
      </c>
      <c r="AF41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2522.25</v>
      </c>
      <c r="AG411">
        <f>IF(Transaction[[#This Row],[NetRevenue_Check]]="Invalid",(Transaction[[#This Row],[Quantity]]*Transaction[[#This Row],[UnitPrice_Clean]]),Transaction[[#This Row],[NetRevenue_Clean]])</f>
        <v>2522.25</v>
      </c>
      <c r="AH411" t="str">
        <f>IF(Transaction[[#This Row],[Quantity]]*Transaction[[#This Row],[UnitPrice_Clean]]=Transaction[[#This Row],[NetRevenue_Clean]],"Valid","Invalid")</f>
        <v>Valid</v>
      </c>
      <c r="AI411" t="s">
        <v>23</v>
      </c>
      <c r="AJ411" t="s">
        <v>2895</v>
      </c>
      <c r="AK411" t="str">
        <f>IF(Transaction[[#This Row],[Salesperson]]="","Missing Value",TRIM(PROPER(Transaction[[#This Row],[Salesperson]])))</f>
        <v>Brewer-Ap</v>
      </c>
      <c r="AL411" t="s">
        <v>34</v>
      </c>
      <c r="AM411" t="str">
        <f>IF(Transaction[[#This Row],[ContractType]]="","Missing Value",Transaction[[#This Row],[ContractType]])</f>
        <v>Annual License</v>
      </c>
      <c r="AN411" t="s">
        <v>65</v>
      </c>
    </row>
    <row r="412" spans="1:40" x14ac:dyDescent="0.25">
      <c r="A412" t="s">
        <v>2526</v>
      </c>
      <c r="B412" s="1">
        <v>45766</v>
      </c>
      <c r="C41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41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41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12" s="2">
        <f>IFERROR(DATE(Transaction[[#This Row],[TransactionDateY]],Transaction[[#This Row],[TransactionDateM]],Transaction[[#This Row],[TransactionDateD]]),"Missing Value")</f>
        <v>45766</v>
      </c>
      <c r="G412" t="s">
        <v>243</v>
      </c>
      <c r="H412" t="str">
        <f>IFERROR(VLOOKUP(Transaction[[#This Row],[CustomerID]],Custumer[],1,0),IF(LEN(Transaction[[#This Row],[CustomerID]])=7,LEFT(Transaction[[#This Row],[CustomerID]],6),"Invalid ID"))</f>
        <v>C-1059</v>
      </c>
      <c r="I412" t="s">
        <v>92</v>
      </c>
      <c r="J412" t="str">
        <f>TRIM(UPPER(Transaction[[#This Row],[ProductID]]))</f>
        <v>P-SI-008</v>
      </c>
      <c r="K412" t="str">
        <f>IFERROR(VLOOKUP(Transaction[[#This Row],[ProductID_Clean]],Product[],1,FALSE),"Invalid ID")</f>
        <v>P-SI-008</v>
      </c>
      <c r="L412" t="str">
        <f>TRIM(SUBSTITUTE(SUBSTITUTE(SUBSTITUTE(SUBSTITUTE(UPPER(Transaction[[#This Row],[Region]]),"EMEA REGION","EMEA"),"APAC REGION","APAC"),"NORTH AMERICA","N. AMERICA"),"N .AMERICA","N.AMERICA"))</f>
        <v>N. AMERICA</v>
      </c>
      <c r="M412" t="s">
        <v>20</v>
      </c>
      <c r="N412" t="s">
        <v>53</v>
      </c>
      <c r="O41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12" t="s">
        <v>40</v>
      </c>
      <c r="Q412" t="str">
        <f>IF(TRIM(Transaction[[#This Row],[SalesChannel]])="","Missing Value",TRIM(Transaction[[#This Row],[SalesChannel]]))</f>
        <v>Distributor</v>
      </c>
      <c r="R412" s="4">
        <v>3</v>
      </c>
      <c r="S412" s="4" t="str">
        <f>IF(Transaction[[#This Row],[Quantity]]&lt;0,"Negative-review","Valid")</f>
        <v>Valid</v>
      </c>
      <c r="T412">
        <v>850.4</v>
      </c>
      <c r="U41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850.4</v>
      </c>
      <c r="V412">
        <v>950</v>
      </c>
      <c r="W412">
        <v>2850</v>
      </c>
      <c r="X41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2850</v>
      </c>
      <c r="Y412">
        <f>IF(Transaction[[#This Row],[GrossRevenue_Check]]="Invalid",Transaction[[#This Row],[ListPrice]]*Transaction[[#This Row],[Quantity]],Transaction[[#This Row],[GrossRevenue_Clean]])</f>
        <v>2850</v>
      </c>
      <c r="Z412" t="str">
        <f>IF(Transaction[[#This Row],[GrossRevenue_Clean]]=Transaction[[#This Row],[ListPrice]]*Transaction[[#This Row],[Quantity]],"Valid","Invalid")</f>
        <v>Valid</v>
      </c>
      <c r="AA412">
        <v>298.8</v>
      </c>
      <c r="AB41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298.8</v>
      </c>
      <c r="AC412">
        <f>IF(Transaction[[#This Row],[DiscountAmount_Check2]]="Invalid",Transaction[[#This Row],[GrossRevenue_Analytical]]-Transaction[[#This Row],[NetRevenue_Analytical]],Transaction[[#This Row],[DiscountAmount_Clean]])</f>
        <v>298.8</v>
      </c>
      <c r="AD412">
        <v>2551.1999999999998</v>
      </c>
      <c r="AE412" t="str">
        <f>IF(ROUND(Transaction[[#This Row],[GrossRevenue_Analytical]]-Transaction[[#This Row],[NetRevenue_Analytical]],2)=ROUND(Transaction[[#This Row],[DiscountAmount_Clean]],2),"Valid","Invalid")</f>
        <v>Valid</v>
      </c>
      <c r="AF41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2551.1999999999998</v>
      </c>
      <c r="AG412">
        <f>IF(Transaction[[#This Row],[NetRevenue_Check]]="Invalid",(Transaction[[#This Row],[Quantity]]*Transaction[[#This Row],[UnitPrice_Clean]]),Transaction[[#This Row],[NetRevenue_Clean]])</f>
        <v>2551.1999999999998</v>
      </c>
      <c r="AH412" t="str">
        <f>IF(Transaction[[#This Row],[Quantity]]*Transaction[[#This Row],[UnitPrice_Clean]]=Transaction[[#This Row],[NetRevenue_Clean]],"Valid","Invalid")</f>
        <v>Valid</v>
      </c>
      <c r="AI412" t="s">
        <v>23</v>
      </c>
      <c r="AJ412" t="s">
        <v>2527</v>
      </c>
      <c r="AK412" t="str">
        <f>IF(Transaction[[#This Row],[Salesperson]]="","Missing Value",TRIM(PROPER(Transaction[[#This Row],[Salesperson]])))</f>
        <v>Cox-Ap</v>
      </c>
      <c r="AL412" t="s">
        <v>42</v>
      </c>
      <c r="AM412" t="str">
        <f>IF(Transaction[[#This Row],[ContractType]]="","Missing Value",Transaction[[#This Row],[ContractType]])</f>
        <v>Standard PO</v>
      </c>
      <c r="AN412" t="s">
        <v>49</v>
      </c>
    </row>
    <row r="413" spans="1:40" x14ac:dyDescent="0.25">
      <c r="A413" t="s">
        <v>1859</v>
      </c>
      <c r="B413" s="1">
        <v>45671</v>
      </c>
      <c r="C41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41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41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13" s="2">
        <f>IFERROR(DATE(Transaction[[#This Row],[TransactionDateY]],Transaction[[#This Row],[TransactionDateM]],Transaction[[#This Row],[TransactionDateD]]),"Missing Value")</f>
        <v>45671</v>
      </c>
      <c r="G413" t="s">
        <v>28</v>
      </c>
      <c r="H413" t="str">
        <f>IFERROR(VLOOKUP(Transaction[[#This Row],[CustomerID]],Custumer[],1,0),IF(LEN(Transaction[[#This Row],[CustomerID]])=7,LEFT(Transaction[[#This Row],[CustomerID]],6),"Invalid ID"))</f>
        <v>C-1038</v>
      </c>
      <c r="I413" t="s">
        <v>62</v>
      </c>
      <c r="J413" t="str">
        <f>TRIM(UPPER(Transaction[[#This Row],[ProductID]]))</f>
        <v>P-SI-004</v>
      </c>
      <c r="K413" t="str">
        <f>IFERROR(VLOOKUP(Transaction[[#This Row],[ProductID_Clean]],Product[],1,FALSE),"Invalid ID")</f>
        <v>P-SI-004</v>
      </c>
      <c r="L413" t="str">
        <f>TRIM(SUBSTITUTE(SUBSTITUTE(SUBSTITUTE(SUBSTITUTE(UPPER(Transaction[[#This Row],[Region]]),"EMEA REGION","EMEA"),"APAC REGION","APAC"),"NORTH AMERICA","N. AMERICA"),"N .AMERICA","N.AMERICA"))</f>
        <v>APAC</v>
      </c>
      <c r="M413" t="s">
        <v>30</v>
      </c>
      <c r="N413" t="s">
        <v>53</v>
      </c>
      <c r="O41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13" t="s">
        <v>22</v>
      </c>
      <c r="Q413" t="str">
        <f>IF(TRIM(Transaction[[#This Row],[SalesChannel]])="","Missing Value",TRIM(Transaction[[#This Row],[SalesChannel]]))</f>
        <v>Direct</v>
      </c>
      <c r="R413" s="4">
        <v>2</v>
      </c>
      <c r="S413" s="4" t="str">
        <f>IF(Transaction[[#This Row],[Quantity]]&lt;0,"Negative-review","Valid")</f>
        <v>Valid</v>
      </c>
      <c r="T413">
        <v>2160.91</v>
      </c>
      <c r="U41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2160.91</v>
      </c>
      <c r="V413">
        <v>2450</v>
      </c>
      <c r="W413">
        <v>4900</v>
      </c>
      <c r="X41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</v>
      </c>
      <c r="Y413">
        <f>IF(Transaction[[#This Row],[GrossRevenue_Check]]="Invalid",Transaction[[#This Row],[ListPrice]]*Transaction[[#This Row],[Quantity]],Transaction[[#This Row],[GrossRevenue_Clean]])</f>
        <v>4900</v>
      </c>
      <c r="Z413" t="str">
        <f>IF(Transaction[[#This Row],[GrossRevenue_Clean]]=Transaction[[#This Row],[ListPrice]]*Transaction[[#This Row],[Quantity]],"Valid","Invalid")</f>
        <v>Valid</v>
      </c>
      <c r="AA413">
        <v>578.17999999999995</v>
      </c>
      <c r="AB41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578.17999999999995</v>
      </c>
      <c r="AC413">
        <f>IF(Transaction[[#This Row],[DiscountAmount_Check2]]="Invalid",Transaction[[#This Row],[GrossRevenue_Analytical]]-Transaction[[#This Row],[NetRevenue_Analytical]],Transaction[[#This Row],[DiscountAmount_Clean]])</f>
        <v>578.17999999999995</v>
      </c>
      <c r="AD413">
        <v>4321.82</v>
      </c>
      <c r="AE413" t="str">
        <f>IF(ROUND(Transaction[[#This Row],[GrossRevenue_Analytical]]-Transaction[[#This Row],[NetRevenue_Analytical]],2)=ROUND(Transaction[[#This Row],[DiscountAmount_Clean]],2),"Valid","Invalid")</f>
        <v>Valid</v>
      </c>
      <c r="AF413">
        <f>VALUE(IF(ISNUMBER(Transaction[[#This Row],[NetRevenue]]),Transaction[[#This Row],[NetRevenue]],IFERROR(IF(FIND("$",Transaction[[#This Row],[NetRevenue]])&gt;0,MID(Transaction[[#This Row],[NetRevenue]],2,10)),Transaction[[#This Row],[NetRevenue]])))</f>
        <v>4321.82</v>
      </c>
      <c r="AG413">
        <f>IF(Transaction[[#This Row],[NetRevenue_Check]]="Invalid",(Transaction[[#This Row],[Quantity]]*Transaction[[#This Row],[UnitPrice_Clean]]),Transaction[[#This Row],[NetRevenue_Clean]])</f>
        <v>4321.82</v>
      </c>
      <c r="AH413" t="str">
        <f>IF(Transaction[[#This Row],[Quantity]]*Transaction[[#This Row],[UnitPrice_Clean]]=Transaction[[#This Row],[NetRevenue_Clean]],"Valid","Invalid")</f>
        <v>Valid</v>
      </c>
      <c r="AI413" t="s">
        <v>128</v>
      </c>
      <c r="AJ413" t="s">
        <v>1860</v>
      </c>
      <c r="AK413" t="str">
        <f>IF(Transaction[[#This Row],[Salesperson]]="","Missing Value",TRIM(PROPER(Transaction[[#This Row],[Salesperson]])))</f>
        <v>Herring</v>
      </c>
      <c r="AL413" t="s">
        <v>25</v>
      </c>
      <c r="AM413" t="str">
        <f>IF(Transaction[[#This Row],[ContractType]]="","Missing Value",Transaction[[#This Row],[ContractType]])</f>
        <v>Frame Agreement</v>
      </c>
      <c r="AN413" t="s">
        <v>35</v>
      </c>
    </row>
    <row r="414" spans="1:40" x14ac:dyDescent="0.25">
      <c r="A414" t="s">
        <v>50</v>
      </c>
      <c r="B414" s="1">
        <v>45811</v>
      </c>
      <c r="C41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41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41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14" s="2">
        <f>IFERROR(DATE(Transaction[[#This Row],[TransactionDateY]],Transaction[[#This Row],[TransactionDateM]],Transaction[[#This Row],[TransactionDateD]]),"Missing Value")</f>
        <v>45811</v>
      </c>
      <c r="G414" t="s">
        <v>51</v>
      </c>
      <c r="H414" t="str">
        <f>IFERROR(VLOOKUP(Transaction[[#This Row],[CustomerID]],Custumer[],1,0),IF(LEN(Transaction[[#This Row],[CustomerID]])=7,LEFT(Transaction[[#This Row],[CustomerID]],6),"Invalid ID"))</f>
        <v>C-1006</v>
      </c>
      <c r="I414" t="s">
        <v>52</v>
      </c>
      <c r="J414" t="str">
        <f>TRIM(UPPER(Transaction[[#This Row],[ProductID]]))</f>
        <v>P-SI-002</v>
      </c>
      <c r="K414" t="str">
        <f>IFERROR(VLOOKUP(Transaction[[#This Row],[ProductID_Clean]],Product[],1,FALSE),"Invalid ID")</f>
        <v>P-SI-002</v>
      </c>
      <c r="L414" t="str">
        <f>TRIM(SUBSTITUTE(SUBSTITUTE(SUBSTITUTE(SUBSTITUTE(UPPER(Transaction[[#This Row],[Region]]),"EMEA REGION","EMEA"),"APAC REGION","APAC"),"NORTH AMERICA","N. AMERICA"),"N .AMERICA","N.AMERICA"))</f>
        <v>N. AMERICA</v>
      </c>
      <c r="M414" t="s">
        <v>20</v>
      </c>
      <c r="N414" t="s">
        <v>53</v>
      </c>
      <c r="O41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14" t="s">
        <v>40</v>
      </c>
      <c r="Q414" t="str">
        <f>IF(TRIM(Transaction[[#This Row],[SalesChannel]])="","Missing Value",TRIM(Transaction[[#This Row],[SalesChannel]]))</f>
        <v>Distributor</v>
      </c>
      <c r="R414" s="4">
        <v>8</v>
      </c>
      <c r="S414" s="4" t="str">
        <f>IF(Transaction[[#This Row],[Quantity]]&lt;0,"Negative-review","Valid")</f>
        <v>Valid</v>
      </c>
      <c r="T414">
        <v>597.11</v>
      </c>
      <c r="U41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597.11</v>
      </c>
      <c r="V414">
        <v>725</v>
      </c>
      <c r="W414">
        <v>5800</v>
      </c>
      <c r="X41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5800</v>
      </c>
      <c r="Y414">
        <f>IF(Transaction[[#This Row],[GrossRevenue_Check]]="Invalid",Transaction[[#This Row],[ListPrice]]*Transaction[[#This Row],[Quantity]],Transaction[[#This Row],[GrossRevenue_Clean]])</f>
        <v>5800</v>
      </c>
      <c r="Z414" t="str">
        <f>IF(Transaction[[#This Row],[GrossRevenue_Clean]]=Transaction[[#This Row],[ListPrice]]*Transaction[[#This Row],[Quantity]],"Valid","Invalid")</f>
        <v>Valid</v>
      </c>
      <c r="AA414">
        <v>1023.12</v>
      </c>
      <c r="AB41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1023.12</v>
      </c>
      <c r="AC414">
        <f>IF(Transaction[[#This Row],[DiscountAmount_Check2]]="Invalid",Transaction[[#This Row],[GrossRevenue_Analytical]]-Transaction[[#This Row],[NetRevenue_Analytical]],Transaction[[#This Row],[DiscountAmount_Clean]])</f>
        <v>1023.12</v>
      </c>
      <c r="AD414">
        <v>4776.88</v>
      </c>
      <c r="AE414" t="str">
        <f>IF(ROUND(Transaction[[#This Row],[GrossRevenue_Analytical]]-Transaction[[#This Row],[NetRevenue_Analytical]],2)=ROUND(Transaction[[#This Row],[DiscountAmount_Clean]],2),"Valid","Invalid")</f>
        <v>Valid</v>
      </c>
      <c r="AF414">
        <f>VALUE(IF(ISNUMBER(Transaction[[#This Row],[NetRevenue]]),Transaction[[#This Row],[NetRevenue]],IFERROR(IF(FIND("$",Transaction[[#This Row],[NetRevenue]])&gt;0,MID(Transaction[[#This Row],[NetRevenue]],2,10)),Transaction[[#This Row],[NetRevenue]])))</f>
        <v>4776.88</v>
      </c>
      <c r="AG414">
        <f>IF(Transaction[[#This Row],[NetRevenue_Check]]="Invalid",(Transaction[[#This Row],[Quantity]]*Transaction[[#This Row],[UnitPrice_Clean]]),Transaction[[#This Row],[NetRevenue_Clean]])</f>
        <v>4776.88</v>
      </c>
      <c r="AH414" t="str">
        <f>IF(Transaction[[#This Row],[Quantity]]*Transaction[[#This Row],[UnitPrice_Clean]]=Transaction[[#This Row],[NetRevenue_Clean]],"Valid","Invalid")</f>
        <v>Valid</v>
      </c>
      <c r="AI414" t="s">
        <v>23</v>
      </c>
      <c r="AJ414" t="s">
        <v>54</v>
      </c>
      <c r="AK414" t="str">
        <f>IF(Transaction[[#This Row],[Salesperson]]="","Missing Value",TRIM(PROPER(Transaction[[#This Row],[Salesperson]])))</f>
        <v>Johnson</v>
      </c>
      <c r="AL414" t="s">
        <v>55</v>
      </c>
      <c r="AM414" t="str">
        <f>IF(Transaction[[#This Row],[ContractType]]="","Missing Value",Transaction[[#This Row],[ContractType]])</f>
        <v>Spot</v>
      </c>
      <c r="AN414" t="s">
        <v>26</v>
      </c>
    </row>
    <row r="415" spans="1:40" x14ac:dyDescent="0.25">
      <c r="A415" t="s">
        <v>369</v>
      </c>
      <c r="B415" s="1">
        <v>45748</v>
      </c>
      <c r="C41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41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41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15" s="2">
        <f>IFERROR(DATE(Transaction[[#This Row],[TransactionDateY]],Transaction[[#This Row],[TransactionDateM]],Transaction[[#This Row],[TransactionDateD]]),"Missing Value")</f>
        <v>45748</v>
      </c>
      <c r="G415" t="s">
        <v>370</v>
      </c>
      <c r="H415" t="str">
        <f>IFERROR(VLOOKUP(Transaction[[#This Row],[CustomerID]],Custumer[],1,0),IF(LEN(Transaction[[#This Row],[CustomerID]])=7,LEFT(Transaction[[#This Row],[CustomerID]],6),"Invalid ID"))</f>
        <v>C-1130</v>
      </c>
      <c r="I415" t="s">
        <v>62</v>
      </c>
      <c r="J415" t="str">
        <f>TRIM(UPPER(Transaction[[#This Row],[ProductID]]))</f>
        <v>P-SI-004</v>
      </c>
      <c r="K415" t="str">
        <f>IFERROR(VLOOKUP(Transaction[[#This Row],[ProductID_Clean]],Product[],1,FALSE),"Invalid ID")</f>
        <v>P-SI-004</v>
      </c>
      <c r="L415" t="str">
        <f>TRIM(SUBSTITUTE(SUBSTITUTE(SUBSTITUTE(SUBSTITUTE(UPPER(Transaction[[#This Row],[Region]]),"EMEA REGION","EMEA"),"APAC REGION","APAC"),"NORTH AMERICA","N. AMERICA"),"N .AMERICA","N.AMERICA"))</f>
        <v>EMEA</v>
      </c>
      <c r="M415" t="s">
        <v>87</v>
      </c>
      <c r="N415" t="s">
        <v>53</v>
      </c>
      <c r="O41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Q415" t="str">
        <f>IF(TRIM(Transaction[[#This Row],[SalesChannel]])="","Missing Value",TRIM(Transaction[[#This Row],[SalesChannel]]))</f>
        <v>Missing Value</v>
      </c>
      <c r="R415" s="4">
        <v>8</v>
      </c>
      <c r="S415" s="4" t="str">
        <f>IF(Transaction[[#This Row],[Quantity]]&lt;0,"Negative-review","Valid")</f>
        <v>Valid</v>
      </c>
      <c r="T415">
        <v>2479.14</v>
      </c>
      <c r="U41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2479.14</v>
      </c>
      <c r="V415">
        <v>2450</v>
      </c>
      <c r="W415">
        <v>19600</v>
      </c>
      <c r="X41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19600</v>
      </c>
      <c r="Y415">
        <f>IF(Transaction[[#This Row],[GrossRevenue_Check]]="Invalid",Transaction[[#This Row],[ListPrice]]*Transaction[[#This Row],[Quantity]],Transaction[[#This Row],[GrossRevenue_Clean]])</f>
        <v>19600</v>
      </c>
      <c r="Z415" t="str">
        <f>IF(Transaction[[#This Row],[GrossRevenue_Clean]]=Transaction[[#This Row],[ListPrice]]*Transaction[[#This Row],[Quantity]],"Valid","Invalid")</f>
        <v>Valid</v>
      </c>
      <c r="AA415">
        <v>-233.12</v>
      </c>
      <c r="AB41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-233.12</v>
      </c>
      <c r="AC415">
        <f>IF(Transaction[[#This Row],[DiscountAmount_Check2]]="Invalid",Transaction[[#This Row],[GrossRevenue_Analytical]]-Transaction[[#This Row],[NetRevenue_Analytical]],Transaction[[#This Row],[DiscountAmount_Clean]])</f>
        <v>-233.12</v>
      </c>
      <c r="AD415">
        <v>19833.12</v>
      </c>
      <c r="AE415" t="str">
        <f>IF(ROUND(Transaction[[#This Row],[GrossRevenue_Analytical]]-Transaction[[#This Row],[NetRevenue_Analytical]],2)=ROUND(Transaction[[#This Row],[DiscountAmount_Clean]],2),"Valid","Invalid")</f>
        <v>Valid</v>
      </c>
      <c r="AF41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19833.12</v>
      </c>
      <c r="AG415">
        <f>IF(Transaction[[#This Row],[NetRevenue_Check]]="Invalid",(Transaction[[#This Row],[Quantity]]*Transaction[[#This Row],[UnitPrice_Clean]]),Transaction[[#This Row],[NetRevenue_Clean]])</f>
        <v>19833.12</v>
      </c>
      <c r="AH415" t="str">
        <f>IF(Transaction[[#This Row],[Quantity]]*Transaction[[#This Row],[UnitPrice_Clean]]=Transaction[[#This Row],[NetRevenue_Clean]],"Valid","Invalid")</f>
        <v>Valid</v>
      </c>
      <c r="AI415" t="s">
        <v>23</v>
      </c>
      <c r="AJ415" t="s">
        <v>371</v>
      </c>
      <c r="AK415" t="str">
        <f>IF(Transaction[[#This Row],[Salesperson]]="","Missing Value",TRIM(PROPER(Transaction[[#This Row],[Salesperson]])))</f>
        <v>Hernandez</v>
      </c>
      <c r="AL415" t="s">
        <v>42</v>
      </c>
      <c r="AM415" t="str">
        <f>IF(Transaction[[#This Row],[ContractType]]="","Missing Value",Transaction[[#This Row],[ContractType]])</f>
        <v>Standard PO</v>
      </c>
      <c r="AN415" t="s">
        <v>65</v>
      </c>
    </row>
    <row r="416" spans="1:40" x14ac:dyDescent="0.25">
      <c r="A416" t="s">
        <v>366</v>
      </c>
      <c r="B416" s="1">
        <v>45805</v>
      </c>
      <c r="C41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41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41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16" s="2">
        <f>IFERROR(DATE(Transaction[[#This Row],[TransactionDateY]],Transaction[[#This Row],[TransactionDateM]],Transaction[[#This Row],[TransactionDateD]]),"Missing Value")</f>
        <v>45805</v>
      </c>
      <c r="G416" t="s">
        <v>367</v>
      </c>
      <c r="H416" t="str">
        <f>IFERROR(VLOOKUP(Transaction[[#This Row],[CustomerID]],Custumer[],1,0),IF(LEN(Transaction[[#This Row],[CustomerID]])=7,LEFT(Transaction[[#This Row],[CustomerID]],6),"Invalid ID"))</f>
        <v>C-1024</v>
      </c>
      <c r="I416" t="s">
        <v>121</v>
      </c>
      <c r="J416" t="str">
        <f>TRIM(UPPER(Transaction[[#This Row],[ProductID]]))</f>
        <v>P-FS-001</v>
      </c>
      <c r="K416" t="str">
        <f>IFERROR(VLOOKUP(Transaction[[#This Row],[ProductID_Clean]],Product[],1,FALSE),"Invalid ID")</f>
        <v>P-FS-001</v>
      </c>
      <c r="L416" t="str">
        <f>TRIM(SUBSTITUTE(SUBSTITUTE(SUBSTITUTE(SUBSTITUTE(UPPER(Transaction[[#This Row],[Region]]),"EMEA REGION","EMEA"),"APAC REGION","APAC"),"NORTH AMERICA","N. AMERICA"),"N .AMERICA","N.AMERICA"))</f>
        <v>APAC</v>
      </c>
      <c r="M416" t="s">
        <v>30</v>
      </c>
      <c r="N416" t="s">
        <v>21</v>
      </c>
      <c r="O41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416" t="s">
        <v>22</v>
      </c>
      <c r="Q416" t="str">
        <f>IF(TRIM(Transaction[[#This Row],[SalesChannel]])="","Missing Value",TRIM(Transaction[[#This Row],[SalesChannel]]))</f>
        <v>Direct</v>
      </c>
      <c r="R416" s="4">
        <v>1</v>
      </c>
      <c r="S416" s="4" t="str">
        <f>IF(Transaction[[#This Row],[Quantity]]&lt;0,"Negative-review","Valid")</f>
        <v>Valid</v>
      </c>
      <c r="T416">
        <v>1347.41</v>
      </c>
      <c r="U41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1347.41</v>
      </c>
      <c r="V416">
        <v>1850</v>
      </c>
      <c r="W416">
        <v>1850</v>
      </c>
      <c r="X41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416">
        <f>IF(Transaction[[#This Row],[GrossRevenue_Check]]="Invalid",Transaction[[#This Row],[ListPrice]]*Transaction[[#This Row],[Quantity]],Transaction[[#This Row],[GrossRevenue_Clean]])</f>
        <v>1850</v>
      </c>
      <c r="Z416" t="str">
        <f>IF(Transaction[[#This Row],[GrossRevenue_Clean]]=Transaction[[#This Row],[ListPrice]]*Transaction[[#This Row],[Quantity]],"Valid","Invalid")</f>
        <v>Valid</v>
      </c>
      <c r="AA416">
        <v>502.59</v>
      </c>
      <c r="AB41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502.59</v>
      </c>
      <c r="AC416">
        <f>IF(Transaction[[#This Row],[DiscountAmount_Check2]]="Invalid",Transaction[[#This Row],[GrossRevenue_Analytical]]-Transaction[[#This Row],[NetRevenue_Analytical]],Transaction[[#This Row],[DiscountAmount_Clean]])</f>
        <v>502.59</v>
      </c>
      <c r="AD416">
        <v>1347.41</v>
      </c>
      <c r="AE416" t="str">
        <f>IF(ROUND(Transaction[[#This Row],[GrossRevenue_Analytical]]-Transaction[[#This Row],[NetRevenue_Analytical]],2)=ROUND(Transaction[[#This Row],[DiscountAmount_Clean]],2),"Valid","Invalid")</f>
        <v>Valid</v>
      </c>
      <c r="AF41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1347.41</v>
      </c>
      <c r="AG416">
        <f>IF(Transaction[[#This Row],[NetRevenue_Check]]="Invalid",(Transaction[[#This Row],[Quantity]]*Transaction[[#This Row],[UnitPrice_Clean]]),Transaction[[#This Row],[NetRevenue_Clean]])</f>
        <v>1347.41</v>
      </c>
      <c r="AH416" t="str">
        <f>IF(Transaction[[#This Row],[Quantity]]*Transaction[[#This Row],[UnitPrice_Clean]]=Transaction[[#This Row],[NetRevenue_Clean]],"Valid","Invalid")</f>
        <v>Valid</v>
      </c>
      <c r="AI416" t="s">
        <v>23</v>
      </c>
      <c r="AJ416" t="s">
        <v>368</v>
      </c>
      <c r="AK416" t="str">
        <f>IF(Transaction[[#This Row],[Salesperson]]="","Missing Value",TRIM(PROPER(Transaction[[#This Row],[Salesperson]])))</f>
        <v>Cole</v>
      </c>
      <c r="AL416" t="s">
        <v>42</v>
      </c>
      <c r="AM416" t="str">
        <f>IF(Transaction[[#This Row],[ContractType]]="","Missing Value",Transaction[[#This Row],[ContractType]])</f>
        <v>Standard PO</v>
      </c>
      <c r="AN416" t="s">
        <v>65</v>
      </c>
    </row>
    <row r="417" spans="1:40" x14ac:dyDescent="0.25">
      <c r="A417" t="s">
        <v>2136</v>
      </c>
      <c r="B417" s="1">
        <v>45826</v>
      </c>
      <c r="C41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41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41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17" s="2">
        <f>IFERROR(DATE(Transaction[[#This Row],[TransactionDateY]],Transaction[[#This Row],[TransactionDateM]],Transaction[[#This Row],[TransactionDateD]]),"Missing Value")</f>
        <v>45826</v>
      </c>
      <c r="G417" t="s">
        <v>1515</v>
      </c>
      <c r="H417" t="str">
        <f>IFERROR(VLOOKUP(Transaction[[#This Row],[CustomerID]],Custumer[],1,0),IF(LEN(Transaction[[#This Row],[CustomerID]])=7,LEFT(Transaction[[#This Row],[CustomerID]],6),"Invalid ID"))</f>
        <v>C-1179</v>
      </c>
      <c r="I417" t="s">
        <v>29</v>
      </c>
      <c r="J417" t="str">
        <f>TRIM(UPPER(Transaction[[#This Row],[ProductID]]))</f>
        <v>P-SA-001</v>
      </c>
      <c r="K417" t="str">
        <f>IFERROR(VLOOKUP(Transaction[[#This Row],[ProductID_Clean]],Product[],1,FALSE),"Invalid ID")</f>
        <v>P-SA-001</v>
      </c>
      <c r="L417" t="str">
        <f>TRIM(SUBSTITUTE(SUBSTITUTE(SUBSTITUTE(SUBSTITUTE(UPPER(Transaction[[#This Row],[Region]]),"EMEA REGION","EMEA"),"APAC REGION","APAC"),"NORTH AMERICA","N. AMERICA"),"N .AMERICA","N.AMERICA"))</f>
        <v>APAC</v>
      </c>
      <c r="M417" t="s">
        <v>30</v>
      </c>
      <c r="N417" t="s">
        <v>205</v>
      </c>
      <c r="O41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417" t="s">
        <v>40</v>
      </c>
      <c r="Q417" t="str">
        <f>IF(TRIM(Transaction[[#This Row],[SalesChannel]])="","Missing Value",TRIM(Transaction[[#This Row],[SalesChannel]]))</f>
        <v>Distributor</v>
      </c>
      <c r="R417" s="4">
        <v>3</v>
      </c>
      <c r="S417" s="4" t="str">
        <f>IF(Transaction[[#This Row],[Quantity]]&lt;0,"Negative-review","Valid")</f>
        <v>Valid</v>
      </c>
      <c r="T417">
        <v>3270.93</v>
      </c>
      <c r="U41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3270.93</v>
      </c>
      <c r="V417">
        <v>4200</v>
      </c>
      <c r="W417">
        <v>12600</v>
      </c>
      <c r="X41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12600</v>
      </c>
      <c r="Y417">
        <f>IF(Transaction[[#This Row],[GrossRevenue_Check]]="Invalid",Transaction[[#This Row],[ListPrice]]*Transaction[[#This Row],[Quantity]],Transaction[[#This Row],[GrossRevenue_Clean]])</f>
        <v>12600</v>
      </c>
      <c r="Z417" t="str">
        <f>IF(Transaction[[#This Row],[GrossRevenue_Clean]]=Transaction[[#This Row],[ListPrice]]*Transaction[[#This Row],[Quantity]],"Valid","Invalid")</f>
        <v>Valid</v>
      </c>
      <c r="AA417">
        <v>2787.21</v>
      </c>
      <c r="AB41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2787.21</v>
      </c>
      <c r="AC417">
        <f>IF(Transaction[[#This Row],[DiscountAmount_Check2]]="Invalid",Transaction[[#This Row],[GrossRevenue_Analytical]]-Transaction[[#This Row],[NetRevenue_Analytical]],Transaction[[#This Row],[DiscountAmount_Clean]])</f>
        <v>2787.21</v>
      </c>
      <c r="AD417">
        <v>9812.7900000000009</v>
      </c>
      <c r="AE417" t="str">
        <f>IF(ROUND(Transaction[[#This Row],[GrossRevenue_Analytical]]-Transaction[[#This Row],[NetRevenue_Analytical]],2)=ROUND(Transaction[[#This Row],[DiscountAmount_Clean]],2),"Valid","Invalid")</f>
        <v>Valid</v>
      </c>
      <c r="AF417">
        <f>VALUE(IF(ISNUMBER(Transaction[[#This Row],[NetRevenue]]),Transaction[[#This Row],[NetRevenue]],IFERROR(IF(FIND("$",Transaction[[#This Row],[NetRevenue]])&gt;0,MID(Transaction[[#This Row],[NetRevenue]],2,10)),Transaction[[#This Row],[NetRevenue]])))</f>
        <v>9812.7900000000009</v>
      </c>
      <c r="AG417">
        <f>IF(Transaction[[#This Row],[NetRevenue_Check]]="Invalid",(Transaction[[#This Row],[Quantity]]*Transaction[[#This Row],[UnitPrice_Clean]]),Transaction[[#This Row],[NetRevenue_Clean]])</f>
        <v>9812.7900000000009</v>
      </c>
      <c r="AH417" t="str">
        <f>IF(Transaction[[#This Row],[Quantity]]*Transaction[[#This Row],[UnitPrice_Clean]]=Transaction[[#This Row],[NetRevenue_Clean]],"Valid","Invalid")</f>
        <v>Valid</v>
      </c>
      <c r="AI417" t="s">
        <v>23</v>
      </c>
      <c r="AJ417" t="s">
        <v>2137</v>
      </c>
      <c r="AK417" t="str">
        <f>IF(Transaction[[#This Row],[Salesperson]]="","Missing Value",TRIM(PROPER(Transaction[[#This Row],[Salesperson]])))</f>
        <v>Watson-Na</v>
      </c>
      <c r="AL417" t="s">
        <v>34</v>
      </c>
      <c r="AM417" t="str">
        <f>IF(Transaction[[#This Row],[ContractType]]="","Missing Value",Transaction[[#This Row],[ContractType]])</f>
        <v>Annual License</v>
      </c>
      <c r="AN417" t="s">
        <v>26</v>
      </c>
    </row>
    <row r="418" spans="1:40" x14ac:dyDescent="0.25">
      <c r="A418" t="s">
        <v>776</v>
      </c>
      <c r="B418" s="1">
        <v>45715</v>
      </c>
      <c r="C41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41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41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18" s="2">
        <f>IFERROR(DATE(Transaction[[#This Row],[TransactionDateY]],Transaction[[#This Row],[TransactionDateM]],Transaction[[#This Row],[TransactionDateD]]),"Missing Value")</f>
        <v>45715</v>
      </c>
      <c r="G418" t="s">
        <v>423</v>
      </c>
      <c r="H418" t="str">
        <f>IFERROR(VLOOKUP(Transaction[[#This Row],[CustomerID]],Custumer[],1,0),IF(LEN(Transaction[[#This Row],[CustomerID]])=7,LEFT(Transaction[[#This Row],[CustomerID]],6),"Invalid ID"))</f>
        <v>C-1121</v>
      </c>
      <c r="I418" t="s">
        <v>258</v>
      </c>
      <c r="J418" t="str">
        <f>TRIM(UPPER(Transaction[[#This Row],[ProductID]]))</f>
        <v>P-SA-003</v>
      </c>
      <c r="K418" t="str">
        <f>IFERROR(VLOOKUP(Transaction[[#This Row],[ProductID_Clean]],Product[],1,FALSE),"Invalid ID")</f>
        <v>P-SA-003</v>
      </c>
      <c r="L418" t="str">
        <f>TRIM(SUBSTITUTE(SUBSTITUTE(SUBSTITUTE(SUBSTITUTE(UPPER(Transaction[[#This Row],[Region]]),"EMEA REGION","EMEA"),"APAC REGION","APAC"),"NORTH AMERICA","N. AMERICA"),"N .AMERICA","N.AMERICA"))</f>
        <v>N. AMERICA</v>
      </c>
      <c r="M418" t="s">
        <v>20</v>
      </c>
      <c r="N418" t="s">
        <v>31</v>
      </c>
      <c r="O41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418" t="s">
        <v>22</v>
      </c>
      <c r="Q418" t="str">
        <f>IF(TRIM(Transaction[[#This Row],[SalesChannel]])="","Missing Value",TRIM(Transaction[[#This Row],[SalesChannel]]))</f>
        <v>Direct</v>
      </c>
      <c r="R418" s="4">
        <v>1</v>
      </c>
      <c r="S418" s="4" t="str">
        <f>IF(Transaction[[#This Row],[Quantity]]&lt;0,"Negative-review","Valid")</f>
        <v>Valid</v>
      </c>
      <c r="T418">
        <v>2536.4299999999998</v>
      </c>
      <c r="U41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2536.4299999999998</v>
      </c>
      <c r="V418">
        <v>2750</v>
      </c>
      <c r="W418">
        <v>2750</v>
      </c>
      <c r="X41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418">
        <f>IF(Transaction[[#This Row],[GrossRevenue_Check]]="Invalid",Transaction[[#This Row],[ListPrice]]*Transaction[[#This Row],[Quantity]],Transaction[[#This Row],[GrossRevenue_Clean]])</f>
        <v>2750</v>
      </c>
      <c r="Z418" t="str">
        <f>IF(Transaction[[#This Row],[GrossRevenue_Clean]]=Transaction[[#This Row],[ListPrice]]*Transaction[[#This Row],[Quantity]],"Valid","Invalid")</f>
        <v>Valid</v>
      </c>
      <c r="AA418">
        <v>213.57</v>
      </c>
      <c r="AB41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213.57</v>
      </c>
      <c r="AC418">
        <f>IF(Transaction[[#This Row],[DiscountAmount_Check2]]="Invalid",Transaction[[#This Row],[GrossRevenue_Analytical]]-Transaction[[#This Row],[NetRevenue_Analytical]],Transaction[[#This Row],[DiscountAmount_Clean]])</f>
        <v>213.57</v>
      </c>
      <c r="AD418">
        <v>2536.4299999999998</v>
      </c>
      <c r="AE418" t="str">
        <f>IF(ROUND(Transaction[[#This Row],[GrossRevenue_Analytical]]-Transaction[[#This Row],[NetRevenue_Analytical]],2)=ROUND(Transaction[[#This Row],[DiscountAmount_Clean]],2),"Valid","Invalid")</f>
        <v>Valid</v>
      </c>
      <c r="AF41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2536.4299999999998</v>
      </c>
      <c r="AG418">
        <f>IF(Transaction[[#This Row],[NetRevenue_Check]]="Invalid",(Transaction[[#This Row],[Quantity]]*Transaction[[#This Row],[UnitPrice_Clean]]),Transaction[[#This Row],[NetRevenue_Clean]])</f>
        <v>2536.4299999999998</v>
      </c>
      <c r="AH418" t="str">
        <f>IF(Transaction[[#This Row],[Quantity]]*Transaction[[#This Row],[UnitPrice_Clean]]=Transaction[[#This Row],[NetRevenue_Clean]],"Valid","Invalid")</f>
        <v>Valid</v>
      </c>
      <c r="AI418" t="s">
        <v>23</v>
      </c>
      <c r="AJ418" t="s">
        <v>777</v>
      </c>
      <c r="AK418" t="str">
        <f>IF(Transaction[[#This Row],[Salesperson]]="","Missing Value",TRIM(PROPER(Transaction[[#This Row],[Salesperson]])))</f>
        <v>Wallace</v>
      </c>
      <c r="AL418" t="s">
        <v>34</v>
      </c>
      <c r="AM418" t="str">
        <f>IF(Transaction[[#This Row],[ContractType]]="","Missing Value",Transaction[[#This Row],[ContractType]])</f>
        <v>Annual License</v>
      </c>
      <c r="AN418" t="s">
        <v>49</v>
      </c>
    </row>
    <row r="419" spans="1:40" x14ac:dyDescent="0.25">
      <c r="A419" t="s">
        <v>1911</v>
      </c>
      <c r="B419" s="1">
        <v>45800</v>
      </c>
      <c r="C41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41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41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19" s="2">
        <f>IFERROR(DATE(Transaction[[#This Row],[TransactionDateY]],Transaction[[#This Row],[TransactionDateM]],Transaction[[#This Row],[TransactionDateD]]),"Missing Value")</f>
        <v>45800</v>
      </c>
      <c r="G419" t="s">
        <v>1343</v>
      </c>
      <c r="H419" t="str">
        <f>IFERROR(VLOOKUP(Transaction[[#This Row],[CustomerID]],Custumer[],1,0),IF(LEN(Transaction[[#This Row],[CustomerID]])=7,LEFT(Transaction[[#This Row],[CustomerID]],6),"Invalid ID"))</f>
        <v>C-1135</v>
      </c>
      <c r="I419" t="s">
        <v>71</v>
      </c>
      <c r="J419" t="str">
        <f>TRIM(UPPER(Transaction[[#This Row],[ProductID]]))</f>
        <v>P-SI-003</v>
      </c>
      <c r="K419" t="str">
        <f>IFERROR(VLOOKUP(Transaction[[#This Row],[ProductID_Clean]],Product[],1,FALSE),"Invalid ID")</f>
        <v>P-SI-003</v>
      </c>
      <c r="L419" t="str">
        <f>TRIM(SUBSTITUTE(SUBSTITUTE(SUBSTITUTE(SUBSTITUTE(UPPER(Transaction[[#This Row],[Region]]),"EMEA REGION","EMEA"),"APAC REGION","APAC"),"NORTH AMERICA","N. AMERICA"),"N .AMERICA","N.AMERICA"))</f>
        <v>LATIN AMERICA</v>
      </c>
      <c r="M419" t="s">
        <v>82</v>
      </c>
      <c r="N419" t="s">
        <v>53</v>
      </c>
      <c r="O41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19" t="s">
        <v>22</v>
      </c>
      <c r="Q419" t="str">
        <f>IF(TRIM(Transaction[[#This Row],[SalesChannel]])="","Missing Value",TRIM(Transaction[[#This Row],[SalesChannel]]))</f>
        <v>Direct</v>
      </c>
      <c r="R419" s="4">
        <v>2</v>
      </c>
      <c r="S419" s="4" t="str">
        <f>IF(Transaction[[#This Row],[Quantity]]&lt;0,"Negative-review","Valid")</f>
        <v>Valid</v>
      </c>
      <c r="T419">
        <v>1566.17</v>
      </c>
      <c r="U41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1566.17</v>
      </c>
      <c r="V419">
        <v>1890</v>
      </c>
      <c r="W419">
        <v>3780</v>
      </c>
      <c r="X41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3780</v>
      </c>
      <c r="Y419">
        <f>IF(Transaction[[#This Row],[GrossRevenue_Check]]="Invalid",Transaction[[#This Row],[ListPrice]]*Transaction[[#This Row],[Quantity]],Transaction[[#This Row],[GrossRevenue_Clean]])</f>
        <v>3780</v>
      </c>
      <c r="Z419" t="str">
        <f>IF(Transaction[[#This Row],[GrossRevenue_Clean]]=Transaction[[#This Row],[ListPrice]]*Transaction[[#This Row],[Quantity]],"Valid","Invalid")</f>
        <v>Valid</v>
      </c>
      <c r="AA419">
        <v>647.66</v>
      </c>
      <c r="AB41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647.66</v>
      </c>
      <c r="AC419">
        <f>IF(Transaction[[#This Row],[DiscountAmount_Check2]]="Invalid",Transaction[[#This Row],[GrossRevenue_Analytical]]-Transaction[[#This Row],[NetRevenue_Analytical]],Transaction[[#This Row],[DiscountAmount_Clean]])</f>
        <v>647.66</v>
      </c>
      <c r="AD419" t="s">
        <v>1912</v>
      </c>
      <c r="AE419" t="str">
        <f>IF(ROUND(Transaction[[#This Row],[GrossRevenue_Analytical]]-Transaction[[#This Row],[NetRevenue_Analytical]],2)=ROUND(Transaction[[#This Row],[DiscountAmount_Clean]],2),"Valid","Invalid")</f>
        <v>Valid</v>
      </c>
      <c r="AF419">
        <f>VALUE(IF(ISNUMBER(Transaction[[#This Row],[NetRevenue]]),Transaction[[#This Row],[NetRevenue]],IFERROR(IF(FIND("$",Transaction[[#This Row],[NetRevenue]])&gt;0,MID(Transaction[[#This Row],[NetRevenue]],2,10)),Transaction[[#This Row],[NetRevenue]])))</f>
        <v>3132.34</v>
      </c>
      <c r="AG419">
        <f>IF(Transaction[[#This Row],[NetRevenue_Check]]="Invalid",(Transaction[[#This Row],[Quantity]]*Transaction[[#This Row],[UnitPrice_Clean]]),Transaction[[#This Row],[NetRevenue_Clean]])</f>
        <v>3132.34</v>
      </c>
      <c r="AH419" t="str">
        <f>IF(Transaction[[#This Row],[Quantity]]*Transaction[[#This Row],[UnitPrice_Clean]]=Transaction[[#This Row],[NetRevenue_Clean]],"Valid","Invalid")</f>
        <v>Valid</v>
      </c>
      <c r="AI419" t="s">
        <v>23</v>
      </c>
      <c r="AJ419" t="s">
        <v>655</v>
      </c>
      <c r="AK419" t="str">
        <f>IF(Transaction[[#This Row],[Salesperson]]="","Missing Value",TRIM(PROPER(Transaction[[#This Row],[Salesperson]])))</f>
        <v>Jones</v>
      </c>
      <c r="AL419" t="s">
        <v>42</v>
      </c>
      <c r="AM419" t="str">
        <f>IF(Transaction[[#This Row],[ContractType]]="","Missing Value",Transaction[[#This Row],[ContractType]])</f>
        <v>Standard PO</v>
      </c>
      <c r="AN419" t="s">
        <v>49</v>
      </c>
    </row>
    <row r="420" spans="1:40" x14ac:dyDescent="0.25">
      <c r="A420" t="s">
        <v>865</v>
      </c>
      <c r="B420" s="1">
        <v>45687</v>
      </c>
      <c r="C42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42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42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20" s="2">
        <f>IFERROR(DATE(Transaction[[#This Row],[TransactionDateY]],Transaction[[#This Row],[TransactionDateM]],Transaction[[#This Row],[TransactionDateD]]),"Missing Value")</f>
        <v>45687</v>
      </c>
      <c r="G420" t="s">
        <v>694</v>
      </c>
      <c r="H420" t="str">
        <f>IFERROR(VLOOKUP(Transaction[[#This Row],[CustomerID]],Custumer[],1,0),IF(LEN(Transaction[[#This Row],[CustomerID]])=7,LEFT(Transaction[[#This Row],[CustomerID]],6),"Invalid ID"))</f>
        <v>C-1165</v>
      </c>
      <c r="I420" t="s">
        <v>121</v>
      </c>
      <c r="J420" t="str">
        <f>TRIM(UPPER(Transaction[[#This Row],[ProductID]]))</f>
        <v>P-FS-001</v>
      </c>
      <c r="K420" t="str">
        <f>IFERROR(VLOOKUP(Transaction[[#This Row],[ProductID_Clean]],Product[],1,FALSE),"Invalid ID")</f>
        <v>P-FS-001</v>
      </c>
      <c r="L420" t="str">
        <f>TRIM(SUBSTITUTE(SUBSTITUTE(SUBSTITUTE(SUBSTITUTE(UPPER(Transaction[[#This Row],[Region]]),"EMEA REGION","EMEA"),"APAC REGION","APAC"),"NORTH AMERICA","N. AMERICA"),"N .AMERICA","N.AMERICA"))</f>
        <v>N. AMERICA</v>
      </c>
      <c r="M420" t="s">
        <v>20</v>
      </c>
      <c r="N420" t="s">
        <v>21</v>
      </c>
      <c r="O420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420" t="s">
        <v>22</v>
      </c>
      <c r="Q420" t="str">
        <f>IF(TRIM(Transaction[[#This Row],[SalesChannel]])="","Missing Value",TRIM(Transaction[[#This Row],[SalesChannel]]))</f>
        <v>Direct</v>
      </c>
      <c r="R420" s="4">
        <v>1</v>
      </c>
      <c r="S420" s="4" t="str">
        <f>IF(Transaction[[#This Row],[Quantity]]&lt;0,"Negative-review","Valid")</f>
        <v>Valid</v>
      </c>
      <c r="T420">
        <v>1455.23</v>
      </c>
      <c r="U42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1455.23</v>
      </c>
      <c r="V420">
        <v>1850</v>
      </c>
      <c r="W420">
        <v>1850</v>
      </c>
      <c r="X42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420">
        <f>IF(Transaction[[#This Row],[GrossRevenue_Check]]="Invalid",Transaction[[#This Row],[ListPrice]]*Transaction[[#This Row],[Quantity]],Transaction[[#This Row],[GrossRevenue_Clean]])</f>
        <v>1850</v>
      </c>
      <c r="Z420" t="str">
        <f>IF(Transaction[[#This Row],[GrossRevenue_Clean]]=Transaction[[#This Row],[ListPrice]]*Transaction[[#This Row],[Quantity]],"Valid","Invalid")</f>
        <v>Valid</v>
      </c>
      <c r="AA420">
        <v>394.77</v>
      </c>
      <c r="AB42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394.77</v>
      </c>
      <c r="AC420">
        <f>IF(Transaction[[#This Row],[DiscountAmount_Check2]]="Invalid",Transaction[[#This Row],[GrossRevenue_Analytical]]-Transaction[[#This Row],[NetRevenue_Analytical]],Transaction[[#This Row],[DiscountAmount_Clean]])</f>
        <v>394.77</v>
      </c>
      <c r="AD420">
        <v>1455.23</v>
      </c>
      <c r="AE420" t="str">
        <f>IF(ROUND(Transaction[[#This Row],[GrossRevenue_Analytical]]-Transaction[[#This Row],[NetRevenue_Analytical]],2)=ROUND(Transaction[[#This Row],[DiscountAmount_Clean]],2),"Valid","Invalid")</f>
        <v>Valid</v>
      </c>
      <c r="AF42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1455.23</v>
      </c>
      <c r="AG420">
        <f>IF(Transaction[[#This Row],[NetRevenue_Check]]="Invalid",(Transaction[[#This Row],[Quantity]]*Transaction[[#This Row],[UnitPrice_Clean]]),Transaction[[#This Row],[NetRevenue_Clean]])</f>
        <v>1455.23</v>
      </c>
      <c r="AH420" t="str">
        <f>IF(Transaction[[#This Row],[Quantity]]*Transaction[[#This Row],[UnitPrice_Clean]]=Transaction[[#This Row],[NetRevenue_Clean]],"Valid","Invalid")</f>
        <v>Valid</v>
      </c>
      <c r="AI420" t="s">
        <v>23</v>
      </c>
      <c r="AJ420" t="s">
        <v>866</v>
      </c>
      <c r="AK420" t="str">
        <f>IF(Transaction[[#This Row],[Salesperson]]="","Missing Value",TRIM(PROPER(Transaction[[#This Row],[Salesperson]])))</f>
        <v>Taylor-Em</v>
      </c>
      <c r="AL420" t="s">
        <v>42</v>
      </c>
      <c r="AM420" t="str">
        <f>IF(Transaction[[#This Row],[ContractType]]="","Missing Value",Transaction[[#This Row],[ContractType]])</f>
        <v>Standard PO</v>
      </c>
      <c r="AN420" t="s">
        <v>26</v>
      </c>
    </row>
    <row r="421" spans="1:40" x14ac:dyDescent="0.25">
      <c r="A421" t="s">
        <v>543</v>
      </c>
      <c r="B421" s="1">
        <v>45715</v>
      </c>
      <c r="C42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42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42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21" s="2">
        <f>IFERROR(DATE(Transaction[[#This Row],[TransactionDateY]],Transaction[[#This Row],[TransactionDateM]],Transaction[[#This Row],[TransactionDateD]]),"Missing Value")</f>
        <v>45715</v>
      </c>
      <c r="G421" t="s">
        <v>247</v>
      </c>
      <c r="H421" t="str">
        <f>IFERROR(VLOOKUP(Transaction[[#This Row],[CustomerID]],Custumer[],1,0),IF(LEN(Transaction[[#This Row],[CustomerID]])=7,LEFT(Transaction[[#This Row],[CustomerID]],6),"Invalid ID"))</f>
        <v>C-1045</v>
      </c>
      <c r="I421" t="s">
        <v>58</v>
      </c>
      <c r="J421" t="str">
        <f>TRIM(UPPER(Transaction[[#This Row],[ProductID]]))</f>
        <v>P-SI-005</v>
      </c>
      <c r="K421" t="str">
        <f>IFERROR(VLOOKUP(Transaction[[#This Row],[ProductID_Clean]],Product[],1,FALSE),"Invalid ID")</f>
        <v>P-SI-005</v>
      </c>
      <c r="L421" t="str">
        <f>TRIM(SUBSTITUTE(SUBSTITUTE(SUBSTITUTE(SUBSTITUTE(UPPER(Transaction[[#This Row],[Region]]),"EMEA REGION","EMEA"),"APAC REGION","APAC"),"NORTH AMERICA","N. AMERICA"),"N .AMERICA","N.AMERICA"))</f>
        <v>EMEA</v>
      </c>
      <c r="M421" t="s">
        <v>76</v>
      </c>
      <c r="N421" t="s">
        <v>53</v>
      </c>
      <c r="O42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21" t="s">
        <v>22</v>
      </c>
      <c r="Q421" t="str">
        <f>IF(TRIM(Transaction[[#This Row],[SalesChannel]])="","Missing Value",TRIM(Transaction[[#This Row],[SalesChannel]]))</f>
        <v>Direct</v>
      </c>
      <c r="R421" s="4">
        <v>5</v>
      </c>
      <c r="S421" s="4" t="str">
        <f>IF(Transaction[[#This Row],[Quantity]]&lt;0,"Negative-review","Valid")</f>
        <v>Valid</v>
      </c>
      <c r="T421">
        <v>905.94</v>
      </c>
      <c r="U42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905.94</v>
      </c>
      <c r="V421">
        <v>1120</v>
      </c>
      <c r="W421">
        <v>5600</v>
      </c>
      <c r="X42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5600</v>
      </c>
      <c r="Y421">
        <f>IF(Transaction[[#This Row],[GrossRevenue_Check]]="Invalid",Transaction[[#This Row],[ListPrice]]*Transaction[[#This Row],[Quantity]],Transaction[[#This Row],[GrossRevenue_Clean]])</f>
        <v>5600</v>
      </c>
      <c r="Z421" t="str">
        <f>IF(Transaction[[#This Row],[GrossRevenue_Clean]]=Transaction[[#This Row],[ListPrice]]*Transaction[[#This Row],[Quantity]],"Valid","Invalid")</f>
        <v>Valid</v>
      </c>
      <c r="AB42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421">
        <f>IF(Transaction[[#This Row],[DiscountAmount_Check2]]="Invalid",Transaction[[#This Row],[GrossRevenue_Analytical]]-Transaction[[#This Row],[NetRevenue_Analytical]],Transaction[[#This Row],[DiscountAmount_Clean]])</f>
        <v>1070.3000000000002</v>
      </c>
      <c r="AD421">
        <v>4529.7</v>
      </c>
      <c r="AE421" t="str">
        <f>IF(ROUND(Transaction[[#This Row],[GrossRevenue_Analytical]]-Transaction[[#This Row],[NetRevenue_Analytical]],2)=ROUND(Transaction[[#This Row],[DiscountAmount_Clean]],2),"Valid","Invalid")</f>
        <v>Invalid</v>
      </c>
      <c r="AF421">
        <f>VALUE(IF(ISNUMBER(Transaction[[#This Row],[NetRevenue]]),Transaction[[#This Row],[NetRevenue]],IFERROR(IF(FIND("$",Transaction[[#This Row],[NetRevenue]])&gt;0,MID(Transaction[[#This Row],[NetRevenue]],2,10)),Transaction[[#This Row],[NetRevenue]])))</f>
        <v>4529.7</v>
      </c>
      <c r="AG421">
        <f>IF(Transaction[[#This Row],[NetRevenue_Check]]="Invalid",(Transaction[[#This Row],[Quantity]]*Transaction[[#This Row],[UnitPrice_Clean]]),Transaction[[#This Row],[NetRevenue_Clean]])</f>
        <v>4529.7</v>
      </c>
      <c r="AH421" t="str">
        <f>IF(Transaction[[#This Row],[Quantity]]*Transaction[[#This Row],[UnitPrice_Clean]]=Transaction[[#This Row],[NetRevenue_Clean]],"Valid","Invalid")</f>
        <v>Valid</v>
      </c>
      <c r="AI421" t="s">
        <v>23</v>
      </c>
      <c r="AJ421" t="s">
        <v>544</v>
      </c>
      <c r="AK421" t="str">
        <f>IF(Transaction[[#This Row],[Salesperson]]="","Missing Value",TRIM(PROPER(Transaction[[#This Row],[Salesperson]])))</f>
        <v>Richardson-Em</v>
      </c>
      <c r="AL421" t="s">
        <v>55</v>
      </c>
      <c r="AM421" t="str">
        <f>IF(Transaction[[#This Row],[ContractType]]="","Missing Value",Transaction[[#This Row],[ContractType]])</f>
        <v>Spot</v>
      </c>
      <c r="AN421" t="s">
        <v>35</v>
      </c>
    </row>
    <row r="422" spans="1:40" x14ac:dyDescent="0.25">
      <c r="A422" t="s">
        <v>2152</v>
      </c>
      <c r="B422" t="s">
        <v>2153</v>
      </c>
      <c r="C42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42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42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22" s="2">
        <f>IFERROR(DATE(Transaction[[#This Row],[TransactionDateY]],Transaction[[#This Row],[TransactionDateM]],Transaction[[#This Row],[TransactionDateD]]),"Missing Value")</f>
        <v>45817</v>
      </c>
      <c r="G422" t="s">
        <v>779</v>
      </c>
      <c r="H422" t="str">
        <f>IFERROR(VLOOKUP(Transaction[[#This Row],[CustomerID]],Custumer[],1,0),IF(LEN(Transaction[[#This Row],[CustomerID]])=7,LEFT(Transaction[[#This Row],[CustomerID]],6),"Invalid ID"))</f>
        <v>C-1025</v>
      </c>
      <c r="I422" t="s">
        <v>226</v>
      </c>
      <c r="J422" t="str">
        <f>TRIM(UPPER(Transaction[[#This Row],[ProductID]]))</f>
        <v>P-SA-002</v>
      </c>
      <c r="K422" t="str">
        <f>IFERROR(VLOOKUP(Transaction[[#This Row],[ProductID_Clean]],Product[],1,FALSE),"Invalid ID")</f>
        <v>P-SA-002</v>
      </c>
      <c r="L422" t="str">
        <f>TRIM(SUBSTITUTE(SUBSTITUTE(SUBSTITUTE(SUBSTITUTE(UPPER(Transaction[[#This Row],[Region]]),"EMEA REGION","EMEA"),"APAC REGION","APAC"),"NORTH AMERICA","N. AMERICA"),"N .AMERICA","N.AMERICA"))</f>
        <v>LATIN AMERICA</v>
      </c>
      <c r="M422" t="s">
        <v>82</v>
      </c>
      <c r="N422" t="s">
        <v>31</v>
      </c>
      <c r="O42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422" t="s">
        <v>22</v>
      </c>
      <c r="Q422" t="str">
        <f>IF(TRIM(Transaction[[#This Row],[SalesChannel]])="","Missing Value",TRIM(Transaction[[#This Row],[SalesChannel]]))</f>
        <v>Direct</v>
      </c>
      <c r="R422" s="4">
        <v>3</v>
      </c>
      <c r="S422" s="4" t="str">
        <f>IF(Transaction[[#This Row],[Quantity]]&lt;0,"Negative-review","Valid")</f>
        <v>Valid</v>
      </c>
      <c r="T422">
        <v>8198.2800000000007</v>
      </c>
      <c r="U42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8198.2800000000007</v>
      </c>
      <c r="V422">
        <v>9800</v>
      </c>
      <c r="W422">
        <v>29400</v>
      </c>
      <c r="X42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29400</v>
      </c>
      <c r="Y422">
        <f>IF(Transaction[[#This Row],[GrossRevenue_Check]]="Invalid",Transaction[[#This Row],[ListPrice]]*Transaction[[#This Row],[Quantity]],Transaction[[#This Row],[GrossRevenue_Clean]])</f>
        <v>29400</v>
      </c>
      <c r="Z422" t="str">
        <f>IF(Transaction[[#This Row],[GrossRevenue_Clean]]=Transaction[[#This Row],[ListPrice]]*Transaction[[#This Row],[Quantity]],"Valid","Invalid")</f>
        <v>Valid</v>
      </c>
      <c r="AA422">
        <v>4805.16</v>
      </c>
      <c r="AB42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4805.16</v>
      </c>
      <c r="AC422">
        <f>IF(Transaction[[#This Row],[DiscountAmount_Check2]]="Invalid",Transaction[[#This Row],[GrossRevenue_Analytical]]-Transaction[[#This Row],[NetRevenue_Analytical]],Transaction[[#This Row],[DiscountAmount_Clean]])</f>
        <v>4805.16</v>
      </c>
      <c r="AD422">
        <v>24594.84</v>
      </c>
      <c r="AE422" t="str">
        <f>IF(ROUND(Transaction[[#This Row],[GrossRevenue_Analytical]]-Transaction[[#This Row],[NetRevenue_Analytical]],2)=ROUND(Transaction[[#This Row],[DiscountAmount_Clean]],2),"Valid","Invalid")</f>
        <v>Valid</v>
      </c>
      <c r="AF42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24594.84</v>
      </c>
      <c r="AG422">
        <f>IF(Transaction[[#This Row],[NetRevenue_Check]]="Invalid",(Transaction[[#This Row],[Quantity]]*Transaction[[#This Row],[UnitPrice_Clean]]),Transaction[[#This Row],[NetRevenue_Clean]])</f>
        <v>24594.84</v>
      </c>
      <c r="AH422" t="str">
        <f>IF(Transaction[[#This Row],[Quantity]]*Transaction[[#This Row],[UnitPrice_Clean]]=Transaction[[#This Row],[NetRevenue_Clean]],"Valid","Invalid")</f>
        <v>Valid</v>
      </c>
      <c r="AI422" t="s">
        <v>23</v>
      </c>
      <c r="AJ422" t="s">
        <v>2154</v>
      </c>
      <c r="AK422" t="str">
        <f>IF(Transaction[[#This Row],[Salesperson]]="","Missing Value",TRIM(PROPER(Transaction[[#This Row],[Salesperson]])))</f>
        <v>Edwards-Em</v>
      </c>
      <c r="AL422" t="s">
        <v>34</v>
      </c>
      <c r="AM422" t="str">
        <f>IF(Transaction[[#This Row],[ContractType]]="","Missing Value",Transaction[[#This Row],[ContractType]])</f>
        <v>Annual License</v>
      </c>
      <c r="AN422" t="s">
        <v>26</v>
      </c>
    </row>
    <row r="423" spans="1:40" x14ac:dyDescent="0.25">
      <c r="A423" t="s">
        <v>2223</v>
      </c>
      <c r="B423" s="1">
        <v>45830</v>
      </c>
      <c r="C42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42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42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23" s="2">
        <f>IFERROR(DATE(Transaction[[#This Row],[TransactionDateY]],Transaction[[#This Row],[TransactionDateM]],Transaction[[#This Row],[TransactionDateD]]),"Missing Value")</f>
        <v>45830</v>
      </c>
      <c r="G423" t="s">
        <v>925</v>
      </c>
      <c r="H423" t="str">
        <f>IFERROR(VLOOKUP(Transaction[[#This Row],[CustomerID]],Custumer[],1,0),IF(LEN(Transaction[[#This Row],[CustomerID]])=7,LEFT(Transaction[[#This Row],[CustomerID]],6),"Invalid ID"))</f>
        <v>C-1060</v>
      </c>
      <c r="I423" t="s">
        <v>75</v>
      </c>
      <c r="J423" t="str">
        <f>TRIM(UPPER(Transaction[[#This Row],[ProductID]]))</f>
        <v>P-SA-005</v>
      </c>
      <c r="K423" t="str">
        <f>IFERROR(VLOOKUP(Transaction[[#This Row],[ProductID_Clean]],Product[],1,FALSE),"Invalid ID")</f>
        <v>P-SA-005</v>
      </c>
      <c r="L423" t="str">
        <f>TRIM(SUBSTITUTE(SUBSTITUTE(SUBSTITUTE(SUBSTITUTE(UPPER(Transaction[[#This Row],[Region]]),"EMEA REGION","EMEA"),"APAC REGION","APAC"),"NORTH AMERICA","N. AMERICA"),"N .AMERICA","N.AMERICA"))</f>
        <v>APAC</v>
      </c>
      <c r="M423" t="s">
        <v>63</v>
      </c>
      <c r="N423" t="s">
        <v>31</v>
      </c>
      <c r="O42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423" t="s">
        <v>181</v>
      </c>
      <c r="Q423" t="str">
        <f>IF(TRIM(Transaction[[#This Row],[SalesChannel]])="","Missing Value",TRIM(Transaction[[#This Row],[SalesChannel]]))</f>
        <v>Partner Portal</v>
      </c>
      <c r="R423" s="4">
        <v>2</v>
      </c>
      <c r="S423" s="4" t="str">
        <f>IF(Transaction[[#This Row],[Quantity]]&lt;0,"Negative-review","Valid")</f>
        <v>Valid</v>
      </c>
      <c r="T423">
        <v>2715.37</v>
      </c>
      <c r="U42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2715.37</v>
      </c>
      <c r="V423">
        <v>3200</v>
      </c>
      <c r="W423">
        <v>6400</v>
      </c>
      <c r="X42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6400</v>
      </c>
      <c r="Y423">
        <f>IF(Transaction[[#This Row],[GrossRevenue_Check]]="Invalid",Transaction[[#This Row],[ListPrice]]*Transaction[[#This Row],[Quantity]],Transaction[[#This Row],[GrossRevenue_Clean]])</f>
        <v>6400</v>
      </c>
      <c r="Z423" t="str">
        <f>IF(Transaction[[#This Row],[GrossRevenue_Clean]]=Transaction[[#This Row],[ListPrice]]*Transaction[[#This Row],[Quantity]],"Valid","Invalid")</f>
        <v>Valid</v>
      </c>
      <c r="AA423">
        <v>969.26</v>
      </c>
      <c r="AB42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969.26</v>
      </c>
      <c r="AC423">
        <f>IF(Transaction[[#This Row],[DiscountAmount_Check2]]="Invalid",Transaction[[#This Row],[GrossRevenue_Analytical]]-Transaction[[#This Row],[NetRevenue_Analytical]],Transaction[[#This Row],[DiscountAmount_Clean]])</f>
        <v>969.26</v>
      </c>
      <c r="AD423">
        <v>5430.74</v>
      </c>
      <c r="AE423" t="str">
        <f>IF(ROUND(Transaction[[#This Row],[GrossRevenue_Analytical]]-Transaction[[#This Row],[NetRevenue_Analytical]],2)=ROUND(Transaction[[#This Row],[DiscountAmount_Clean]],2),"Valid","Invalid")</f>
        <v>Valid</v>
      </c>
      <c r="AF423">
        <f>VALUE(IF(ISNUMBER(Transaction[[#This Row],[NetRevenue]]),Transaction[[#This Row],[NetRevenue]],IFERROR(IF(FIND("$",Transaction[[#This Row],[NetRevenue]])&gt;0,MID(Transaction[[#This Row],[NetRevenue]],2,10)),Transaction[[#This Row],[NetRevenue]])))</f>
        <v>5430.74</v>
      </c>
      <c r="AG423">
        <f>IF(Transaction[[#This Row],[NetRevenue_Check]]="Invalid",(Transaction[[#This Row],[Quantity]]*Transaction[[#This Row],[UnitPrice_Clean]]),Transaction[[#This Row],[NetRevenue_Clean]])</f>
        <v>5430.74</v>
      </c>
      <c r="AH423" t="str">
        <f>IF(Transaction[[#This Row],[Quantity]]*Transaction[[#This Row],[UnitPrice_Clean]]=Transaction[[#This Row],[NetRevenue_Clean]],"Valid","Invalid")</f>
        <v>Valid</v>
      </c>
      <c r="AI423" t="s">
        <v>128</v>
      </c>
      <c r="AJ423" t="s">
        <v>2224</v>
      </c>
      <c r="AK423" t="str">
        <f>IF(Transaction[[#This Row],[Salesperson]]="","Missing Value",TRIM(PROPER(Transaction[[#This Row],[Salesperson]])))</f>
        <v>Ramirez-Ap</v>
      </c>
      <c r="AL423" t="s">
        <v>113</v>
      </c>
      <c r="AM423" t="str">
        <f>IF(Transaction[[#This Row],[ContractType]]="","Missing Value",Transaction[[#This Row],[ContractType]])</f>
        <v>Subscription</v>
      </c>
      <c r="AN423" t="s">
        <v>43</v>
      </c>
    </row>
    <row r="424" spans="1:40" x14ac:dyDescent="0.25">
      <c r="A424" t="s">
        <v>2131</v>
      </c>
      <c r="B424" s="1">
        <v>45800</v>
      </c>
      <c r="C42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42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42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24" s="2">
        <f>IFERROR(DATE(Transaction[[#This Row],[TransactionDateY]],Transaction[[#This Row],[TransactionDateM]],Transaction[[#This Row],[TransactionDateD]]),"Missing Value")</f>
        <v>45800</v>
      </c>
      <c r="G424" t="s">
        <v>314</v>
      </c>
      <c r="H424" t="str">
        <f>IFERROR(VLOOKUP(Transaction[[#This Row],[CustomerID]],Custumer[],1,0),IF(LEN(Transaction[[#This Row],[CustomerID]])=7,LEFT(Transaction[[#This Row],[CustomerID]],6),"Invalid ID"))</f>
        <v>Invalid ID</v>
      </c>
      <c r="I424" t="s">
        <v>121</v>
      </c>
      <c r="J424" t="str">
        <f>TRIM(UPPER(Transaction[[#This Row],[ProductID]]))</f>
        <v>P-FS-001</v>
      </c>
      <c r="K424" t="str">
        <f>IFERROR(VLOOKUP(Transaction[[#This Row],[ProductID_Clean]],Product[],1,FALSE),"Invalid ID")</f>
        <v>P-FS-001</v>
      </c>
      <c r="L424" t="str">
        <f>TRIM(SUBSTITUTE(SUBSTITUTE(SUBSTITUTE(SUBSTITUTE(UPPER(Transaction[[#This Row],[Region]]),"EMEA REGION","EMEA"),"APAC REGION","APAC"),"NORTH AMERICA","N. AMERICA"),"N .AMERICA","N.AMERICA"))</f>
        <v>APAC</v>
      </c>
      <c r="M424" t="s">
        <v>30</v>
      </c>
      <c r="N424" t="s">
        <v>318</v>
      </c>
      <c r="O42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424" t="s">
        <v>40</v>
      </c>
      <c r="Q424" t="str">
        <f>IF(TRIM(Transaction[[#This Row],[SalesChannel]])="","Missing Value",TRIM(Transaction[[#This Row],[SalesChannel]]))</f>
        <v>Distributor</v>
      </c>
      <c r="R424" s="4">
        <v>1</v>
      </c>
      <c r="S424" s="4" t="str">
        <f>IF(Transaction[[#This Row],[Quantity]]&lt;0,"Negative-review","Valid")</f>
        <v>Valid</v>
      </c>
      <c r="T424">
        <v>1197.17</v>
      </c>
      <c r="U42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1197.17</v>
      </c>
      <c r="V424">
        <v>1850</v>
      </c>
      <c r="W424">
        <v>1850</v>
      </c>
      <c r="X42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424">
        <f>IF(Transaction[[#This Row],[GrossRevenue_Check]]="Invalid",Transaction[[#This Row],[ListPrice]]*Transaction[[#This Row],[Quantity]],Transaction[[#This Row],[GrossRevenue_Clean]])</f>
        <v>1850</v>
      </c>
      <c r="Z424" t="str">
        <f>IF(Transaction[[#This Row],[GrossRevenue_Clean]]=Transaction[[#This Row],[ListPrice]]*Transaction[[#This Row],[Quantity]],"Valid","Invalid")</f>
        <v>Valid</v>
      </c>
      <c r="AA424">
        <v>652.83000000000004</v>
      </c>
      <c r="AB42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652.83000000000004</v>
      </c>
      <c r="AC424">
        <f>IF(Transaction[[#This Row],[DiscountAmount_Check2]]="Invalid",Transaction[[#This Row],[GrossRevenue_Analytical]]-Transaction[[#This Row],[NetRevenue_Analytical]],Transaction[[#This Row],[DiscountAmount_Clean]])</f>
        <v>652.83000000000004</v>
      </c>
      <c r="AD424">
        <v>1197.17</v>
      </c>
      <c r="AE424" t="str">
        <f>IF(ROUND(Transaction[[#This Row],[GrossRevenue_Analytical]]-Transaction[[#This Row],[NetRevenue_Analytical]],2)=ROUND(Transaction[[#This Row],[DiscountAmount_Clean]],2),"Valid","Invalid")</f>
        <v>Valid</v>
      </c>
      <c r="AF42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1197.17</v>
      </c>
      <c r="AG424">
        <f>IF(Transaction[[#This Row],[NetRevenue_Check]]="Invalid",(Transaction[[#This Row],[Quantity]]*Transaction[[#This Row],[UnitPrice_Clean]]),Transaction[[#This Row],[NetRevenue_Clean]])</f>
        <v>1197.17</v>
      </c>
      <c r="AH424" t="str">
        <f>IF(Transaction[[#This Row],[Quantity]]*Transaction[[#This Row],[UnitPrice_Clean]]=Transaction[[#This Row],[NetRevenue_Clean]],"Valid","Invalid")</f>
        <v>Valid</v>
      </c>
      <c r="AI424" t="s">
        <v>23</v>
      </c>
      <c r="AJ424" t="s">
        <v>2132</v>
      </c>
      <c r="AK424" t="str">
        <f>IF(Transaction[[#This Row],[Salesperson]]="","Missing Value",TRIM(PROPER(Transaction[[#This Row],[Salesperson]])))</f>
        <v>Horne</v>
      </c>
      <c r="AL424" t="s">
        <v>42</v>
      </c>
      <c r="AM424" t="str">
        <f>IF(Transaction[[#This Row],[ContractType]]="","Missing Value",Transaction[[#This Row],[ContractType]])</f>
        <v>Standard PO</v>
      </c>
      <c r="AN424" t="s">
        <v>43</v>
      </c>
    </row>
    <row r="425" spans="1:40" x14ac:dyDescent="0.25">
      <c r="A425" t="s">
        <v>646</v>
      </c>
      <c r="B425" s="1">
        <v>45813</v>
      </c>
      <c r="C42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42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42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25" s="2">
        <f>IFERROR(DATE(Transaction[[#This Row],[TransactionDateY]],Transaction[[#This Row],[TransactionDateM]],Transaction[[#This Row],[TransactionDateD]]),"Missing Value")</f>
        <v>45813</v>
      </c>
      <c r="G425" t="s">
        <v>647</v>
      </c>
      <c r="H425" t="str">
        <f>IFERROR(VLOOKUP(Transaction[[#This Row],[CustomerID]],Custumer[],1,0),IF(LEN(Transaction[[#This Row],[CustomerID]])=7,LEFT(Transaction[[#This Row],[CustomerID]],6),"Invalid ID"))</f>
        <v>C-1085</v>
      </c>
      <c r="I425" t="s">
        <v>121</v>
      </c>
      <c r="J425" t="str">
        <f>TRIM(UPPER(Transaction[[#This Row],[ProductID]]))</f>
        <v>P-FS-001</v>
      </c>
      <c r="K425" t="str">
        <f>IFERROR(VLOOKUP(Transaction[[#This Row],[ProductID_Clean]],Product[],1,FALSE),"Invalid ID")</f>
        <v>P-FS-001</v>
      </c>
      <c r="L425" t="str">
        <f>TRIM(SUBSTITUTE(SUBSTITUTE(SUBSTITUTE(SUBSTITUTE(UPPER(Transaction[[#This Row],[Region]]),"EMEA REGION","EMEA"),"APAC REGION","APAC"),"NORTH AMERICA","N. AMERICA"),"N .AMERICA","N.AMERICA"))</f>
        <v>APAC</v>
      </c>
      <c r="M425" t="s">
        <v>30</v>
      </c>
      <c r="N425" t="s">
        <v>21</v>
      </c>
      <c r="O42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425" t="s">
        <v>40</v>
      </c>
      <c r="Q425" t="str">
        <f>IF(TRIM(Transaction[[#This Row],[SalesChannel]])="","Missing Value",TRIM(Transaction[[#This Row],[SalesChannel]]))</f>
        <v>Distributor</v>
      </c>
      <c r="R425" s="4">
        <v>1</v>
      </c>
      <c r="S425" s="4" t="str">
        <f>IF(Transaction[[#This Row],[Quantity]]&lt;0,"Negative-review","Valid")</f>
        <v>Valid</v>
      </c>
      <c r="T425">
        <v>1288.6099999999999</v>
      </c>
      <c r="U42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1288.6099999999999</v>
      </c>
      <c r="V425">
        <v>1850</v>
      </c>
      <c r="W425" t="s">
        <v>648</v>
      </c>
      <c r="X42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425">
        <f>IF(Transaction[[#This Row],[GrossRevenue_Check]]="Invalid",Transaction[[#This Row],[ListPrice]]*Transaction[[#This Row],[Quantity]],Transaction[[#This Row],[GrossRevenue_Clean]])</f>
        <v>1850</v>
      </c>
      <c r="Z425" t="str">
        <f>IF(Transaction[[#This Row],[GrossRevenue_Clean]]=Transaction[[#This Row],[ListPrice]]*Transaction[[#This Row],[Quantity]],"Valid","Invalid")</f>
        <v>Valid</v>
      </c>
      <c r="AA425">
        <v>561.39</v>
      </c>
      <c r="AB42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561.39</v>
      </c>
      <c r="AC425">
        <f>IF(Transaction[[#This Row],[DiscountAmount_Check2]]="Invalid",Transaction[[#This Row],[GrossRevenue_Analytical]]-Transaction[[#This Row],[NetRevenue_Analytical]],Transaction[[#This Row],[DiscountAmount_Clean]])</f>
        <v>561.39</v>
      </c>
      <c r="AD425">
        <v>1288.6099999999999</v>
      </c>
      <c r="AE425" t="str">
        <f>IF(ROUND(Transaction[[#This Row],[GrossRevenue_Analytical]]-Transaction[[#This Row],[NetRevenue_Analytical]],2)=ROUND(Transaction[[#This Row],[DiscountAmount_Clean]],2),"Valid","Invalid")</f>
        <v>Valid</v>
      </c>
      <c r="AF42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1288.6099999999999</v>
      </c>
      <c r="AG425">
        <f>IF(Transaction[[#This Row],[NetRevenue_Check]]="Invalid",(Transaction[[#This Row],[Quantity]]*Transaction[[#This Row],[UnitPrice_Clean]]),Transaction[[#This Row],[NetRevenue_Clean]])</f>
        <v>1288.6099999999999</v>
      </c>
      <c r="AH425" t="str">
        <f>IF(Transaction[[#This Row],[Quantity]]*Transaction[[#This Row],[UnitPrice_Clean]]=Transaction[[#This Row],[NetRevenue_Clean]],"Valid","Invalid")</f>
        <v>Valid</v>
      </c>
      <c r="AI425" t="s">
        <v>23</v>
      </c>
      <c r="AJ425" t="s">
        <v>424</v>
      </c>
      <c r="AK425" t="str">
        <f>IF(Transaction[[#This Row],[Salesperson]]="","Missing Value",TRIM(PROPER(Transaction[[#This Row],[Salesperson]])))</f>
        <v>Johnson-Ap</v>
      </c>
      <c r="AL425" t="s">
        <v>25</v>
      </c>
      <c r="AM425" t="str">
        <f>IF(Transaction[[#This Row],[ContractType]]="","Missing Value",Transaction[[#This Row],[ContractType]])</f>
        <v>Frame Agreement</v>
      </c>
      <c r="AN425" t="s">
        <v>26</v>
      </c>
    </row>
    <row r="426" spans="1:40" x14ac:dyDescent="0.25">
      <c r="A426" t="s">
        <v>1944</v>
      </c>
      <c r="B426" s="1">
        <v>45835</v>
      </c>
      <c r="C42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42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42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26" s="2">
        <f>IFERROR(DATE(Transaction[[#This Row],[TransactionDateY]],Transaction[[#This Row],[TransactionDateM]],Transaction[[#This Row],[TransactionDateD]]),"Missing Value")</f>
        <v>45835</v>
      </c>
      <c r="G426" t="s">
        <v>470</v>
      </c>
      <c r="H426" t="str">
        <f>IFERROR(VLOOKUP(Transaction[[#This Row],[CustomerID]],Custumer[],1,0),IF(LEN(Transaction[[#This Row],[CustomerID]])=7,LEFT(Transaction[[#This Row],[CustomerID]],6),"Invalid ID"))</f>
        <v>C-1151</v>
      </c>
      <c r="I426" t="s">
        <v>121</v>
      </c>
      <c r="J426" t="str">
        <f>TRIM(UPPER(Transaction[[#This Row],[ProductID]]))</f>
        <v>P-FS-001</v>
      </c>
      <c r="K426" t="str">
        <f>IFERROR(VLOOKUP(Transaction[[#This Row],[ProductID_Clean]],Product[],1,FALSE),"Invalid ID")</f>
        <v>P-FS-001</v>
      </c>
      <c r="L426" t="str">
        <f>TRIM(SUBSTITUTE(SUBSTITUTE(SUBSTITUTE(SUBSTITUTE(UPPER(Transaction[[#This Row],[Region]]),"EMEA REGION","EMEA"),"APAC REGION","APAC"),"NORTH AMERICA","N. AMERICA"),"N .AMERICA","N.AMERICA"))</f>
        <v>LATIN AMERICA</v>
      </c>
      <c r="M426" t="s">
        <v>82</v>
      </c>
      <c r="N426" t="s">
        <v>244</v>
      </c>
      <c r="O42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426" t="s">
        <v>40</v>
      </c>
      <c r="Q426" t="str">
        <f>IF(TRIM(Transaction[[#This Row],[SalesChannel]])="","Missing Value",TRIM(Transaction[[#This Row],[SalesChannel]]))</f>
        <v>Distributor</v>
      </c>
      <c r="R426" s="4">
        <v>1</v>
      </c>
      <c r="S426" s="4" t="str">
        <f>IF(Transaction[[#This Row],[Quantity]]&lt;0,"Negative-review","Valid")</f>
        <v>Valid</v>
      </c>
      <c r="T426">
        <v>1459.95</v>
      </c>
      <c r="U42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1459.95</v>
      </c>
      <c r="V426">
        <v>1850</v>
      </c>
      <c r="W426" t="s">
        <v>1945</v>
      </c>
      <c r="X42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426">
        <f>IF(Transaction[[#This Row],[GrossRevenue_Check]]="Invalid",Transaction[[#This Row],[ListPrice]]*Transaction[[#This Row],[Quantity]],Transaction[[#This Row],[GrossRevenue_Clean]])</f>
        <v>1850</v>
      </c>
      <c r="Z426" t="str">
        <f>IF(Transaction[[#This Row],[GrossRevenue_Clean]]=Transaction[[#This Row],[ListPrice]]*Transaction[[#This Row],[Quantity]],"Valid","Invalid")</f>
        <v>Valid</v>
      </c>
      <c r="AA426">
        <v>390.05</v>
      </c>
      <c r="AB42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390.05</v>
      </c>
      <c r="AC426">
        <f>IF(Transaction[[#This Row],[DiscountAmount_Check2]]="Invalid",Transaction[[#This Row],[GrossRevenue_Analytical]]-Transaction[[#This Row],[NetRevenue_Analytical]],Transaction[[#This Row],[DiscountAmount_Clean]])</f>
        <v>390.05</v>
      </c>
      <c r="AD426">
        <v>1459.95</v>
      </c>
      <c r="AE426" t="str">
        <f>IF(ROUND(Transaction[[#This Row],[GrossRevenue_Analytical]]-Transaction[[#This Row],[NetRevenue_Analytical]],2)=ROUND(Transaction[[#This Row],[DiscountAmount_Clean]],2),"Valid","Invalid")</f>
        <v>Valid</v>
      </c>
      <c r="AF42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1459.95</v>
      </c>
      <c r="AG426">
        <f>IF(Transaction[[#This Row],[NetRevenue_Check]]="Invalid",(Transaction[[#This Row],[Quantity]]*Transaction[[#This Row],[UnitPrice_Clean]]),Transaction[[#This Row],[NetRevenue_Clean]])</f>
        <v>1459.95</v>
      </c>
      <c r="AH426" t="str">
        <f>IF(Transaction[[#This Row],[Quantity]]*Transaction[[#This Row],[UnitPrice_Clean]]=Transaction[[#This Row],[NetRevenue_Clean]],"Valid","Invalid")</f>
        <v>Valid</v>
      </c>
      <c r="AI426" t="s">
        <v>23</v>
      </c>
      <c r="AJ426" t="s">
        <v>290</v>
      </c>
      <c r="AK426" t="str">
        <f>IF(Transaction[[#This Row],[Salesperson]]="","Missing Value",TRIM(PROPER(Transaction[[#This Row],[Salesperson]])))</f>
        <v>Lopez</v>
      </c>
      <c r="AL426" t="s">
        <v>25</v>
      </c>
      <c r="AM426" t="str">
        <f>IF(Transaction[[#This Row],[ContractType]]="","Missing Value",Transaction[[#This Row],[ContractType]])</f>
        <v>Frame Agreement</v>
      </c>
      <c r="AN426" t="s">
        <v>49</v>
      </c>
    </row>
    <row r="427" spans="1:40" x14ac:dyDescent="0.25">
      <c r="A427" t="s">
        <v>863</v>
      </c>
      <c r="B427" s="1">
        <v>45727</v>
      </c>
      <c r="C42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42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42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27" s="2">
        <f>IFERROR(DATE(Transaction[[#This Row],[TransactionDateY]],Transaction[[#This Row],[TransactionDateM]],Transaction[[#This Row],[TransactionDateD]]),"Missing Value")</f>
        <v>45727</v>
      </c>
      <c r="G427" t="s">
        <v>541</v>
      </c>
      <c r="H427" t="str">
        <f>IFERROR(VLOOKUP(Transaction[[#This Row],[CustomerID]],Custumer[],1,0),IF(LEN(Transaction[[#This Row],[CustomerID]])=7,LEFT(Transaction[[#This Row],[CustomerID]],6),"Invalid ID"))</f>
        <v>C-1075</v>
      </c>
      <c r="I427" t="s">
        <v>268</v>
      </c>
      <c r="J427" t="str">
        <f>TRIM(UPPER(Transaction[[#This Row],[ProductID]]))</f>
        <v>P-FS-002</v>
      </c>
      <c r="K427" t="str">
        <f>IFERROR(VLOOKUP(Transaction[[#This Row],[ProductID_Clean]],Product[],1,FALSE),"Invalid ID")</f>
        <v>P-FS-002</v>
      </c>
      <c r="L427" t="str">
        <f>TRIM(SUBSTITUTE(SUBSTITUTE(SUBSTITUTE(SUBSTITUTE(UPPER(Transaction[[#This Row],[Region]]),"EMEA REGION","EMEA"),"APAC REGION","APAC"),"NORTH AMERICA","N. AMERICA"),"N .AMERICA","N.AMERICA"))</f>
        <v>N. AMERICA</v>
      </c>
      <c r="M427" t="s">
        <v>20</v>
      </c>
      <c r="N427" t="s">
        <v>21</v>
      </c>
      <c r="O427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427" t="s">
        <v>40</v>
      </c>
      <c r="Q427" t="str">
        <f>IF(TRIM(Transaction[[#This Row],[SalesChannel]])="","Missing Value",TRIM(Transaction[[#This Row],[SalesChannel]]))</f>
        <v>Distributor</v>
      </c>
      <c r="R427" s="4">
        <v>1</v>
      </c>
      <c r="S427" s="4" t="str">
        <f>IF(Transaction[[#This Row],[Quantity]]&lt;0,"Negative-review","Valid")</f>
        <v>Valid</v>
      </c>
      <c r="T427">
        <v>1643.67</v>
      </c>
      <c r="U42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1643.67</v>
      </c>
      <c r="V427">
        <v>2400</v>
      </c>
      <c r="W427">
        <v>2400</v>
      </c>
      <c r="X42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427">
        <f>IF(Transaction[[#This Row],[GrossRevenue_Check]]="Invalid",Transaction[[#This Row],[ListPrice]]*Transaction[[#This Row],[Quantity]],Transaction[[#This Row],[GrossRevenue_Clean]])</f>
        <v>2400</v>
      </c>
      <c r="Z427" t="str">
        <f>IF(Transaction[[#This Row],[GrossRevenue_Clean]]=Transaction[[#This Row],[ListPrice]]*Transaction[[#This Row],[Quantity]],"Valid","Invalid")</f>
        <v>Valid</v>
      </c>
      <c r="AA427">
        <v>756.33</v>
      </c>
      <c r="AB42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756.33</v>
      </c>
      <c r="AC427">
        <f>IF(Transaction[[#This Row],[DiscountAmount_Check2]]="Invalid",Transaction[[#This Row],[GrossRevenue_Analytical]]-Transaction[[#This Row],[NetRevenue_Analytical]],Transaction[[#This Row],[DiscountAmount_Clean]])</f>
        <v>756.33</v>
      </c>
      <c r="AD427">
        <v>1643.67</v>
      </c>
      <c r="AE427" t="str">
        <f>IF(ROUND(Transaction[[#This Row],[GrossRevenue_Analytical]]-Transaction[[#This Row],[NetRevenue_Analytical]],2)=ROUND(Transaction[[#This Row],[DiscountAmount_Clean]],2),"Valid","Invalid")</f>
        <v>Valid</v>
      </c>
      <c r="AF42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1643.67</v>
      </c>
      <c r="AG427">
        <f>IF(Transaction[[#This Row],[NetRevenue_Check]]="Invalid",(Transaction[[#This Row],[Quantity]]*Transaction[[#This Row],[UnitPrice_Clean]]),Transaction[[#This Row],[NetRevenue_Clean]])</f>
        <v>1643.67</v>
      </c>
      <c r="AH427" t="str">
        <f>IF(Transaction[[#This Row],[Quantity]]*Transaction[[#This Row],[UnitPrice_Clean]]=Transaction[[#This Row],[NetRevenue_Clean]],"Valid","Invalid")</f>
        <v>Valid</v>
      </c>
      <c r="AI427" t="s">
        <v>128</v>
      </c>
      <c r="AJ427" t="s">
        <v>864</v>
      </c>
      <c r="AK427" t="str">
        <f>IF(Transaction[[#This Row],[Salesperson]]="","Missing Value",TRIM(PROPER(Transaction[[#This Row],[Salesperson]])))</f>
        <v>Holmes-Ap</v>
      </c>
      <c r="AL427" t="s">
        <v>224</v>
      </c>
      <c r="AM427" t="str">
        <f>IF(Transaction[[#This Row],[ContractType]]="","Missing Value",Transaction[[#This Row],[ContractType]])</f>
        <v>Annual</v>
      </c>
      <c r="AN427" t="s">
        <v>49</v>
      </c>
    </row>
    <row r="428" spans="1:40" x14ac:dyDescent="0.25">
      <c r="A428" t="s">
        <v>1298</v>
      </c>
      <c r="B428" t="s">
        <v>1299</v>
      </c>
      <c r="C42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42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42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28" s="2">
        <f>IFERROR(DATE(Transaction[[#This Row],[TransactionDateY]],Transaction[[#This Row],[TransactionDateM]],Transaction[[#This Row],[TransactionDateD]]),"Missing Value")</f>
        <v>45737</v>
      </c>
      <c r="G428" t="s">
        <v>96</v>
      </c>
      <c r="H428" t="str">
        <f>IFERROR(VLOOKUP(Transaction[[#This Row],[CustomerID]],Custumer[],1,0),IF(LEN(Transaction[[#This Row],[CustomerID]])=7,LEFT(Transaction[[#This Row],[CustomerID]],6),"Invalid ID"))</f>
        <v>C-1057</v>
      </c>
      <c r="I428" t="s">
        <v>111</v>
      </c>
      <c r="J428" t="str">
        <f>TRIM(UPPER(Transaction[[#This Row],[ProductID]]))</f>
        <v>P-SA-004</v>
      </c>
      <c r="K428" t="str">
        <f>IFERROR(VLOOKUP(Transaction[[#This Row],[ProductID_Clean]],Product[],1,FALSE),"Invalid ID")</f>
        <v>P-SA-004</v>
      </c>
      <c r="L428" t="str">
        <f>TRIM(SUBSTITUTE(SUBSTITUTE(SUBSTITUTE(SUBSTITUTE(UPPER(Transaction[[#This Row],[Region]]),"EMEA REGION","EMEA"),"APAC REGION","APAC"),"NORTH AMERICA","N. AMERICA"),"N .AMERICA","N.AMERICA"))</f>
        <v>N. AMERICA</v>
      </c>
      <c r="M428" t="s">
        <v>20</v>
      </c>
      <c r="N428" t="s">
        <v>205</v>
      </c>
      <c r="O42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428" t="s">
        <v>22</v>
      </c>
      <c r="Q428" t="str">
        <f>IF(TRIM(Transaction[[#This Row],[SalesChannel]])="","Missing Value",TRIM(Transaction[[#This Row],[SalesChannel]]))</f>
        <v>Direct</v>
      </c>
      <c r="R428" s="4">
        <v>1</v>
      </c>
      <c r="S428" s="4" t="str">
        <f>IF(Transaction[[#This Row],[Quantity]]&lt;0,"Negative-review","Valid")</f>
        <v>Valid</v>
      </c>
      <c r="T428">
        <v>1634.51</v>
      </c>
      <c r="U42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1634.51</v>
      </c>
      <c r="V428">
        <v>1650</v>
      </c>
      <c r="W428">
        <v>1650</v>
      </c>
      <c r="X42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428">
        <f>IF(Transaction[[#This Row],[GrossRevenue_Check]]="Invalid",Transaction[[#This Row],[ListPrice]]*Transaction[[#This Row],[Quantity]],Transaction[[#This Row],[GrossRevenue_Clean]])</f>
        <v>1650</v>
      </c>
      <c r="Z428" t="str">
        <f>IF(Transaction[[#This Row],[GrossRevenue_Clean]]=Transaction[[#This Row],[ListPrice]]*Transaction[[#This Row],[Quantity]],"Valid","Invalid")</f>
        <v>Valid</v>
      </c>
      <c r="AA428">
        <v>15.49</v>
      </c>
      <c r="AB42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15.49</v>
      </c>
      <c r="AC428">
        <f>IF(Transaction[[#This Row],[DiscountAmount_Check2]]="Invalid",Transaction[[#This Row],[GrossRevenue_Analytical]]-Transaction[[#This Row],[NetRevenue_Analytical]],Transaction[[#This Row],[DiscountAmount_Clean]])</f>
        <v>15.49</v>
      </c>
      <c r="AD428">
        <v>1634.51</v>
      </c>
      <c r="AE428" t="str">
        <f>IF(ROUND(Transaction[[#This Row],[GrossRevenue_Analytical]]-Transaction[[#This Row],[NetRevenue_Analytical]],2)=ROUND(Transaction[[#This Row],[DiscountAmount_Clean]],2),"Valid","Invalid")</f>
        <v>Valid</v>
      </c>
      <c r="AF42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1634.51</v>
      </c>
      <c r="AG428">
        <f>IF(Transaction[[#This Row],[NetRevenue_Check]]="Invalid",(Transaction[[#This Row],[Quantity]]*Transaction[[#This Row],[UnitPrice_Clean]]),Transaction[[#This Row],[NetRevenue_Clean]])</f>
        <v>1634.51</v>
      </c>
      <c r="AH428" t="str">
        <f>IF(Transaction[[#This Row],[Quantity]]*Transaction[[#This Row],[UnitPrice_Clean]]=Transaction[[#This Row],[NetRevenue_Clean]],"Valid","Invalid")</f>
        <v>Valid</v>
      </c>
      <c r="AI428" t="s">
        <v>23</v>
      </c>
      <c r="AJ428" t="s">
        <v>1300</v>
      </c>
      <c r="AK428" t="str">
        <f>IF(Transaction[[#This Row],[Salesperson]]="","Missing Value",TRIM(PROPER(Transaction[[#This Row],[Salesperson]])))</f>
        <v>Mcintyre</v>
      </c>
      <c r="AL428" t="s">
        <v>113</v>
      </c>
      <c r="AM428" t="str">
        <f>IF(Transaction[[#This Row],[ContractType]]="","Missing Value",Transaction[[#This Row],[ContractType]])</f>
        <v>Subscription</v>
      </c>
      <c r="AN428" t="s">
        <v>65</v>
      </c>
    </row>
    <row r="429" spans="1:40" x14ac:dyDescent="0.25">
      <c r="A429" t="s">
        <v>1288</v>
      </c>
      <c r="B429" t="s">
        <v>1289</v>
      </c>
      <c r="C42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42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31</v>
      </c>
      <c r="E42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29" s="2">
        <f>IFERROR(DATE(Transaction[[#This Row],[TransactionDateY]],Transaction[[#This Row],[TransactionDateM]],Transaction[[#This Row],[TransactionDateD]]),"Missing Value")</f>
        <v>45747</v>
      </c>
      <c r="G429" t="s">
        <v>360</v>
      </c>
      <c r="H429" t="str">
        <f>IFERROR(VLOOKUP(Transaction[[#This Row],[CustomerID]],Custumer[],1,0),IF(LEN(Transaction[[#This Row],[CustomerID]])=7,LEFT(Transaction[[#This Row],[CustomerID]],6),"Invalid ID"))</f>
        <v>C-1067</v>
      </c>
      <c r="I429" t="s">
        <v>1290</v>
      </c>
      <c r="J429" t="str">
        <f>TRIM(UPPER(Transaction[[#This Row],[ProductID]]))</f>
        <v>P-SI-005</v>
      </c>
      <c r="K429" t="str">
        <f>IFERROR(VLOOKUP(Transaction[[#This Row],[ProductID_Clean]],Product[],1,FALSE),"Invalid ID")</f>
        <v>P-SI-005</v>
      </c>
      <c r="L429" t="str">
        <f>TRIM(SUBSTITUTE(SUBSTITUTE(SUBSTITUTE(SUBSTITUTE(UPPER(Transaction[[#This Row],[Region]]),"EMEA REGION","EMEA"),"APAC REGION","APAC"),"NORTH AMERICA","N. AMERICA"),"N .AMERICA","N.AMERICA"))</f>
        <v>APAC</v>
      </c>
      <c r="M429" t="s">
        <v>30</v>
      </c>
      <c r="N429" t="s">
        <v>53</v>
      </c>
      <c r="O42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29" t="s">
        <v>181</v>
      </c>
      <c r="Q429" t="str">
        <f>IF(TRIM(Transaction[[#This Row],[SalesChannel]])="","Missing Value",TRIM(Transaction[[#This Row],[SalesChannel]]))</f>
        <v>Partner Portal</v>
      </c>
      <c r="R429" s="4">
        <v>3</v>
      </c>
      <c r="S429" s="4" t="str">
        <f>IF(Transaction[[#This Row],[Quantity]]&lt;0,"Negative-review","Valid")</f>
        <v>Valid</v>
      </c>
      <c r="T429">
        <v>841.72</v>
      </c>
      <c r="U42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841.72</v>
      </c>
      <c r="V429">
        <v>1120</v>
      </c>
      <c r="W429">
        <v>3360</v>
      </c>
      <c r="X42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3360</v>
      </c>
      <c r="Y429">
        <f>IF(Transaction[[#This Row],[GrossRevenue_Check]]="Invalid",Transaction[[#This Row],[ListPrice]]*Transaction[[#This Row],[Quantity]],Transaction[[#This Row],[GrossRevenue_Clean]])</f>
        <v>3360</v>
      </c>
      <c r="Z429" t="str">
        <f>IF(Transaction[[#This Row],[GrossRevenue_Clean]]=Transaction[[#This Row],[ListPrice]]*Transaction[[#This Row],[Quantity]],"Valid","Invalid")</f>
        <v>Valid</v>
      </c>
      <c r="AA429">
        <v>834.84</v>
      </c>
      <c r="AB42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834.84</v>
      </c>
      <c r="AC429">
        <f>IF(Transaction[[#This Row],[DiscountAmount_Check2]]="Invalid",Transaction[[#This Row],[GrossRevenue_Analytical]]-Transaction[[#This Row],[NetRevenue_Analytical]],Transaction[[#This Row],[DiscountAmount_Clean]])</f>
        <v>834.84</v>
      </c>
      <c r="AD429">
        <v>2525.16</v>
      </c>
      <c r="AE429" t="str">
        <f>IF(ROUND(Transaction[[#This Row],[GrossRevenue_Analytical]]-Transaction[[#This Row],[NetRevenue_Analytical]],2)=ROUND(Transaction[[#This Row],[DiscountAmount_Clean]],2),"Valid","Invalid")</f>
        <v>Valid</v>
      </c>
      <c r="AF42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2525.16</v>
      </c>
      <c r="AG429">
        <f>IF(Transaction[[#This Row],[NetRevenue_Check]]="Invalid",(Transaction[[#This Row],[Quantity]]*Transaction[[#This Row],[UnitPrice_Clean]]),Transaction[[#This Row],[NetRevenue_Clean]])</f>
        <v>2525.16</v>
      </c>
      <c r="AH429" t="str">
        <f>IF(Transaction[[#This Row],[Quantity]]*Transaction[[#This Row],[UnitPrice_Clean]]=Transaction[[#This Row],[NetRevenue_Clean]],"Valid","Invalid")</f>
        <v>Valid</v>
      </c>
      <c r="AI429" t="s">
        <v>23</v>
      </c>
      <c r="AJ429" t="s">
        <v>1291</v>
      </c>
      <c r="AK429" t="str">
        <f>IF(Transaction[[#This Row],[Salesperson]]="","Missing Value",TRIM(PROPER(Transaction[[#This Row],[Salesperson]])))</f>
        <v>Wilson</v>
      </c>
      <c r="AL429" t="s">
        <v>55</v>
      </c>
      <c r="AM429" t="str">
        <f>IF(Transaction[[#This Row],[ContractType]]="","Missing Value",Transaction[[#This Row],[ContractType]])</f>
        <v>Spot</v>
      </c>
      <c r="AN429" t="s">
        <v>43</v>
      </c>
    </row>
    <row r="430" spans="1:40" x14ac:dyDescent="0.25">
      <c r="A430" t="s">
        <v>1243</v>
      </c>
      <c r="B430" s="1">
        <v>45802</v>
      </c>
      <c r="C43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43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43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30" s="2">
        <f>IFERROR(DATE(Transaction[[#This Row],[TransactionDateY]],Transaction[[#This Row],[TransactionDateM]],Transaction[[#This Row],[TransactionDateD]]),"Missing Value")</f>
        <v>45802</v>
      </c>
      <c r="G430" t="s">
        <v>1015</v>
      </c>
      <c r="H430" t="str">
        <f>IFERROR(VLOOKUP(Transaction[[#This Row],[CustomerID]],Custumer[],1,0),IF(LEN(Transaction[[#This Row],[CustomerID]])=7,LEFT(Transaction[[#This Row],[CustomerID]],6),"Invalid ID"))</f>
        <v>C-1012</v>
      </c>
      <c r="I430" t="s">
        <v>29</v>
      </c>
      <c r="J430" t="str">
        <f>TRIM(UPPER(Transaction[[#This Row],[ProductID]]))</f>
        <v>P-SA-001</v>
      </c>
      <c r="K430" t="str">
        <f>IFERROR(VLOOKUP(Transaction[[#This Row],[ProductID_Clean]],Product[],1,FALSE),"Invalid ID")</f>
        <v>P-SA-001</v>
      </c>
      <c r="L430" t="str">
        <f>TRIM(SUBSTITUTE(SUBSTITUTE(SUBSTITUTE(SUBSTITUTE(UPPER(Transaction[[#This Row],[Region]]),"EMEA REGION","EMEA"),"APAC REGION","APAC"),"NORTH AMERICA","N. AMERICA"),"N .AMERICA","N.AMERICA"))</f>
        <v>N. AMERICA</v>
      </c>
      <c r="M430" t="s">
        <v>20</v>
      </c>
      <c r="N430" t="s">
        <v>31</v>
      </c>
      <c r="O430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430" t="s">
        <v>22</v>
      </c>
      <c r="Q430" t="str">
        <f>IF(TRIM(Transaction[[#This Row],[SalesChannel]])="","Missing Value",TRIM(Transaction[[#This Row],[SalesChannel]]))</f>
        <v>Direct</v>
      </c>
      <c r="R430" s="4">
        <v>1</v>
      </c>
      <c r="S430" s="4" t="str">
        <f>IF(Transaction[[#This Row],[Quantity]]&lt;0,"Negative-review","Valid")</f>
        <v>Valid</v>
      </c>
      <c r="T430">
        <v>3859.15</v>
      </c>
      <c r="U43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3859.15</v>
      </c>
      <c r="V430">
        <v>4200</v>
      </c>
      <c r="W430">
        <v>4200</v>
      </c>
      <c r="X43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430">
        <f>IF(Transaction[[#This Row],[GrossRevenue_Check]]="Invalid",Transaction[[#This Row],[ListPrice]]*Transaction[[#This Row],[Quantity]],Transaction[[#This Row],[GrossRevenue_Clean]])</f>
        <v>4200</v>
      </c>
      <c r="Z430" t="str">
        <f>IF(Transaction[[#This Row],[GrossRevenue_Clean]]=Transaction[[#This Row],[ListPrice]]*Transaction[[#This Row],[Quantity]],"Valid","Invalid")</f>
        <v>Valid</v>
      </c>
      <c r="AA430">
        <v>340.85</v>
      </c>
      <c r="AB43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340.85</v>
      </c>
      <c r="AC430">
        <f>IF(Transaction[[#This Row],[DiscountAmount_Check2]]="Invalid",Transaction[[#This Row],[GrossRevenue_Analytical]]-Transaction[[#This Row],[NetRevenue_Analytical]],Transaction[[#This Row],[DiscountAmount_Clean]])</f>
        <v>340.85</v>
      </c>
      <c r="AD430">
        <v>3859.15</v>
      </c>
      <c r="AE430" t="str">
        <f>IF(ROUND(Transaction[[#This Row],[GrossRevenue_Analytical]]-Transaction[[#This Row],[NetRevenue_Analytical]],2)=ROUND(Transaction[[#This Row],[DiscountAmount_Clean]],2),"Valid","Invalid")</f>
        <v>Valid</v>
      </c>
      <c r="AF430">
        <f>VALUE(IF(ISNUMBER(Transaction[[#This Row],[NetRevenue]]),Transaction[[#This Row],[NetRevenue]],IFERROR(IF(FIND("$",Transaction[[#This Row],[NetRevenue]])&gt;0,MID(Transaction[[#This Row],[NetRevenue]],2,10)),Transaction[[#This Row],[NetRevenue]])))</f>
        <v>3859.15</v>
      </c>
      <c r="AG430">
        <f>IF(Transaction[[#This Row],[NetRevenue_Check]]="Invalid",(Transaction[[#This Row],[Quantity]]*Transaction[[#This Row],[UnitPrice_Clean]]),Transaction[[#This Row],[NetRevenue_Clean]])</f>
        <v>3859.15</v>
      </c>
      <c r="AH430" t="str">
        <f>IF(Transaction[[#This Row],[Quantity]]*Transaction[[#This Row],[UnitPrice_Clean]]=Transaction[[#This Row],[NetRevenue_Clean]],"Valid","Invalid")</f>
        <v>Valid</v>
      </c>
      <c r="AI430" t="s">
        <v>23</v>
      </c>
      <c r="AJ430" t="s">
        <v>1244</v>
      </c>
      <c r="AK430" t="str">
        <f>IF(Transaction[[#This Row],[Salesperson]]="","Missing Value",TRIM(PROPER(Transaction[[#This Row],[Salesperson]])))</f>
        <v>Hampton-Ap</v>
      </c>
      <c r="AL430" t="s">
        <v>34</v>
      </c>
      <c r="AM430" t="str">
        <f>IF(Transaction[[#This Row],[ContractType]]="","Missing Value",Transaction[[#This Row],[ContractType]])</f>
        <v>Annual License</v>
      </c>
      <c r="AN430" t="s">
        <v>65</v>
      </c>
    </row>
    <row r="431" spans="1:40" x14ac:dyDescent="0.25">
      <c r="A431" t="s">
        <v>2202</v>
      </c>
      <c r="B431" s="1">
        <v>45760</v>
      </c>
      <c r="C43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43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43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31" s="2">
        <f>IFERROR(DATE(Transaction[[#This Row],[TransactionDateY]],Transaction[[#This Row],[TransactionDateM]],Transaction[[#This Row],[TransactionDateD]]),"Missing Value")</f>
        <v>45760</v>
      </c>
      <c r="G431" t="s">
        <v>795</v>
      </c>
      <c r="H431" t="str">
        <f>IFERROR(VLOOKUP(Transaction[[#This Row],[CustomerID]],Custumer[],1,0),IF(LEN(Transaction[[#This Row],[CustomerID]])=7,LEFT(Transaction[[#This Row],[CustomerID]],6),"Invalid ID"))</f>
        <v>C-1118</v>
      </c>
      <c r="I431" t="s">
        <v>46</v>
      </c>
      <c r="J431" t="str">
        <f>TRIM(UPPER(Transaction[[#This Row],[ProductID]]))</f>
        <v>P-SI-006</v>
      </c>
      <c r="K431" t="str">
        <f>IFERROR(VLOOKUP(Transaction[[#This Row],[ProductID_Clean]],Product[],1,FALSE),"Invalid ID")</f>
        <v>P-SI-006</v>
      </c>
      <c r="L431" t="str">
        <f>TRIM(SUBSTITUTE(SUBSTITUTE(SUBSTITUTE(SUBSTITUTE(UPPER(Transaction[[#This Row],[Region]]),"EMEA REGION","EMEA"),"APAC REGION","APAC"),"NORTH AMERICA","N. AMERICA"),"N .AMERICA","N.AMERICA"))</f>
        <v>N. AMERICA</v>
      </c>
      <c r="M431" t="s">
        <v>20</v>
      </c>
      <c r="N431" t="s">
        <v>98</v>
      </c>
      <c r="O43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31" t="s">
        <v>77</v>
      </c>
      <c r="Q431" t="str">
        <f>IF(TRIM(Transaction[[#This Row],[SalesChannel]])="","Missing Value",TRIM(Transaction[[#This Row],[SalesChannel]]))</f>
        <v>distributor</v>
      </c>
      <c r="R431" s="4">
        <v>3</v>
      </c>
      <c r="S431" s="4" t="str">
        <f>IF(Transaction[[#This Row],[Quantity]]&lt;0,"Negative-review","Valid")</f>
        <v>Valid</v>
      </c>
      <c r="T431">
        <v>169.63</v>
      </c>
      <c r="U43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169.63</v>
      </c>
      <c r="V431">
        <v>215</v>
      </c>
      <c r="W431">
        <v>645</v>
      </c>
      <c r="X43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431">
        <f>IF(Transaction[[#This Row],[GrossRevenue_Check]]="Invalid",Transaction[[#This Row],[ListPrice]]*Transaction[[#This Row],[Quantity]],Transaction[[#This Row],[GrossRevenue_Clean]])</f>
        <v>645</v>
      </c>
      <c r="Z431" t="str">
        <f>IF(Transaction[[#This Row],[GrossRevenue_Clean]]=Transaction[[#This Row],[ListPrice]]*Transaction[[#This Row],[Quantity]],"Valid","Invalid")</f>
        <v>Valid</v>
      </c>
      <c r="AA431">
        <v>136.11000000000001</v>
      </c>
      <c r="AB43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136.11000000000001</v>
      </c>
      <c r="AC431">
        <f>IF(Transaction[[#This Row],[DiscountAmount_Check2]]="Invalid",Transaction[[#This Row],[GrossRevenue_Analytical]]-Transaction[[#This Row],[NetRevenue_Analytical]],Transaction[[#This Row],[DiscountAmount_Clean]])</f>
        <v>136.11000000000001</v>
      </c>
      <c r="AD431">
        <v>508.89</v>
      </c>
      <c r="AE431" t="str">
        <f>IF(ROUND(Transaction[[#This Row],[GrossRevenue_Analytical]]-Transaction[[#This Row],[NetRevenue_Analytical]],2)=ROUND(Transaction[[#This Row],[DiscountAmount_Clean]],2),"Valid","Invalid")</f>
        <v>Valid</v>
      </c>
      <c r="AF431">
        <f>VALUE(IF(ISNUMBER(Transaction[[#This Row],[NetRevenue]]),Transaction[[#This Row],[NetRevenue]],IFERROR(IF(FIND("$",Transaction[[#This Row],[NetRevenue]])&gt;0,MID(Transaction[[#This Row],[NetRevenue]],2,10)),Transaction[[#This Row],[NetRevenue]])))</f>
        <v>508.89</v>
      </c>
      <c r="AG431">
        <f>IF(Transaction[[#This Row],[NetRevenue_Check]]="Invalid",(Transaction[[#This Row],[Quantity]]*Transaction[[#This Row],[UnitPrice_Clean]]),Transaction[[#This Row],[NetRevenue_Clean]])</f>
        <v>508.89</v>
      </c>
      <c r="AH431" t="str">
        <f>IF(Transaction[[#This Row],[Quantity]]*Transaction[[#This Row],[UnitPrice_Clean]]=Transaction[[#This Row],[NetRevenue_Clean]],"Valid","Invalid")</f>
        <v>Valid</v>
      </c>
      <c r="AI431" t="s">
        <v>23</v>
      </c>
      <c r="AJ431" t="s">
        <v>2203</v>
      </c>
      <c r="AK431" t="str">
        <f>IF(Transaction[[#This Row],[Salesperson]]="","Missing Value",TRIM(PROPER(Transaction[[#This Row],[Salesperson]])))</f>
        <v>Padilla</v>
      </c>
      <c r="AL431" t="s">
        <v>55</v>
      </c>
      <c r="AM431" t="str">
        <f>IF(Transaction[[#This Row],[ContractType]]="","Missing Value",Transaction[[#This Row],[ContractType]])</f>
        <v>Spot</v>
      </c>
      <c r="AN431" t="s">
        <v>49</v>
      </c>
    </row>
    <row r="432" spans="1:40" x14ac:dyDescent="0.25">
      <c r="A432" t="s">
        <v>213</v>
      </c>
      <c r="B432" s="1">
        <v>45694</v>
      </c>
      <c r="C43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43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43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32" s="2">
        <f>IFERROR(DATE(Transaction[[#This Row],[TransactionDateY]],Transaction[[#This Row],[TransactionDateM]],Transaction[[#This Row],[TransactionDateD]]),"Missing Value")</f>
        <v>45694</v>
      </c>
      <c r="G432" t="s">
        <v>214</v>
      </c>
      <c r="H432" t="str">
        <f>IFERROR(VLOOKUP(Transaction[[#This Row],[CustomerID]],Custumer[],1,0),IF(LEN(Transaction[[#This Row],[CustomerID]])=7,LEFT(Transaction[[#This Row],[CustomerID]],6),"Invalid ID"))</f>
        <v>C-1169</v>
      </c>
      <c r="I432" t="s">
        <v>58</v>
      </c>
      <c r="J432" t="str">
        <f>TRIM(UPPER(Transaction[[#This Row],[ProductID]]))</f>
        <v>P-SI-005</v>
      </c>
      <c r="K432" t="str">
        <f>IFERROR(VLOOKUP(Transaction[[#This Row],[ProductID_Clean]],Product[],1,FALSE),"Invalid ID")</f>
        <v>P-SI-005</v>
      </c>
      <c r="L432" t="str">
        <f>TRIM(SUBSTITUTE(SUBSTITUTE(SUBSTITUTE(SUBSTITUTE(UPPER(Transaction[[#This Row],[Region]]),"EMEA REGION","EMEA"),"APAC REGION","APAC"),"NORTH AMERICA","N. AMERICA"),"N .AMERICA","N.AMERICA"))</f>
        <v>EMEA</v>
      </c>
      <c r="M432" t="s">
        <v>76</v>
      </c>
      <c r="N432" t="s">
        <v>53</v>
      </c>
      <c r="O43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32" t="s">
        <v>22</v>
      </c>
      <c r="Q432" t="str">
        <f>IF(TRIM(Transaction[[#This Row],[SalesChannel]])="","Missing Value",TRIM(Transaction[[#This Row],[SalesChannel]]))</f>
        <v>Direct</v>
      </c>
      <c r="R432" s="4">
        <v>1</v>
      </c>
      <c r="S432" s="4" t="str">
        <f>IF(Transaction[[#This Row],[Quantity]]&lt;0,"Negative-review","Valid")</f>
        <v>Valid</v>
      </c>
      <c r="T432">
        <v>1029.45</v>
      </c>
      <c r="U43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1029.45</v>
      </c>
      <c r="V432">
        <v>1120</v>
      </c>
      <c r="W432">
        <v>1120</v>
      </c>
      <c r="X43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1120</v>
      </c>
      <c r="Y432">
        <f>IF(Transaction[[#This Row],[GrossRevenue_Check]]="Invalid",Transaction[[#This Row],[ListPrice]]*Transaction[[#This Row],[Quantity]],Transaction[[#This Row],[GrossRevenue_Clean]])</f>
        <v>1120</v>
      </c>
      <c r="Z432" t="str">
        <f>IF(Transaction[[#This Row],[GrossRevenue_Clean]]=Transaction[[#This Row],[ListPrice]]*Transaction[[#This Row],[Quantity]],"Valid","Invalid")</f>
        <v>Valid</v>
      </c>
      <c r="AA432" t="s">
        <v>215</v>
      </c>
      <c r="AB43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90.55</v>
      </c>
      <c r="AC432">
        <f>IF(Transaction[[#This Row],[DiscountAmount_Check2]]="Invalid",Transaction[[#This Row],[GrossRevenue_Analytical]]-Transaction[[#This Row],[NetRevenue_Analytical]],Transaction[[#This Row],[DiscountAmount_Clean]])</f>
        <v>90.55</v>
      </c>
      <c r="AD432">
        <v>1029.45</v>
      </c>
      <c r="AE432" t="str">
        <f>IF(ROUND(Transaction[[#This Row],[GrossRevenue_Analytical]]-Transaction[[#This Row],[NetRevenue_Analytical]],2)=ROUND(Transaction[[#This Row],[DiscountAmount_Clean]],2),"Valid","Invalid")</f>
        <v>Valid</v>
      </c>
      <c r="AF43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1029.45</v>
      </c>
      <c r="AG432">
        <f>IF(Transaction[[#This Row],[NetRevenue_Check]]="Invalid",(Transaction[[#This Row],[Quantity]]*Transaction[[#This Row],[UnitPrice_Clean]]),Transaction[[#This Row],[NetRevenue_Clean]])</f>
        <v>1029.45</v>
      </c>
      <c r="AH432" t="str">
        <f>IF(Transaction[[#This Row],[Quantity]]*Transaction[[#This Row],[UnitPrice_Clean]]=Transaction[[#This Row],[NetRevenue_Clean]],"Valid","Invalid")</f>
        <v>Valid</v>
      </c>
      <c r="AI432" t="s">
        <v>99</v>
      </c>
      <c r="AJ432" t="s">
        <v>216</v>
      </c>
      <c r="AK432" t="str">
        <f>IF(Transaction[[#This Row],[Salesperson]]="","Missing Value",TRIM(PROPER(Transaction[[#This Row],[Salesperson]])))</f>
        <v>Lewis-Ap</v>
      </c>
      <c r="AL432" t="s">
        <v>42</v>
      </c>
      <c r="AM432" t="str">
        <f>IF(Transaction[[#This Row],[ContractType]]="","Missing Value",Transaction[[#This Row],[ContractType]])</f>
        <v>Standard PO</v>
      </c>
      <c r="AN432" t="s">
        <v>49</v>
      </c>
    </row>
    <row r="433" spans="1:40" x14ac:dyDescent="0.25">
      <c r="A433" t="s">
        <v>255</v>
      </c>
      <c r="B433" t="s">
        <v>256</v>
      </c>
      <c r="C43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43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43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33" s="2">
        <f>IFERROR(DATE(Transaction[[#This Row],[TransactionDateY]],Transaction[[#This Row],[TransactionDateM]],Transaction[[#This Row],[TransactionDateD]]),"Missing Value")</f>
        <v>45820</v>
      </c>
      <c r="G433" t="s">
        <v>257</v>
      </c>
      <c r="H433" t="str">
        <f>IFERROR(VLOOKUP(Transaction[[#This Row],[CustomerID]],Custumer[],1,0),IF(LEN(Transaction[[#This Row],[CustomerID]])=7,LEFT(Transaction[[#This Row],[CustomerID]],6),"Invalid ID"))</f>
        <v>C-1154</v>
      </c>
      <c r="I433" t="s">
        <v>258</v>
      </c>
      <c r="J433" t="str">
        <f>TRIM(UPPER(Transaction[[#This Row],[ProductID]]))</f>
        <v>P-SA-003</v>
      </c>
      <c r="K433" t="str">
        <f>IFERROR(VLOOKUP(Transaction[[#This Row],[ProductID_Clean]],Product[],1,FALSE),"Invalid ID")</f>
        <v>P-SA-003</v>
      </c>
      <c r="L433" t="str">
        <f>TRIM(SUBSTITUTE(SUBSTITUTE(SUBSTITUTE(SUBSTITUTE(UPPER(Transaction[[#This Row],[Region]]),"EMEA REGION","EMEA"),"APAC REGION","APAC"),"NORTH AMERICA","N. AMERICA"),"N .AMERICA","N.AMERICA"))</f>
        <v>APAC</v>
      </c>
      <c r="M433" t="s">
        <v>127</v>
      </c>
      <c r="N433" t="s">
        <v>31</v>
      </c>
      <c r="O43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433" t="s">
        <v>22</v>
      </c>
      <c r="Q433" t="str">
        <f>IF(TRIM(Transaction[[#This Row],[SalesChannel]])="","Missing Value",TRIM(Transaction[[#This Row],[SalesChannel]]))</f>
        <v>Direct</v>
      </c>
      <c r="R433" s="4">
        <v>1</v>
      </c>
      <c r="S433" s="4" t="str">
        <f>IF(Transaction[[#This Row],[Quantity]]&lt;0,"Negative-review","Valid")</f>
        <v>Valid</v>
      </c>
      <c r="T433">
        <v>2592.7800000000002</v>
      </c>
      <c r="U43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2592.7800000000002</v>
      </c>
      <c r="V433">
        <v>2750</v>
      </c>
      <c r="W433">
        <v>2750</v>
      </c>
      <c r="X43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433">
        <f>IF(Transaction[[#This Row],[GrossRevenue_Check]]="Invalid",Transaction[[#This Row],[ListPrice]]*Transaction[[#This Row],[Quantity]],Transaction[[#This Row],[GrossRevenue_Clean]])</f>
        <v>2750</v>
      </c>
      <c r="Z433" t="str">
        <f>IF(Transaction[[#This Row],[GrossRevenue_Clean]]=Transaction[[#This Row],[ListPrice]]*Transaction[[#This Row],[Quantity]],"Valid","Invalid")</f>
        <v>Valid</v>
      </c>
      <c r="AA433">
        <v>157.22</v>
      </c>
      <c r="AB43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157.22</v>
      </c>
      <c r="AC433">
        <f>IF(Transaction[[#This Row],[DiscountAmount_Check2]]="Invalid",Transaction[[#This Row],[GrossRevenue_Analytical]]-Transaction[[#This Row],[NetRevenue_Analytical]],Transaction[[#This Row],[DiscountAmount_Clean]])</f>
        <v>157.22</v>
      </c>
      <c r="AD433">
        <v>2592.7800000000002</v>
      </c>
      <c r="AE433" t="str">
        <f>IF(ROUND(Transaction[[#This Row],[GrossRevenue_Analytical]]-Transaction[[#This Row],[NetRevenue_Analytical]],2)=ROUND(Transaction[[#This Row],[DiscountAmount_Clean]],2),"Valid","Invalid")</f>
        <v>Valid</v>
      </c>
      <c r="AF433">
        <f>VALUE(IF(ISNUMBER(Transaction[[#This Row],[NetRevenue]]),Transaction[[#This Row],[NetRevenue]],IFERROR(IF(FIND("$",Transaction[[#This Row],[NetRevenue]])&gt;0,MID(Transaction[[#This Row],[NetRevenue]],2,10)),Transaction[[#This Row],[NetRevenue]])))</f>
        <v>2592.7800000000002</v>
      </c>
      <c r="AG433">
        <f>IF(Transaction[[#This Row],[NetRevenue_Check]]="Invalid",(Transaction[[#This Row],[Quantity]]*Transaction[[#This Row],[UnitPrice_Clean]]),Transaction[[#This Row],[NetRevenue_Clean]])</f>
        <v>2592.7800000000002</v>
      </c>
      <c r="AH433" t="str">
        <f>IF(Transaction[[#This Row],[Quantity]]*Transaction[[#This Row],[UnitPrice_Clean]]=Transaction[[#This Row],[NetRevenue_Clean]],"Valid","Invalid")</f>
        <v>Valid</v>
      </c>
      <c r="AI433" t="s">
        <v>23</v>
      </c>
      <c r="AJ433" t="s">
        <v>259</v>
      </c>
      <c r="AK433" t="str">
        <f>IF(Transaction[[#This Row],[Salesperson]]="","Missing Value",TRIM(PROPER(Transaction[[#This Row],[Salesperson]])))</f>
        <v>Carr</v>
      </c>
      <c r="AM433" t="str">
        <f>IF(Transaction[[#This Row],[ContractType]]="","Missing Value",Transaction[[#This Row],[ContractType]])</f>
        <v>Missing Value</v>
      </c>
      <c r="AN433" t="s">
        <v>35</v>
      </c>
    </row>
    <row r="434" spans="1:40" x14ac:dyDescent="0.25">
      <c r="A434" t="s">
        <v>951</v>
      </c>
      <c r="B434" t="s">
        <v>952</v>
      </c>
      <c r="C43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43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43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34" s="2">
        <f>IFERROR(DATE(Transaction[[#This Row],[TransactionDateY]],Transaction[[#This Row],[TransactionDateM]],Transaction[[#This Row],[TransactionDateD]]),"Missing Value")</f>
        <v>45681</v>
      </c>
      <c r="G434" t="s">
        <v>953</v>
      </c>
      <c r="H434" t="str">
        <f>IFERROR(VLOOKUP(Transaction[[#This Row],[CustomerID]],Custumer[],1,0),IF(LEN(Transaction[[#This Row],[CustomerID]])=7,LEFT(Transaction[[#This Row],[CustomerID]],6),"Invalid ID"))</f>
        <v>C-1094</v>
      </c>
      <c r="I434" t="s">
        <v>58</v>
      </c>
      <c r="J434" t="str">
        <f>TRIM(UPPER(Transaction[[#This Row],[ProductID]]))</f>
        <v>P-SI-005</v>
      </c>
      <c r="K434" t="str">
        <f>IFERROR(VLOOKUP(Transaction[[#This Row],[ProductID_Clean]],Product[],1,FALSE),"Invalid ID")</f>
        <v>P-SI-005</v>
      </c>
      <c r="L434" t="str">
        <f>TRIM(SUBSTITUTE(SUBSTITUTE(SUBSTITUTE(SUBSTITUTE(UPPER(Transaction[[#This Row],[Region]]),"EMEA REGION","EMEA"),"APAC REGION","APAC"),"NORTH AMERICA","N. AMERICA"),"N .AMERICA","N.AMERICA"))</f>
        <v>N. AMERICA</v>
      </c>
      <c r="M434" t="s">
        <v>204</v>
      </c>
      <c r="N434" t="s">
        <v>272</v>
      </c>
      <c r="O43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34" t="s">
        <v>40</v>
      </c>
      <c r="Q434" t="str">
        <f>IF(TRIM(Transaction[[#This Row],[SalesChannel]])="","Missing Value",TRIM(Transaction[[#This Row],[SalesChannel]]))</f>
        <v>Distributor</v>
      </c>
      <c r="R434" s="4">
        <v>2</v>
      </c>
      <c r="S434" s="4" t="str">
        <f>IF(Transaction[[#This Row],[Quantity]]&lt;0,"Negative-review","Valid")</f>
        <v>Valid</v>
      </c>
      <c r="T434">
        <v>923.46</v>
      </c>
      <c r="U43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923.46</v>
      </c>
      <c r="V434">
        <v>1120</v>
      </c>
      <c r="W434">
        <v>2240</v>
      </c>
      <c r="X43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2240</v>
      </c>
      <c r="Y434">
        <f>IF(Transaction[[#This Row],[GrossRevenue_Check]]="Invalid",Transaction[[#This Row],[ListPrice]]*Transaction[[#This Row],[Quantity]],Transaction[[#This Row],[GrossRevenue_Clean]])</f>
        <v>2240</v>
      </c>
      <c r="Z434" t="str">
        <f>IF(Transaction[[#This Row],[GrossRevenue_Clean]]=Transaction[[#This Row],[ListPrice]]*Transaction[[#This Row],[Quantity]],"Valid","Invalid")</f>
        <v>Valid</v>
      </c>
      <c r="AA434">
        <v>393.08</v>
      </c>
      <c r="AB43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393.08</v>
      </c>
      <c r="AC434">
        <f>IF(Transaction[[#This Row],[DiscountAmount_Check2]]="Invalid",Transaction[[#This Row],[GrossRevenue_Analytical]]-Transaction[[#This Row],[NetRevenue_Analytical]],Transaction[[#This Row],[DiscountAmount_Clean]])</f>
        <v>393.08</v>
      </c>
      <c r="AD434">
        <v>1846.92</v>
      </c>
      <c r="AE434" t="str">
        <f>IF(ROUND(Transaction[[#This Row],[GrossRevenue_Analytical]]-Transaction[[#This Row],[NetRevenue_Analytical]],2)=ROUND(Transaction[[#This Row],[DiscountAmount_Clean]],2),"Valid","Invalid")</f>
        <v>Valid</v>
      </c>
      <c r="AF43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1846.92</v>
      </c>
      <c r="AG434">
        <f>IF(Transaction[[#This Row],[NetRevenue_Check]]="Invalid",(Transaction[[#This Row],[Quantity]]*Transaction[[#This Row],[UnitPrice_Clean]]),Transaction[[#This Row],[NetRevenue_Clean]])</f>
        <v>1846.92</v>
      </c>
      <c r="AH434" t="str">
        <f>IF(Transaction[[#This Row],[Quantity]]*Transaction[[#This Row],[UnitPrice_Clean]]=Transaction[[#This Row],[NetRevenue_Clean]],"Valid","Invalid")</f>
        <v>Valid</v>
      </c>
      <c r="AI434" t="s">
        <v>23</v>
      </c>
      <c r="AJ434" t="s">
        <v>954</v>
      </c>
      <c r="AK434" t="str">
        <f>IF(Transaction[[#This Row],[Salesperson]]="","Missing Value",TRIM(PROPER(Transaction[[#This Row],[Salesperson]])))</f>
        <v>Benson-Ap</v>
      </c>
      <c r="AM434" t="str">
        <f>IF(Transaction[[#This Row],[ContractType]]="","Missing Value",Transaction[[#This Row],[ContractType]])</f>
        <v>Missing Value</v>
      </c>
      <c r="AN434" t="s">
        <v>43</v>
      </c>
    </row>
    <row r="435" spans="1:40" x14ac:dyDescent="0.25">
      <c r="A435" t="s">
        <v>689</v>
      </c>
      <c r="B435" s="1">
        <v>45793</v>
      </c>
      <c r="C43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43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43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35" s="2">
        <f>IFERROR(DATE(Transaction[[#This Row],[TransactionDateY]],Transaction[[#This Row],[TransactionDateM]],Transaction[[#This Row],[TransactionDateD]]),"Missing Value")</f>
        <v>45793</v>
      </c>
      <c r="G435" t="s">
        <v>429</v>
      </c>
      <c r="H435" t="str">
        <f>IFERROR(VLOOKUP(Transaction[[#This Row],[CustomerID]],Custumer[],1,0),IF(LEN(Transaction[[#This Row],[CustomerID]])=7,LEFT(Transaction[[#This Row],[CustomerID]],6),"Invalid ID"))</f>
        <v>C-1009</v>
      </c>
      <c r="I435" t="s">
        <v>52</v>
      </c>
      <c r="J435" t="str">
        <f>TRIM(UPPER(Transaction[[#This Row],[ProductID]]))</f>
        <v>P-SI-002</v>
      </c>
      <c r="K435" t="str">
        <f>IFERROR(VLOOKUP(Transaction[[#This Row],[ProductID_Clean]],Product[],1,FALSE),"Invalid ID")</f>
        <v>P-SI-002</v>
      </c>
      <c r="L435" t="str">
        <f>TRIM(SUBSTITUTE(SUBSTITUTE(SUBSTITUTE(SUBSTITUTE(UPPER(Transaction[[#This Row],[Region]]),"EMEA REGION","EMEA"),"APAC REGION","APAC"),"NORTH AMERICA","N. AMERICA"),"N .AMERICA","N.AMERICA"))</f>
        <v>EMEA</v>
      </c>
      <c r="M435" t="s">
        <v>76</v>
      </c>
      <c r="N435" t="s">
        <v>98</v>
      </c>
      <c r="O43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35" t="s">
        <v>40</v>
      </c>
      <c r="Q435" t="str">
        <f>IF(TRIM(Transaction[[#This Row],[SalesChannel]])="","Missing Value",TRIM(Transaction[[#This Row],[SalesChannel]]))</f>
        <v>Distributor</v>
      </c>
      <c r="R435" s="4">
        <v>1</v>
      </c>
      <c r="S435" s="4" t="str">
        <f>IF(Transaction[[#This Row],[Quantity]]&lt;0,"Negative-review","Valid")</f>
        <v>Valid</v>
      </c>
      <c r="T435">
        <v>572.38</v>
      </c>
      <c r="U43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572.38</v>
      </c>
      <c r="V435">
        <v>725</v>
      </c>
      <c r="W435">
        <v>725</v>
      </c>
      <c r="X43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435">
        <f>IF(Transaction[[#This Row],[GrossRevenue_Check]]="Invalid",Transaction[[#This Row],[ListPrice]]*Transaction[[#This Row],[Quantity]],Transaction[[#This Row],[GrossRevenue_Clean]])</f>
        <v>725</v>
      </c>
      <c r="Z435" t="str">
        <f>IF(Transaction[[#This Row],[GrossRevenue_Clean]]=Transaction[[#This Row],[ListPrice]]*Transaction[[#This Row],[Quantity]],"Valid","Invalid")</f>
        <v>Valid</v>
      </c>
      <c r="AA435">
        <v>152.62</v>
      </c>
      <c r="AB43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152.62</v>
      </c>
      <c r="AC435">
        <f>IF(Transaction[[#This Row],[DiscountAmount_Check2]]="Invalid",Transaction[[#This Row],[GrossRevenue_Analytical]]-Transaction[[#This Row],[NetRevenue_Analytical]],Transaction[[#This Row],[DiscountAmount_Clean]])</f>
        <v>152.62</v>
      </c>
      <c r="AD435">
        <v>572.38</v>
      </c>
      <c r="AE435" t="str">
        <f>IF(ROUND(Transaction[[#This Row],[GrossRevenue_Analytical]]-Transaction[[#This Row],[NetRevenue_Analytical]],2)=ROUND(Transaction[[#This Row],[DiscountAmount_Clean]],2),"Valid","Invalid")</f>
        <v>Valid</v>
      </c>
      <c r="AF435">
        <f>VALUE(IF(ISNUMBER(Transaction[[#This Row],[NetRevenue]]),Transaction[[#This Row],[NetRevenue]],IFERROR(IF(FIND("$",Transaction[[#This Row],[NetRevenue]])&gt;0,MID(Transaction[[#This Row],[NetRevenue]],2,10)),Transaction[[#This Row],[NetRevenue]])))</f>
        <v>572.38</v>
      </c>
      <c r="AG435">
        <f>IF(Transaction[[#This Row],[NetRevenue_Check]]="Invalid",(Transaction[[#This Row],[Quantity]]*Transaction[[#This Row],[UnitPrice_Clean]]),Transaction[[#This Row],[NetRevenue_Clean]])</f>
        <v>572.38</v>
      </c>
      <c r="AH435" t="str">
        <f>IF(Transaction[[#This Row],[Quantity]]*Transaction[[#This Row],[UnitPrice_Clean]]=Transaction[[#This Row],[NetRevenue_Clean]],"Valid","Invalid")</f>
        <v>Valid</v>
      </c>
      <c r="AI435" t="s">
        <v>23</v>
      </c>
      <c r="AJ435" t="s">
        <v>690</v>
      </c>
      <c r="AK435" t="str">
        <f>IF(Transaction[[#This Row],[Salesperson]]="","Missing Value",TRIM(PROPER(Transaction[[#This Row],[Salesperson]])))</f>
        <v>Lutz</v>
      </c>
      <c r="AL435" t="s">
        <v>25</v>
      </c>
      <c r="AM435" t="str">
        <f>IF(Transaction[[#This Row],[ContractType]]="","Missing Value",Transaction[[#This Row],[ContractType]])</f>
        <v>Frame Agreement</v>
      </c>
      <c r="AN435" t="s">
        <v>49</v>
      </c>
    </row>
    <row r="436" spans="1:40" x14ac:dyDescent="0.25">
      <c r="A436" t="s">
        <v>2289</v>
      </c>
      <c r="B436" t="s">
        <v>2290</v>
      </c>
      <c r="C43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43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43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36" s="2">
        <f>IFERROR(DATE(Transaction[[#This Row],[TransactionDateY]],Transaction[[#This Row],[TransactionDateM]],Transaction[[#This Row],[TransactionDateD]]),"Missing Value")</f>
        <v>45754</v>
      </c>
      <c r="G436" t="s">
        <v>630</v>
      </c>
      <c r="H436" t="str">
        <f>IFERROR(VLOOKUP(Transaction[[#This Row],[CustomerID]],Custumer[],1,0),IF(LEN(Transaction[[#This Row],[CustomerID]])=7,LEFT(Transaction[[#This Row],[CustomerID]],6),"Invalid ID"))</f>
        <v>C-1157</v>
      </c>
      <c r="I436" t="s">
        <v>121</v>
      </c>
      <c r="J436" t="str">
        <f>TRIM(UPPER(Transaction[[#This Row],[ProductID]]))</f>
        <v>P-FS-001</v>
      </c>
      <c r="K436" t="str">
        <f>IFERROR(VLOOKUP(Transaction[[#This Row],[ProductID_Clean]],Product[],1,FALSE),"Invalid ID")</f>
        <v>P-FS-001</v>
      </c>
      <c r="L436" t="str">
        <f>TRIM(SUBSTITUTE(SUBSTITUTE(SUBSTITUTE(SUBSTITUTE(UPPER(Transaction[[#This Row],[Region]]),"EMEA REGION","EMEA"),"APAC REGION","APAC"),"NORTH AMERICA","N. AMERICA"),"N .AMERICA","N.AMERICA"))</f>
        <v>EMEA</v>
      </c>
      <c r="M436" t="s">
        <v>177</v>
      </c>
      <c r="N436" t="s">
        <v>21</v>
      </c>
      <c r="O43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436" t="s">
        <v>93</v>
      </c>
      <c r="Q436" t="str">
        <f>IF(TRIM(Transaction[[#This Row],[SalesChannel]])="","Missing Value",TRIM(Transaction[[#This Row],[SalesChannel]]))</f>
        <v>direct</v>
      </c>
      <c r="R436" s="4">
        <v>1</v>
      </c>
      <c r="S436" s="4" t="str">
        <f>IF(Transaction[[#This Row],[Quantity]]&lt;0,"Negative-review","Valid")</f>
        <v>Valid</v>
      </c>
      <c r="T436">
        <v>1429.05</v>
      </c>
      <c r="U43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1429.05</v>
      </c>
      <c r="V436">
        <v>1850</v>
      </c>
      <c r="W436">
        <v>1850</v>
      </c>
      <c r="X43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436">
        <f>IF(Transaction[[#This Row],[GrossRevenue_Check]]="Invalid",Transaction[[#This Row],[ListPrice]]*Transaction[[#This Row],[Quantity]],Transaction[[#This Row],[GrossRevenue_Clean]])</f>
        <v>1850</v>
      </c>
      <c r="Z436" t="str">
        <f>IF(Transaction[[#This Row],[GrossRevenue_Clean]]=Transaction[[#This Row],[ListPrice]]*Transaction[[#This Row],[Quantity]],"Valid","Invalid")</f>
        <v>Valid</v>
      </c>
      <c r="AA436">
        <v>420.95</v>
      </c>
      <c r="AB43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420.95</v>
      </c>
      <c r="AC436">
        <f>IF(Transaction[[#This Row],[DiscountAmount_Check2]]="Invalid",Transaction[[#This Row],[GrossRevenue_Analytical]]-Transaction[[#This Row],[NetRevenue_Analytical]],Transaction[[#This Row],[DiscountAmount_Clean]])</f>
        <v>420.95</v>
      </c>
      <c r="AD436">
        <v>1429.05</v>
      </c>
      <c r="AE436" t="str">
        <f>IF(ROUND(Transaction[[#This Row],[GrossRevenue_Analytical]]-Transaction[[#This Row],[NetRevenue_Analytical]],2)=ROUND(Transaction[[#This Row],[DiscountAmount_Clean]],2),"Valid","Invalid")</f>
        <v>Valid</v>
      </c>
      <c r="AF43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1429.05</v>
      </c>
      <c r="AG436">
        <f>IF(Transaction[[#This Row],[NetRevenue_Check]]="Invalid",(Transaction[[#This Row],[Quantity]]*Transaction[[#This Row],[UnitPrice_Clean]]),Transaction[[#This Row],[NetRevenue_Clean]])</f>
        <v>1429.05</v>
      </c>
      <c r="AH436" t="str">
        <f>IF(Transaction[[#This Row],[Quantity]]*Transaction[[#This Row],[UnitPrice_Clean]]=Transaction[[#This Row],[NetRevenue_Clean]],"Valid","Invalid")</f>
        <v>Valid</v>
      </c>
      <c r="AI436" t="s">
        <v>23</v>
      </c>
      <c r="AJ436" t="s">
        <v>2291</v>
      </c>
      <c r="AK436" t="str">
        <f>IF(Transaction[[#This Row],[Salesperson]]="","Missing Value",TRIM(PROPER(Transaction[[#This Row],[Salesperson]])))</f>
        <v>Gonzalez-Na</v>
      </c>
      <c r="AL436" t="s">
        <v>55</v>
      </c>
      <c r="AM436" t="str">
        <f>IF(Transaction[[#This Row],[ContractType]]="","Missing Value",Transaction[[#This Row],[ContractType]])</f>
        <v>Spot</v>
      </c>
      <c r="AN436" t="s">
        <v>35</v>
      </c>
    </row>
    <row r="437" spans="1:40" x14ac:dyDescent="0.25">
      <c r="A437" t="s">
        <v>930</v>
      </c>
      <c r="B437" s="1">
        <v>45774</v>
      </c>
      <c r="C43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43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43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37" s="2">
        <f>IFERROR(DATE(Transaction[[#This Row],[TransactionDateY]],Transaction[[#This Row],[TransactionDateM]],Transaction[[#This Row],[TransactionDateD]]),"Missing Value")</f>
        <v>45774</v>
      </c>
      <c r="G437" t="s">
        <v>247</v>
      </c>
      <c r="H437" t="str">
        <f>IFERROR(VLOOKUP(Transaction[[#This Row],[CustomerID]],Custumer[],1,0),IF(LEN(Transaction[[#This Row],[CustomerID]])=7,LEFT(Transaction[[#This Row],[CustomerID]],6),"Invalid ID"))</f>
        <v>C-1045</v>
      </c>
      <c r="I437" t="s">
        <v>117</v>
      </c>
      <c r="J437" t="str">
        <f>TRIM(UPPER(Transaction[[#This Row],[ProductID]]))</f>
        <v>P-SI-007</v>
      </c>
      <c r="K437" t="str">
        <f>IFERROR(VLOOKUP(Transaction[[#This Row],[ProductID_Clean]],Product[],1,FALSE),"Invalid ID")</f>
        <v>P-SI-007</v>
      </c>
      <c r="L437" t="str">
        <f>TRIM(SUBSTITUTE(SUBSTITUTE(SUBSTITUTE(SUBSTITUTE(UPPER(Transaction[[#This Row],[Region]]),"EMEA REGION","EMEA"),"APAC REGION","APAC"),"NORTH AMERICA","N. AMERICA"),"N .AMERICA","N.AMERICA"))</f>
        <v>EMEA</v>
      </c>
      <c r="M437" t="s">
        <v>87</v>
      </c>
      <c r="N437" t="s">
        <v>53</v>
      </c>
      <c r="O43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37" t="s">
        <v>22</v>
      </c>
      <c r="Q437" t="str">
        <f>IF(TRIM(Transaction[[#This Row],[SalesChannel]])="","Missing Value",TRIM(Transaction[[#This Row],[SalesChannel]]))</f>
        <v>Direct</v>
      </c>
      <c r="R437" s="4">
        <v>20</v>
      </c>
      <c r="S437" s="4" t="str">
        <f>IF(Transaction[[#This Row],[Quantity]]&lt;0,"Negative-review","Valid")</f>
        <v>Valid</v>
      </c>
      <c r="T437">
        <v>790.42</v>
      </c>
      <c r="U43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790.42</v>
      </c>
      <c r="V437">
        <v>980</v>
      </c>
      <c r="W437">
        <v>19600</v>
      </c>
      <c r="X43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19600</v>
      </c>
      <c r="Y437">
        <f>IF(Transaction[[#This Row],[GrossRevenue_Check]]="Invalid",Transaction[[#This Row],[ListPrice]]*Transaction[[#This Row],[Quantity]],Transaction[[#This Row],[GrossRevenue_Clean]])</f>
        <v>19600</v>
      </c>
      <c r="Z437" t="str">
        <f>IF(Transaction[[#This Row],[GrossRevenue_Clean]]=Transaction[[#This Row],[ListPrice]]*Transaction[[#This Row],[Quantity]],"Valid","Invalid")</f>
        <v>Valid</v>
      </c>
      <c r="AA437">
        <v>3791.6</v>
      </c>
      <c r="AB43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3791.6</v>
      </c>
      <c r="AC437">
        <f>IF(Transaction[[#This Row],[DiscountAmount_Check2]]="Invalid",Transaction[[#This Row],[GrossRevenue_Analytical]]-Transaction[[#This Row],[NetRevenue_Analytical]],Transaction[[#This Row],[DiscountAmount_Clean]])</f>
        <v>3791.6</v>
      </c>
      <c r="AD437">
        <v>15808.4</v>
      </c>
      <c r="AE437" t="str">
        <f>IF(ROUND(Transaction[[#This Row],[GrossRevenue_Analytical]]-Transaction[[#This Row],[NetRevenue_Analytical]],2)=ROUND(Transaction[[#This Row],[DiscountAmount_Clean]],2),"Valid","Invalid")</f>
        <v>Valid</v>
      </c>
      <c r="AF43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15808.4</v>
      </c>
      <c r="AG437">
        <f>IF(Transaction[[#This Row],[NetRevenue_Check]]="Invalid",(Transaction[[#This Row],[Quantity]]*Transaction[[#This Row],[UnitPrice_Clean]]),Transaction[[#This Row],[NetRevenue_Clean]])</f>
        <v>15808.4</v>
      </c>
      <c r="AH437" t="str">
        <f>IF(Transaction[[#This Row],[Quantity]]*Transaction[[#This Row],[UnitPrice_Clean]]=Transaction[[#This Row],[NetRevenue_Clean]],"Valid","Invalid")</f>
        <v>Valid</v>
      </c>
      <c r="AI437" t="s">
        <v>23</v>
      </c>
      <c r="AJ437" t="s">
        <v>588</v>
      </c>
      <c r="AK437" t="str">
        <f>IF(Transaction[[#This Row],[Salesperson]]="","Missing Value",TRIM(PROPER(Transaction[[#This Row],[Salesperson]])))</f>
        <v>Taylor</v>
      </c>
      <c r="AL437" t="s">
        <v>42</v>
      </c>
      <c r="AM437" t="str">
        <f>IF(Transaction[[#This Row],[ContractType]]="","Missing Value",Transaction[[#This Row],[ContractType]])</f>
        <v>Standard PO</v>
      </c>
      <c r="AN437" t="s">
        <v>35</v>
      </c>
    </row>
    <row r="438" spans="1:40" x14ac:dyDescent="0.25">
      <c r="A438" t="s">
        <v>1039</v>
      </c>
      <c r="B438" s="1">
        <v>45737</v>
      </c>
      <c r="C43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43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43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38" s="2">
        <f>IFERROR(DATE(Transaction[[#This Row],[TransactionDateY]],Transaction[[#This Row],[TransactionDateM]],Transaction[[#This Row],[TransactionDateD]]),"Missing Value")</f>
        <v>45737</v>
      </c>
      <c r="G438" t="s">
        <v>541</v>
      </c>
      <c r="H438" t="str">
        <f>IFERROR(VLOOKUP(Transaction[[#This Row],[CustomerID]],Custumer[],1,0),IF(LEN(Transaction[[#This Row],[CustomerID]])=7,LEFT(Transaction[[#This Row],[CustomerID]],6),"Invalid ID"))</f>
        <v>C-1075</v>
      </c>
      <c r="I438" t="s">
        <v>71</v>
      </c>
      <c r="J438" t="str">
        <f>TRIM(UPPER(Transaction[[#This Row],[ProductID]]))</f>
        <v>P-SI-003</v>
      </c>
      <c r="K438" t="str">
        <f>IFERROR(VLOOKUP(Transaction[[#This Row],[ProductID_Clean]],Product[],1,FALSE),"Invalid ID")</f>
        <v>P-SI-003</v>
      </c>
      <c r="L438" t="str">
        <f>TRIM(SUBSTITUTE(SUBSTITUTE(SUBSTITUTE(SUBSTITUTE(UPPER(Transaction[[#This Row],[Region]]),"EMEA REGION","EMEA"),"APAC REGION","APAC"),"NORTH AMERICA","N. AMERICA"),"N .AMERICA","N.AMERICA"))</f>
        <v>N. AMERICA</v>
      </c>
      <c r="M438" t="s">
        <v>20</v>
      </c>
      <c r="N438" t="s">
        <v>53</v>
      </c>
      <c r="O43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38" t="s">
        <v>40</v>
      </c>
      <c r="Q438" t="str">
        <f>IF(TRIM(Transaction[[#This Row],[SalesChannel]])="","Missing Value",TRIM(Transaction[[#This Row],[SalesChannel]]))</f>
        <v>Distributor</v>
      </c>
      <c r="R438" s="4">
        <v>5</v>
      </c>
      <c r="S438" s="4" t="str">
        <f>IF(Transaction[[#This Row],[Quantity]]&lt;0,"Negative-review","Valid")</f>
        <v>Valid</v>
      </c>
      <c r="T438">
        <v>1543.01</v>
      </c>
      <c r="U43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1543.01</v>
      </c>
      <c r="V438">
        <v>1890</v>
      </c>
      <c r="W438">
        <v>9450</v>
      </c>
      <c r="X43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9450</v>
      </c>
      <c r="Y438">
        <f>IF(Transaction[[#This Row],[GrossRevenue_Check]]="Invalid",Transaction[[#This Row],[ListPrice]]*Transaction[[#This Row],[Quantity]],Transaction[[#This Row],[GrossRevenue_Clean]])</f>
        <v>9450</v>
      </c>
      <c r="Z438" t="str">
        <f>IF(Transaction[[#This Row],[GrossRevenue_Clean]]=Transaction[[#This Row],[ListPrice]]*Transaction[[#This Row],[Quantity]],"Valid","Invalid")</f>
        <v>Valid</v>
      </c>
      <c r="AA438">
        <v>1734.95</v>
      </c>
      <c r="AB43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1734.95</v>
      </c>
      <c r="AC438">
        <f>IF(Transaction[[#This Row],[DiscountAmount_Check2]]="Invalid",Transaction[[#This Row],[GrossRevenue_Analytical]]-Transaction[[#This Row],[NetRevenue_Analytical]],Transaction[[#This Row],[DiscountAmount_Clean]])</f>
        <v>1734.95</v>
      </c>
      <c r="AD438">
        <v>7715.05</v>
      </c>
      <c r="AE438" t="str">
        <f>IF(ROUND(Transaction[[#This Row],[GrossRevenue_Analytical]]-Transaction[[#This Row],[NetRevenue_Analytical]],2)=ROUND(Transaction[[#This Row],[DiscountAmount_Clean]],2),"Valid","Invalid")</f>
        <v>Valid</v>
      </c>
      <c r="AF438">
        <f>VALUE(IF(ISNUMBER(Transaction[[#This Row],[NetRevenue]]),Transaction[[#This Row],[NetRevenue]],IFERROR(IF(FIND("$",Transaction[[#This Row],[NetRevenue]])&gt;0,MID(Transaction[[#This Row],[NetRevenue]],2,10)),Transaction[[#This Row],[NetRevenue]])))</f>
        <v>7715.05</v>
      </c>
      <c r="AG438">
        <f>IF(Transaction[[#This Row],[NetRevenue_Check]]="Invalid",(Transaction[[#This Row],[Quantity]]*Transaction[[#This Row],[UnitPrice_Clean]]),Transaction[[#This Row],[NetRevenue_Clean]])</f>
        <v>7715.05</v>
      </c>
      <c r="AH438" t="str">
        <f>IF(Transaction[[#This Row],[Quantity]]*Transaction[[#This Row],[UnitPrice_Clean]]=Transaction[[#This Row],[NetRevenue_Clean]],"Valid","Invalid")</f>
        <v>Valid</v>
      </c>
      <c r="AI438" t="s">
        <v>23</v>
      </c>
      <c r="AJ438" t="s">
        <v>688</v>
      </c>
      <c r="AK438" t="str">
        <f>IF(Transaction[[#This Row],[Salesperson]]="","Missing Value",TRIM(PROPER(Transaction[[#This Row],[Salesperson]])))</f>
        <v>Jones-Ap</v>
      </c>
      <c r="AL438" t="s">
        <v>42</v>
      </c>
      <c r="AM438" t="str">
        <f>IF(Transaction[[#This Row],[ContractType]]="","Missing Value",Transaction[[#This Row],[ContractType]])</f>
        <v>Standard PO</v>
      </c>
      <c r="AN438" t="s">
        <v>49</v>
      </c>
    </row>
    <row r="439" spans="1:40" x14ac:dyDescent="0.25">
      <c r="A439" t="s">
        <v>2316</v>
      </c>
      <c r="B439" s="1">
        <v>45741</v>
      </c>
      <c r="C43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43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43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39" s="2">
        <f>IFERROR(DATE(Transaction[[#This Row],[TransactionDateY]],Transaction[[#This Row],[TransactionDateM]],Transaction[[#This Row],[TransactionDateD]]),"Missing Value")</f>
        <v>45741</v>
      </c>
      <c r="G439" t="s">
        <v>1015</v>
      </c>
      <c r="H439" t="str">
        <f>IFERROR(VLOOKUP(Transaction[[#This Row],[CustomerID]],Custumer[],1,0),IF(LEN(Transaction[[#This Row],[CustomerID]])=7,LEFT(Transaction[[#This Row],[CustomerID]],6),"Invalid ID"))</f>
        <v>C-1012</v>
      </c>
      <c r="I439" t="s">
        <v>52</v>
      </c>
      <c r="J439" t="str">
        <f>TRIM(UPPER(Transaction[[#This Row],[ProductID]]))</f>
        <v>P-SI-002</v>
      </c>
      <c r="K439" t="str">
        <f>IFERROR(VLOOKUP(Transaction[[#This Row],[ProductID_Clean]],Product[],1,FALSE),"Invalid ID")</f>
        <v>P-SI-002</v>
      </c>
      <c r="L439" t="str">
        <f>TRIM(SUBSTITUTE(SUBSTITUTE(SUBSTITUTE(SUBSTITUTE(UPPER(Transaction[[#This Row],[Region]]),"EMEA REGION","EMEA"),"APAC REGION","APAC"),"NORTH AMERICA","N. AMERICA"),"N .AMERICA","N.AMERICA"))</f>
        <v>N. AMERICA</v>
      </c>
      <c r="M439" t="s">
        <v>168</v>
      </c>
      <c r="N439" t="s">
        <v>98</v>
      </c>
      <c r="O43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39" t="s">
        <v>22</v>
      </c>
      <c r="Q439" t="str">
        <f>IF(TRIM(Transaction[[#This Row],[SalesChannel]])="","Missing Value",TRIM(Transaction[[#This Row],[SalesChannel]]))</f>
        <v>Direct</v>
      </c>
      <c r="R439" s="4">
        <v>3</v>
      </c>
      <c r="S439" s="4" t="str">
        <f>IF(Transaction[[#This Row],[Quantity]]&lt;0,"Negative-review","Valid")</f>
        <v>Valid</v>
      </c>
      <c r="T439">
        <v>664.34</v>
      </c>
      <c r="U43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664.34</v>
      </c>
      <c r="V439">
        <v>725</v>
      </c>
      <c r="W439" t="s">
        <v>2317</v>
      </c>
      <c r="X43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2175</v>
      </c>
      <c r="Y439">
        <f>IF(Transaction[[#This Row],[GrossRevenue_Check]]="Invalid",Transaction[[#This Row],[ListPrice]]*Transaction[[#This Row],[Quantity]],Transaction[[#This Row],[GrossRevenue_Clean]])</f>
        <v>2175</v>
      </c>
      <c r="Z439" t="str">
        <f>IF(Transaction[[#This Row],[GrossRevenue_Clean]]=Transaction[[#This Row],[ListPrice]]*Transaction[[#This Row],[Quantity]],"Valid","Invalid")</f>
        <v>Valid</v>
      </c>
      <c r="AA439">
        <v>181.98</v>
      </c>
      <c r="AB43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181.98</v>
      </c>
      <c r="AC439">
        <f>IF(Transaction[[#This Row],[DiscountAmount_Check2]]="Invalid",Transaction[[#This Row],[GrossRevenue_Analytical]]-Transaction[[#This Row],[NetRevenue_Analytical]],Transaction[[#This Row],[DiscountAmount_Clean]])</f>
        <v>181.98</v>
      </c>
      <c r="AD439">
        <v>1993.02</v>
      </c>
      <c r="AE439" t="str">
        <f>IF(ROUND(Transaction[[#This Row],[GrossRevenue_Analytical]]-Transaction[[#This Row],[NetRevenue_Analytical]],2)=ROUND(Transaction[[#This Row],[DiscountAmount_Clean]],2),"Valid","Invalid")</f>
        <v>Valid</v>
      </c>
      <c r="AF43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1993.02</v>
      </c>
      <c r="AG439">
        <f>IF(Transaction[[#This Row],[NetRevenue_Check]]="Invalid",(Transaction[[#This Row],[Quantity]]*Transaction[[#This Row],[UnitPrice_Clean]]),Transaction[[#This Row],[NetRevenue_Clean]])</f>
        <v>1993.02</v>
      </c>
      <c r="AH439" t="str">
        <f>IF(Transaction[[#This Row],[Quantity]]*Transaction[[#This Row],[UnitPrice_Clean]]=Transaction[[#This Row],[NetRevenue_Clean]],"Valid","Invalid")</f>
        <v>Valid</v>
      </c>
      <c r="AI439" t="s">
        <v>99</v>
      </c>
      <c r="AJ439" t="s">
        <v>1658</v>
      </c>
      <c r="AK439" t="str">
        <f>IF(Transaction[[#This Row],[Salesperson]]="","Missing Value",TRIM(PROPER(Transaction[[#This Row],[Salesperson]])))</f>
        <v>Thompson-Em</v>
      </c>
      <c r="AL439" t="s">
        <v>55</v>
      </c>
      <c r="AM439" t="str">
        <f>IF(Transaction[[#This Row],[ContractType]]="","Missing Value",Transaction[[#This Row],[ContractType]])</f>
        <v>Spot</v>
      </c>
      <c r="AN439" t="s">
        <v>65</v>
      </c>
    </row>
    <row r="440" spans="1:40" x14ac:dyDescent="0.25">
      <c r="A440" t="s">
        <v>584</v>
      </c>
      <c r="B440" t="s">
        <v>138</v>
      </c>
      <c r="C44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44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02</v>
      </c>
      <c r="E44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40" s="2">
        <f>IFERROR(DATE(Transaction[[#This Row],[TransactionDateY]],Transaction[[#This Row],[TransactionDateM]],Transaction[[#This Row],[TransactionDateD]]),"Missing Value")</f>
        <v>45810</v>
      </c>
      <c r="G440" t="s">
        <v>585</v>
      </c>
      <c r="H440" t="str">
        <f>IFERROR(VLOOKUP(Transaction[[#This Row],[CustomerID]],Custumer[],1,0),IF(LEN(Transaction[[#This Row],[CustomerID]])=7,LEFT(Transaction[[#This Row],[CustomerID]],6),"Invalid ID"))</f>
        <v>C-1088</v>
      </c>
      <c r="I440" t="s">
        <v>58</v>
      </c>
      <c r="J440" t="str">
        <f>TRIM(UPPER(Transaction[[#This Row],[ProductID]]))</f>
        <v>P-SI-005</v>
      </c>
      <c r="K440" t="str">
        <f>IFERROR(VLOOKUP(Transaction[[#This Row],[ProductID_Clean]],Product[],1,FALSE),"Invalid ID")</f>
        <v>P-SI-005</v>
      </c>
      <c r="L440" t="str">
        <f>TRIM(SUBSTITUTE(SUBSTITUTE(SUBSTITUTE(SUBSTITUTE(UPPER(Transaction[[#This Row],[Region]]),"EMEA REGION","EMEA"),"APAC REGION","APAC"),"NORTH AMERICA","N. AMERICA"),"N .AMERICA","N.AMERICA"))</f>
        <v>N. AMERICA</v>
      </c>
      <c r="M440" t="s">
        <v>20</v>
      </c>
      <c r="N440" t="s">
        <v>53</v>
      </c>
      <c r="O44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40" t="s">
        <v>22</v>
      </c>
      <c r="Q440" t="str">
        <f>IF(TRIM(Transaction[[#This Row],[SalesChannel]])="","Missing Value",TRIM(Transaction[[#This Row],[SalesChannel]]))</f>
        <v>Direct</v>
      </c>
      <c r="R440" s="4">
        <v>1</v>
      </c>
      <c r="S440" s="4" t="str">
        <f>IF(Transaction[[#This Row],[Quantity]]&lt;0,"Negative-review","Valid")</f>
        <v>Valid</v>
      </c>
      <c r="T440">
        <v>1026.2</v>
      </c>
      <c r="U44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1026.2</v>
      </c>
      <c r="V440">
        <v>1120</v>
      </c>
      <c r="W440">
        <v>1120</v>
      </c>
      <c r="X44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1120</v>
      </c>
      <c r="Y440">
        <f>IF(Transaction[[#This Row],[GrossRevenue_Check]]="Invalid",Transaction[[#This Row],[ListPrice]]*Transaction[[#This Row],[Quantity]],Transaction[[#This Row],[GrossRevenue_Clean]])</f>
        <v>1120</v>
      </c>
      <c r="Z440" t="str">
        <f>IF(Transaction[[#This Row],[GrossRevenue_Clean]]=Transaction[[#This Row],[ListPrice]]*Transaction[[#This Row],[Quantity]],"Valid","Invalid")</f>
        <v>Valid</v>
      </c>
      <c r="AA440">
        <v>93.8</v>
      </c>
      <c r="AB44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93.8</v>
      </c>
      <c r="AC440">
        <f>IF(Transaction[[#This Row],[DiscountAmount_Check2]]="Invalid",Transaction[[#This Row],[GrossRevenue_Analytical]]-Transaction[[#This Row],[NetRevenue_Analytical]],Transaction[[#This Row],[DiscountAmount_Clean]])</f>
        <v>93.8</v>
      </c>
      <c r="AD440">
        <v>1026.2</v>
      </c>
      <c r="AE440" t="str">
        <f>IF(ROUND(Transaction[[#This Row],[GrossRevenue_Analytical]]-Transaction[[#This Row],[NetRevenue_Analytical]],2)=ROUND(Transaction[[#This Row],[DiscountAmount_Clean]],2),"Valid","Invalid")</f>
        <v>Valid</v>
      </c>
      <c r="AF44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1026.2</v>
      </c>
      <c r="AG440">
        <f>IF(Transaction[[#This Row],[NetRevenue_Check]]="Invalid",(Transaction[[#This Row],[Quantity]]*Transaction[[#This Row],[UnitPrice_Clean]]),Transaction[[#This Row],[NetRevenue_Clean]])</f>
        <v>1026.2</v>
      </c>
      <c r="AH440" t="str">
        <f>IF(Transaction[[#This Row],[Quantity]]*Transaction[[#This Row],[UnitPrice_Clean]]=Transaction[[#This Row],[NetRevenue_Clean]],"Valid","Invalid")</f>
        <v>Valid</v>
      </c>
      <c r="AI440" t="s">
        <v>23</v>
      </c>
      <c r="AJ440" t="s">
        <v>586</v>
      </c>
      <c r="AK440" t="str">
        <f>IF(Transaction[[#This Row],[Salesperson]]="","Missing Value",TRIM(PROPER(Transaction[[#This Row],[Salesperson]])))</f>
        <v>Reeves</v>
      </c>
      <c r="AL440" t="s">
        <v>42</v>
      </c>
      <c r="AM440" t="str">
        <f>IF(Transaction[[#This Row],[ContractType]]="","Missing Value",Transaction[[#This Row],[ContractType]])</f>
        <v>Standard PO</v>
      </c>
      <c r="AN440" t="s">
        <v>35</v>
      </c>
    </row>
    <row r="441" spans="1:40" x14ac:dyDescent="0.25">
      <c r="A441" t="s">
        <v>1683</v>
      </c>
      <c r="B441" t="s">
        <v>1684</v>
      </c>
      <c r="C44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44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44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41" s="2">
        <f>IFERROR(DATE(Transaction[[#This Row],[TransactionDateY]],Transaction[[#This Row],[TransactionDateM]],Transaction[[#This Row],[TransactionDateD]]),"Missing Value")</f>
        <v>45671</v>
      </c>
      <c r="G441" t="s">
        <v>38</v>
      </c>
      <c r="H441" t="str">
        <f>IFERROR(VLOOKUP(Transaction[[#This Row],[CustomerID]],Custumer[],1,0),IF(LEN(Transaction[[#This Row],[CustomerID]])=7,LEFT(Transaction[[#This Row],[CustomerID]],6),"Invalid ID"))</f>
        <v>C-1027</v>
      </c>
      <c r="I441" t="s">
        <v>111</v>
      </c>
      <c r="J441" t="str">
        <f>TRIM(UPPER(Transaction[[#This Row],[ProductID]]))</f>
        <v>P-SA-004</v>
      </c>
      <c r="K441" t="str">
        <f>IFERROR(VLOOKUP(Transaction[[#This Row],[ProductID_Clean]],Product[],1,FALSE),"Invalid ID")</f>
        <v>P-SA-004</v>
      </c>
      <c r="L441" t="str">
        <f>TRIM(SUBSTITUTE(SUBSTITUTE(SUBSTITUTE(SUBSTITUTE(UPPER(Transaction[[#This Row],[Region]]),"EMEA REGION","EMEA"),"APAC REGION","APAC"),"NORTH AMERICA","N. AMERICA"),"N .AMERICA","N.AMERICA"))</f>
        <v>N. AMERICA</v>
      </c>
      <c r="M441" t="s">
        <v>20</v>
      </c>
      <c r="N441" t="s">
        <v>31</v>
      </c>
      <c r="O44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441" t="s">
        <v>22</v>
      </c>
      <c r="Q441" t="str">
        <f>IF(TRIM(Transaction[[#This Row],[SalesChannel]])="","Missing Value",TRIM(Transaction[[#This Row],[SalesChannel]]))</f>
        <v>Direct</v>
      </c>
      <c r="R441" s="4">
        <v>1</v>
      </c>
      <c r="S441" s="4" t="str">
        <f>IF(Transaction[[#This Row],[Quantity]]&lt;0,"Negative-review","Valid")</f>
        <v>Valid</v>
      </c>
      <c r="T441">
        <v>1347.78</v>
      </c>
      <c r="U44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1347.78</v>
      </c>
      <c r="V441">
        <v>1650</v>
      </c>
      <c r="W441">
        <v>1650</v>
      </c>
      <c r="X44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441">
        <f>IF(Transaction[[#This Row],[GrossRevenue_Check]]="Invalid",Transaction[[#This Row],[ListPrice]]*Transaction[[#This Row],[Quantity]],Transaction[[#This Row],[GrossRevenue_Clean]])</f>
        <v>1650</v>
      </c>
      <c r="Z441" t="str">
        <f>IF(Transaction[[#This Row],[GrossRevenue_Clean]]=Transaction[[#This Row],[ListPrice]]*Transaction[[#This Row],[Quantity]],"Valid","Invalid")</f>
        <v>Valid</v>
      </c>
      <c r="AA441">
        <v>302.22000000000003</v>
      </c>
      <c r="AB44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302.22000000000003</v>
      </c>
      <c r="AC441">
        <f>IF(Transaction[[#This Row],[DiscountAmount_Check2]]="Invalid",Transaction[[#This Row],[GrossRevenue_Analytical]]-Transaction[[#This Row],[NetRevenue_Analytical]],Transaction[[#This Row],[DiscountAmount_Clean]])</f>
        <v>302.22000000000003</v>
      </c>
      <c r="AD441">
        <v>1347.78</v>
      </c>
      <c r="AE441" t="str">
        <f>IF(ROUND(Transaction[[#This Row],[GrossRevenue_Analytical]]-Transaction[[#This Row],[NetRevenue_Analytical]],2)=ROUND(Transaction[[#This Row],[DiscountAmount_Clean]],2),"Valid","Invalid")</f>
        <v>Valid</v>
      </c>
      <c r="AF44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1347.78</v>
      </c>
      <c r="AG441">
        <f>IF(Transaction[[#This Row],[NetRevenue_Check]]="Invalid",(Transaction[[#This Row],[Quantity]]*Transaction[[#This Row],[UnitPrice_Clean]]),Transaction[[#This Row],[NetRevenue_Clean]])</f>
        <v>1347.78</v>
      </c>
      <c r="AH441" t="str">
        <f>IF(Transaction[[#This Row],[Quantity]]*Transaction[[#This Row],[UnitPrice_Clean]]=Transaction[[#This Row],[NetRevenue_Clean]],"Valid","Invalid")</f>
        <v>Valid</v>
      </c>
      <c r="AI441" t="s">
        <v>23</v>
      </c>
      <c r="AJ441" t="s">
        <v>1685</v>
      </c>
      <c r="AK441" t="str">
        <f>IF(Transaction[[#This Row],[Salesperson]]="","Missing Value",TRIM(PROPER(Transaction[[#This Row],[Salesperson]])))</f>
        <v>Osborn</v>
      </c>
      <c r="AL441" t="s">
        <v>113</v>
      </c>
      <c r="AM441" t="str">
        <f>IF(Transaction[[#This Row],[ContractType]]="","Missing Value",Transaction[[#This Row],[ContractType]])</f>
        <v>Subscription</v>
      </c>
      <c r="AN441" t="s">
        <v>43</v>
      </c>
    </row>
    <row r="442" spans="1:40" x14ac:dyDescent="0.25">
      <c r="A442" t="s">
        <v>2622</v>
      </c>
      <c r="B442" t="s">
        <v>2623</v>
      </c>
      <c r="C44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44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44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42" s="2">
        <f>IFERROR(DATE(Transaction[[#This Row],[TransactionDateY]],Transaction[[#This Row],[TransactionDateM]],Transaction[[#This Row],[TransactionDateD]]),"Missing Value")</f>
        <v>45698</v>
      </c>
      <c r="G442" t="s">
        <v>2232</v>
      </c>
      <c r="H442" t="str">
        <f>IFERROR(VLOOKUP(Transaction[[#This Row],[CustomerID]],Custumer[],1,0),IF(LEN(Transaction[[#This Row],[CustomerID]])=7,LEFT(Transaction[[#This Row],[CustomerID]],6),"Invalid ID"))</f>
        <v>C-1149</v>
      </c>
      <c r="I442" t="s">
        <v>92</v>
      </c>
      <c r="J442" t="str">
        <f>TRIM(UPPER(Transaction[[#This Row],[ProductID]]))</f>
        <v>P-SI-008</v>
      </c>
      <c r="K442" t="str">
        <f>IFERROR(VLOOKUP(Transaction[[#This Row],[ProductID_Clean]],Product[],1,FALSE),"Invalid ID")</f>
        <v>P-SI-008</v>
      </c>
      <c r="L442" t="str">
        <f>TRIM(SUBSTITUTE(SUBSTITUTE(SUBSTITUTE(SUBSTITUTE(UPPER(Transaction[[#This Row],[Region]]),"EMEA REGION","EMEA"),"APAC REGION","APAC"),"NORTH AMERICA","N. AMERICA"),"N .AMERICA","N.AMERICA"))</f>
        <v>N. AMERICA</v>
      </c>
      <c r="M442" t="s">
        <v>20</v>
      </c>
      <c r="N442" t="s">
        <v>98</v>
      </c>
      <c r="O44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42" t="s">
        <v>22</v>
      </c>
      <c r="Q442" t="str">
        <f>IF(TRIM(Transaction[[#This Row],[SalesChannel]])="","Missing Value",TRIM(Transaction[[#This Row],[SalesChannel]]))</f>
        <v>Direct</v>
      </c>
      <c r="R442" s="4">
        <v>1</v>
      </c>
      <c r="S442" s="4" t="str">
        <f>IF(Transaction[[#This Row],[Quantity]]&lt;0,"Negative-review","Valid")</f>
        <v>Valid</v>
      </c>
      <c r="T442">
        <v>833.05</v>
      </c>
      <c r="U44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833.05</v>
      </c>
      <c r="V442">
        <v>950</v>
      </c>
      <c r="W442" t="s">
        <v>2624</v>
      </c>
      <c r="X44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442">
        <f>IF(Transaction[[#This Row],[GrossRevenue_Check]]="Invalid",Transaction[[#This Row],[ListPrice]]*Transaction[[#This Row],[Quantity]],Transaction[[#This Row],[GrossRevenue_Clean]])</f>
        <v>950</v>
      </c>
      <c r="Z442" t="str">
        <f>IF(Transaction[[#This Row],[GrossRevenue_Clean]]=Transaction[[#This Row],[ListPrice]]*Transaction[[#This Row],[Quantity]],"Valid","Invalid")</f>
        <v>Valid</v>
      </c>
      <c r="AA442">
        <v>116.95</v>
      </c>
      <c r="AB44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116.95</v>
      </c>
      <c r="AC442">
        <f>IF(Transaction[[#This Row],[DiscountAmount_Check2]]="Invalid",Transaction[[#This Row],[GrossRevenue_Analytical]]-Transaction[[#This Row],[NetRevenue_Analytical]],Transaction[[#This Row],[DiscountAmount_Clean]])</f>
        <v>116.95</v>
      </c>
      <c r="AD442">
        <v>833.05</v>
      </c>
      <c r="AE442" t="str">
        <f>IF(ROUND(Transaction[[#This Row],[GrossRevenue_Analytical]]-Transaction[[#This Row],[NetRevenue_Analytical]],2)=ROUND(Transaction[[#This Row],[DiscountAmount_Clean]],2),"Valid","Invalid")</f>
        <v>Valid</v>
      </c>
      <c r="AF442">
        <f>VALUE(IF(ISNUMBER(Transaction[[#This Row],[NetRevenue]]),Transaction[[#This Row],[NetRevenue]],IFERROR(IF(FIND("$",Transaction[[#This Row],[NetRevenue]])&gt;0,MID(Transaction[[#This Row],[NetRevenue]],2,10)),Transaction[[#This Row],[NetRevenue]])))</f>
        <v>833.05</v>
      </c>
      <c r="AG442">
        <f>IF(Transaction[[#This Row],[NetRevenue_Check]]="Invalid",(Transaction[[#This Row],[Quantity]]*Transaction[[#This Row],[UnitPrice_Clean]]),Transaction[[#This Row],[NetRevenue_Clean]])</f>
        <v>833.05</v>
      </c>
      <c r="AH442" t="str">
        <f>IF(Transaction[[#This Row],[Quantity]]*Transaction[[#This Row],[UnitPrice_Clean]]=Transaction[[#This Row],[NetRevenue_Clean]],"Valid","Invalid")</f>
        <v>Valid</v>
      </c>
      <c r="AI442" t="s">
        <v>99</v>
      </c>
      <c r="AJ442" t="s">
        <v>2625</v>
      </c>
      <c r="AK442" t="str">
        <f>IF(Transaction[[#This Row],[Salesperson]]="","Missing Value",TRIM(PROPER(Transaction[[#This Row],[Salesperson]])))</f>
        <v>Cochran-Em</v>
      </c>
      <c r="AL442" t="s">
        <v>42</v>
      </c>
      <c r="AM442" t="str">
        <f>IF(Transaction[[#This Row],[ContractType]]="","Missing Value",Transaction[[#This Row],[ContractType]])</f>
        <v>Standard PO</v>
      </c>
      <c r="AN442" t="s">
        <v>43</v>
      </c>
    </row>
    <row r="443" spans="1:40" x14ac:dyDescent="0.25">
      <c r="A443" t="s">
        <v>1129</v>
      </c>
      <c r="B443" s="1">
        <v>45670</v>
      </c>
      <c r="C44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44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44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43" s="2">
        <f>IFERROR(DATE(Transaction[[#This Row],[TransactionDateY]],Transaction[[#This Row],[TransactionDateM]],Transaction[[#This Row],[TransactionDateD]]),"Missing Value")</f>
        <v>45670</v>
      </c>
      <c r="G443" t="s">
        <v>203</v>
      </c>
      <c r="H443" t="str">
        <f>IFERROR(VLOOKUP(Transaction[[#This Row],[CustomerID]],Custumer[],1,0),IF(LEN(Transaction[[#This Row],[CustomerID]])=7,LEFT(Transaction[[#This Row],[CustomerID]],6),"Invalid ID"))</f>
        <v>C-1005</v>
      </c>
      <c r="I443" t="s">
        <v>117</v>
      </c>
      <c r="J443" t="str">
        <f>TRIM(UPPER(Transaction[[#This Row],[ProductID]]))</f>
        <v>P-SI-007</v>
      </c>
      <c r="K443" t="str">
        <f>IFERROR(VLOOKUP(Transaction[[#This Row],[ProductID_Clean]],Product[],1,FALSE),"Invalid ID")</f>
        <v>P-SI-007</v>
      </c>
      <c r="L443" t="str">
        <f>TRIM(SUBSTITUTE(SUBSTITUTE(SUBSTITUTE(SUBSTITUTE(UPPER(Transaction[[#This Row],[Region]]),"EMEA REGION","EMEA"),"APAC REGION","APAC"),"NORTH AMERICA","N. AMERICA"),"N .AMERICA","N.AMERICA"))</f>
        <v>N. AMERICA</v>
      </c>
      <c r="M443" t="s">
        <v>20</v>
      </c>
      <c r="N443" t="s">
        <v>53</v>
      </c>
      <c r="O44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43" t="s">
        <v>181</v>
      </c>
      <c r="Q443" t="str">
        <f>IF(TRIM(Transaction[[#This Row],[SalesChannel]])="","Missing Value",TRIM(Transaction[[#This Row],[SalesChannel]]))</f>
        <v>Partner Portal</v>
      </c>
      <c r="R443" s="4">
        <v>5</v>
      </c>
      <c r="S443" s="4" t="str">
        <f>IF(Transaction[[#This Row],[Quantity]]&lt;0,"Negative-review","Valid")</f>
        <v>Valid</v>
      </c>
      <c r="T443">
        <v>791.73</v>
      </c>
      <c r="U44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791.73</v>
      </c>
      <c r="V443">
        <v>980</v>
      </c>
      <c r="W443" t="s">
        <v>1130</v>
      </c>
      <c r="X44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</v>
      </c>
      <c r="Y443">
        <f>IF(Transaction[[#This Row],[GrossRevenue_Check]]="Invalid",Transaction[[#This Row],[ListPrice]]*Transaction[[#This Row],[Quantity]],Transaction[[#This Row],[GrossRevenue_Clean]])</f>
        <v>4900</v>
      </c>
      <c r="Z443" t="str">
        <f>IF(Transaction[[#This Row],[GrossRevenue_Clean]]=Transaction[[#This Row],[ListPrice]]*Transaction[[#This Row],[Quantity]],"Valid","Invalid")</f>
        <v>Valid</v>
      </c>
      <c r="AA443">
        <v>941.35</v>
      </c>
      <c r="AB44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941.35</v>
      </c>
      <c r="AC443">
        <f>IF(Transaction[[#This Row],[DiscountAmount_Check2]]="Invalid",Transaction[[#This Row],[GrossRevenue_Analytical]]-Transaction[[#This Row],[NetRevenue_Analytical]],Transaction[[#This Row],[DiscountAmount_Clean]])</f>
        <v>941.35</v>
      </c>
      <c r="AD443">
        <v>3958.65</v>
      </c>
      <c r="AE443" t="str">
        <f>IF(ROUND(Transaction[[#This Row],[GrossRevenue_Analytical]]-Transaction[[#This Row],[NetRevenue_Analytical]],2)=ROUND(Transaction[[#This Row],[DiscountAmount_Clean]],2),"Valid","Invalid")</f>
        <v>Valid</v>
      </c>
      <c r="AF44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3958.65</v>
      </c>
      <c r="AG443">
        <f>IF(Transaction[[#This Row],[NetRevenue_Check]]="Invalid",(Transaction[[#This Row],[Quantity]]*Transaction[[#This Row],[UnitPrice_Clean]]),Transaction[[#This Row],[NetRevenue_Clean]])</f>
        <v>3958.65</v>
      </c>
      <c r="AH443" t="str">
        <f>IF(Transaction[[#This Row],[Quantity]]*Transaction[[#This Row],[UnitPrice_Clean]]=Transaction[[#This Row],[NetRevenue_Clean]],"Valid","Invalid")</f>
        <v>Valid</v>
      </c>
      <c r="AI443" t="s">
        <v>23</v>
      </c>
      <c r="AJ443" t="s">
        <v>1131</v>
      </c>
      <c r="AK443" t="str">
        <f>IF(Transaction[[#This Row],[Salesperson]]="","Missing Value",TRIM(PROPER(Transaction[[#This Row],[Salesperson]])))</f>
        <v>Ponce-Ap</v>
      </c>
      <c r="AL443" t="s">
        <v>42</v>
      </c>
      <c r="AM443" t="str">
        <f>IF(Transaction[[#This Row],[ContractType]]="","Missing Value",Transaction[[#This Row],[ContractType]])</f>
        <v>Standard PO</v>
      </c>
      <c r="AN443" t="s">
        <v>35</v>
      </c>
    </row>
    <row r="444" spans="1:40" x14ac:dyDescent="0.25">
      <c r="A444" t="s">
        <v>522</v>
      </c>
      <c r="B444" s="1">
        <v>45678</v>
      </c>
      <c r="C44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44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44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44" s="2">
        <f>IFERROR(DATE(Transaction[[#This Row],[TransactionDateY]],Transaction[[#This Row],[TransactionDateM]],Transaction[[#This Row],[TransactionDateD]]),"Missing Value")</f>
        <v>45678</v>
      </c>
      <c r="G444" t="s">
        <v>523</v>
      </c>
      <c r="H444" t="str">
        <f>IFERROR(VLOOKUP(Transaction[[#This Row],[CustomerID]],Custumer[],1,0),IF(LEN(Transaction[[#This Row],[CustomerID]])=7,LEFT(Transaction[[#This Row],[CustomerID]],6),"Invalid ID"))</f>
        <v>C-1054</v>
      </c>
      <c r="I444" t="s">
        <v>46</v>
      </c>
      <c r="J444" t="str">
        <f>TRIM(UPPER(Transaction[[#This Row],[ProductID]]))</f>
        <v>P-SI-006</v>
      </c>
      <c r="K444" t="str">
        <f>IFERROR(VLOOKUP(Transaction[[#This Row],[ProductID_Clean]],Product[],1,FALSE),"Invalid ID")</f>
        <v>P-SI-006</v>
      </c>
      <c r="L444" t="str">
        <f>TRIM(SUBSTITUTE(SUBSTITUTE(SUBSTITUTE(SUBSTITUTE(UPPER(Transaction[[#This Row],[Region]]),"EMEA REGION","EMEA"),"APAC REGION","APAC"),"NORTH AMERICA","N. AMERICA"),"N .AMERICA","N.AMERICA"))</f>
        <v>EMEA</v>
      </c>
      <c r="M444" t="s">
        <v>76</v>
      </c>
      <c r="N444" t="s">
        <v>53</v>
      </c>
      <c r="O44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44" t="s">
        <v>22</v>
      </c>
      <c r="Q444" t="str">
        <f>IF(TRIM(Transaction[[#This Row],[SalesChannel]])="","Missing Value",TRIM(Transaction[[#This Row],[SalesChannel]]))</f>
        <v>Direct</v>
      </c>
      <c r="R444" s="4">
        <v>2</v>
      </c>
      <c r="S444" s="4" t="str">
        <f>IF(Transaction[[#This Row],[Quantity]]&lt;0,"Negative-review","Valid")</f>
        <v>Valid</v>
      </c>
      <c r="T444">
        <v>175.47</v>
      </c>
      <c r="U44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175.47</v>
      </c>
      <c r="V444">
        <v>215</v>
      </c>
      <c r="W444">
        <v>430</v>
      </c>
      <c r="X44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444">
        <f>IF(Transaction[[#This Row],[GrossRevenue_Check]]="Invalid",Transaction[[#This Row],[ListPrice]]*Transaction[[#This Row],[Quantity]],Transaction[[#This Row],[GrossRevenue_Clean]])</f>
        <v>430</v>
      </c>
      <c r="Z444" t="str">
        <f>IF(Transaction[[#This Row],[GrossRevenue_Clean]]=Transaction[[#This Row],[ListPrice]]*Transaction[[#This Row],[Quantity]],"Valid","Invalid")</f>
        <v>Valid</v>
      </c>
      <c r="AA444" t="s">
        <v>524</v>
      </c>
      <c r="AB44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79.06</v>
      </c>
      <c r="AC444">
        <f>IF(Transaction[[#This Row],[DiscountAmount_Check2]]="Invalid",Transaction[[#This Row],[GrossRevenue_Analytical]]-Transaction[[#This Row],[NetRevenue_Analytical]],Transaction[[#This Row],[DiscountAmount_Clean]])</f>
        <v>79.06</v>
      </c>
      <c r="AD444">
        <v>350.94</v>
      </c>
      <c r="AE444" t="str">
        <f>IF(ROUND(Transaction[[#This Row],[GrossRevenue_Analytical]]-Transaction[[#This Row],[NetRevenue_Analytical]],2)=ROUND(Transaction[[#This Row],[DiscountAmount_Clean]],2),"Valid","Invalid")</f>
        <v>Valid</v>
      </c>
      <c r="AF444">
        <f>VALUE(IF(ISNUMBER(Transaction[[#This Row],[NetRevenue]]),Transaction[[#This Row],[NetRevenue]],IFERROR(IF(FIND("$",Transaction[[#This Row],[NetRevenue]])&gt;0,MID(Transaction[[#This Row],[NetRevenue]],2,10)),Transaction[[#This Row],[NetRevenue]])))</f>
        <v>350.94</v>
      </c>
      <c r="AG444">
        <f>IF(Transaction[[#This Row],[NetRevenue_Check]]="Invalid",(Transaction[[#This Row],[Quantity]]*Transaction[[#This Row],[UnitPrice_Clean]]),Transaction[[#This Row],[NetRevenue_Clean]])</f>
        <v>350.94</v>
      </c>
      <c r="AH444" t="str">
        <f>IF(Transaction[[#This Row],[Quantity]]*Transaction[[#This Row],[UnitPrice_Clean]]=Transaction[[#This Row],[NetRevenue_Clean]],"Valid","Invalid")</f>
        <v>Valid</v>
      </c>
      <c r="AI444" t="s">
        <v>23</v>
      </c>
      <c r="AJ444" t="s">
        <v>525</v>
      </c>
      <c r="AK444" t="str">
        <f>IF(Transaction[[#This Row],[Salesperson]]="","Missing Value",TRIM(PROPER(Transaction[[#This Row],[Salesperson]])))</f>
        <v>Downs</v>
      </c>
      <c r="AL444" t="s">
        <v>42</v>
      </c>
      <c r="AM444" t="str">
        <f>IF(Transaction[[#This Row],[ContractType]]="","Missing Value",Transaction[[#This Row],[ContractType]])</f>
        <v>Standard PO</v>
      </c>
      <c r="AN444" t="s">
        <v>26</v>
      </c>
    </row>
    <row r="445" spans="1:40" x14ac:dyDescent="0.25">
      <c r="A445" t="s">
        <v>1829</v>
      </c>
      <c r="B445" s="1">
        <v>45771</v>
      </c>
      <c r="C44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44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44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45" s="2">
        <f>IFERROR(DATE(Transaction[[#This Row],[TransactionDateY]],Transaction[[#This Row],[TransactionDateM]],Transaction[[#This Row],[TransactionDateD]]),"Missing Value")</f>
        <v>45771</v>
      </c>
      <c r="G445" t="s">
        <v>253</v>
      </c>
      <c r="H445" t="str">
        <f>IFERROR(VLOOKUP(Transaction[[#This Row],[CustomerID]],Custumer[],1,0),IF(LEN(Transaction[[#This Row],[CustomerID]])=7,LEFT(Transaction[[#This Row],[CustomerID]],6),"Invalid ID"))</f>
        <v>C-1144</v>
      </c>
      <c r="I445" t="s">
        <v>258</v>
      </c>
      <c r="J445" t="str">
        <f>TRIM(UPPER(Transaction[[#This Row],[ProductID]]))</f>
        <v>P-SA-003</v>
      </c>
      <c r="K445" t="str">
        <f>IFERROR(VLOOKUP(Transaction[[#This Row],[ProductID_Clean]],Product[],1,FALSE),"Invalid ID")</f>
        <v>P-SA-003</v>
      </c>
      <c r="L445" t="str">
        <f>TRIM(SUBSTITUTE(SUBSTITUTE(SUBSTITUTE(SUBSTITUTE(UPPER(Transaction[[#This Row],[Region]]),"EMEA REGION","EMEA"),"APAC REGION","APAC"),"NORTH AMERICA","N. AMERICA"),"N .AMERICA","N.AMERICA"))</f>
        <v>APAC</v>
      </c>
      <c r="M445" t="s">
        <v>30</v>
      </c>
      <c r="N445" t="s">
        <v>205</v>
      </c>
      <c r="O44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445" t="s">
        <v>22</v>
      </c>
      <c r="Q445" t="str">
        <f>IF(TRIM(Transaction[[#This Row],[SalesChannel]])="","Missing Value",TRIM(Transaction[[#This Row],[SalesChannel]]))</f>
        <v>Direct</v>
      </c>
      <c r="R445" s="4">
        <v>1</v>
      </c>
      <c r="S445" s="4" t="str">
        <f>IF(Transaction[[#This Row],[Quantity]]&lt;0,"Negative-review","Valid")</f>
        <v>Valid</v>
      </c>
      <c r="T445">
        <v>2633.32</v>
      </c>
      <c r="U44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2633.32</v>
      </c>
      <c r="V445">
        <v>2750</v>
      </c>
      <c r="W445">
        <v>2750</v>
      </c>
      <c r="X44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445">
        <f>IF(Transaction[[#This Row],[GrossRevenue_Check]]="Invalid",Transaction[[#This Row],[ListPrice]]*Transaction[[#This Row],[Quantity]],Transaction[[#This Row],[GrossRevenue_Clean]])</f>
        <v>2750</v>
      </c>
      <c r="Z445" t="str">
        <f>IF(Transaction[[#This Row],[GrossRevenue_Clean]]=Transaction[[#This Row],[ListPrice]]*Transaction[[#This Row],[Quantity]],"Valid","Invalid")</f>
        <v>Valid</v>
      </c>
      <c r="AA445">
        <v>116.68</v>
      </c>
      <c r="AB44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116.68</v>
      </c>
      <c r="AC445">
        <f>IF(Transaction[[#This Row],[DiscountAmount_Check2]]="Invalid",Transaction[[#This Row],[GrossRevenue_Analytical]]-Transaction[[#This Row],[NetRevenue_Analytical]],Transaction[[#This Row],[DiscountAmount_Clean]])</f>
        <v>116.68</v>
      </c>
      <c r="AD445">
        <v>2633.32</v>
      </c>
      <c r="AE445" t="str">
        <f>IF(ROUND(Transaction[[#This Row],[GrossRevenue_Analytical]]-Transaction[[#This Row],[NetRevenue_Analytical]],2)=ROUND(Transaction[[#This Row],[DiscountAmount_Clean]],2),"Valid","Invalid")</f>
        <v>Valid</v>
      </c>
      <c r="AF445">
        <f>VALUE(IF(ISNUMBER(Transaction[[#This Row],[NetRevenue]]),Transaction[[#This Row],[NetRevenue]],IFERROR(IF(FIND("$",Transaction[[#This Row],[NetRevenue]])&gt;0,MID(Transaction[[#This Row],[NetRevenue]],2,10)),Transaction[[#This Row],[NetRevenue]])))</f>
        <v>2633.32</v>
      </c>
      <c r="AG445">
        <f>IF(Transaction[[#This Row],[NetRevenue_Check]]="Invalid",(Transaction[[#This Row],[Quantity]]*Transaction[[#This Row],[UnitPrice_Clean]]),Transaction[[#This Row],[NetRevenue_Clean]])</f>
        <v>2633.32</v>
      </c>
      <c r="AH445" t="str">
        <f>IF(Transaction[[#This Row],[Quantity]]*Transaction[[#This Row],[UnitPrice_Clean]]=Transaction[[#This Row],[NetRevenue_Clean]],"Valid","Invalid")</f>
        <v>Valid</v>
      </c>
      <c r="AI445" t="s">
        <v>23</v>
      </c>
      <c r="AJ445" t="s">
        <v>1830</v>
      </c>
      <c r="AK445" t="str">
        <f>IF(Transaction[[#This Row],[Salesperson]]="","Missing Value",TRIM(PROPER(Transaction[[#This Row],[Salesperson]])))</f>
        <v>Contreras-Ap</v>
      </c>
      <c r="AL445" t="s">
        <v>34</v>
      </c>
      <c r="AM445" t="str">
        <f>IF(Transaction[[#This Row],[ContractType]]="","Missing Value",Transaction[[#This Row],[ContractType]])</f>
        <v>Annual License</v>
      </c>
      <c r="AN445" t="s">
        <v>65</v>
      </c>
    </row>
    <row r="446" spans="1:40" x14ac:dyDescent="0.25">
      <c r="A446" t="s">
        <v>2798</v>
      </c>
      <c r="B446" t="s">
        <v>2799</v>
      </c>
      <c r="C44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44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44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46" s="2">
        <f>IFERROR(DATE(Transaction[[#This Row],[TransactionDateY]],Transaction[[#This Row],[TransactionDateM]],Transaction[[#This Row],[TransactionDateD]]),"Missing Value")</f>
        <v>45766</v>
      </c>
      <c r="G446" t="s">
        <v>1417</v>
      </c>
      <c r="H446" t="str">
        <f>IFERROR(VLOOKUP(Transaction[[#This Row],[CustomerID]],Custumer[],1,0),IF(LEN(Transaction[[#This Row],[CustomerID]])=7,LEFT(Transaction[[#This Row],[CustomerID]],6),"Invalid ID"))</f>
        <v>C-1050</v>
      </c>
      <c r="I446" t="s">
        <v>103</v>
      </c>
      <c r="J446" t="str">
        <f>TRIM(UPPER(Transaction[[#This Row],[ProductID]]))</f>
        <v>P-FS-005</v>
      </c>
      <c r="K446" t="str">
        <f>IFERROR(VLOOKUP(Transaction[[#This Row],[ProductID_Clean]],Product[],1,FALSE),"Invalid ID")</f>
        <v>P-FS-005</v>
      </c>
      <c r="L446" t="str">
        <f>TRIM(SUBSTITUTE(SUBSTITUTE(SUBSTITUTE(SUBSTITUTE(UPPER(Transaction[[#This Row],[Region]]),"EMEA REGION","EMEA"),"APAC REGION","APAC"),"NORTH AMERICA","N. AMERICA"),"N .AMERICA","N.AMERICA"))</f>
        <v>EMEA</v>
      </c>
      <c r="M446" t="s">
        <v>683</v>
      </c>
      <c r="N446" t="s">
        <v>21</v>
      </c>
      <c r="O44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446" t="s">
        <v>22</v>
      </c>
      <c r="Q446" t="str">
        <f>IF(TRIM(Transaction[[#This Row],[SalesChannel]])="","Missing Value",TRIM(Transaction[[#This Row],[SalesChannel]]))</f>
        <v>Direct</v>
      </c>
      <c r="R446" s="4">
        <v>2</v>
      </c>
      <c r="S446" s="4" t="str">
        <f>IF(Transaction[[#This Row],[Quantity]]&lt;0,"Negative-review","Valid")</f>
        <v>Valid</v>
      </c>
      <c r="T446">
        <v>879.01</v>
      </c>
      <c r="U44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879.01</v>
      </c>
      <c r="V446">
        <v>950</v>
      </c>
      <c r="W446">
        <v>1900</v>
      </c>
      <c r="X44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1900</v>
      </c>
      <c r="Y446">
        <f>IF(Transaction[[#This Row],[GrossRevenue_Check]]="Invalid",Transaction[[#This Row],[ListPrice]]*Transaction[[#This Row],[Quantity]],Transaction[[#This Row],[GrossRevenue_Clean]])</f>
        <v>1900</v>
      </c>
      <c r="Z446" t="str">
        <f>IF(Transaction[[#This Row],[GrossRevenue_Clean]]=Transaction[[#This Row],[ListPrice]]*Transaction[[#This Row],[Quantity]],"Valid","Invalid")</f>
        <v>Valid</v>
      </c>
      <c r="AA446">
        <v>141.97999999999999</v>
      </c>
      <c r="AB44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141.97999999999999</v>
      </c>
      <c r="AC446">
        <f>IF(Transaction[[#This Row],[DiscountAmount_Check2]]="Invalid",Transaction[[#This Row],[GrossRevenue_Analytical]]-Transaction[[#This Row],[NetRevenue_Analytical]],Transaction[[#This Row],[DiscountAmount_Clean]])</f>
        <v>141.97999999999999</v>
      </c>
      <c r="AD446">
        <v>1758.02</v>
      </c>
      <c r="AE446" t="str">
        <f>IF(ROUND(Transaction[[#This Row],[GrossRevenue_Analytical]]-Transaction[[#This Row],[NetRevenue_Analytical]],2)=ROUND(Transaction[[#This Row],[DiscountAmount_Clean]],2),"Valid","Invalid")</f>
        <v>Valid</v>
      </c>
      <c r="AF44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1758.02</v>
      </c>
      <c r="AG446">
        <f>IF(Transaction[[#This Row],[NetRevenue_Check]]="Invalid",(Transaction[[#This Row],[Quantity]]*Transaction[[#This Row],[UnitPrice_Clean]]),Transaction[[#This Row],[NetRevenue_Clean]])</f>
        <v>1758.02</v>
      </c>
      <c r="AH446" t="str">
        <f>IF(Transaction[[#This Row],[Quantity]]*Transaction[[#This Row],[UnitPrice_Clean]]=Transaction[[#This Row],[NetRevenue_Clean]],"Valid","Invalid")</f>
        <v>Valid</v>
      </c>
      <c r="AI446" t="s">
        <v>23</v>
      </c>
      <c r="AJ446" t="s">
        <v>2800</v>
      </c>
      <c r="AK446" t="str">
        <f>IF(Transaction[[#This Row],[Salesperson]]="","Missing Value",TRIM(PROPER(Transaction[[#This Row],[Salesperson]])))</f>
        <v>Mckinney-Na</v>
      </c>
      <c r="AL446" t="s">
        <v>55</v>
      </c>
      <c r="AM446" t="str">
        <f>IF(Transaction[[#This Row],[ContractType]]="","Missing Value",Transaction[[#This Row],[ContractType]])</f>
        <v>Spot</v>
      </c>
      <c r="AN446" t="s">
        <v>65</v>
      </c>
    </row>
    <row r="447" spans="1:40" x14ac:dyDescent="0.25">
      <c r="A447" t="s">
        <v>1083</v>
      </c>
      <c r="B447" s="1">
        <v>45813</v>
      </c>
      <c r="C44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44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44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47" s="2">
        <f>IFERROR(DATE(Transaction[[#This Row],[TransactionDateY]],Transaction[[#This Row],[TransactionDateM]],Transaction[[#This Row],[TransactionDateD]]),"Missing Value")</f>
        <v>45813</v>
      </c>
      <c r="G447" t="s">
        <v>1000</v>
      </c>
      <c r="H447" t="str">
        <f>IFERROR(VLOOKUP(Transaction[[#This Row],[CustomerID]],Custumer[],1,0),IF(LEN(Transaction[[#This Row],[CustomerID]])=7,LEFT(Transaction[[#This Row],[CustomerID]],6),"Invalid ID"))</f>
        <v>C-1137</v>
      </c>
      <c r="I447" t="s">
        <v>52</v>
      </c>
      <c r="J447" t="str">
        <f>TRIM(UPPER(Transaction[[#This Row],[ProductID]]))</f>
        <v>P-SI-002</v>
      </c>
      <c r="K447" t="str">
        <f>IFERROR(VLOOKUP(Transaction[[#This Row],[ProductID_Clean]],Product[],1,FALSE),"Invalid ID")</f>
        <v>P-SI-002</v>
      </c>
      <c r="L447" t="str">
        <f>TRIM(SUBSTITUTE(SUBSTITUTE(SUBSTITUTE(SUBSTITUTE(UPPER(Transaction[[#This Row],[Region]]),"EMEA REGION","EMEA"),"APAC REGION","APAC"),"NORTH AMERICA","N. AMERICA"),"N .AMERICA","N.AMERICA"))</f>
        <v>N. AMERICA</v>
      </c>
      <c r="M447" t="s">
        <v>20</v>
      </c>
      <c r="N447" t="s">
        <v>53</v>
      </c>
      <c r="O44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47" t="s">
        <v>40</v>
      </c>
      <c r="Q447" t="str">
        <f>IF(TRIM(Transaction[[#This Row],[SalesChannel]])="","Missing Value",TRIM(Transaction[[#This Row],[SalesChannel]]))</f>
        <v>Distributor</v>
      </c>
      <c r="R447" s="4">
        <v>15</v>
      </c>
      <c r="S447" s="4" t="str">
        <f>IF(Transaction[[#This Row],[Quantity]]&lt;0,"Negative-review","Valid")</f>
        <v>Valid</v>
      </c>
      <c r="T447" t="s">
        <v>1084</v>
      </c>
      <c r="U44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610.54999999999995</v>
      </c>
      <c r="V447">
        <v>725</v>
      </c>
      <c r="W447">
        <v>10875</v>
      </c>
      <c r="X44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10875</v>
      </c>
      <c r="Y447">
        <f>IF(Transaction[[#This Row],[GrossRevenue_Check]]="Invalid",Transaction[[#This Row],[ListPrice]]*Transaction[[#This Row],[Quantity]],Transaction[[#This Row],[GrossRevenue_Clean]])</f>
        <v>10875</v>
      </c>
      <c r="Z447" t="str">
        <f>IF(Transaction[[#This Row],[GrossRevenue_Clean]]=Transaction[[#This Row],[ListPrice]]*Transaction[[#This Row],[Quantity]],"Valid","Invalid")</f>
        <v>Valid</v>
      </c>
      <c r="AA447" t="s">
        <v>1085</v>
      </c>
      <c r="AB44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1716.75</v>
      </c>
      <c r="AC447">
        <f>IF(Transaction[[#This Row],[DiscountAmount_Check2]]="Invalid",Transaction[[#This Row],[GrossRevenue_Analytical]]-Transaction[[#This Row],[NetRevenue_Analytical]],Transaction[[#This Row],[DiscountAmount_Clean]])</f>
        <v>1716.75</v>
      </c>
      <c r="AD447">
        <v>9158.25</v>
      </c>
      <c r="AE447" t="str">
        <f>IF(ROUND(Transaction[[#This Row],[GrossRevenue_Analytical]]-Transaction[[#This Row],[NetRevenue_Analytical]],2)=ROUND(Transaction[[#This Row],[DiscountAmount_Clean]],2),"Valid","Invalid")</f>
        <v>Valid</v>
      </c>
      <c r="AF447">
        <f>VALUE(IF(ISNUMBER(Transaction[[#This Row],[NetRevenue]]),Transaction[[#This Row],[NetRevenue]],IFERROR(IF(FIND("$",Transaction[[#This Row],[NetRevenue]])&gt;0,MID(Transaction[[#This Row],[NetRevenue]],2,10)),Transaction[[#This Row],[NetRevenue]])))</f>
        <v>9158.25</v>
      </c>
      <c r="AG447">
        <f>IF(Transaction[[#This Row],[NetRevenue_Check]]="Invalid",(Transaction[[#This Row],[Quantity]]*Transaction[[#This Row],[UnitPrice_Clean]]),Transaction[[#This Row],[NetRevenue_Clean]])</f>
        <v>9158.25</v>
      </c>
      <c r="AH447" t="str">
        <f>IF(Transaction[[#This Row],[Quantity]]*Transaction[[#This Row],[UnitPrice_Clean]]=Transaction[[#This Row],[NetRevenue_Clean]],"Valid","Invalid")</f>
        <v>Valid</v>
      </c>
      <c r="AI447" t="s">
        <v>23</v>
      </c>
      <c r="AJ447" t="s">
        <v>1086</v>
      </c>
      <c r="AK447" t="str">
        <f>IF(Transaction[[#This Row],[Salesperson]]="","Missing Value",TRIM(PROPER(Transaction[[#This Row],[Salesperson]])))</f>
        <v>Pierce-Na</v>
      </c>
      <c r="AL447" t="s">
        <v>42</v>
      </c>
      <c r="AM447" t="str">
        <f>IF(Transaction[[#This Row],[ContractType]]="","Missing Value",Transaction[[#This Row],[ContractType]])</f>
        <v>Standard PO</v>
      </c>
      <c r="AN447" t="s">
        <v>26</v>
      </c>
    </row>
    <row r="448" spans="1:40" x14ac:dyDescent="0.25">
      <c r="A448" t="s">
        <v>2448</v>
      </c>
      <c r="B448" s="1">
        <v>45764</v>
      </c>
      <c r="C44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44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44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48" s="2">
        <f>IFERROR(DATE(Transaction[[#This Row],[TransactionDateY]],Transaction[[#This Row],[TransactionDateM]],Transaction[[#This Row],[TransactionDateD]]),"Missing Value")</f>
        <v>45764</v>
      </c>
      <c r="G448" t="s">
        <v>518</v>
      </c>
      <c r="H448" t="str">
        <f>IFERROR(VLOOKUP(Transaction[[#This Row],[CustomerID]],Custumer[],1,0),IF(LEN(Transaction[[#This Row],[CustomerID]])=7,LEFT(Transaction[[#This Row],[CustomerID]],6),"Invalid ID"))</f>
        <v>C-1173</v>
      </c>
      <c r="I448" t="s">
        <v>222</v>
      </c>
      <c r="J448" t="str">
        <f>TRIM(UPPER(Transaction[[#This Row],[ProductID]]))</f>
        <v>P-FS-003</v>
      </c>
      <c r="K448" t="str">
        <f>IFERROR(VLOOKUP(Transaction[[#This Row],[ProductID_Clean]],Product[],1,FALSE),"Invalid ID")</f>
        <v>P-FS-003</v>
      </c>
      <c r="L448" t="str">
        <f>TRIM(SUBSTITUTE(SUBSTITUTE(SUBSTITUTE(SUBSTITUTE(UPPER(Transaction[[#This Row],[Region]]),"EMEA REGION","EMEA"),"APAC REGION","APAC"),"NORTH AMERICA","N. AMERICA"),"N .AMERICA","N.AMERICA"))</f>
        <v>EMEA</v>
      </c>
      <c r="M448" t="s">
        <v>76</v>
      </c>
      <c r="N448" t="s">
        <v>771</v>
      </c>
      <c r="O448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448" t="s">
        <v>40</v>
      </c>
      <c r="Q448" t="str">
        <f>IF(TRIM(Transaction[[#This Row],[SalesChannel]])="","Missing Value",TRIM(Transaction[[#This Row],[SalesChannel]]))</f>
        <v>Distributor</v>
      </c>
      <c r="R448" s="4">
        <v>1</v>
      </c>
      <c r="S448" s="4" t="str">
        <f>IF(Transaction[[#This Row],[Quantity]]&lt;0,"Negative-review","Valid")</f>
        <v>Valid</v>
      </c>
      <c r="T448">
        <v>3431.93</v>
      </c>
      <c r="U44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3431.93</v>
      </c>
      <c r="V448">
        <v>4100</v>
      </c>
      <c r="W448">
        <v>4100</v>
      </c>
      <c r="X44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4100</v>
      </c>
      <c r="Y448">
        <f>IF(Transaction[[#This Row],[GrossRevenue_Check]]="Invalid",Transaction[[#This Row],[ListPrice]]*Transaction[[#This Row],[Quantity]],Transaction[[#This Row],[GrossRevenue_Clean]])</f>
        <v>4100</v>
      </c>
      <c r="Z448" t="str">
        <f>IF(Transaction[[#This Row],[GrossRevenue_Clean]]=Transaction[[#This Row],[ListPrice]]*Transaction[[#This Row],[Quantity]],"Valid","Invalid")</f>
        <v>Valid</v>
      </c>
      <c r="AA448" t="s">
        <v>2449</v>
      </c>
      <c r="AB44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668.07</v>
      </c>
      <c r="AC448">
        <f>IF(Transaction[[#This Row],[DiscountAmount_Check2]]="Invalid",Transaction[[#This Row],[GrossRevenue_Analytical]]-Transaction[[#This Row],[NetRevenue_Analytical]],Transaction[[#This Row],[DiscountAmount_Clean]])</f>
        <v>668.07</v>
      </c>
      <c r="AD448">
        <v>3431.93</v>
      </c>
      <c r="AE448" t="str">
        <f>IF(ROUND(Transaction[[#This Row],[GrossRevenue_Analytical]]-Transaction[[#This Row],[NetRevenue_Analytical]],2)=ROUND(Transaction[[#This Row],[DiscountAmount_Clean]],2),"Valid","Invalid")</f>
        <v>Valid</v>
      </c>
      <c r="AF448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3431.93</v>
      </c>
      <c r="AG448">
        <f>IF(Transaction[[#This Row],[NetRevenue_Check]]="Invalid",(Transaction[[#This Row],[Quantity]]*Transaction[[#This Row],[UnitPrice_Clean]]),Transaction[[#This Row],[NetRevenue_Clean]])</f>
        <v>3431.93</v>
      </c>
      <c r="AH448" t="str">
        <f>IF(Transaction[[#This Row],[Quantity]]*Transaction[[#This Row],[UnitPrice_Clean]]=Transaction[[#This Row],[NetRevenue_Clean]],"Valid","Invalid")</f>
        <v>Valid</v>
      </c>
      <c r="AI448" t="s">
        <v>23</v>
      </c>
      <c r="AJ448" t="s">
        <v>1904</v>
      </c>
      <c r="AK448" t="str">
        <f>IF(Transaction[[#This Row],[Salesperson]]="","Missing Value",TRIM(PROPER(Transaction[[#This Row],[Salesperson]])))</f>
        <v>Roberts</v>
      </c>
      <c r="AL448" t="s">
        <v>224</v>
      </c>
      <c r="AM448" t="str">
        <f>IF(Transaction[[#This Row],[ContractType]]="","Missing Value",Transaction[[#This Row],[ContractType]])</f>
        <v>Annual</v>
      </c>
      <c r="AN448" t="s">
        <v>26</v>
      </c>
    </row>
    <row r="449" spans="1:40" x14ac:dyDescent="0.25">
      <c r="A449" t="s">
        <v>2063</v>
      </c>
      <c r="B449" t="s">
        <v>2064</v>
      </c>
      <c r="C44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44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44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49" s="2">
        <f>IFERROR(DATE(Transaction[[#This Row],[TransactionDateY]],Transaction[[#This Row],[TransactionDateM]],Transaction[[#This Row],[TransactionDateD]]),"Missing Value")</f>
        <v>45713</v>
      </c>
      <c r="G449" t="s">
        <v>360</v>
      </c>
      <c r="H449" t="str">
        <f>IFERROR(VLOOKUP(Transaction[[#This Row],[CustomerID]],Custumer[],1,0),IF(LEN(Transaction[[#This Row],[CustomerID]])=7,LEFT(Transaction[[#This Row],[CustomerID]],6),"Invalid ID"))</f>
        <v>C-1067</v>
      </c>
      <c r="I449" t="s">
        <v>52</v>
      </c>
      <c r="J449" t="str">
        <f>TRIM(UPPER(Transaction[[#This Row],[ProductID]]))</f>
        <v>P-SI-002</v>
      </c>
      <c r="K449" t="str">
        <f>IFERROR(VLOOKUP(Transaction[[#This Row],[ProductID_Clean]],Product[],1,FALSE),"Invalid ID")</f>
        <v>P-SI-002</v>
      </c>
      <c r="L449" t="str">
        <f>TRIM(SUBSTITUTE(SUBSTITUTE(SUBSTITUTE(SUBSTITUTE(UPPER(Transaction[[#This Row],[Region]]),"EMEA REGION","EMEA"),"APAC REGION","APAC"),"NORTH AMERICA","N. AMERICA"),"N .AMERICA","N.AMERICA"))</f>
        <v>APAC</v>
      </c>
      <c r="M449" t="s">
        <v>30</v>
      </c>
      <c r="N449" t="s">
        <v>53</v>
      </c>
      <c r="O44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49" t="s">
        <v>22</v>
      </c>
      <c r="Q449" t="str">
        <f>IF(TRIM(Transaction[[#This Row],[SalesChannel]])="","Missing Value",TRIM(Transaction[[#This Row],[SalesChannel]]))</f>
        <v>Direct</v>
      </c>
      <c r="R449" s="4">
        <v>3</v>
      </c>
      <c r="S449" s="4" t="str">
        <f>IF(Transaction[[#This Row],[Quantity]]&lt;0,"Negative-review","Valid")</f>
        <v>Valid</v>
      </c>
      <c r="T449">
        <v>557.24</v>
      </c>
      <c r="U44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557.24</v>
      </c>
      <c r="V449">
        <v>725</v>
      </c>
      <c r="W449">
        <v>2175</v>
      </c>
      <c r="X44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2175</v>
      </c>
      <c r="Y449">
        <f>IF(Transaction[[#This Row],[GrossRevenue_Check]]="Invalid",Transaction[[#This Row],[ListPrice]]*Transaction[[#This Row],[Quantity]],Transaction[[#This Row],[GrossRevenue_Clean]])</f>
        <v>2175</v>
      </c>
      <c r="Z449" t="str">
        <f>IF(Transaction[[#This Row],[GrossRevenue_Clean]]=Transaction[[#This Row],[ListPrice]]*Transaction[[#This Row],[Quantity]],"Valid","Invalid")</f>
        <v>Valid</v>
      </c>
      <c r="AA449">
        <v>503.28</v>
      </c>
      <c r="AB44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503.28</v>
      </c>
      <c r="AC449">
        <f>IF(Transaction[[#This Row],[DiscountAmount_Check2]]="Invalid",Transaction[[#This Row],[GrossRevenue_Analytical]]-Transaction[[#This Row],[NetRevenue_Analytical]],Transaction[[#This Row],[DiscountAmount_Clean]])</f>
        <v>503.28</v>
      </c>
      <c r="AD449">
        <v>1671.72</v>
      </c>
      <c r="AE449" t="str">
        <f>IF(ROUND(Transaction[[#This Row],[GrossRevenue_Analytical]]-Transaction[[#This Row],[NetRevenue_Analytical]],2)=ROUND(Transaction[[#This Row],[DiscountAmount_Clean]],2),"Valid","Invalid")</f>
        <v>Valid</v>
      </c>
      <c r="AF44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1671.72</v>
      </c>
      <c r="AG449">
        <f>IF(Transaction[[#This Row],[NetRevenue_Check]]="Invalid",(Transaction[[#This Row],[Quantity]]*Transaction[[#This Row],[UnitPrice_Clean]]),Transaction[[#This Row],[NetRevenue_Clean]])</f>
        <v>1671.72</v>
      </c>
      <c r="AH449" t="str">
        <f>IF(Transaction[[#This Row],[Quantity]]*Transaction[[#This Row],[UnitPrice_Clean]]=Transaction[[#This Row],[NetRevenue_Clean]],"Valid","Invalid")</f>
        <v>Valid</v>
      </c>
      <c r="AI449" t="s">
        <v>23</v>
      </c>
      <c r="AJ449" t="s">
        <v>72</v>
      </c>
      <c r="AK449" t="str">
        <f>IF(Transaction[[#This Row],[Salesperson]]="","Missing Value",TRIM(PROPER(Transaction[[#This Row],[Salesperson]])))</f>
        <v>Evans-Em</v>
      </c>
      <c r="AL449" t="s">
        <v>42</v>
      </c>
      <c r="AM449" t="str">
        <f>IF(Transaction[[#This Row],[ContractType]]="","Missing Value",Transaction[[#This Row],[ContractType]])</f>
        <v>Standard PO</v>
      </c>
      <c r="AN449" t="s">
        <v>43</v>
      </c>
    </row>
    <row r="450" spans="1:40" x14ac:dyDescent="0.25">
      <c r="A450" t="s">
        <v>1659</v>
      </c>
      <c r="B450" t="s">
        <v>303</v>
      </c>
      <c r="C45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45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45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50" s="2">
        <f>IFERROR(DATE(Transaction[[#This Row],[TransactionDateY]],Transaction[[#This Row],[TransactionDateM]],Transaction[[#This Row],[TransactionDateD]]),"Missing Value")</f>
        <v>45687</v>
      </c>
      <c r="G450" t="s">
        <v>1660</v>
      </c>
      <c r="H450" t="str">
        <f>IFERROR(VLOOKUP(Transaction[[#This Row],[CustomerID]],Custumer[],1,0),IF(LEN(Transaction[[#This Row],[CustomerID]])=7,LEFT(Transaction[[#This Row],[CustomerID]],6),"Invalid ID"))</f>
        <v>C-1117</v>
      </c>
      <c r="I450" t="s">
        <v>29</v>
      </c>
      <c r="J450" t="str">
        <f>TRIM(UPPER(Transaction[[#This Row],[ProductID]]))</f>
        <v>P-SA-001</v>
      </c>
      <c r="K450" t="str">
        <f>IFERROR(VLOOKUP(Transaction[[#This Row],[ProductID_Clean]],Product[],1,FALSE),"Invalid ID")</f>
        <v>P-SA-001</v>
      </c>
      <c r="L450" t="str">
        <f>TRIM(SUBSTITUTE(SUBSTITUTE(SUBSTITUTE(SUBSTITUTE(UPPER(Transaction[[#This Row],[Region]]),"EMEA REGION","EMEA"),"APAC REGION","APAC"),"NORTH AMERICA","N. AMERICA"),"N .AMERICA","N.AMERICA"))</f>
        <v>LATIN AMERICA</v>
      </c>
      <c r="M450" t="s">
        <v>82</v>
      </c>
      <c r="N450" t="s">
        <v>31</v>
      </c>
      <c r="O450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450" t="s">
        <v>40</v>
      </c>
      <c r="Q450" t="str">
        <f>IF(TRIM(Transaction[[#This Row],[SalesChannel]])="","Missing Value",TRIM(Transaction[[#This Row],[SalesChannel]]))</f>
        <v>Distributor</v>
      </c>
      <c r="R450" s="4">
        <v>1</v>
      </c>
      <c r="S450" s="4" t="str">
        <f>IF(Transaction[[#This Row],[Quantity]]&lt;0,"Negative-review","Valid")</f>
        <v>Valid</v>
      </c>
      <c r="T450">
        <v>3448.57</v>
      </c>
      <c r="U45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3448.57</v>
      </c>
      <c r="V450">
        <v>4200</v>
      </c>
      <c r="W450">
        <v>4200</v>
      </c>
      <c r="X45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450">
        <f>IF(Transaction[[#This Row],[GrossRevenue_Check]]="Invalid",Transaction[[#This Row],[ListPrice]]*Transaction[[#This Row],[Quantity]],Transaction[[#This Row],[GrossRevenue_Clean]])</f>
        <v>4200</v>
      </c>
      <c r="Z450" t="str">
        <f>IF(Transaction[[#This Row],[GrossRevenue_Clean]]=Transaction[[#This Row],[ListPrice]]*Transaction[[#This Row],[Quantity]],"Valid","Invalid")</f>
        <v>Valid</v>
      </c>
      <c r="AA450" t="s">
        <v>1661</v>
      </c>
      <c r="AB45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751.43</v>
      </c>
      <c r="AC450">
        <f>IF(Transaction[[#This Row],[DiscountAmount_Check2]]="Invalid",Transaction[[#This Row],[GrossRevenue_Analytical]]-Transaction[[#This Row],[NetRevenue_Analytical]],Transaction[[#This Row],[DiscountAmount_Clean]])</f>
        <v>751.43</v>
      </c>
      <c r="AD450">
        <v>3448.57</v>
      </c>
      <c r="AE450" t="str">
        <f>IF(ROUND(Transaction[[#This Row],[GrossRevenue_Analytical]]-Transaction[[#This Row],[NetRevenue_Analytical]],2)=ROUND(Transaction[[#This Row],[DiscountAmount_Clean]],2),"Valid","Invalid")</f>
        <v>Valid</v>
      </c>
      <c r="AF450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3448.57</v>
      </c>
      <c r="AG450">
        <f>IF(Transaction[[#This Row],[NetRevenue_Check]]="Invalid",(Transaction[[#This Row],[Quantity]]*Transaction[[#This Row],[UnitPrice_Clean]]),Transaction[[#This Row],[NetRevenue_Clean]])</f>
        <v>3448.57</v>
      </c>
      <c r="AH450" t="str">
        <f>IF(Transaction[[#This Row],[Quantity]]*Transaction[[#This Row],[UnitPrice_Clean]]=Transaction[[#This Row],[NetRevenue_Clean]],"Valid","Invalid")</f>
        <v>Valid</v>
      </c>
      <c r="AI450" t="s">
        <v>23</v>
      </c>
      <c r="AJ450" t="s">
        <v>389</v>
      </c>
      <c r="AK450" t="str">
        <f>IF(Transaction[[#This Row],[Salesperson]]="","Missing Value",TRIM(PROPER(Transaction[[#This Row],[Salesperson]])))</f>
        <v>Moore</v>
      </c>
      <c r="AL450" t="s">
        <v>34</v>
      </c>
      <c r="AM450" t="str">
        <f>IF(Transaction[[#This Row],[ContractType]]="","Missing Value",Transaction[[#This Row],[ContractType]])</f>
        <v>Annual License</v>
      </c>
      <c r="AN450" t="s">
        <v>43</v>
      </c>
    </row>
    <row r="451" spans="1:40" x14ac:dyDescent="0.25">
      <c r="A451" t="s">
        <v>2333</v>
      </c>
      <c r="B451" s="1">
        <v>45730</v>
      </c>
      <c r="C45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45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45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51" s="2">
        <f>IFERROR(DATE(Transaction[[#This Row],[TransactionDateY]],Transaction[[#This Row],[TransactionDateM]],Transaction[[#This Row],[TransactionDateD]]),"Missing Value")</f>
        <v>45730</v>
      </c>
      <c r="G451" t="s">
        <v>405</v>
      </c>
      <c r="H451" t="str">
        <f>IFERROR(VLOOKUP(Transaction[[#This Row],[CustomerID]],Custumer[],1,0),IF(LEN(Transaction[[#This Row],[CustomerID]])=7,LEFT(Transaction[[#This Row],[CustomerID]],6),"Invalid ID"))</f>
        <v>C-1163</v>
      </c>
      <c r="I451" t="s">
        <v>58</v>
      </c>
      <c r="J451" t="str">
        <f>TRIM(UPPER(Transaction[[#This Row],[ProductID]]))</f>
        <v>P-SI-005</v>
      </c>
      <c r="K451" t="str">
        <f>IFERROR(VLOOKUP(Transaction[[#This Row],[ProductID_Clean]],Product[],1,FALSE),"Invalid ID")</f>
        <v>P-SI-005</v>
      </c>
      <c r="L451" t="str">
        <f>TRIM(SUBSTITUTE(SUBSTITUTE(SUBSTITUTE(SUBSTITUTE(UPPER(Transaction[[#This Row],[Region]]),"EMEA REGION","EMEA"),"APAC REGION","APAC"),"NORTH AMERICA","N. AMERICA"),"N .AMERICA","N.AMERICA"))</f>
        <v>APAC</v>
      </c>
      <c r="M451" t="s">
        <v>30</v>
      </c>
      <c r="N451" t="s">
        <v>53</v>
      </c>
      <c r="O45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51" t="s">
        <v>40</v>
      </c>
      <c r="Q451" t="str">
        <f>IF(TRIM(Transaction[[#This Row],[SalesChannel]])="","Missing Value",TRIM(Transaction[[#This Row],[SalesChannel]]))</f>
        <v>Distributor</v>
      </c>
      <c r="R451" s="4">
        <v>4</v>
      </c>
      <c r="S451" s="4" t="str">
        <f>IF(Transaction[[#This Row],[Quantity]]&lt;0,"Negative-review","Valid")</f>
        <v>Valid</v>
      </c>
      <c r="T451" t="s">
        <v>2334</v>
      </c>
      <c r="U45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958.42</v>
      </c>
      <c r="V451">
        <v>1120</v>
      </c>
      <c r="W451">
        <v>4480</v>
      </c>
      <c r="X45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4480</v>
      </c>
      <c r="Y451">
        <f>IF(Transaction[[#This Row],[GrossRevenue_Check]]="Invalid",Transaction[[#This Row],[ListPrice]]*Transaction[[#This Row],[Quantity]],Transaction[[#This Row],[GrossRevenue_Clean]])</f>
        <v>4480</v>
      </c>
      <c r="Z451" t="str">
        <f>IF(Transaction[[#This Row],[GrossRevenue_Clean]]=Transaction[[#This Row],[ListPrice]]*Transaction[[#This Row],[Quantity]],"Valid","Invalid")</f>
        <v>Valid</v>
      </c>
      <c r="AA451">
        <v>646.32000000000005</v>
      </c>
      <c r="AB45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646.32000000000005</v>
      </c>
      <c r="AC451">
        <f>IF(Transaction[[#This Row],[DiscountAmount_Check2]]="Invalid",Transaction[[#This Row],[GrossRevenue_Analytical]]-Transaction[[#This Row],[NetRevenue_Analytical]],Transaction[[#This Row],[DiscountAmount_Clean]])</f>
        <v>646.32000000000005</v>
      </c>
      <c r="AD451">
        <v>3833.68</v>
      </c>
      <c r="AE451" t="str">
        <f>IF(ROUND(Transaction[[#This Row],[GrossRevenue_Analytical]]-Transaction[[#This Row],[NetRevenue_Analytical]],2)=ROUND(Transaction[[#This Row],[DiscountAmount_Clean]],2),"Valid","Invalid")</f>
        <v>Valid</v>
      </c>
      <c r="AF451">
        <f>VALUE(IF(ISNUMBER(Transaction[[#This Row],[NetRevenue]]),Transaction[[#This Row],[NetRevenue]],IFERROR(IF(FIND("$",Transaction[[#This Row],[NetRevenue]])&gt;0,MID(Transaction[[#This Row],[NetRevenue]],2,10)),Transaction[[#This Row],[NetRevenue]])))</f>
        <v>3833.68</v>
      </c>
      <c r="AG451">
        <f>IF(Transaction[[#This Row],[NetRevenue_Check]]="Invalid",(Transaction[[#This Row],[Quantity]]*Transaction[[#This Row],[UnitPrice_Clean]]),Transaction[[#This Row],[NetRevenue_Clean]])</f>
        <v>3833.68</v>
      </c>
      <c r="AH451" t="str">
        <f>IF(Transaction[[#This Row],[Quantity]]*Transaction[[#This Row],[UnitPrice_Clean]]=Transaction[[#This Row],[NetRevenue_Clean]],"Valid","Invalid")</f>
        <v>Valid</v>
      </c>
      <c r="AI451" t="s">
        <v>23</v>
      </c>
      <c r="AJ451" t="s">
        <v>2335</v>
      </c>
      <c r="AK451" t="str">
        <f>IF(Transaction[[#This Row],[Salesperson]]="","Missing Value",TRIM(PROPER(Transaction[[#This Row],[Salesperson]])))</f>
        <v>Mckinney-Ap</v>
      </c>
      <c r="AL451" t="s">
        <v>42</v>
      </c>
      <c r="AM451" t="str">
        <f>IF(Transaction[[#This Row],[ContractType]]="","Missing Value",Transaction[[#This Row],[ContractType]])</f>
        <v>Standard PO</v>
      </c>
      <c r="AN451" t="s">
        <v>65</v>
      </c>
    </row>
    <row r="452" spans="1:40" x14ac:dyDescent="0.25">
      <c r="A452" t="s">
        <v>1190</v>
      </c>
      <c r="B452" s="1">
        <v>45831</v>
      </c>
      <c r="C45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45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45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52" s="2">
        <f>IFERROR(DATE(Transaction[[#This Row],[TransactionDateY]],Transaction[[#This Row],[TransactionDateM]],Transaction[[#This Row],[TransactionDateD]]),"Missing Value")</f>
        <v>45831</v>
      </c>
      <c r="G452" t="s">
        <v>195</v>
      </c>
      <c r="H452" t="str">
        <f>IFERROR(VLOOKUP(Transaction[[#This Row],[CustomerID]],Custumer[],1,0),IF(LEN(Transaction[[#This Row],[CustomerID]])=7,LEFT(Transaction[[#This Row],[CustomerID]],6),"Invalid ID"))</f>
        <v>C-1015</v>
      </c>
      <c r="I452" t="s">
        <v>52</v>
      </c>
      <c r="J452" t="str">
        <f>TRIM(UPPER(Transaction[[#This Row],[ProductID]]))</f>
        <v>P-SI-002</v>
      </c>
      <c r="K452" t="str">
        <f>IFERROR(VLOOKUP(Transaction[[#This Row],[ProductID_Clean]],Product[],1,FALSE),"Invalid ID")</f>
        <v>P-SI-002</v>
      </c>
      <c r="L452" t="str">
        <f>TRIM(SUBSTITUTE(SUBSTITUTE(SUBSTITUTE(SUBSTITUTE(UPPER(Transaction[[#This Row],[Region]]),"EMEA REGION","EMEA"),"APAC REGION","APAC"),"NORTH AMERICA","N. AMERICA"),"N .AMERICA","N.AMERICA"))</f>
        <v>N. AMERICA</v>
      </c>
      <c r="M452" t="s">
        <v>204</v>
      </c>
      <c r="N452" t="s">
        <v>53</v>
      </c>
      <c r="O45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52" t="s">
        <v>1191</v>
      </c>
      <c r="Q452" t="str">
        <f>IF(TRIM(Transaction[[#This Row],[SalesChannel]])="","Missing Value",TRIM(Transaction[[#This Row],[SalesChannel]]))</f>
        <v>Partner Portal</v>
      </c>
      <c r="R452" s="4">
        <v>2</v>
      </c>
      <c r="S452" s="4" t="str">
        <f>IF(Transaction[[#This Row],[Quantity]]&lt;0,"Negative-review","Valid")</f>
        <v>Valid</v>
      </c>
      <c r="T452">
        <v>642.75</v>
      </c>
      <c r="U45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642.75</v>
      </c>
      <c r="V452">
        <v>725</v>
      </c>
      <c r="W452">
        <v>1450</v>
      </c>
      <c r="X45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452">
        <f>IF(Transaction[[#This Row],[GrossRevenue_Check]]="Invalid",Transaction[[#This Row],[ListPrice]]*Transaction[[#This Row],[Quantity]],Transaction[[#This Row],[GrossRevenue_Clean]])</f>
        <v>1450</v>
      </c>
      <c r="Z452" t="str">
        <f>IF(Transaction[[#This Row],[GrossRevenue_Clean]]=Transaction[[#This Row],[ListPrice]]*Transaction[[#This Row],[Quantity]],"Valid","Invalid")</f>
        <v>Valid</v>
      </c>
      <c r="AA452">
        <v>164.5</v>
      </c>
      <c r="AB45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164.5</v>
      </c>
      <c r="AC452">
        <f>IF(Transaction[[#This Row],[DiscountAmount_Check2]]="Invalid",Transaction[[#This Row],[GrossRevenue_Analytical]]-Transaction[[#This Row],[NetRevenue_Analytical]],Transaction[[#This Row],[DiscountAmount_Clean]])</f>
        <v>164.5</v>
      </c>
      <c r="AD452">
        <v>1285.5</v>
      </c>
      <c r="AE452" t="str">
        <f>IF(ROUND(Transaction[[#This Row],[GrossRevenue_Analytical]]-Transaction[[#This Row],[NetRevenue_Analytical]],2)=ROUND(Transaction[[#This Row],[DiscountAmount_Clean]],2),"Valid","Invalid")</f>
        <v>Valid</v>
      </c>
      <c r="AF45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1285.5</v>
      </c>
      <c r="AG452">
        <f>IF(Transaction[[#This Row],[NetRevenue_Check]]="Invalid",(Transaction[[#This Row],[Quantity]]*Transaction[[#This Row],[UnitPrice_Clean]]),Transaction[[#This Row],[NetRevenue_Clean]])</f>
        <v>1285.5</v>
      </c>
      <c r="AH452" t="str">
        <f>IF(Transaction[[#This Row],[Quantity]]*Transaction[[#This Row],[UnitPrice_Clean]]=Transaction[[#This Row],[NetRevenue_Clean]],"Valid","Invalid")</f>
        <v>Valid</v>
      </c>
      <c r="AI452" t="s">
        <v>23</v>
      </c>
      <c r="AJ452" t="s">
        <v>337</v>
      </c>
      <c r="AK452" t="str">
        <f>IF(Transaction[[#This Row],[Salesperson]]="","Missing Value",TRIM(PROPER(Transaction[[#This Row],[Salesperson]])))</f>
        <v>Graves-Em</v>
      </c>
      <c r="AM452" t="str">
        <f>IF(Transaction[[#This Row],[ContractType]]="","Missing Value",Transaction[[#This Row],[ContractType]])</f>
        <v>Missing Value</v>
      </c>
      <c r="AN452" t="s">
        <v>26</v>
      </c>
    </row>
    <row r="453" spans="1:40" x14ac:dyDescent="0.25">
      <c r="A453" t="s">
        <v>1656</v>
      </c>
      <c r="B453" s="1">
        <v>45782</v>
      </c>
      <c r="C45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45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45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53" s="2">
        <f>IFERROR(DATE(Transaction[[#This Row],[TransactionDateY]],Transaction[[#This Row],[TransactionDateM]],Transaction[[#This Row],[TransactionDateD]]),"Missing Value")</f>
        <v>45782</v>
      </c>
      <c r="G453" t="s">
        <v>139</v>
      </c>
      <c r="H453" t="str">
        <f>IFERROR(VLOOKUP(Transaction[[#This Row],[CustomerID]],Custumer[],1,0),IF(LEN(Transaction[[#This Row],[CustomerID]])=7,LEFT(Transaction[[#This Row],[CustomerID]],6),"Invalid ID"))</f>
        <v>C-1171</v>
      </c>
      <c r="I453" t="s">
        <v>52</v>
      </c>
      <c r="J453" t="str">
        <f>TRIM(UPPER(Transaction[[#This Row],[ProductID]]))</f>
        <v>P-SI-002</v>
      </c>
      <c r="K453" t="str">
        <f>IFERROR(VLOOKUP(Transaction[[#This Row],[ProductID_Clean]],Product[],1,FALSE),"Invalid ID")</f>
        <v>P-SI-002</v>
      </c>
      <c r="L453" t="str">
        <f>TRIM(SUBSTITUTE(SUBSTITUTE(SUBSTITUTE(SUBSTITUTE(UPPER(Transaction[[#This Row],[Region]]),"EMEA REGION","EMEA"),"APAC REGION","APAC"),"NORTH AMERICA","N. AMERICA"),"N .AMERICA","N.AMERICA"))</f>
        <v>APAC</v>
      </c>
      <c r="M453" t="s">
        <v>30</v>
      </c>
      <c r="N453" t="s">
        <v>53</v>
      </c>
      <c r="O45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53" t="s">
        <v>40</v>
      </c>
      <c r="Q453" t="str">
        <f>IF(TRIM(Transaction[[#This Row],[SalesChannel]])="","Missing Value",TRIM(Transaction[[#This Row],[SalesChannel]]))</f>
        <v>Distributor</v>
      </c>
      <c r="R453" s="4">
        <v>12</v>
      </c>
      <c r="S453" s="4" t="str">
        <f>IF(Transaction[[#This Row],[Quantity]]&lt;0,"Negative-review","Valid")</f>
        <v>Valid</v>
      </c>
      <c r="T453">
        <v>558.05999999999995</v>
      </c>
      <c r="U45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558.05999999999995</v>
      </c>
      <c r="V453">
        <v>725</v>
      </c>
      <c r="W453">
        <v>8700</v>
      </c>
      <c r="X45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8700</v>
      </c>
      <c r="Y453">
        <f>IF(Transaction[[#This Row],[GrossRevenue_Check]]="Invalid",Transaction[[#This Row],[ListPrice]]*Transaction[[#This Row],[Quantity]],Transaction[[#This Row],[GrossRevenue_Clean]])</f>
        <v>8700</v>
      </c>
      <c r="Z453" t="str">
        <f>IF(Transaction[[#This Row],[GrossRevenue_Clean]]=Transaction[[#This Row],[ListPrice]]*Transaction[[#This Row],[Quantity]],"Valid","Invalid")</f>
        <v>Valid</v>
      </c>
      <c r="AA453" t="s">
        <v>1657</v>
      </c>
      <c r="AB45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2003.28</v>
      </c>
      <c r="AC453">
        <f>IF(Transaction[[#This Row],[DiscountAmount_Check2]]="Invalid",Transaction[[#This Row],[GrossRevenue_Analytical]]-Transaction[[#This Row],[NetRevenue_Analytical]],Transaction[[#This Row],[DiscountAmount_Clean]])</f>
        <v>2003.28</v>
      </c>
      <c r="AD453">
        <v>6696.72</v>
      </c>
      <c r="AE453" t="str">
        <f>IF(ROUND(Transaction[[#This Row],[GrossRevenue_Analytical]]-Transaction[[#This Row],[NetRevenue_Analytical]],2)=ROUND(Transaction[[#This Row],[DiscountAmount_Clean]],2),"Valid","Invalid")</f>
        <v>Valid</v>
      </c>
      <c r="AF453">
        <f>VALUE(IF(ISNUMBER(Transaction[[#This Row],[NetRevenue]]),Transaction[[#This Row],[NetRevenue]],IFERROR(IF(FIND("$",Transaction[[#This Row],[NetRevenue]])&gt;0,MID(Transaction[[#This Row],[NetRevenue]],2,10)),Transaction[[#This Row],[NetRevenue]])))</f>
        <v>6696.72</v>
      </c>
      <c r="AG453">
        <f>IF(Transaction[[#This Row],[NetRevenue_Check]]="Invalid",(Transaction[[#This Row],[Quantity]]*Transaction[[#This Row],[UnitPrice_Clean]]),Transaction[[#This Row],[NetRevenue_Clean]])</f>
        <v>6696.72</v>
      </c>
      <c r="AH453" t="str">
        <f>IF(Transaction[[#This Row],[Quantity]]*Transaction[[#This Row],[UnitPrice_Clean]]=Transaction[[#This Row],[NetRevenue_Clean]],"Valid","Invalid")</f>
        <v>Valid</v>
      </c>
      <c r="AI453" t="s">
        <v>23</v>
      </c>
      <c r="AJ453" t="s">
        <v>1658</v>
      </c>
      <c r="AK453" t="str">
        <f>IF(Transaction[[#This Row],[Salesperson]]="","Missing Value",TRIM(PROPER(Transaction[[#This Row],[Salesperson]])))</f>
        <v>Thompson-Em</v>
      </c>
      <c r="AL453" t="s">
        <v>42</v>
      </c>
      <c r="AM453" t="str">
        <f>IF(Transaction[[#This Row],[ContractType]]="","Missing Value",Transaction[[#This Row],[ContractType]])</f>
        <v>Standard PO</v>
      </c>
      <c r="AN453" t="s">
        <v>49</v>
      </c>
    </row>
    <row r="454" spans="1:40" x14ac:dyDescent="0.25">
      <c r="A454" t="s">
        <v>1740</v>
      </c>
      <c r="B454" s="1">
        <v>45828</v>
      </c>
      <c r="C45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45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45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54" s="2">
        <f>IFERROR(DATE(Transaction[[#This Row],[TransactionDateY]],Transaction[[#This Row],[TransactionDateM]],Transaction[[#This Row],[TransactionDateD]]),"Missing Value")</f>
        <v>45828</v>
      </c>
      <c r="G454" t="s">
        <v>38</v>
      </c>
      <c r="H454" t="str">
        <f>IFERROR(VLOOKUP(Transaction[[#This Row],[CustomerID]],Custumer[],1,0),IF(LEN(Transaction[[#This Row],[CustomerID]])=7,LEFT(Transaction[[#This Row],[CustomerID]],6),"Invalid ID"))</f>
        <v>C-1027</v>
      </c>
      <c r="I454" t="s">
        <v>222</v>
      </c>
      <c r="J454" t="str">
        <f>TRIM(UPPER(Transaction[[#This Row],[ProductID]]))</f>
        <v>P-FS-003</v>
      </c>
      <c r="K454" t="str">
        <f>IFERROR(VLOOKUP(Transaction[[#This Row],[ProductID_Clean]],Product[],1,FALSE),"Invalid ID")</f>
        <v>P-FS-003</v>
      </c>
      <c r="L454" t="str">
        <f>TRIM(SUBSTITUTE(SUBSTITUTE(SUBSTITUTE(SUBSTITUTE(UPPER(Transaction[[#This Row],[Region]]),"EMEA REGION","EMEA"),"APAC REGION","APAC"),"NORTH AMERICA","N. AMERICA"),"N .AMERICA","N.AMERICA"))</f>
        <v>N. AMERICA</v>
      </c>
      <c r="M454" t="s">
        <v>20</v>
      </c>
      <c r="N454" t="s">
        <v>244</v>
      </c>
      <c r="O45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454" t="s">
        <v>40</v>
      </c>
      <c r="Q454" t="str">
        <f>IF(TRIM(Transaction[[#This Row],[SalesChannel]])="","Missing Value",TRIM(Transaction[[#This Row],[SalesChannel]]))</f>
        <v>Distributor</v>
      </c>
      <c r="R454" s="4">
        <v>1</v>
      </c>
      <c r="S454" s="4" t="str">
        <f>IF(Transaction[[#This Row],[Quantity]]&lt;0,"Negative-review","Valid")</f>
        <v>Valid</v>
      </c>
      <c r="T454">
        <v>3315.06</v>
      </c>
      <c r="U45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3315.06</v>
      </c>
      <c r="V454">
        <v>4100</v>
      </c>
      <c r="W454">
        <v>4100</v>
      </c>
      <c r="X45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4100</v>
      </c>
      <c r="Y454">
        <f>IF(Transaction[[#This Row],[GrossRevenue_Check]]="Invalid",Transaction[[#This Row],[ListPrice]]*Transaction[[#This Row],[Quantity]],Transaction[[#This Row],[GrossRevenue_Clean]])</f>
        <v>4100</v>
      </c>
      <c r="Z454" t="str">
        <f>IF(Transaction[[#This Row],[GrossRevenue_Clean]]=Transaction[[#This Row],[ListPrice]]*Transaction[[#This Row],[Quantity]],"Valid","Invalid")</f>
        <v>Valid</v>
      </c>
      <c r="AA454">
        <v>784.94</v>
      </c>
      <c r="AB45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784.94</v>
      </c>
      <c r="AC454">
        <f>IF(Transaction[[#This Row],[DiscountAmount_Check2]]="Invalid",Transaction[[#This Row],[GrossRevenue_Analytical]]-Transaction[[#This Row],[NetRevenue_Analytical]],Transaction[[#This Row],[DiscountAmount_Clean]])</f>
        <v>784.94</v>
      </c>
      <c r="AD454">
        <v>3315.06</v>
      </c>
      <c r="AE454" t="str">
        <f>IF(ROUND(Transaction[[#This Row],[GrossRevenue_Analytical]]-Transaction[[#This Row],[NetRevenue_Analytical]],2)=ROUND(Transaction[[#This Row],[DiscountAmount_Clean]],2),"Valid","Invalid")</f>
        <v>Valid</v>
      </c>
      <c r="AF454">
        <f>VALUE(IF(ISNUMBER(Transaction[[#This Row],[NetRevenue]]),Transaction[[#This Row],[NetRevenue]],IFERROR(IF(FIND("$",Transaction[[#This Row],[NetRevenue]])&gt;0,MID(Transaction[[#This Row],[NetRevenue]],2,10)),Transaction[[#This Row],[NetRevenue]])))</f>
        <v>3315.06</v>
      </c>
      <c r="AG454">
        <f>IF(Transaction[[#This Row],[NetRevenue_Check]]="Invalid",(Transaction[[#This Row],[Quantity]]*Transaction[[#This Row],[UnitPrice_Clean]]),Transaction[[#This Row],[NetRevenue_Clean]])</f>
        <v>3315.06</v>
      </c>
      <c r="AH454" t="str">
        <f>IF(Transaction[[#This Row],[Quantity]]*Transaction[[#This Row],[UnitPrice_Clean]]=Transaction[[#This Row],[NetRevenue_Clean]],"Valid","Invalid")</f>
        <v>Valid</v>
      </c>
      <c r="AI454" t="s">
        <v>23</v>
      </c>
      <c r="AJ454" t="s">
        <v>905</v>
      </c>
      <c r="AK454" t="str">
        <f>IF(Transaction[[#This Row],[Salesperson]]="","Missing Value",TRIM(PROPER(Transaction[[#This Row],[Salesperson]])))</f>
        <v>Ward</v>
      </c>
      <c r="AL454" t="s">
        <v>295</v>
      </c>
      <c r="AM454" t="str">
        <f>IF(Transaction[[#This Row],[ContractType]]="","Missing Value",Transaction[[#This Row],[ContractType]])</f>
        <v>Multi-Year</v>
      </c>
      <c r="AN454" t="s">
        <v>43</v>
      </c>
    </row>
    <row r="455" spans="1:40" x14ac:dyDescent="0.25">
      <c r="A455" t="s">
        <v>1893</v>
      </c>
      <c r="B455" s="1">
        <v>45669</v>
      </c>
      <c r="C45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45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45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55" s="2">
        <f>IFERROR(DATE(Transaction[[#This Row],[TransactionDateY]],Transaction[[#This Row],[TransactionDateM]],Transaction[[#This Row],[TransactionDateD]]),"Missing Value")</f>
        <v>45669</v>
      </c>
      <c r="G455" t="s">
        <v>665</v>
      </c>
      <c r="H455" t="str">
        <f>IFERROR(VLOOKUP(Transaction[[#This Row],[CustomerID]],Custumer[],1,0),IF(LEN(Transaction[[#This Row],[CustomerID]])=7,LEFT(Transaction[[#This Row],[CustomerID]],6),"Invalid ID"))</f>
        <v>C-1162</v>
      </c>
      <c r="I455" t="s">
        <v>97</v>
      </c>
      <c r="J455" t="str">
        <f>TRIM(UPPER(Transaction[[#This Row],[ProductID]]))</f>
        <v>P-SI-001</v>
      </c>
      <c r="K455" t="str">
        <f>IFERROR(VLOOKUP(Transaction[[#This Row],[ProductID_Clean]],Product[],1,FALSE),"Invalid ID")</f>
        <v>P-SI-001</v>
      </c>
      <c r="L455" t="str">
        <f>TRIM(SUBSTITUTE(SUBSTITUTE(SUBSTITUTE(SUBSTITUTE(UPPER(Transaction[[#This Row],[Region]]),"EMEA REGION","EMEA"),"APAC REGION","APAC"),"NORTH AMERICA","N. AMERICA"),"N .AMERICA","N.AMERICA"))</f>
        <v>LATIN AMERICA</v>
      </c>
      <c r="M455" t="s">
        <v>724</v>
      </c>
      <c r="N455" t="s">
        <v>53</v>
      </c>
      <c r="O45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55" t="s">
        <v>22</v>
      </c>
      <c r="Q455" t="str">
        <f>IF(TRIM(Transaction[[#This Row],[SalesChannel]])="","Missing Value",TRIM(Transaction[[#This Row],[SalesChannel]]))</f>
        <v>Direct</v>
      </c>
      <c r="R455" s="4">
        <v>2</v>
      </c>
      <c r="S455" s="4" t="str">
        <f>IF(Transaction[[#This Row],[Quantity]]&lt;0,"Negative-review","Valid")</f>
        <v>Valid</v>
      </c>
      <c r="T455">
        <v>418.6</v>
      </c>
      <c r="U45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418.6</v>
      </c>
      <c r="V455">
        <v>485</v>
      </c>
      <c r="W455">
        <v>970</v>
      </c>
      <c r="X45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455">
        <f>IF(Transaction[[#This Row],[GrossRevenue_Check]]="Invalid",Transaction[[#This Row],[ListPrice]]*Transaction[[#This Row],[Quantity]],Transaction[[#This Row],[GrossRevenue_Clean]])</f>
        <v>970</v>
      </c>
      <c r="Z455" t="str">
        <f>IF(Transaction[[#This Row],[GrossRevenue_Clean]]=Transaction[[#This Row],[ListPrice]]*Transaction[[#This Row],[Quantity]],"Valid","Invalid")</f>
        <v>Valid</v>
      </c>
      <c r="AA455">
        <v>132.80000000000001</v>
      </c>
      <c r="AB45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132.80000000000001</v>
      </c>
      <c r="AC455">
        <f>IF(Transaction[[#This Row],[DiscountAmount_Check2]]="Invalid",Transaction[[#This Row],[GrossRevenue_Analytical]]-Transaction[[#This Row],[NetRevenue_Analytical]],Transaction[[#This Row],[DiscountAmount_Clean]])</f>
        <v>132.80000000000001</v>
      </c>
      <c r="AD455">
        <v>837.2</v>
      </c>
      <c r="AE455" t="str">
        <f>IF(ROUND(Transaction[[#This Row],[GrossRevenue_Analytical]]-Transaction[[#This Row],[NetRevenue_Analytical]],2)=ROUND(Transaction[[#This Row],[DiscountAmount_Clean]],2),"Valid","Invalid")</f>
        <v>Valid</v>
      </c>
      <c r="AF455">
        <f>VALUE(IF(ISNUMBER(Transaction[[#This Row],[NetRevenue]]),Transaction[[#This Row],[NetRevenue]],IFERROR(IF(FIND("$",Transaction[[#This Row],[NetRevenue]])&gt;0,MID(Transaction[[#This Row],[NetRevenue]],2,10)),Transaction[[#This Row],[NetRevenue]])))</f>
        <v>837.2</v>
      </c>
      <c r="AG455">
        <f>IF(Transaction[[#This Row],[NetRevenue_Check]]="Invalid",(Transaction[[#This Row],[Quantity]]*Transaction[[#This Row],[UnitPrice_Clean]]),Transaction[[#This Row],[NetRevenue_Clean]])</f>
        <v>837.2</v>
      </c>
      <c r="AH455" t="str">
        <f>IF(Transaction[[#This Row],[Quantity]]*Transaction[[#This Row],[UnitPrice_Clean]]=Transaction[[#This Row],[NetRevenue_Clean]],"Valid","Invalid")</f>
        <v>Valid</v>
      </c>
      <c r="AI455" t="s">
        <v>23</v>
      </c>
      <c r="AJ455" t="s">
        <v>980</v>
      </c>
      <c r="AK455" t="str">
        <f>IF(Transaction[[#This Row],[Salesperson]]="","Missing Value",TRIM(PROPER(Transaction[[#This Row],[Salesperson]])))</f>
        <v>Walker</v>
      </c>
      <c r="AL455" t="s">
        <v>42</v>
      </c>
      <c r="AM455" t="str">
        <f>IF(Transaction[[#This Row],[ContractType]]="","Missing Value",Transaction[[#This Row],[ContractType]])</f>
        <v>Standard PO</v>
      </c>
      <c r="AN455" t="s">
        <v>26</v>
      </c>
    </row>
    <row r="456" spans="1:40" x14ac:dyDescent="0.25">
      <c r="A456" t="s">
        <v>443</v>
      </c>
      <c r="B456" s="1">
        <v>45759</v>
      </c>
      <c r="C45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45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45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56" s="2">
        <f>IFERROR(DATE(Transaction[[#This Row],[TransactionDateY]],Transaction[[#This Row],[TransactionDateM]],Transaction[[#This Row],[TransactionDateD]]),"Missing Value")</f>
        <v>45759</v>
      </c>
      <c r="G456" t="s">
        <v>86</v>
      </c>
      <c r="H456" t="str">
        <f>IFERROR(VLOOKUP(Transaction[[#This Row],[CustomerID]],Custumer[],1,0),IF(LEN(Transaction[[#This Row],[CustomerID]])=7,LEFT(Transaction[[#This Row],[CustomerID]],6),"Invalid ID"))</f>
        <v>C-1177</v>
      </c>
      <c r="I456" t="s">
        <v>444</v>
      </c>
      <c r="J456" t="str">
        <f>TRIM(UPPER(Transaction[[#This Row],[ProductID]]))</f>
        <v>P-SI-006</v>
      </c>
      <c r="K456" t="str">
        <f>IFERROR(VLOOKUP(Transaction[[#This Row],[ProductID_Clean]],Product[],1,FALSE),"Invalid ID")</f>
        <v>P-SI-006</v>
      </c>
      <c r="L456" t="str">
        <f>TRIM(SUBSTITUTE(SUBSTITUTE(SUBSTITUTE(SUBSTITUTE(UPPER(Transaction[[#This Row],[Region]]),"EMEA REGION","EMEA"),"APAC REGION","APAC"),"NORTH AMERICA","N. AMERICA"),"N .AMERICA","N.AMERICA"))</f>
        <v>EMEA</v>
      </c>
      <c r="M456" t="s">
        <v>76</v>
      </c>
      <c r="N456" t="s">
        <v>47</v>
      </c>
      <c r="O45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56" t="s">
        <v>181</v>
      </c>
      <c r="Q456" t="str">
        <f>IF(TRIM(Transaction[[#This Row],[SalesChannel]])="","Missing Value",TRIM(Transaction[[#This Row],[SalesChannel]]))</f>
        <v>Partner Portal</v>
      </c>
      <c r="R456" s="4">
        <v>3</v>
      </c>
      <c r="S456" s="4" t="str">
        <f>IF(Transaction[[#This Row],[Quantity]]&lt;0,"Negative-review","Valid")</f>
        <v>Valid</v>
      </c>
      <c r="T456">
        <v>160.86000000000001</v>
      </c>
      <c r="U45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160.86000000000001</v>
      </c>
      <c r="V456">
        <v>215</v>
      </c>
      <c r="W456">
        <v>645</v>
      </c>
      <c r="X45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456">
        <f>IF(Transaction[[#This Row],[GrossRevenue_Check]]="Invalid",Transaction[[#This Row],[ListPrice]]*Transaction[[#This Row],[Quantity]],Transaction[[#This Row],[GrossRevenue_Clean]])</f>
        <v>645</v>
      </c>
      <c r="Z456" t="str">
        <f>IF(Transaction[[#This Row],[GrossRevenue_Clean]]=Transaction[[#This Row],[ListPrice]]*Transaction[[#This Row],[Quantity]],"Valid","Invalid")</f>
        <v>Valid</v>
      </c>
      <c r="AA456">
        <v>162.41999999999999</v>
      </c>
      <c r="AB45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162.41999999999999</v>
      </c>
      <c r="AC456">
        <f>IF(Transaction[[#This Row],[DiscountAmount_Check2]]="Invalid",Transaction[[#This Row],[GrossRevenue_Analytical]]-Transaction[[#This Row],[NetRevenue_Analytical]],Transaction[[#This Row],[DiscountAmount_Clean]])</f>
        <v>162.41999999999999</v>
      </c>
      <c r="AD456">
        <v>482.58</v>
      </c>
      <c r="AE456" t="str">
        <f>IF(ROUND(Transaction[[#This Row],[GrossRevenue_Analytical]]-Transaction[[#This Row],[NetRevenue_Analytical]],2)=ROUND(Transaction[[#This Row],[DiscountAmount_Clean]],2),"Valid","Invalid")</f>
        <v>Valid</v>
      </c>
      <c r="AF456">
        <f>VALUE(IF(ISNUMBER(Transaction[[#This Row],[NetRevenue]]),Transaction[[#This Row],[NetRevenue]],IFERROR(IF(FIND("$",Transaction[[#This Row],[NetRevenue]])&gt;0,MID(Transaction[[#This Row],[NetRevenue]],2,10)),Transaction[[#This Row],[NetRevenue]])))</f>
        <v>482.58</v>
      </c>
      <c r="AG456">
        <f>IF(Transaction[[#This Row],[NetRevenue_Check]]="Invalid",(Transaction[[#This Row],[Quantity]]*Transaction[[#This Row],[UnitPrice_Clean]]),Transaction[[#This Row],[NetRevenue_Clean]])</f>
        <v>482.58</v>
      </c>
      <c r="AH456" t="str">
        <f>IF(Transaction[[#This Row],[Quantity]]*Transaction[[#This Row],[UnitPrice_Clean]]=Transaction[[#This Row],[NetRevenue_Clean]],"Valid","Invalid")</f>
        <v>Valid</v>
      </c>
      <c r="AI456" t="s">
        <v>23</v>
      </c>
      <c r="AJ456" t="s">
        <v>445</v>
      </c>
      <c r="AK456" t="str">
        <f>IF(Transaction[[#This Row],[Salesperson]]="","Missing Value",TRIM(PROPER(Transaction[[#This Row],[Salesperson]])))</f>
        <v>Galloway-Em</v>
      </c>
      <c r="AL456" t="s">
        <v>42</v>
      </c>
      <c r="AM456" t="str">
        <f>IF(Transaction[[#This Row],[ContractType]]="","Missing Value",Transaction[[#This Row],[ContractType]])</f>
        <v>Standard PO</v>
      </c>
      <c r="AN456" t="s">
        <v>49</v>
      </c>
    </row>
    <row r="457" spans="1:40" x14ac:dyDescent="0.25">
      <c r="A457" t="s">
        <v>2699</v>
      </c>
      <c r="B457" s="1">
        <v>45672</v>
      </c>
      <c r="C45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45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45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57" s="2">
        <f>IFERROR(DATE(Transaction[[#This Row],[TransactionDateY]],Transaction[[#This Row],[TransactionDateM]],Transaction[[#This Row],[TransactionDateD]]),"Missing Value")</f>
        <v>45672</v>
      </c>
      <c r="G457" t="s">
        <v>45</v>
      </c>
      <c r="H457" t="str">
        <f>IFERROR(VLOOKUP(Transaction[[#This Row],[CustomerID]],Custumer[],1,0),IF(LEN(Transaction[[#This Row],[CustomerID]])=7,LEFT(Transaction[[#This Row],[CustomerID]],6),"Invalid ID"))</f>
        <v>C-1155</v>
      </c>
      <c r="I457" t="s">
        <v>46</v>
      </c>
      <c r="J457" t="str">
        <f>TRIM(UPPER(Transaction[[#This Row],[ProductID]]))</f>
        <v>P-SI-006</v>
      </c>
      <c r="K457" t="str">
        <f>IFERROR(VLOOKUP(Transaction[[#This Row],[ProductID_Clean]],Product[],1,FALSE),"Invalid ID")</f>
        <v>P-SI-006</v>
      </c>
      <c r="L457" t="str">
        <f>TRIM(SUBSTITUTE(SUBSTITUTE(SUBSTITUTE(SUBSTITUTE(UPPER(Transaction[[#This Row],[Region]]),"EMEA REGION","EMEA"),"APAC REGION","APAC"),"NORTH AMERICA","N. AMERICA"),"N .AMERICA","N.AMERICA"))</f>
        <v>APAC</v>
      </c>
      <c r="M457" t="s">
        <v>30</v>
      </c>
      <c r="N457" t="s">
        <v>53</v>
      </c>
      <c r="O45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57" t="s">
        <v>40</v>
      </c>
      <c r="Q457" t="str">
        <f>IF(TRIM(Transaction[[#This Row],[SalesChannel]])="","Missing Value",TRIM(Transaction[[#This Row],[SalesChannel]]))</f>
        <v>Distributor</v>
      </c>
      <c r="R457" s="4">
        <v>5</v>
      </c>
      <c r="S457" s="4" t="str">
        <f>IF(Transaction[[#This Row],[Quantity]]&lt;0,"Negative-review","Valid")</f>
        <v>Valid</v>
      </c>
      <c r="T457">
        <v>139.16</v>
      </c>
      <c r="U45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139.16</v>
      </c>
      <c r="V457">
        <v>215</v>
      </c>
      <c r="W457">
        <v>1075</v>
      </c>
      <c r="X45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1075</v>
      </c>
      <c r="Y457">
        <f>IF(Transaction[[#This Row],[GrossRevenue_Check]]="Invalid",Transaction[[#This Row],[ListPrice]]*Transaction[[#This Row],[Quantity]],Transaction[[#This Row],[GrossRevenue_Clean]])</f>
        <v>1075</v>
      </c>
      <c r="Z457" t="str">
        <f>IF(Transaction[[#This Row],[GrossRevenue_Clean]]=Transaction[[#This Row],[ListPrice]]*Transaction[[#This Row],[Quantity]],"Valid","Invalid")</f>
        <v>Valid</v>
      </c>
      <c r="AA457">
        <v>379.2</v>
      </c>
      <c r="AB45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379.2</v>
      </c>
      <c r="AC457">
        <f>IF(Transaction[[#This Row],[DiscountAmount_Check2]]="Invalid",Transaction[[#This Row],[GrossRevenue_Analytical]]-Transaction[[#This Row],[NetRevenue_Analytical]],Transaction[[#This Row],[DiscountAmount_Clean]])</f>
        <v>379.2</v>
      </c>
      <c r="AD457">
        <v>695.8</v>
      </c>
      <c r="AE457" t="str">
        <f>IF(ROUND(Transaction[[#This Row],[GrossRevenue_Analytical]]-Transaction[[#This Row],[NetRevenue_Analytical]],2)=ROUND(Transaction[[#This Row],[DiscountAmount_Clean]],2),"Valid","Invalid")</f>
        <v>Valid</v>
      </c>
      <c r="AF457">
        <f>VALUE(IF(ISNUMBER(Transaction[[#This Row],[NetRevenue]]),Transaction[[#This Row],[NetRevenue]],IFERROR(IF(FIND("$",Transaction[[#This Row],[NetRevenue]])&gt;0,MID(Transaction[[#This Row],[NetRevenue]],2,10)),Transaction[[#This Row],[NetRevenue]])))</f>
        <v>695.8</v>
      </c>
      <c r="AG457">
        <f>IF(Transaction[[#This Row],[NetRevenue_Check]]="Invalid",(Transaction[[#This Row],[Quantity]]*Transaction[[#This Row],[UnitPrice_Clean]]),Transaction[[#This Row],[NetRevenue_Clean]])</f>
        <v>695.8</v>
      </c>
      <c r="AH457" t="str">
        <f>IF(Transaction[[#This Row],[Quantity]]*Transaction[[#This Row],[UnitPrice_Clean]]=Transaction[[#This Row],[NetRevenue_Clean]],"Valid","Invalid")</f>
        <v>Valid</v>
      </c>
      <c r="AI457" t="s">
        <v>23</v>
      </c>
      <c r="AJ457" t="s">
        <v>2700</v>
      </c>
      <c r="AK457" t="str">
        <f>IF(Transaction[[#This Row],[Salesperson]]="","Missing Value",TRIM(PROPER(Transaction[[#This Row],[Salesperson]])))</f>
        <v>Conner</v>
      </c>
      <c r="AL457" t="s">
        <v>42</v>
      </c>
      <c r="AM457" t="str">
        <f>IF(Transaction[[#This Row],[ContractType]]="","Missing Value",Transaction[[#This Row],[ContractType]])</f>
        <v>Standard PO</v>
      </c>
      <c r="AN457" t="s">
        <v>49</v>
      </c>
    </row>
    <row r="458" spans="1:40" x14ac:dyDescent="0.25">
      <c r="A458" t="s">
        <v>897</v>
      </c>
      <c r="B458" s="1">
        <v>45710</v>
      </c>
      <c r="C45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45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45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58" s="2">
        <f>IFERROR(DATE(Transaction[[#This Row],[TransactionDateY]],Transaction[[#This Row],[TransactionDateM]],Transaction[[#This Row],[TransactionDateD]]),"Missing Value")</f>
        <v>45710</v>
      </c>
      <c r="G458" t="s">
        <v>423</v>
      </c>
      <c r="H458" t="str">
        <f>IFERROR(VLOOKUP(Transaction[[#This Row],[CustomerID]],Custumer[],1,0),IF(LEN(Transaction[[#This Row],[CustomerID]])=7,LEFT(Transaction[[#This Row],[CustomerID]],6),"Invalid ID"))</f>
        <v>C-1121</v>
      </c>
      <c r="I458" t="s">
        <v>46</v>
      </c>
      <c r="J458" t="str">
        <f>TRIM(UPPER(Transaction[[#This Row],[ProductID]]))</f>
        <v>P-SI-006</v>
      </c>
      <c r="K458" t="str">
        <f>IFERROR(VLOOKUP(Transaction[[#This Row],[ProductID_Clean]],Product[],1,FALSE),"Invalid ID")</f>
        <v>P-SI-006</v>
      </c>
      <c r="L458" t="str">
        <f>TRIM(SUBSTITUTE(SUBSTITUTE(SUBSTITUTE(SUBSTITUTE(UPPER(Transaction[[#This Row],[Region]]),"EMEA REGION","EMEA"),"APAC REGION","APAC"),"NORTH AMERICA","N. AMERICA"),"N .AMERICA","N.AMERICA"))</f>
        <v>N. AMERICA</v>
      </c>
      <c r="M458" t="s">
        <v>20</v>
      </c>
      <c r="N458" t="s">
        <v>53</v>
      </c>
      <c r="O45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58" t="s">
        <v>40</v>
      </c>
      <c r="Q458" t="str">
        <f>IF(TRIM(Transaction[[#This Row],[SalesChannel]])="","Missing Value",TRIM(Transaction[[#This Row],[SalesChannel]]))</f>
        <v>Distributor</v>
      </c>
      <c r="R458" s="4">
        <v>5</v>
      </c>
      <c r="S458" s="4" t="str">
        <f>IF(Transaction[[#This Row],[Quantity]]&lt;0,"Negative-review","Valid")</f>
        <v>Valid</v>
      </c>
      <c r="T458">
        <v>165.59</v>
      </c>
      <c r="U45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165.59</v>
      </c>
      <c r="V458">
        <v>215</v>
      </c>
      <c r="W458">
        <v>1075</v>
      </c>
      <c r="X45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1075</v>
      </c>
      <c r="Y458">
        <f>IF(Transaction[[#This Row],[GrossRevenue_Check]]="Invalid",Transaction[[#This Row],[ListPrice]]*Transaction[[#This Row],[Quantity]],Transaction[[#This Row],[GrossRevenue_Clean]])</f>
        <v>1075</v>
      </c>
      <c r="Z458" t="str">
        <f>IF(Transaction[[#This Row],[GrossRevenue_Clean]]=Transaction[[#This Row],[ListPrice]]*Transaction[[#This Row],[Quantity]],"Valid","Invalid")</f>
        <v>Valid</v>
      </c>
      <c r="AA458" t="s">
        <v>898</v>
      </c>
      <c r="AB45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247.05</v>
      </c>
      <c r="AC458">
        <f>IF(Transaction[[#This Row],[DiscountAmount_Check2]]="Invalid",Transaction[[#This Row],[GrossRevenue_Analytical]]-Transaction[[#This Row],[NetRevenue_Analytical]],Transaction[[#This Row],[DiscountAmount_Clean]])</f>
        <v>247.05</v>
      </c>
      <c r="AD458" t="s">
        <v>899</v>
      </c>
      <c r="AE458" t="str">
        <f>IF(ROUND(Transaction[[#This Row],[GrossRevenue_Analytical]]-Transaction[[#This Row],[NetRevenue_Analytical]],2)=ROUND(Transaction[[#This Row],[DiscountAmount_Clean]],2),"Valid","Invalid")</f>
        <v>Valid</v>
      </c>
      <c r="AF458">
        <f>VALUE(IF(ISNUMBER(Transaction[[#This Row],[NetRevenue]]),Transaction[[#This Row],[NetRevenue]],IFERROR(IF(FIND("$",Transaction[[#This Row],[NetRevenue]])&gt;0,MID(Transaction[[#This Row],[NetRevenue]],2,10)),Transaction[[#This Row],[NetRevenue]])))</f>
        <v>827.95</v>
      </c>
      <c r="AG458">
        <f>IF(Transaction[[#This Row],[NetRevenue_Check]]="Invalid",(Transaction[[#This Row],[Quantity]]*Transaction[[#This Row],[UnitPrice_Clean]]),Transaction[[#This Row],[NetRevenue_Clean]])</f>
        <v>827.95</v>
      </c>
      <c r="AH458" t="str">
        <f>IF(Transaction[[#This Row],[Quantity]]*Transaction[[#This Row],[UnitPrice_Clean]]=Transaction[[#This Row],[NetRevenue_Clean]],"Valid","Invalid")</f>
        <v>Valid</v>
      </c>
      <c r="AI458" t="s">
        <v>23</v>
      </c>
      <c r="AJ458" t="s">
        <v>838</v>
      </c>
      <c r="AK458" t="str">
        <f>IF(Transaction[[#This Row],[Salesperson]]="","Missing Value",TRIM(PROPER(Transaction[[#This Row],[Salesperson]])))</f>
        <v>Young</v>
      </c>
      <c r="AM458" t="str">
        <f>IF(Transaction[[#This Row],[ContractType]]="","Missing Value",Transaction[[#This Row],[ContractType]])</f>
        <v>Missing Value</v>
      </c>
      <c r="AN458" t="s">
        <v>49</v>
      </c>
    </row>
    <row r="459" spans="1:40" x14ac:dyDescent="0.25">
      <c r="A459" t="s">
        <v>2054</v>
      </c>
      <c r="B459" s="1">
        <v>45712</v>
      </c>
      <c r="C45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45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45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59" s="2">
        <f>IFERROR(DATE(Transaction[[#This Row],[TransactionDateY]],Transaction[[#This Row],[TransactionDateM]],Transaction[[#This Row],[TransactionDateD]]),"Missing Value")</f>
        <v>45712</v>
      </c>
      <c r="G459" t="s">
        <v>1343</v>
      </c>
      <c r="H459" t="str">
        <f>IFERROR(VLOOKUP(Transaction[[#This Row],[CustomerID]],Custumer[],1,0),IF(LEN(Transaction[[#This Row],[CustomerID]])=7,LEFT(Transaction[[#This Row],[CustomerID]],6),"Invalid ID"))</f>
        <v>C-1135</v>
      </c>
      <c r="I459" t="s">
        <v>117</v>
      </c>
      <c r="J459" t="str">
        <f>TRIM(UPPER(Transaction[[#This Row],[ProductID]]))</f>
        <v>P-SI-007</v>
      </c>
      <c r="K459" t="str">
        <f>IFERROR(VLOOKUP(Transaction[[#This Row],[ProductID_Clean]],Product[],1,FALSE),"Invalid ID")</f>
        <v>P-SI-007</v>
      </c>
      <c r="L459" t="str">
        <f>TRIM(SUBSTITUTE(SUBSTITUTE(SUBSTITUTE(SUBSTITUTE(UPPER(Transaction[[#This Row],[Region]]),"EMEA REGION","EMEA"),"APAC REGION","APAC"),"NORTH AMERICA","N. AMERICA"),"N .AMERICA","N.AMERICA"))</f>
        <v>LATIN AMERICA</v>
      </c>
      <c r="M459" t="s">
        <v>82</v>
      </c>
      <c r="N459" t="s">
        <v>272</v>
      </c>
      <c r="O45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59" t="s">
        <v>40</v>
      </c>
      <c r="Q459" t="str">
        <f>IF(TRIM(Transaction[[#This Row],[SalesChannel]])="","Missing Value",TRIM(Transaction[[#This Row],[SalesChannel]]))</f>
        <v>Distributor</v>
      </c>
      <c r="R459" s="4">
        <v>1</v>
      </c>
      <c r="S459" s="4" t="str">
        <f>IF(Transaction[[#This Row],[Quantity]]&lt;0,"Negative-review","Valid")</f>
        <v>Valid</v>
      </c>
      <c r="T459">
        <v>636.37</v>
      </c>
      <c r="U45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636.37</v>
      </c>
      <c r="V459">
        <v>980</v>
      </c>
      <c r="W459">
        <v>980</v>
      </c>
      <c r="X45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459">
        <f>IF(Transaction[[#This Row],[GrossRevenue_Check]]="Invalid",Transaction[[#This Row],[ListPrice]]*Transaction[[#This Row],[Quantity]],Transaction[[#This Row],[GrossRevenue_Clean]])</f>
        <v>980</v>
      </c>
      <c r="Z459" t="str">
        <f>IF(Transaction[[#This Row],[GrossRevenue_Clean]]=Transaction[[#This Row],[ListPrice]]*Transaction[[#This Row],[Quantity]],"Valid","Invalid")</f>
        <v>Valid</v>
      </c>
      <c r="AA459">
        <v>343.63</v>
      </c>
      <c r="AB45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343.63</v>
      </c>
      <c r="AC459">
        <f>IF(Transaction[[#This Row],[DiscountAmount_Check2]]="Invalid",Transaction[[#This Row],[GrossRevenue_Analytical]]-Transaction[[#This Row],[NetRevenue_Analytical]],Transaction[[#This Row],[DiscountAmount_Clean]])</f>
        <v>343.63</v>
      </c>
      <c r="AD459">
        <v>636.37</v>
      </c>
      <c r="AE459" t="str">
        <f>IF(ROUND(Transaction[[#This Row],[GrossRevenue_Analytical]]-Transaction[[#This Row],[NetRevenue_Analytical]],2)=ROUND(Transaction[[#This Row],[DiscountAmount_Clean]],2),"Valid","Invalid")</f>
        <v>Valid</v>
      </c>
      <c r="AF459">
        <f>VALUE(IF(ISNUMBER(Transaction[[#This Row],[NetRevenue]]),Transaction[[#This Row],[NetRevenue]],IFERROR(IF(FIND("$",Transaction[[#This Row],[NetRevenue]])&gt;0,MID(Transaction[[#This Row],[NetRevenue]],2,10)),Transaction[[#This Row],[NetRevenue]])))</f>
        <v>636.37</v>
      </c>
      <c r="AG459">
        <f>IF(Transaction[[#This Row],[NetRevenue_Check]]="Invalid",(Transaction[[#This Row],[Quantity]]*Transaction[[#This Row],[UnitPrice_Clean]]),Transaction[[#This Row],[NetRevenue_Clean]])</f>
        <v>636.37</v>
      </c>
      <c r="AH459" t="str">
        <f>IF(Transaction[[#This Row],[Quantity]]*Transaction[[#This Row],[UnitPrice_Clean]]=Transaction[[#This Row],[NetRevenue_Clean]],"Valid","Invalid")</f>
        <v>Valid</v>
      </c>
      <c r="AI459" t="s">
        <v>23</v>
      </c>
      <c r="AJ459" t="s">
        <v>2055</v>
      </c>
      <c r="AK459" t="str">
        <f>IF(Transaction[[#This Row],[Salesperson]]="","Missing Value",TRIM(PROPER(Transaction[[#This Row],[Salesperson]])))</f>
        <v>Snyder</v>
      </c>
      <c r="AL459" t="s">
        <v>55</v>
      </c>
      <c r="AM459" t="str">
        <f>IF(Transaction[[#This Row],[ContractType]]="","Missing Value",Transaction[[#This Row],[ContractType]])</f>
        <v>Spot</v>
      </c>
      <c r="AN459" t="s">
        <v>49</v>
      </c>
    </row>
    <row r="460" spans="1:40" x14ac:dyDescent="0.25">
      <c r="A460" t="s">
        <v>2964</v>
      </c>
      <c r="B460" t="s">
        <v>850</v>
      </c>
      <c r="C46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46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07</v>
      </c>
      <c r="E46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60" s="2">
        <f>IFERROR(DATE(Transaction[[#This Row],[TransactionDateY]],Transaction[[#This Row],[TransactionDateM]],Transaction[[#This Row],[TransactionDateD]]),"Missing Value")</f>
        <v>45723</v>
      </c>
      <c r="G460" t="s">
        <v>394</v>
      </c>
      <c r="H460" t="str">
        <f>IFERROR(VLOOKUP(Transaction[[#This Row],[CustomerID]],Custumer[],1,0),IF(LEN(Transaction[[#This Row],[CustomerID]])=7,LEFT(Transaction[[#This Row],[CustomerID]],6),"Invalid ID"))</f>
        <v>C-1128</v>
      </c>
      <c r="I460" t="s">
        <v>71</v>
      </c>
      <c r="J460" t="str">
        <f>TRIM(UPPER(Transaction[[#This Row],[ProductID]]))</f>
        <v>P-SI-003</v>
      </c>
      <c r="K460" t="str">
        <f>IFERROR(VLOOKUP(Transaction[[#This Row],[ProductID_Clean]],Product[],1,FALSE),"Invalid ID")</f>
        <v>P-SI-003</v>
      </c>
      <c r="L460" t="str">
        <f>TRIM(SUBSTITUTE(SUBSTITUTE(SUBSTITUTE(SUBSTITUTE(UPPER(Transaction[[#This Row],[Region]]),"EMEA REGION","EMEA"),"APAC REGION","APAC"),"NORTH AMERICA","N. AMERICA"),"N .AMERICA","N.AMERICA"))</f>
        <v>EMEA</v>
      </c>
      <c r="M460" t="s">
        <v>76</v>
      </c>
      <c r="N460" t="s">
        <v>53</v>
      </c>
      <c r="O46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60" t="s">
        <v>22</v>
      </c>
      <c r="Q460" t="str">
        <f>IF(TRIM(Transaction[[#This Row],[SalesChannel]])="","Missing Value",TRIM(Transaction[[#This Row],[SalesChannel]]))</f>
        <v>Direct</v>
      </c>
      <c r="R460" s="4">
        <v>2</v>
      </c>
      <c r="S460" s="4" t="str">
        <f>IF(Transaction[[#This Row],[Quantity]]&lt;0,"Negative-review","Valid")</f>
        <v>Valid</v>
      </c>
      <c r="T460">
        <v>1736.79</v>
      </c>
      <c r="U46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1736.79</v>
      </c>
      <c r="V460">
        <v>1890</v>
      </c>
      <c r="W460">
        <v>3780</v>
      </c>
      <c r="X46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3780</v>
      </c>
      <c r="Y460">
        <f>IF(Transaction[[#This Row],[GrossRevenue_Check]]="Invalid",Transaction[[#This Row],[ListPrice]]*Transaction[[#This Row],[Quantity]],Transaction[[#This Row],[GrossRevenue_Clean]])</f>
        <v>3780</v>
      </c>
      <c r="Z460" t="str">
        <f>IF(Transaction[[#This Row],[GrossRevenue_Clean]]=Transaction[[#This Row],[ListPrice]]*Transaction[[#This Row],[Quantity]],"Valid","Invalid")</f>
        <v>Valid</v>
      </c>
      <c r="AA460">
        <v>306.42</v>
      </c>
      <c r="AB46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306.42</v>
      </c>
      <c r="AC460">
        <f>IF(Transaction[[#This Row],[DiscountAmount_Check2]]="Invalid",Transaction[[#This Row],[GrossRevenue_Analytical]]-Transaction[[#This Row],[NetRevenue_Analytical]],Transaction[[#This Row],[DiscountAmount_Clean]])</f>
        <v>306.42</v>
      </c>
      <c r="AD460">
        <v>3473.58</v>
      </c>
      <c r="AE460" t="str">
        <f>IF(ROUND(Transaction[[#This Row],[GrossRevenue_Analytical]]-Transaction[[#This Row],[NetRevenue_Analytical]],2)=ROUND(Transaction[[#This Row],[DiscountAmount_Clean]],2),"Valid","Invalid")</f>
        <v>Valid</v>
      </c>
      <c r="AF460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3473.58</v>
      </c>
      <c r="AG460">
        <f>IF(Transaction[[#This Row],[NetRevenue_Check]]="Invalid",(Transaction[[#This Row],[Quantity]]*Transaction[[#This Row],[UnitPrice_Clean]]),Transaction[[#This Row],[NetRevenue_Clean]])</f>
        <v>3473.58</v>
      </c>
      <c r="AH460" t="str">
        <f>IF(Transaction[[#This Row],[Quantity]]*Transaction[[#This Row],[UnitPrice_Clean]]=Transaction[[#This Row],[NetRevenue_Clean]],"Valid","Invalid")</f>
        <v>Valid</v>
      </c>
      <c r="AI460" t="s">
        <v>23</v>
      </c>
      <c r="AJ460" t="s">
        <v>905</v>
      </c>
      <c r="AK460" t="str">
        <f>IF(Transaction[[#This Row],[Salesperson]]="","Missing Value",TRIM(PROPER(Transaction[[#This Row],[Salesperson]])))</f>
        <v>Ward</v>
      </c>
      <c r="AL460" t="s">
        <v>42</v>
      </c>
      <c r="AM460" t="str">
        <f>IF(Transaction[[#This Row],[ContractType]]="","Missing Value",Transaction[[#This Row],[ContractType]])</f>
        <v>Standard PO</v>
      </c>
      <c r="AN460" t="s">
        <v>43</v>
      </c>
    </row>
    <row r="461" spans="1:40" x14ac:dyDescent="0.25">
      <c r="A461" t="s">
        <v>2122</v>
      </c>
      <c r="B461" s="1">
        <v>45741</v>
      </c>
      <c r="C46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46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46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61" s="2">
        <f>IFERROR(DATE(Transaction[[#This Row],[TransactionDateY]],Transaction[[#This Row],[TransactionDateM]],Transaction[[#This Row],[TransactionDateD]]),"Missing Value")</f>
        <v>45741</v>
      </c>
      <c r="G461" t="s">
        <v>247</v>
      </c>
      <c r="H461" t="str">
        <f>IFERROR(VLOOKUP(Transaction[[#This Row],[CustomerID]],Custumer[],1,0),IF(LEN(Transaction[[#This Row],[CustomerID]])=7,LEFT(Transaction[[#This Row],[CustomerID]],6),"Invalid ID"))</f>
        <v>C-1045</v>
      </c>
      <c r="I461" t="s">
        <v>29</v>
      </c>
      <c r="J461" t="str">
        <f>TRIM(UPPER(Transaction[[#This Row],[ProductID]]))</f>
        <v>P-SA-001</v>
      </c>
      <c r="K461" t="str">
        <f>IFERROR(VLOOKUP(Transaction[[#This Row],[ProductID_Clean]],Product[],1,FALSE),"Invalid ID")</f>
        <v>P-SA-001</v>
      </c>
      <c r="L461" t="str">
        <f>TRIM(SUBSTITUTE(SUBSTITUTE(SUBSTITUTE(SUBSTITUTE(UPPER(Transaction[[#This Row],[Region]]),"EMEA REGION","EMEA"),"APAC REGION","APAC"),"NORTH AMERICA","N. AMERICA"),"N .AMERICA","N.AMERICA"))</f>
        <v>EMEA</v>
      </c>
      <c r="M461" t="s">
        <v>76</v>
      </c>
      <c r="N461" t="s">
        <v>31</v>
      </c>
      <c r="O46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461" t="s">
        <v>22</v>
      </c>
      <c r="Q461" t="str">
        <f>IF(TRIM(Transaction[[#This Row],[SalesChannel]])="","Missing Value",TRIM(Transaction[[#This Row],[SalesChannel]]))</f>
        <v>Direct</v>
      </c>
      <c r="R461" s="4">
        <v>2</v>
      </c>
      <c r="S461" s="4" t="str">
        <f>IF(Transaction[[#This Row],[Quantity]]&lt;0,"Negative-review","Valid")</f>
        <v>Valid</v>
      </c>
      <c r="T461" t="s">
        <v>2123</v>
      </c>
      <c r="U46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3572.51</v>
      </c>
      <c r="V461">
        <v>4200</v>
      </c>
      <c r="W461">
        <v>8400</v>
      </c>
      <c r="X46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8400</v>
      </c>
      <c r="Y461">
        <f>IF(Transaction[[#This Row],[GrossRevenue_Check]]="Invalid",Transaction[[#This Row],[ListPrice]]*Transaction[[#This Row],[Quantity]],Transaction[[#This Row],[GrossRevenue_Clean]])</f>
        <v>8400</v>
      </c>
      <c r="Z461" t="str">
        <f>IF(Transaction[[#This Row],[GrossRevenue_Clean]]=Transaction[[#This Row],[ListPrice]]*Transaction[[#This Row],[Quantity]],"Valid","Invalid")</f>
        <v>Valid</v>
      </c>
      <c r="AA461">
        <v>1254.98</v>
      </c>
      <c r="AB46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1254.98</v>
      </c>
      <c r="AC461">
        <f>IF(Transaction[[#This Row],[DiscountAmount_Check2]]="Invalid",Transaction[[#This Row],[GrossRevenue_Analytical]]-Transaction[[#This Row],[NetRevenue_Analytical]],Transaction[[#This Row],[DiscountAmount_Clean]])</f>
        <v>1254.98</v>
      </c>
      <c r="AD461">
        <v>7145.02</v>
      </c>
      <c r="AE461" t="str">
        <f>IF(ROUND(Transaction[[#This Row],[GrossRevenue_Analytical]]-Transaction[[#This Row],[NetRevenue_Analytical]],2)=ROUND(Transaction[[#This Row],[DiscountAmount_Clean]],2),"Valid","Invalid")</f>
        <v>Valid</v>
      </c>
      <c r="AF461">
        <f>VALUE(IF(ISNUMBER(Transaction[[#This Row],[NetRevenue]]),Transaction[[#This Row],[NetRevenue]],IFERROR(IF(FIND("$",Transaction[[#This Row],[NetRevenue]])&gt;0,MID(Transaction[[#This Row],[NetRevenue]],2,10)),Transaction[[#This Row],[NetRevenue]])))</f>
        <v>7145.02</v>
      </c>
      <c r="AG461">
        <f>IF(Transaction[[#This Row],[NetRevenue_Check]]="Invalid",(Transaction[[#This Row],[Quantity]]*Transaction[[#This Row],[UnitPrice_Clean]]),Transaction[[#This Row],[NetRevenue_Clean]])</f>
        <v>7145.02</v>
      </c>
      <c r="AH461" t="str">
        <f>IF(Transaction[[#This Row],[Quantity]]*Transaction[[#This Row],[UnitPrice_Clean]]=Transaction[[#This Row],[NetRevenue_Clean]],"Valid","Invalid")</f>
        <v>Valid</v>
      </c>
      <c r="AI461" t="s">
        <v>23</v>
      </c>
      <c r="AJ461" t="s">
        <v>454</v>
      </c>
      <c r="AK461" t="str">
        <f>IF(Transaction[[#This Row],[Salesperson]]="","Missing Value",TRIM(PROPER(Transaction[[#This Row],[Salesperson]])))</f>
        <v>Armstrong</v>
      </c>
      <c r="AL461" t="s">
        <v>210</v>
      </c>
      <c r="AM461" t="str">
        <f>IF(Transaction[[#This Row],[ContractType]]="","Missing Value",Transaction[[#This Row],[ContractType]])</f>
        <v>Perpetual</v>
      </c>
      <c r="AN461" t="s">
        <v>35</v>
      </c>
    </row>
    <row r="462" spans="1:40" x14ac:dyDescent="0.25">
      <c r="A462" t="s">
        <v>1677</v>
      </c>
      <c r="B462" t="s">
        <v>1209</v>
      </c>
      <c r="C46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46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02</v>
      </c>
      <c r="E46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62" s="2">
        <f>IFERROR(DATE(Transaction[[#This Row],[TransactionDateY]],Transaction[[#This Row],[TransactionDateM]],Transaction[[#This Row],[TransactionDateD]]),"Missing Value")</f>
        <v>45659</v>
      </c>
      <c r="G462" t="s">
        <v>1518</v>
      </c>
      <c r="H462" t="str">
        <f>IFERROR(VLOOKUP(Transaction[[#This Row],[CustomerID]],Custumer[],1,0),IF(LEN(Transaction[[#This Row],[CustomerID]])=7,LEFT(Transaction[[#This Row],[CustomerID]],6),"Invalid ID"))</f>
        <v>C-1138</v>
      </c>
      <c r="I462" t="s">
        <v>103</v>
      </c>
      <c r="J462" t="str">
        <f>TRIM(UPPER(Transaction[[#This Row],[ProductID]]))</f>
        <v>P-FS-005</v>
      </c>
      <c r="K462" t="str">
        <f>IFERROR(VLOOKUP(Transaction[[#This Row],[ProductID_Clean]],Product[],1,FALSE),"Invalid ID")</f>
        <v>P-FS-005</v>
      </c>
      <c r="L462" t="str">
        <f>TRIM(SUBSTITUTE(SUBSTITUTE(SUBSTITUTE(SUBSTITUTE(UPPER(Transaction[[#This Row],[Region]]),"EMEA REGION","EMEA"),"APAC REGION","APAC"),"NORTH AMERICA","N. AMERICA"),"N .AMERICA","N.AMERICA"))</f>
        <v>EMEA</v>
      </c>
      <c r="M462" t="s">
        <v>76</v>
      </c>
      <c r="N462" t="s">
        <v>771</v>
      </c>
      <c r="O462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462" t="s">
        <v>40</v>
      </c>
      <c r="Q462" t="str">
        <f>IF(TRIM(Transaction[[#This Row],[SalesChannel]])="","Missing Value",TRIM(Transaction[[#This Row],[SalesChannel]]))</f>
        <v>Distributor</v>
      </c>
      <c r="R462" s="4">
        <v>1</v>
      </c>
      <c r="S462" s="4" t="str">
        <f>IF(Transaction[[#This Row],[Quantity]]&lt;0,"Negative-review","Valid")</f>
        <v>Valid</v>
      </c>
      <c r="T462">
        <v>718.7</v>
      </c>
      <c r="U46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718.7</v>
      </c>
      <c r="V462">
        <v>950</v>
      </c>
      <c r="W462">
        <v>950</v>
      </c>
      <c r="X46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462">
        <f>IF(Transaction[[#This Row],[GrossRevenue_Check]]="Invalid",Transaction[[#This Row],[ListPrice]]*Transaction[[#This Row],[Quantity]],Transaction[[#This Row],[GrossRevenue_Clean]])</f>
        <v>950</v>
      </c>
      <c r="Z462" t="str">
        <f>IF(Transaction[[#This Row],[GrossRevenue_Clean]]=Transaction[[#This Row],[ListPrice]]*Transaction[[#This Row],[Quantity]],"Valid","Invalid")</f>
        <v>Valid</v>
      </c>
      <c r="AA462">
        <v>231.3</v>
      </c>
      <c r="AB46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231.3</v>
      </c>
      <c r="AC462">
        <f>IF(Transaction[[#This Row],[DiscountAmount_Check2]]="Invalid",Transaction[[#This Row],[GrossRevenue_Analytical]]-Transaction[[#This Row],[NetRevenue_Analytical]],Transaction[[#This Row],[DiscountAmount_Clean]])</f>
        <v>231.3</v>
      </c>
      <c r="AD462">
        <v>718.7</v>
      </c>
      <c r="AE462" t="str">
        <f>IF(ROUND(Transaction[[#This Row],[GrossRevenue_Analytical]]-Transaction[[#This Row],[NetRevenue_Analytical]],2)=ROUND(Transaction[[#This Row],[DiscountAmount_Clean]],2),"Valid","Invalid")</f>
        <v>Valid</v>
      </c>
      <c r="AF462">
        <f>VALUE(IF(ISNUMBER(Transaction[[#This Row],[NetRevenue]]),Transaction[[#This Row],[NetRevenue]],IFERROR(IF(FIND("$",Transaction[[#This Row],[NetRevenue]])&gt;0,MID(Transaction[[#This Row],[NetRevenue]],2,10)),Transaction[[#This Row],[NetRevenue]])))</f>
        <v>718.7</v>
      </c>
      <c r="AG462">
        <f>IF(Transaction[[#This Row],[NetRevenue_Check]]="Invalid",(Transaction[[#This Row],[Quantity]]*Transaction[[#This Row],[UnitPrice_Clean]]),Transaction[[#This Row],[NetRevenue_Clean]])</f>
        <v>718.7</v>
      </c>
      <c r="AH462" t="str">
        <f>IF(Transaction[[#This Row],[Quantity]]*Transaction[[#This Row],[UnitPrice_Clean]]=Transaction[[#This Row],[NetRevenue_Clean]],"Valid","Invalid")</f>
        <v>Valid</v>
      </c>
      <c r="AI462" t="s">
        <v>23</v>
      </c>
      <c r="AJ462" t="s">
        <v>1678</v>
      </c>
      <c r="AK462" t="str">
        <f>IF(Transaction[[#This Row],[Salesperson]]="","Missing Value",TRIM(PROPER(Transaction[[#This Row],[Salesperson]])))</f>
        <v>Mcdonald-Na</v>
      </c>
      <c r="AL462" t="s">
        <v>42</v>
      </c>
      <c r="AM462" t="str">
        <f>IF(Transaction[[#This Row],[ContractType]]="","Missing Value",Transaction[[#This Row],[ContractType]])</f>
        <v>Standard PO</v>
      </c>
      <c r="AN462" t="s">
        <v>35</v>
      </c>
    </row>
    <row r="463" spans="1:40" x14ac:dyDescent="0.25">
      <c r="A463" t="s">
        <v>944</v>
      </c>
      <c r="B463" t="s">
        <v>945</v>
      </c>
      <c r="C46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46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46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63" s="2">
        <f>IFERROR(DATE(Transaction[[#This Row],[TransactionDateY]],Transaction[[#This Row],[TransactionDateM]],Transaction[[#This Row],[TransactionDateD]]),"Missing Value")</f>
        <v>45768</v>
      </c>
      <c r="G463" t="s">
        <v>61</v>
      </c>
      <c r="H463" t="str">
        <f>IFERROR(VLOOKUP(Transaction[[#This Row],[CustomerID]],Custumer[],1,0),IF(LEN(Transaction[[#This Row],[CustomerID]])=7,LEFT(Transaction[[#This Row],[CustomerID]],6),"Invalid ID"))</f>
        <v>C-1108</v>
      </c>
      <c r="I463" t="s">
        <v>946</v>
      </c>
      <c r="J463" t="str">
        <f>TRIM(UPPER(Transaction[[#This Row],[ProductID]]))</f>
        <v>P-SI-006</v>
      </c>
      <c r="K463" t="str">
        <f>IFERROR(VLOOKUP(Transaction[[#This Row],[ProductID_Clean]],Product[],1,FALSE),"Invalid ID")</f>
        <v>P-SI-006</v>
      </c>
      <c r="L463" t="str">
        <f>TRIM(SUBSTITUTE(SUBSTITUTE(SUBSTITUTE(SUBSTITUTE(UPPER(Transaction[[#This Row],[Region]]),"EMEA REGION","EMEA"),"APAC REGION","APAC"),"NORTH AMERICA","N. AMERICA"),"N .AMERICA","N.AMERICA"))</f>
        <v>APAC</v>
      </c>
      <c r="M463" t="s">
        <v>127</v>
      </c>
      <c r="N463" t="s">
        <v>53</v>
      </c>
      <c r="O46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63" t="s">
        <v>22</v>
      </c>
      <c r="Q463" t="str">
        <f>IF(TRIM(Transaction[[#This Row],[SalesChannel]])="","Missing Value",TRIM(Transaction[[#This Row],[SalesChannel]]))</f>
        <v>Direct</v>
      </c>
      <c r="R463" s="4">
        <v>3</v>
      </c>
      <c r="S463" s="4" t="str">
        <f>IF(Transaction[[#This Row],[Quantity]]&lt;0,"Negative-review","Valid")</f>
        <v>Valid</v>
      </c>
      <c r="T463">
        <v>164.38</v>
      </c>
      <c r="U46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164.38</v>
      </c>
      <c r="V463">
        <v>215</v>
      </c>
      <c r="W463">
        <v>645</v>
      </c>
      <c r="X46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463">
        <f>IF(Transaction[[#This Row],[GrossRevenue_Check]]="Invalid",Transaction[[#This Row],[ListPrice]]*Transaction[[#This Row],[Quantity]],Transaction[[#This Row],[GrossRevenue_Clean]])</f>
        <v>645</v>
      </c>
      <c r="Z463" t="str">
        <f>IF(Transaction[[#This Row],[GrossRevenue_Clean]]=Transaction[[#This Row],[ListPrice]]*Transaction[[#This Row],[Quantity]],"Valid","Invalid")</f>
        <v>Valid</v>
      </c>
      <c r="AA463">
        <v>151.86000000000001</v>
      </c>
      <c r="AB46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151.86000000000001</v>
      </c>
      <c r="AC463">
        <f>IF(Transaction[[#This Row],[DiscountAmount_Check2]]="Invalid",Transaction[[#This Row],[GrossRevenue_Analytical]]-Transaction[[#This Row],[NetRevenue_Analytical]],Transaction[[#This Row],[DiscountAmount_Clean]])</f>
        <v>151.86000000000001</v>
      </c>
      <c r="AD463">
        <v>493.14</v>
      </c>
      <c r="AE463" t="str">
        <f>IF(ROUND(Transaction[[#This Row],[GrossRevenue_Analytical]]-Transaction[[#This Row],[NetRevenue_Analytical]],2)=ROUND(Transaction[[#This Row],[DiscountAmount_Clean]],2),"Valid","Invalid")</f>
        <v>Valid</v>
      </c>
      <c r="AF463">
        <f>VALUE(IF(ISNUMBER(Transaction[[#This Row],[NetRevenue]]),Transaction[[#This Row],[NetRevenue]],IFERROR(IF(FIND("$",Transaction[[#This Row],[NetRevenue]])&gt;0,MID(Transaction[[#This Row],[NetRevenue]],2,10)),Transaction[[#This Row],[NetRevenue]])))</f>
        <v>493.14</v>
      </c>
      <c r="AG463">
        <f>IF(Transaction[[#This Row],[NetRevenue_Check]]="Invalid",(Transaction[[#This Row],[Quantity]]*Transaction[[#This Row],[UnitPrice_Clean]]),Transaction[[#This Row],[NetRevenue_Clean]])</f>
        <v>493.14</v>
      </c>
      <c r="AH463" t="str">
        <f>IF(Transaction[[#This Row],[Quantity]]*Transaction[[#This Row],[UnitPrice_Clean]]=Transaction[[#This Row],[NetRevenue_Clean]],"Valid","Invalid")</f>
        <v>Valid</v>
      </c>
      <c r="AI463" t="s">
        <v>23</v>
      </c>
      <c r="AJ463" t="s">
        <v>947</v>
      </c>
      <c r="AK463" t="str">
        <f>IF(Transaction[[#This Row],[Salesperson]]="","Missing Value",TRIM(PROPER(Transaction[[#This Row],[Salesperson]])))</f>
        <v>Bird</v>
      </c>
      <c r="AL463" t="s">
        <v>25</v>
      </c>
      <c r="AM463" t="str">
        <f>IF(Transaction[[#This Row],[ContractType]]="","Missing Value",Transaction[[#This Row],[ContractType]])</f>
        <v>Frame Agreement</v>
      </c>
      <c r="AN463" t="s">
        <v>65</v>
      </c>
    </row>
    <row r="464" spans="1:40" x14ac:dyDescent="0.25">
      <c r="A464" t="s">
        <v>3054</v>
      </c>
      <c r="B464" t="s">
        <v>962</v>
      </c>
      <c r="C46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46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03</v>
      </c>
      <c r="E46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64" s="2">
        <f>IFERROR(DATE(Transaction[[#This Row],[TransactionDateY]],Transaction[[#This Row],[TransactionDateM]],Transaction[[#This Row],[TransactionDateD]]),"Missing Value")</f>
        <v>45691</v>
      </c>
      <c r="G464" t="s">
        <v>1727</v>
      </c>
      <c r="H464" t="str">
        <f>IFERROR(VLOOKUP(Transaction[[#This Row],[CustomerID]],Custumer[],1,0),IF(LEN(Transaction[[#This Row],[CustomerID]])=7,LEFT(Transaction[[#This Row],[CustomerID]],6),"Invalid ID"))</f>
        <v>C-1077</v>
      </c>
      <c r="I464" t="s">
        <v>52</v>
      </c>
      <c r="J464" t="str">
        <f>TRIM(UPPER(Transaction[[#This Row],[ProductID]]))</f>
        <v>P-SI-002</v>
      </c>
      <c r="K464" t="str">
        <f>IFERROR(VLOOKUP(Transaction[[#This Row],[ProductID_Clean]],Product[],1,FALSE),"Invalid ID")</f>
        <v>P-SI-002</v>
      </c>
      <c r="L464" t="str">
        <f>TRIM(SUBSTITUTE(SUBSTITUTE(SUBSTITUTE(SUBSTITUTE(UPPER(Transaction[[#This Row],[Region]]),"EMEA REGION","EMEA"),"APAC REGION","APAC"),"NORTH AMERICA","N. AMERICA"),"N .AMERICA","N.AMERICA"))</f>
        <v>EMEA</v>
      </c>
      <c r="M464" t="s">
        <v>76</v>
      </c>
      <c r="N464" t="s">
        <v>272</v>
      </c>
      <c r="O46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64" t="s">
        <v>40</v>
      </c>
      <c r="Q464" t="str">
        <f>IF(TRIM(Transaction[[#This Row],[SalesChannel]])="","Missing Value",TRIM(Transaction[[#This Row],[SalesChannel]]))</f>
        <v>Distributor</v>
      </c>
      <c r="R464" s="4">
        <v>4</v>
      </c>
      <c r="S464" s="4" t="str">
        <f>IF(Transaction[[#This Row],[Quantity]]&lt;0,"Negative-review","Valid")</f>
        <v>Valid</v>
      </c>
      <c r="T464">
        <v>640.26</v>
      </c>
      <c r="U46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640.26</v>
      </c>
      <c r="V464">
        <v>725</v>
      </c>
      <c r="W464">
        <v>2900</v>
      </c>
      <c r="X46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2900</v>
      </c>
      <c r="Y464">
        <f>IF(Transaction[[#This Row],[GrossRevenue_Check]]="Invalid",Transaction[[#This Row],[ListPrice]]*Transaction[[#This Row],[Quantity]],Transaction[[#This Row],[GrossRevenue_Clean]])</f>
        <v>2900</v>
      </c>
      <c r="Z464" t="str">
        <f>IF(Transaction[[#This Row],[GrossRevenue_Clean]]=Transaction[[#This Row],[ListPrice]]*Transaction[[#This Row],[Quantity]],"Valid","Invalid")</f>
        <v>Valid</v>
      </c>
      <c r="AA464">
        <v>338.96</v>
      </c>
      <c r="AB46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338.96</v>
      </c>
      <c r="AC464">
        <f>IF(Transaction[[#This Row],[DiscountAmount_Check2]]="Invalid",Transaction[[#This Row],[GrossRevenue_Analytical]]-Transaction[[#This Row],[NetRevenue_Analytical]],Transaction[[#This Row],[DiscountAmount_Clean]])</f>
        <v>338.96</v>
      </c>
      <c r="AD464">
        <v>2561.04</v>
      </c>
      <c r="AE464" t="str">
        <f>IF(ROUND(Transaction[[#This Row],[GrossRevenue_Analytical]]-Transaction[[#This Row],[NetRevenue_Analytical]],2)=ROUND(Transaction[[#This Row],[DiscountAmount_Clean]],2),"Valid","Invalid")</f>
        <v>Valid</v>
      </c>
      <c r="AF46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2561.04</v>
      </c>
      <c r="AG464">
        <f>IF(Transaction[[#This Row],[NetRevenue_Check]]="Invalid",(Transaction[[#This Row],[Quantity]]*Transaction[[#This Row],[UnitPrice_Clean]]),Transaction[[#This Row],[NetRevenue_Clean]])</f>
        <v>2561.04</v>
      </c>
      <c r="AH464" t="str">
        <f>IF(Transaction[[#This Row],[Quantity]]*Transaction[[#This Row],[UnitPrice_Clean]]=Transaction[[#This Row],[NetRevenue_Clean]],"Valid","Invalid")</f>
        <v>Valid</v>
      </c>
      <c r="AI464" t="s">
        <v>23</v>
      </c>
      <c r="AJ464" t="s">
        <v>1442</v>
      </c>
      <c r="AK464" t="str">
        <f>IF(Transaction[[#This Row],[Salesperson]]="","Missing Value",TRIM(PROPER(Transaction[[#This Row],[Salesperson]])))</f>
        <v>Anderson-Na</v>
      </c>
      <c r="AL464" t="s">
        <v>42</v>
      </c>
      <c r="AM464" t="str">
        <f>IF(Transaction[[#This Row],[ContractType]]="","Missing Value",Transaction[[#This Row],[ContractType]])</f>
        <v>Standard PO</v>
      </c>
      <c r="AN464" t="s">
        <v>49</v>
      </c>
    </row>
    <row r="465" spans="1:40" x14ac:dyDescent="0.25">
      <c r="A465" t="s">
        <v>1753</v>
      </c>
      <c r="B465" s="1">
        <v>45794</v>
      </c>
      <c r="C46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46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46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65" s="2">
        <f>IFERROR(DATE(Transaction[[#This Row],[TransactionDateY]],Transaction[[#This Row],[TransactionDateM]],Transaction[[#This Row],[TransactionDateD]]),"Missing Value")</f>
        <v>45794</v>
      </c>
      <c r="G465" t="s">
        <v>110</v>
      </c>
      <c r="H465" t="str">
        <f>IFERROR(VLOOKUP(Transaction[[#This Row],[CustomerID]],Custumer[],1,0),IF(LEN(Transaction[[#This Row],[CustomerID]])=7,LEFT(Transaction[[#This Row],[CustomerID]],6),"Invalid ID"))</f>
        <v>C-1100</v>
      </c>
      <c r="I465" t="s">
        <v>121</v>
      </c>
      <c r="J465" t="str">
        <f>TRIM(UPPER(Transaction[[#This Row],[ProductID]]))</f>
        <v>P-FS-001</v>
      </c>
      <c r="K465" t="str">
        <f>IFERROR(VLOOKUP(Transaction[[#This Row],[ProductID_Clean]],Product[],1,FALSE),"Invalid ID")</f>
        <v>P-FS-001</v>
      </c>
      <c r="L465" t="str">
        <f>TRIM(SUBSTITUTE(SUBSTITUTE(SUBSTITUTE(SUBSTITUTE(UPPER(Transaction[[#This Row],[Region]]),"EMEA REGION","EMEA"),"APAC REGION","APAC"),"NORTH AMERICA","N. AMERICA"),"N .AMERICA","N.AMERICA"))</f>
        <v>EMEA</v>
      </c>
      <c r="M465" t="s">
        <v>76</v>
      </c>
      <c r="N465" t="s">
        <v>244</v>
      </c>
      <c r="O46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465" t="s">
        <v>181</v>
      </c>
      <c r="Q465" t="str">
        <f>IF(TRIM(Transaction[[#This Row],[SalesChannel]])="","Missing Value",TRIM(Transaction[[#This Row],[SalesChannel]]))</f>
        <v>Partner Portal</v>
      </c>
      <c r="R465" s="4">
        <v>1</v>
      </c>
      <c r="S465" s="4" t="str">
        <f>IF(Transaction[[#This Row],[Quantity]]&lt;0,"Negative-review","Valid")</f>
        <v>Valid</v>
      </c>
      <c r="T465">
        <v>1311.19</v>
      </c>
      <c r="U46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1311.19</v>
      </c>
      <c r="V465">
        <v>1850</v>
      </c>
      <c r="W465">
        <v>1850</v>
      </c>
      <c r="X46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465">
        <f>IF(Transaction[[#This Row],[GrossRevenue_Check]]="Invalid",Transaction[[#This Row],[ListPrice]]*Transaction[[#This Row],[Quantity]],Transaction[[#This Row],[GrossRevenue_Clean]])</f>
        <v>1850</v>
      </c>
      <c r="Z465" t="str">
        <f>IF(Transaction[[#This Row],[GrossRevenue_Clean]]=Transaction[[#This Row],[ListPrice]]*Transaction[[#This Row],[Quantity]],"Valid","Invalid")</f>
        <v>Valid</v>
      </c>
      <c r="AA465">
        <v>538.80999999999995</v>
      </c>
      <c r="AB46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538.80999999999995</v>
      </c>
      <c r="AC465">
        <f>IF(Transaction[[#This Row],[DiscountAmount_Check2]]="Invalid",Transaction[[#This Row],[GrossRevenue_Analytical]]-Transaction[[#This Row],[NetRevenue_Analytical]],Transaction[[#This Row],[DiscountAmount_Clean]])</f>
        <v>538.80999999999995</v>
      </c>
      <c r="AD465" t="s">
        <v>1754</v>
      </c>
      <c r="AE465" t="str">
        <f>IF(ROUND(Transaction[[#This Row],[GrossRevenue_Analytical]]-Transaction[[#This Row],[NetRevenue_Analytical]],2)=ROUND(Transaction[[#This Row],[DiscountAmount_Clean]],2),"Valid","Invalid")</f>
        <v>Valid</v>
      </c>
      <c r="AF46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1311.19</v>
      </c>
      <c r="AG465">
        <f>IF(Transaction[[#This Row],[NetRevenue_Check]]="Invalid",(Transaction[[#This Row],[Quantity]]*Transaction[[#This Row],[UnitPrice_Clean]]),Transaction[[#This Row],[NetRevenue_Clean]])</f>
        <v>1311.19</v>
      </c>
      <c r="AH465" t="str">
        <f>IF(Transaction[[#This Row],[Quantity]]*Transaction[[#This Row],[UnitPrice_Clean]]=Transaction[[#This Row],[NetRevenue_Clean]],"Valid","Invalid")</f>
        <v>Valid</v>
      </c>
      <c r="AI465" t="s">
        <v>23</v>
      </c>
      <c r="AJ465" t="s">
        <v>1755</v>
      </c>
      <c r="AK465" t="str">
        <f>IF(Transaction[[#This Row],[Salesperson]]="","Missing Value",TRIM(PROPER(Transaction[[#This Row],[Salesperson]])))</f>
        <v>Henson-Ap</v>
      </c>
      <c r="AL465" t="s">
        <v>42</v>
      </c>
      <c r="AM465" t="str">
        <f>IF(Transaction[[#This Row],[ContractType]]="","Missing Value",Transaction[[#This Row],[ContractType]])</f>
        <v>Standard PO</v>
      </c>
      <c r="AN465" t="s">
        <v>43</v>
      </c>
    </row>
    <row r="466" spans="1:40" x14ac:dyDescent="0.25">
      <c r="A466" t="s">
        <v>685</v>
      </c>
      <c r="B466" t="s">
        <v>686</v>
      </c>
      <c r="C46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46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46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66" s="2">
        <f>IFERROR(DATE(Transaction[[#This Row],[TransactionDateY]],Transaction[[#This Row],[TransactionDateM]],Transaction[[#This Row],[TransactionDateD]]),"Missing Value")</f>
        <v>45716</v>
      </c>
      <c r="G466" t="s">
        <v>687</v>
      </c>
      <c r="H466" t="str">
        <f>IFERROR(VLOOKUP(Transaction[[#This Row],[CustomerID]],Custumer[],1,0),IF(LEN(Transaction[[#This Row],[CustomerID]])=7,LEFT(Transaction[[#This Row],[CustomerID]],6),"Invalid ID"))</f>
        <v>C-1131</v>
      </c>
      <c r="I466" t="s">
        <v>52</v>
      </c>
      <c r="J466" t="str">
        <f>TRIM(UPPER(Transaction[[#This Row],[ProductID]]))</f>
        <v>P-SI-002</v>
      </c>
      <c r="K466" t="str">
        <f>IFERROR(VLOOKUP(Transaction[[#This Row],[ProductID_Clean]],Product[],1,FALSE),"Invalid ID")</f>
        <v>P-SI-002</v>
      </c>
      <c r="L466" t="str">
        <f>TRIM(SUBSTITUTE(SUBSTITUTE(SUBSTITUTE(SUBSTITUTE(UPPER(Transaction[[#This Row],[Region]]),"EMEA REGION","EMEA"),"APAC REGION","APAC"),"NORTH AMERICA","N. AMERICA"),"N .AMERICA","N.AMERICA"))</f>
        <v>EMEA</v>
      </c>
      <c r="M466" t="s">
        <v>87</v>
      </c>
      <c r="N466" t="s">
        <v>53</v>
      </c>
      <c r="O46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66" t="s">
        <v>77</v>
      </c>
      <c r="Q466" t="str">
        <f>IF(TRIM(Transaction[[#This Row],[SalesChannel]])="","Missing Value",TRIM(Transaction[[#This Row],[SalesChannel]]))</f>
        <v>distributor</v>
      </c>
      <c r="R466" s="4">
        <v>2</v>
      </c>
      <c r="S466" s="4" t="str">
        <f>IF(Transaction[[#This Row],[Quantity]]&lt;0,"Negative-review","Valid")</f>
        <v>Valid</v>
      </c>
      <c r="T466">
        <v>619.01</v>
      </c>
      <c r="U46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619.01</v>
      </c>
      <c r="V466">
        <v>725</v>
      </c>
      <c r="W466">
        <v>1450</v>
      </c>
      <c r="X46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466">
        <f>IF(Transaction[[#This Row],[GrossRevenue_Check]]="Invalid",Transaction[[#This Row],[ListPrice]]*Transaction[[#This Row],[Quantity]],Transaction[[#This Row],[GrossRevenue_Clean]])</f>
        <v>1450</v>
      </c>
      <c r="Z466" t="str">
        <f>IF(Transaction[[#This Row],[GrossRevenue_Clean]]=Transaction[[#This Row],[ListPrice]]*Transaction[[#This Row],[Quantity]],"Valid","Invalid")</f>
        <v>Valid</v>
      </c>
      <c r="AA466">
        <v>211.98</v>
      </c>
      <c r="AB46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211.98</v>
      </c>
      <c r="AC466">
        <f>IF(Transaction[[#This Row],[DiscountAmount_Check2]]="Invalid",Transaction[[#This Row],[GrossRevenue_Analytical]]-Transaction[[#This Row],[NetRevenue_Analytical]],Transaction[[#This Row],[DiscountAmount_Clean]])</f>
        <v>211.98</v>
      </c>
      <c r="AD466">
        <v>1238.02</v>
      </c>
      <c r="AE466" t="str">
        <f>IF(ROUND(Transaction[[#This Row],[GrossRevenue_Analytical]]-Transaction[[#This Row],[NetRevenue_Analytical]],2)=ROUND(Transaction[[#This Row],[DiscountAmount_Clean]],2),"Valid","Invalid")</f>
        <v>Valid</v>
      </c>
      <c r="AF46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1238.02</v>
      </c>
      <c r="AG466">
        <f>IF(Transaction[[#This Row],[NetRevenue_Check]]="Invalid",(Transaction[[#This Row],[Quantity]]*Transaction[[#This Row],[UnitPrice_Clean]]),Transaction[[#This Row],[NetRevenue_Clean]])</f>
        <v>1238.02</v>
      </c>
      <c r="AH466" t="str">
        <f>IF(Transaction[[#This Row],[Quantity]]*Transaction[[#This Row],[UnitPrice_Clean]]=Transaction[[#This Row],[NetRevenue_Clean]],"Valid","Invalid")</f>
        <v>Valid</v>
      </c>
      <c r="AI466" t="s">
        <v>23</v>
      </c>
      <c r="AJ466" t="s">
        <v>688</v>
      </c>
      <c r="AK466" t="str">
        <f>IF(Transaction[[#This Row],[Salesperson]]="","Missing Value",TRIM(PROPER(Transaction[[#This Row],[Salesperson]])))</f>
        <v>Jones-Ap</v>
      </c>
      <c r="AL466" t="s">
        <v>42</v>
      </c>
      <c r="AM466" t="str">
        <f>IF(Transaction[[#This Row],[ContractType]]="","Missing Value",Transaction[[#This Row],[ContractType]])</f>
        <v>Standard PO</v>
      </c>
      <c r="AN466" t="s">
        <v>49</v>
      </c>
    </row>
    <row r="467" spans="1:40" x14ac:dyDescent="0.25">
      <c r="A467" t="s">
        <v>2996</v>
      </c>
      <c r="B467" t="s">
        <v>2997</v>
      </c>
      <c r="C46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46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46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67" s="2">
        <f>IFERROR(DATE(Transaction[[#This Row],[TransactionDateY]],Transaction[[#This Row],[TransactionDateM]],Transaction[[#This Row],[TransactionDateD]]),"Missing Value")</f>
        <v>45719</v>
      </c>
      <c r="G467" t="s">
        <v>610</v>
      </c>
      <c r="H467" t="str">
        <f>IFERROR(VLOOKUP(Transaction[[#This Row],[CustomerID]],Custumer[],1,0),IF(LEN(Transaction[[#This Row],[CustomerID]])=7,LEFT(Transaction[[#This Row],[CustomerID]],6),"Invalid ID"))</f>
        <v>C-1156</v>
      </c>
      <c r="I467" t="s">
        <v>71</v>
      </c>
      <c r="J467" t="str">
        <f>TRIM(UPPER(Transaction[[#This Row],[ProductID]]))</f>
        <v>P-SI-003</v>
      </c>
      <c r="K467" t="str">
        <f>IFERROR(VLOOKUP(Transaction[[#This Row],[ProductID_Clean]],Product[],1,FALSE),"Invalid ID")</f>
        <v>P-SI-003</v>
      </c>
      <c r="L467" t="str">
        <f>TRIM(SUBSTITUTE(SUBSTITUTE(SUBSTITUTE(SUBSTITUTE(UPPER(Transaction[[#This Row],[Region]]),"EMEA REGION","EMEA"),"APAC REGION","APAC"),"NORTH AMERICA","N. AMERICA"),"N .AMERICA","N.AMERICA"))</f>
        <v>N. AMERICA</v>
      </c>
      <c r="M467" t="s">
        <v>20</v>
      </c>
      <c r="N467" t="s">
        <v>47</v>
      </c>
      <c r="O46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67" t="s">
        <v>22</v>
      </c>
      <c r="Q467" t="str">
        <f>IF(TRIM(Transaction[[#This Row],[SalesChannel]])="","Missing Value",TRIM(Transaction[[#This Row],[SalesChannel]]))</f>
        <v>Direct</v>
      </c>
      <c r="R467" s="4">
        <v>1</v>
      </c>
      <c r="S467" s="4" t="str">
        <f>IF(Transaction[[#This Row],[Quantity]]&lt;0,"Negative-review","Valid")</f>
        <v>Valid</v>
      </c>
      <c r="T467">
        <v>1826.82</v>
      </c>
      <c r="U46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1826.82</v>
      </c>
      <c r="V467">
        <v>1890</v>
      </c>
      <c r="W467">
        <v>1890</v>
      </c>
      <c r="X46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467">
        <f>IF(Transaction[[#This Row],[GrossRevenue_Check]]="Invalid",Transaction[[#This Row],[ListPrice]]*Transaction[[#This Row],[Quantity]],Transaction[[#This Row],[GrossRevenue_Clean]])</f>
        <v>1890</v>
      </c>
      <c r="Z467" t="str">
        <f>IF(Transaction[[#This Row],[GrossRevenue_Clean]]=Transaction[[#This Row],[ListPrice]]*Transaction[[#This Row],[Quantity]],"Valid","Invalid")</f>
        <v>Valid</v>
      </c>
      <c r="AB46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467">
        <f>IF(Transaction[[#This Row],[DiscountAmount_Check2]]="Invalid",Transaction[[#This Row],[GrossRevenue_Analytical]]-Transaction[[#This Row],[NetRevenue_Analytical]],Transaction[[#This Row],[DiscountAmount_Clean]])</f>
        <v>63.180000000000064</v>
      </c>
      <c r="AD467">
        <v>1826.82</v>
      </c>
      <c r="AE467" t="str">
        <f>IF(ROUND(Transaction[[#This Row],[GrossRevenue_Analytical]]-Transaction[[#This Row],[NetRevenue_Analytical]],2)=ROUND(Transaction[[#This Row],[DiscountAmount_Clean]],2),"Valid","Invalid")</f>
        <v>Invalid</v>
      </c>
      <c r="AF46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1826.82</v>
      </c>
      <c r="AG467">
        <f>IF(Transaction[[#This Row],[NetRevenue_Check]]="Invalid",(Transaction[[#This Row],[Quantity]]*Transaction[[#This Row],[UnitPrice_Clean]]),Transaction[[#This Row],[NetRevenue_Clean]])</f>
        <v>1826.82</v>
      </c>
      <c r="AH467" t="str">
        <f>IF(Transaction[[#This Row],[Quantity]]*Transaction[[#This Row],[UnitPrice_Clean]]=Transaction[[#This Row],[NetRevenue_Clean]],"Valid","Invalid")</f>
        <v>Valid</v>
      </c>
      <c r="AI467" t="s">
        <v>23</v>
      </c>
      <c r="AJ467" t="s">
        <v>838</v>
      </c>
      <c r="AK467" t="str">
        <f>IF(Transaction[[#This Row],[Salesperson]]="","Missing Value",TRIM(PROPER(Transaction[[#This Row],[Salesperson]])))</f>
        <v>Young</v>
      </c>
      <c r="AL467" t="s">
        <v>42</v>
      </c>
      <c r="AM467" t="str">
        <f>IF(Transaction[[#This Row],[ContractType]]="","Missing Value",Transaction[[#This Row],[ContractType]])</f>
        <v>Standard PO</v>
      </c>
      <c r="AN467" t="s">
        <v>49</v>
      </c>
    </row>
    <row r="468" spans="1:40" x14ac:dyDescent="0.25">
      <c r="A468" t="s">
        <v>2741</v>
      </c>
      <c r="B468" s="1">
        <v>45759</v>
      </c>
      <c r="C46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46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46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68" s="2">
        <f>IFERROR(DATE(Transaction[[#This Row],[TransactionDateY]],Transaction[[#This Row],[TransactionDateM]],Transaction[[#This Row],[TransactionDateD]]),"Missing Value")</f>
        <v>45759</v>
      </c>
      <c r="G468" t="s">
        <v>568</v>
      </c>
      <c r="H468" t="str">
        <f>IFERROR(VLOOKUP(Transaction[[#This Row],[CustomerID]],Custumer[],1,0),IF(LEN(Transaction[[#This Row],[CustomerID]])=7,LEFT(Transaction[[#This Row],[CustomerID]],6),"Invalid ID"))</f>
        <v>C-1087</v>
      </c>
      <c r="I468" t="s">
        <v>117</v>
      </c>
      <c r="J468" t="str">
        <f>TRIM(UPPER(Transaction[[#This Row],[ProductID]]))</f>
        <v>P-SI-007</v>
      </c>
      <c r="K468" t="str">
        <f>IFERROR(VLOOKUP(Transaction[[#This Row],[ProductID_Clean]],Product[],1,FALSE),"Invalid ID")</f>
        <v>P-SI-007</v>
      </c>
      <c r="L468" t="str">
        <f>TRIM(SUBSTITUTE(SUBSTITUTE(SUBSTITUTE(SUBSTITUTE(UPPER(Transaction[[#This Row],[Region]]),"EMEA REGION","EMEA"),"APAC REGION","APAC"),"NORTH AMERICA","N. AMERICA"),"N .AMERICA","N.AMERICA"))</f>
        <v>APAC</v>
      </c>
      <c r="M468" t="s">
        <v>30</v>
      </c>
      <c r="N468" t="s">
        <v>47</v>
      </c>
      <c r="O46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68" t="s">
        <v>22</v>
      </c>
      <c r="Q468" t="str">
        <f>IF(TRIM(Transaction[[#This Row],[SalesChannel]])="","Missing Value",TRIM(Transaction[[#This Row],[SalesChannel]]))</f>
        <v>Direct</v>
      </c>
      <c r="R468" s="4">
        <v>2</v>
      </c>
      <c r="S468" s="4" t="str">
        <f>IF(Transaction[[#This Row],[Quantity]]&lt;0,"Negative-review","Valid")</f>
        <v>Valid</v>
      </c>
      <c r="T468">
        <v>861.38</v>
      </c>
      <c r="U46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861.38</v>
      </c>
      <c r="V468">
        <v>980</v>
      </c>
      <c r="W468">
        <v>1960</v>
      </c>
      <c r="X46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</v>
      </c>
      <c r="Y468">
        <f>IF(Transaction[[#This Row],[GrossRevenue_Check]]="Invalid",Transaction[[#This Row],[ListPrice]]*Transaction[[#This Row],[Quantity]],Transaction[[#This Row],[GrossRevenue_Clean]])</f>
        <v>1960</v>
      </c>
      <c r="Z468" t="str">
        <f>IF(Transaction[[#This Row],[GrossRevenue_Clean]]=Transaction[[#This Row],[ListPrice]]*Transaction[[#This Row],[Quantity]],"Valid","Invalid")</f>
        <v>Valid</v>
      </c>
      <c r="AA468">
        <v>237.24</v>
      </c>
      <c r="AB46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237.24</v>
      </c>
      <c r="AC468">
        <f>IF(Transaction[[#This Row],[DiscountAmount_Check2]]="Invalid",Transaction[[#This Row],[GrossRevenue_Analytical]]-Transaction[[#This Row],[NetRevenue_Analytical]],Transaction[[#This Row],[DiscountAmount_Clean]])</f>
        <v>237.24</v>
      </c>
      <c r="AD468">
        <v>1722.76</v>
      </c>
      <c r="AE468" t="str">
        <f>IF(ROUND(Transaction[[#This Row],[GrossRevenue_Analytical]]-Transaction[[#This Row],[NetRevenue_Analytical]],2)=ROUND(Transaction[[#This Row],[DiscountAmount_Clean]],2),"Valid","Invalid")</f>
        <v>Valid</v>
      </c>
      <c r="AF46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1722.76</v>
      </c>
      <c r="AG468">
        <f>IF(Transaction[[#This Row],[NetRevenue_Check]]="Invalid",(Transaction[[#This Row],[Quantity]]*Transaction[[#This Row],[UnitPrice_Clean]]),Transaction[[#This Row],[NetRevenue_Clean]])</f>
        <v>1722.76</v>
      </c>
      <c r="AH468" t="str">
        <f>IF(Transaction[[#This Row],[Quantity]]*Transaction[[#This Row],[UnitPrice_Clean]]=Transaction[[#This Row],[NetRevenue_Clean]],"Valid","Invalid")</f>
        <v>Valid</v>
      </c>
      <c r="AI468" t="s">
        <v>23</v>
      </c>
      <c r="AJ468" t="s">
        <v>2742</v>
      </c>
      <c r="AK468" t="str">
        <f>IF(Transaction[[#This Row],[Salesperson]]="","Missing Value",TRIM(PROPER(Transaction[[#This Row],[Salesperson]])))</f>
        <v>Love-Ap</v>
      </c>
      <c r="AL468" t="s">
        <v>42</v>
      </c>
      <c r="AM468" t="str">
        <f>IF(Transaction[[#This Row],[ContractType]]="","Missing Value",Transaction[[#This Row],[ContractType]])</f>
        <v>Standard PO</v>
      </c>
      <c r="AN468" t="s">
        <v>49</v>
      </c>
    </row>
    <row r="469" spans="1:40" x14ac:dyDescent="0.25">
      <c r="A469" t="s">
        <v>967</v>
      </c>
      <c r="B469" s="1">
        <v>45668</v>
      </c>
      <c r="C46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46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46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69" s="2">
        <f>IFERROR(DATE(Transaction[[#This Row],[TransactionDateY]],Transaction[[#This Row],[TransactionDateM]],Transaction[[#This Row],[TransactionDateD]]),"Missing Value")</f>
        <v>45668</v>
      </c>
      <c r="G469" t="s">
        <v>267</v>
      </c>
      <c r="H469" t="str">
        <f>IFERROR(VLOOKUP(Transaction[[#This Row],[CustomerID]],Custumer[],1,0),IF(LEN(Transaction[[#This Row],[CustomerID]])=7,LEFT(Transaction[[#This Row],[CustomerID]],6),"Invalid ID"))</f>
        <v>C-1119</v>
      </c>
      <c r="I469" t="s">
        <v>46</v>
      </c>
      <c r="J469" t="str">
        <f>TRIM(UPPER(Transaction[[#This Row],[ProductID]]))</f>
        <v>P-SI-006</v>
      </c>
      <c r="K469" t="str">
        <f>IFERROR(VLOOKUP(Transaction[[#This Row],[ProductID_Clean]],Product[],1,FALSE),"Invalid ID")</f>
        <v>P-SI-006</v>
      </c>
      <c r="L469" t="str">
        <f>TRIM(SUBSTITUTE(SUBSTITUTE(SUBSTITUTE(SUBSTITUTE(UPPER(Transaction[[#This Row],[Region]]),"EMEA REGION","EMEA"),"APAC REGION","APAC"),"NORTH AMERICA","N. AMERICA"),"N .AMERICA","N.AMERICA"))</f>
        <v>EMEA</v>
      </c>
      <c r="M469" t="s">
        <v>76</v>
      </c>
      <c r="N469" t="s">
        <v>98</v>
      </c>
      <c r="O46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69" t="s">
        <v>93</v>
      </c>
      <c r="Q469" t="str">
        <f>IF(TRIM(Transaction[[#This Row],[SalesChannel]])="","Missing Value",TRIM(Transaction[[#This Row],[SalesChannel]]))</f>
        <v>direct</v>
      </c>
      <c r="R469" s="4">
        <v>2</v>
      </c>
      <c r="S469" s="4" t="str">
        <f>IF(Transaction[[#This Row],[Quantity]]&lt;0,"Negative-review","Valid")</f>
        <v>Valid</v>
      </c>
      <c r="T469">
        <v>174.66</v>
      </c>
      <c r="U46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174.66</v>
      </c>
      <c r="V469">
        <v>215</v>
      </c>
      <c r="W469">
        <v>430</v>
      </c>
      <c r="X46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469">
        <f>IF(Transaction[[#This Row],[GrossRevenue_Check]]="Invalid",Transaction[[#This Row],[ListPrice]]*Transaction[[#This Row],[Quantity]],Transaction[[#This Row],[GrossRevenue_Clean]])</f>
        <v>430</v>
      </c>
      <c r="Z469" t="str">
        <f>IF(Transaction[[#This Row],[GrossRevenue_Clean]]=Transaction[[#This Row],[ListPrice]]*Transaction[[#This Row],[Quantity]],"Valid","Invalid")</f>
        <v>Valid</v>
      </c>
      <c r="AA469" t="s">
        <v>968</v>
      </c>
      <c r="AB46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80.680000000000007</v>
      </c>
      <c r="AC469">
        <f>IF(Transaction[[#This Row],[DiscountAmount_Check2]]="Invalid",Transaction[[#This Row],[GrossRevenue_Analytical]]-Transaction[[#This Row],[NetRevenue_Analytical]],Transaction[[#This Row],[DiscountAmount_Clean]])</f>
        <v>80.680000000000007</v>
      </c>
      <c r="AD469">
        <v>349.32</v>
      </c>
      <c r="AE469" t="str">
        <f>IF(ROUND(Transaction[[#This Row],[GrossRevenue_Analytical]]-Transaction[[#This Row],[NetRevenue_Analytical]],2)=ROUND(Transaction[[#This Row],[DiscountAmount_Clean]],2),"Valid","Invalid")</f>
        <v>Valid</v>
      </c>
      <c r="AF469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349.32</v>
      </c>
      <c r="AG469">
        <f>IF(Transaction[[#This Row],[NetRevenue_Check]]="Invalid",(Transaction[[#This Row],[Quantity]]*Transaction[[#This Row],[UnitPrice_Clean]]),Transaction[[#This Row],[NetRevenue_Clean]])</f>
        <v>349.32</v>
      </c>
      <c r="AH469" t="str">
        <f>IF(Transaction[[#This Row],[Quantity]]*Transaction[[#This Row],[UnitPrice_Clean]]=Transaction[[#This Row],[NetRevenue_Clean]],"Valid","Invalid")</f>
        <v>Valid</v>
      </c>
      <c r="AI469" t="s">
        <v>23</v>
      </c>
      <c r="AJ469" t="s">
        <v>969</v>
      </c>
      <c r="AK469" t="str">
        <f>IF(Transaction[[#This Row],[Salesperson]]="","Missing Value",TRIM(PROPER(Transaction[[#This Row],[Salesperson]])))</f>
        <v>Mendoza-Na</v>
      </c>
      <c r="AL469" t="s">
        <v>42</v>
      </c>
      <c r="AM469" t="str">
        <f>IF(Transaction[[#This Row],[ContractType]]="","Missing Value",Transaction[[#This Row],[ContractType]])</f>
        <v>Standard PO</v>
      </c>
      <c r="AN469" t="s">
        <v>49</v>
      </c>
    </row>
    <row r="470" spans="1:40" x14ac:dyDescent="0.25">
      <c r="A470" t="s">
        <v>1507</v>
      </c>
      <c r="B470" t="s">
        <v>1508</v>
      </c>
      <c r="C47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47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05</v>
      </c>
      <c r="E47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70" s="2">
        <f>IFERROR(DATE(Transaction[[#This Row],[TransactionDateY]],Transaction[[#This Row],[TransactionDateM]],Transaction[[#This Row],[TransactionDateD]]),"Missing Value")</f>
        <v>45662</v>
      </c>
      <c r="G470" t="s">
        <v>890</v>
      </c>
      <c r="H470" t="str">
        <f>IFERROR(VLOOKUP(Transaction[[#This Row],[CustomerID]],Custumer[],1,0),IF(LEN(Transaction[[#This Row],[CustomerID]])=7,LEFT(Transaction[[#This Row],[CustomerID]],6),"Invalid ID"))</f>
        <v>C-1134</v>
      </c>
      <c r="I470" t="s">
        <v>97</v>
      </c>
      <c r="J470" t="str">
        <f>TRIM(UPPER(Transaction[[#This Row],[ProductID]]))</f>
        <v>P-SI-001</v>
      </c>
      <c r="K470" t="str">
        <f>IFERROR(VLOOKUP(Transaction[[#This Row],[ProductID_Clean]],Product[],1,FALSE),"Invalid ID")</f>
        <v>P-SI-001</v>
      </c>
      <c r="L470" t="str">
        <f>TRIM(SUBSTITUTE(SUBSTITUTE(SUBSTITUTE(SUBSTITUTE(UPPER(Transaction[[#This Row],[Region]]),"EMEA REGION","EMEA"),"APAC REGION","APAC"),"NORTH AMERICA","N. AMERICA"),"N .AMERICA","N.AMERICA"))</f>
        <v>N. AMERICA</v>
      </c>
      <c r="M470" t="s">
        <v>20</v>
      </c>
      <c r="N470" t="s">
        <v>53</v>
      </c>
      <c r="O47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70" t="s">
        <v>181</v>
      </c>
      <c r="Q470" t="str">
        <f>IF(TRIM(Transaction[[#This Row],[SalesChannel]])="","Missing Value",TRIM(Transaction[[#This Row],[SalesChannel]]))</f>
        <v>Partner Portal</v>
      </c>
      <c r="R470" s="4">
        <v>3</v>
      </c>
      <c r="S470" s="4" t="str">
        <f>IF(Transaction[[#This Row],[Quantity]]&lt;0,"Negative-review","Valid")</f>
        <v>Valid</v>
      </c>
      <c r="T470">
        <v>435.37</v>
      </c>
      <c r="U47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435.37</v>
      </c>
      <c r="V470">
        <v>485</v>
      </c>
      <c r="W470">
        <v>1455</v>
      </c>
      <c r="X47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470">
        <f>IF(Transaction[[#This Row],[GrossRevenue_Check]]="Invalid",Transaction[[#This Row],[ListPrice]]*Transaction[[#This Row],[Quantity]],Transaction[[#This Row],[GrossRevenue_Clean]])</f>
        <v>1455</v>
      </c>
      <c r="Z470" t="str">
        <f>IF(Transaction[[#This Row],[GrossRevenue_Clean]]=Transaction[[#This Row],[ListPrice]]*Transaction[[#This Row],[Quantity]],"Valid","Invalid")</f>
        <v>Valid</v>
      </c>
      <c r="AA470">
        <v>148.88999999999999</v>
      </c>
      <c r="AB47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148.88999999999999</v>
      </c>
      <c r="AC470">
        <f>IF(Transaction[[#This Row],[DiscountAmount_Check2]]="Invalid",Transaction[[#This Row],[GrossRevenue_Analytical]]-Transaction[[#This Row],[NetRevenue_Analytical]],Transaction[[#This Row],[DiscountAmount_Clean]])</f>
        <v>148.88999999999999</v>
      </c>
      <c r="AD470">
        <v>1306.1099999999999</v>
      </c>
      <c r="AE470" t="str">
        <f>IF(ROUND(Transaction[[#This Row],[GrossRevenue_Analytical]]-Transaction[[#This Row],[NetRevenue_Analytical]],2)=ROUND(Transaction[[#This Row],[DiscountAmount_Clean]],2),"Valid","Invalid")</f>
        <v>Valid</v>
      </c>
      <c r="AF47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1306.1099999999999</v>
      </c>
      <c r="AG470">
        <f>IF(Transaction[[#This Row],[NetRevenue_Check]]="Invalid",(Transaction[[#This Row],[Quantity]]*Transaction[[#This Row],[UnitPrice_Clean]]),Transaction[[#This Row],[NetRevenue_Clean]])</f>
        <v>1306.1099999999999</v>
      </c>
      <c r="AH470" t="str">
        <f>IF(Transaction[[#This Row],[Quantity]]*Transaction[[#This Row],[UnitPrice_Clean]]=Transaction[[#This Row],[NetRevenue_Clean]],"Valid","Invalid")</f>
        <v>Valid</v>
      </c>
      <c r="AI470" t="s">
        <v>23</v>
      </c>
      <c r="AJ470" t="s">
        <v>1509</v>
      </c>
      <c r="AK470" t="str">
        <f>IF(Transaction[[#This Row],[Salesperson]]="","Missing Value",TRIM(PROPER(Transaction[[#This Row],[Salesperson]])))</f>
        <v>Jenkins-Na</v>
      </c>
      <c r="AL470" t="s">
        <v>25</v>
      </c>
      <c r="AM470" t="str">
        <f>IF(Transaction[[#This Row],[ContractType]]="","Missing Value",Transaction[[#This Row],[ContractType]])</f>
        <v>Frame Agreement</v>
      </c>
      <c r="AN470" t="s">
        <v>49</v>
      </c>
    </row>
    <row r="471" spans="1:40" x14ac:dyDescent="0.25">
      <c r="A471" t="s">
        <v>3080</v>
      </c>
      <c r="B471" s="1">
        <v>45677</v>
      </c>
      <c r="C47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47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47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71" s="2">
        <f>IFERROR(DATE(Transaction[[#This Row],[TransactionDateY]],Transaction[[#This Row],[TransactionDateM]],Transaction[[#This Row],[TransactionDateD]]),"Missing Value")</f>
        <v>45677</v>
      </c>
      <c r="G471" t="s">
        <v>195</v>
      </c>
      <c r="H471" t="str">
        <f>IFERROR(VLOOKUP(Transaction[[#This Row],[CustomerID]],Custumer[],1,0),IF(LEN(Transaction[[#This Row],[CustomerID]])=7,LEFT(Transaction[[#This Row],[CustomerID]],6),"Invalid ID"))</f>
        <v>C-1015</v>
      </c>
      <c r="I471" t="s">
        <v>103</v>
      </c>
      <c r="J471" t="str">
        <f>TRIM(UPPER(Transaction[[#This Row],[ProductID]]))</f>
        <v>P-FS-005</v>
      </c>
      <c r="K471" t="str">
        <f>IFERROR(VLOOKUP(Transaction[[#This Row],[ProductID_Clean]],Product[],1,FALSE),"Invalid ID")</f>
        <v>P-FS-005</v>
      </c>
      <c r="L471" t="str">
        <f>TRIM(SUBSTITUTE(SUBSTITUTE(SUBSTITUTE(SUBSTITUTE(UPPER(Transaction[[#This Row],[Region]]),"EMEA REGION","EMEA"),"APAC REGION","APAC"),"NORTH AMERICA","N. AMERICA"),"N .AMERICA","N.AMERICA"))</f>
        <v>N. AMERICA</v>
      </c>
      <c r="M471" t="s">
        <v>204</v>
      </c>
      <c r="N471" t="s">
        <v>21</v>
      </c>
      <c r="O471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471" t="s">
        <v>22</v>
      </c>
      <c r="Q471" t="str">
        <f>IF(TRIM(Transaction[[#This Row],[SalesChannel]])="","Missing Value",TRIM(Transaction[[#This Row],[SalesChannel]]))</f>
        <v>Direct</v>
      </c>
      <c r="R471" s="4">
        <v>1</v>
      </c>
      <c r="S471" s="4" t="str">
        <f>IF(Transaction[[#This Row],[Quantity]]&lt;0,"Negative-review","Valid")</f>
        <v>Valid</v>
      </c>
      <c r="T471">
        <v>729.59</v>
      </c>
      <c r="U47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729.59</v>
      </c>
      <c r="V471">
        <v>950</v>
      </c>
      <c r="W471">
        <v>950</v>
      </c>
      <c r="X47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471">
        <f>IF(Transaction[[#This Row],[GrossRevenue_Check]]="Invalid",Transaction[[#This Row],[ListPrice]]*Transaction[[#This Row],[Quantity]],Transaction[[#This Row],[GrossRevenue_Clean]])</f>
        <v>950</v>
      </c>
      <c r="Z471" t="str">
        <f>IF(Transaction[[#This Row],[GrossRevenue_Clean]]=Transaction[[#This Row],[ListPrice]]*Transaction[[#This Row],[Quantity]],"Valid","Invalid")</f>
        <v>Valid</v>
      </c>
      <c r="AA471">
        <v>220.41</v>
      </c>
      <c r="AB47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220.41</v>
      </c>
      <c r="AC471">
        <f>IF(Transaction[[#This Row],[DiscountAmount_Check2]]="Invalid",Transaction[[#This Row],[GrossRevenue_Analytical]]-Transaction[[#This Row],[NetRevenue_Analytical]],Transaction[[#This Row],[DiscountAmount_Clean]])</f>
        <v>220.41</v>
      </c>
      <c r="AD471">
        <v>729.59</v>
      </c>
      <c r="AE471" t="str">
        <f>IF(ROUND(Transaction[[#This Row],[GrossRevenue_Analytical]]-Transaction[[#This Row],[NetRevenue_Analytical]],2)=ROUND(Transaction[[#This Row],[DiscountAmount_Clean]],2),"Valid","Invalid")</f>
        <v>Valid</v>
      </c>
      <c r="AF471">
        <f>VALUE(IF(ISNUMBER(Transaction[[#This Row],[NetRevenue]]),Transaction[[#This Row],[NetRevenue]],IFERROR(IF(FIND("$",Transaction[[#This Row],[NetRevenue]])&gt;0,MID(Transaction[[#This Row],[NetRevenue]],2,10)),Transaction[[#This Row],[NetRevenue]])))</f>
        <v>729.59</v>
      </c>
      <c r="AG471">
        <f>IF(Transaction[[#This Row],[NetRevenue_Check]]="Invalid",(Transaction[[#This Row],[Quantity]]*Transaction[[#This Row],[UnitPrice_Clean]]),Transaction[[#This Row],[NetRevenue_Clean]])</f>
        <v>729.59</v>
      </c>
      <c r="AH471" t="str">
        <f>IF(Transaction[[#This Row],[Quantity]]*Transaction[[#This Row],[UnitPrice_Clean]]=Transaction[[#This Row],[NetRevenue_Clean]],"Valid","Invalid")</f>
        <v>Valid</v>
      </c>
      <c r="AI471" t="s">
        <v>23</v>
      </c>
      <c r="AJ471" t="s">
        <v>3081</v>
      </c>
      <c r="AK471" t="str">
        <f>IF(Transaction[[#This Row],[Salesperson]]="","Missing Value",TRIM(PROPER(Transaction[[#This Row],[Salesperson]])))</f>
        <v>Ortiz</v>
      </c>
      <c r="AL471" t="s">
        <v>42</v>
      </c>
      <c r="AM471" t="str">
        <f>IF(Transaction[[#This Row],[ContractType]]="","Missing Value",Transaction[[#This Row],[ContractType]])</f>
        <v>Standard PO</v>
      </c>
      <c r="AN471" t="s">
        <v>26</v>
      </c>
    </row>
    <row r="472" spans="1:40" x14ac:dyDescent="0.25">
      <c r="A472" t="s">
        <v>459</v>
      </c>
      <c r="B472" s="1">
        <v>45805</v>
      </c>
      <c r="C47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47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47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72" s="2">
        <f>IFERROR(DATE(Transaction[[#This Row],[TransactionDateY]],Transaction[[#This Row],[TransactionDateM]],Transaction[[#This Row],[TransactionDateD]]),"Missing Value")</f>
        <v>45805</v>
      </c>
      <c r="G472" t="s">
        <v>460</v>
      </c>
      <c r="H472" t="str">
        <f>IFERROR(VLOOKUP(Transaction[[#This Row],[CustomerID]],Custumer[],1,0),IF(LEN(Transaction[[#This Row],[CustomerID]])=7,LEFT(Transaction[[#This Row],[CustomerID]],6),"Invalid ID"))</f>
        <v>C-1153</v>
      </c>
      <c r="I472" t="s">
        <v>71</v>
      </c>
      <c r="J472" t="str">
        <f>TRIM(UPPER(Transaction[[#This Row],[ProductID]]))</f>
        <v>P-SI-003</v>
      </c>
      <c r="K472" t="str">
        <f>IFERROR(VLOOKUP(Transaction[[#This Row],[ProductID_Clean]],Product[],1,FALSE),"Invalid ID")</f>
        <v>P-SI-003</v>
      </c>
      <c r="L472" t="str">
        <f>TRIM(SUBSTITUTE(SUBSTITUTE(SUBSTITUTE(SUBSTITUTE(UPPER(Transaction[[#This Row],[Region]]),"EMEA REGION","EMEA"),"APAC REGION","APAC"),"NORTH AMERICA","N. AMERICA"),"N .AMERICA","N.AMERICA"))</f>
        <v>N. AMERICA</v>
      </c>
      <c r="M472" t="s">
        <v>168</v>
      </c>
      <c r="N472" t="s">
        <v>53</v>
      </c>
      <c r="O47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72" t="s">
        <v>40</v>
      </c>
      <c r="Q472" t="str">
        <f>IF(TRIM(Transaction[[#This Row],[SalesChannel]])="","Missing Value",TRIM(Transaction[[#This Row],[SalesChannel]]))</f>
        <v>Distributor</v>
      </c>
      <c r="R472" s="4">
        <v>1</v>
      </c>
      <c r="S472" s="4" t="str">
        <f>IF(Transaction[[#This Row],[Quantity]]&lt;0,"Negative-review","Valid")</f>
        <v>Valid</v>
      </c>
      <c r="T472">
        <v>1602.28</v>
      </c>
      <c r="U47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1602.28</v>
      </c>
      <c r="V472">
        <v>1890</v>
      </c>
      <c r="W472" t="s">
        <v>461</v>
      </c>
      <c r="X47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472">
        <f>IF(Transaction[[#This Row],[GrossRevenue_Check]]="Invalid",Transaction[[#This Row],[ListPrice]]*Transaction[[#This Row],[Quantity]],Transaction[[#This Row],[GrossRevenue_Clean]])</f>
        <v>1890</v>
      </c>
      <c r="Z472" t="str">
        <f>IF(Transaction[[#This Row],[GrossRevenue_Clean]]=Transaction[[#This Row],[ListPrice]]*Transaction[[#This Row],[Quantity]],"Valid","Invalid")</f>
        <v>Valid</v>
      </c>
      <c r="AA472" t="s">
        <v>462</v>
      </c>
      <c r="AB47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287.72000000000003</v>
      </c>
      <c r="AC472">
        <f>IF(Transaction[[#This Row],[DiscountAmount_Check2]]="Invalid",Transaction[[#This Row],[GrossRevenue_Analytical]]-Transaction[[#This Row],[NetRevenue_Analytical]],Transaction[[#This Row],[DiscountAmount_Clean]])</f>
        <v>287.72000000000003</v>
      </c>
      <c r="AD472">
        <v>1602.28</v>
      </c>
      <c r="AE472" t="str">
        <f>IF(ROUND(Transaction[[#This Row],[GrossRevenue_Analytical]]-Transaction[[#This Row],[NetRevenue_Analytical]],2)=ROUND(Transaction[[#This Row],[DiscountAmount_Clean]],2),"Valid","Invalid")</f>
        <v>Valid</v>
      </c>
      <c r="AF47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1602.28</v>
      </c>
      <c r="AG472">
        <f>IF(Transaction[[#This Row],[NetRevenue_Check]]="Invalid",(Transaction[[#This Row],[Quantity]]*Transaction[[#This Row],[UnitPrice_Clean]]),Transaction[[#This Row],[NetRevenue_Clean]])</f>
        <v>1602.28</v>
      </c>
      <c r="AH472" t="str">
        <f>IF(Transaction[[#This Row],[Quantity]]*Transaction[[#This Row],[UnitPrice_Clean]]=Transaction[[#This Row],[NetRevenue_Clean]],"Valid","Invalid")</f>
        <v>Valid</v>
      </c>
      <c r="AI472" t="s">
        <v>23</v>
      </c>
      <c r="AJ472" t="s">
        <v>463</v>
      </c>
      <c r="AK472" t="str">
        <f>IF(Transaction[[#This Row],[Salesperson]]="","Missing Value",TRIM(PROPER(Transaction[[#This Row],[Salesperson]])))</f>
        <v>Andrews-Na</v>
      </c>
      <c r="AL472" t="s">
        <v>42</v>
      </c>
      <c r="AM472" t="str">
        <f>IF(Transaction[[#This Row],[ContractType]]="","Missing Value",Transaction[[#This Row],[ContractType]])</f>
        <v>Standard PO</v>
      </c>
      <c r="AN472" t="s">
        <v>49</v>
      </c>
    </row>
    <row r="473" spans="1:40" x14ac:dyDescent="0.25">
      <c r="A473" t="s">
        <v>2026</v>
      </c>
      <c r="B473" s="1">
        <v>45821</v>
      </c>
      <c r="C47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47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47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73" s="2">
        <f>IFERROR(DATE(Transaction[[#This Row],[TransactionDateY]],Transaction[[#This Row],[TransactionDateM]],Transaction[[#This Row],[TransactionDateD]]),"Missing Value")</f>
        <v>45821</v>
      </c>
      <c r="G473" t="s">
        <v>429</v>
      </c>
      <c r="H473" t="str">
        <f>IFERROR(VLOOKUP(Transaction[[#This Row],[CustomerID]],Custumer[],1,0),IF(LEN(Transaction[[#This Row],[CustomerID]])=7,LEFT(Transaction[[#This Row],[CustomerID]],6),"Invalid ID"))</f>
        <v>C-1009</v>
      </c>
      <c r="I473" t="s">
        <v>121</v>
      </c>
      <c r="J473" t="str">
        <f>TRIM(UPPER(Transaction[[#This Row],[ProductID]]))</f>
        <v>P-FS-001</v>
      </c>
      <c r="K473" t="str">
        <f>IFERROR(VLOOKUP(Transaction[[#This Row],[ProductID_Clean]],Product[],1,FALSE),"Invalid ID")</f>
        <v>P-FS-001</v>
      </c>
      <c r="L473" t="str">
        <f>TRIM(SUBSTITUTE(SUBSTITUTE(SUBSTITUTE(SUBSTITUTE(UPPER(Transaction[[#This Row],[Region]]),"EMEA REGION","EMEA"),"APAC REGION","APAC"),"NORTH AMERICA","N. AMERICA"),"N .AMERICA","N.AMERICA"))</f>
        <v>EMEA</v>
      </c>
      <c r="M473" t="s">
        <v>76</v>
      </c>
      <c r="N473" t="s">
        <v>21</v>
      </c>
      <c r="O47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473" t="s">
        <v>22</v>
      </c>
      <c r="Q473" t="str">
        <f>IF(TRIM(Transaction[[#This Row],[SalesChannel]])="","Missing Value",TRIM(Transaction[[#This Row],[SalesChannel]]))</f>
        <v>Direct</v>
      </c>
      <c r="R473" s="4">
        <v>1</v>
      </c>
      <c r="S473" s="4" t="str">
        <f>IF(Transaction[[#This Row],[Quantity]]&lt;0,"Negative-review","Valid")</f>
        <v>Valid</v>
      </c>
      <c r="T473">
        <v>1511.01</v>
      </c>
      <c r="U47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1511.01</v>
      </c>
      <c r="V473">
        <v>1850</v>
      </c>
      <c r="W473">
        <v>1850</v>
      </c>
      <c r="X47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473">
        <f>IF(Transaction[[#This Row],[GrossRevenue_Check]]="Invalid",Transaction[[#This Row],[ListPrice]]*Transaction[[#This Row],[Quantity]],Transaction[[#This Row],[GrossRevenue_Clean]])</f>
        <v>1850</v>
      </c>
      <c r="Z473" t="str">
        <f>IF(Transaction[[#This Row],[GrossRevenue_Clean]]=Transaction[[#This Row],[ListPrice]]*Transaction[[#This Row],[Quantity]],"Valid","Invalid")</f>
        <v>Valid</v>
      </c>
      <c r="AA473">
        <v>338.99</v>
      </c>
      <c r="AB47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338.99</v>
      </c>
      <c r="AC473">
        <f>IF(Transaction[[#This Row],[DiscountAmount_Check2]]="Invalid",Transaction[[#This Row],[GrossRevenue_Analytical]]-Transaction[[#This Row],[NetRevenue_Analytical]],Transaction[[#This Row],[DiscountAmount_Clean]])</f>
        <v>338.99</v>
      </c>
      <c r="AD473">
        <v>1511.01</v>
      </c>
      <c r="AE473" t="str">
        <f>IF(ROUND(Transaction[[#This Row],[GrossRevenue_Analytical]]-Transaction[[#This Row],[NetRevenue_Analytical]],2)=ROUND(Transaction[[#This Row],[DiscountAmount_Clean]],2),"Valid","Invalid")</f>
        <v>Valid</v>
      </c>
      <c r="AF47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1511.01</v>
      </c>
      <c r="AG473">
        <f>IF(Transaction[[#This Row],[NetRevenue_Check]]="Invalid",(Transaction[[#This Row],[Quantity]]*Transaction[[#This Row],[UnitPrice_Clean]]),Transaction[[#This Row],[NetRevenue_Clean]])</f>
        <v>1511.01</v>
      </c>
      <c r="AH473" t="str">
        <f>IF(Transaction[[#This Row],[Quantity]]*Transaction[[#This Row],[UnitPrice_Clean]]=Transaction[[#This Row],[NetRevenue_Clean]],"Valid","Invalid")</f>
        <v>Valid</v>
      </c>
      <c r="AI473" t="s">
        <v>23</v>
      </c>
      <c r="AJ473" t="s">
        <v>2027</v>
      </c>
      <c r="AK473" t="str">
        <f>IF(Transaction[[#This Row],[Salesperson]]="","Missing Value",TRIM(PROPER(Transaction[[#This Row],[Salesperson]])))</f>
        <v>Martinez-Na</v>
      </c>
      <c r="AL473" t="s">
        <v>42</v>
      </c>
      <c r="AM473" t="str">
        <f>IF(Transaction[[#This Row],[ContractType]]="","Missing Value",Transaction[[#This Row],[ContractType]])</f>
        <v>Standard PO</v>
      </c>
      <c r="AN473" t="s">
        <v>49</v>
      </c>
    </row>
    <row r="474" spans="1:40" x14ac:dyDescent="0.25">
      <c r="A474" t="s">
        <v>2636</v>
      </c>
      <c r="B474" s="1">
        <v>45732</v>
      </c>
      <c r="C47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47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47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74" s="2">
        <f>IFERROR(DATE(Transaction[[#This Row],[TransactionDateY]],Transaction[[#This Row],[TransactionDateM]],Transaction[[#This Row],[TransactionDateD]]),"Missing Value")</f>
        <v>45732</v>
      </c>
      <c r="G474" t="s">
        <v>2637</v>
      </c>
      <c r="H474" t="str">
        <f>IFERROR(VLOOKUP(Transaction[[#This Row],[CustomerID]],Custumer[],1,0),IF(LEN(Transaction[[#This Row],[CustomerID]])=7,LEFT(Transaction[[#This Row],[CustomerID]],6),"Invalid ID"))</f>
        <v>C-1081</v>
      </c>
      <c r="I474" t="s">
        <v>92</v>
      </c>
      <c r="J474" t="str">
        <f>TRIM(UPPER(Transaction[[#This Row],[ProductID]]))</f>
        <v>P-SI-008</v>
      </c>
      <c r="K474" t="str">
        <f>IFERROR(VLOOKUP(Transaction[[#This Row],[ProductID_Clean]],Product[],1,FALSE),"Invalid ID")</f>
        <v>P-SI-008</v>
      </c>
      <c r="L474" t="str">
        <f>TRIM(SUBSTITUTE(SUBSTITUTE(SUBSTITUTE(SUBSTITUTE(UPPER(Transaction[[#This Row],[Region]]),"EMEA REGION","EMEA"),"APAC REGION","APAC"),"NORTH AMERICA","N. AMERICA"),"N .AMERICA","N.AMERICA"))</f>
        <v>LATIN AMERICA</v>
      </c>
      <c r="M474" t="s">
        <v>82</v>
      </c>
      <c r="N474" t="s">
        <v>53</v>
      </c>
      <c r="O47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74" t="s">
        <v>22</v>
      </c>
      <c r="Q474" t="str">
        <f>IF(TRIM(Transaction[[#This Row],[SalesChannel]])="","Missing Value",TRIM(Transaction[[#This Row],[SalesChannel]]))</f>
        <v>Direct</v>
      </c>
      <c r="R474" s="4">
        <v>3</v>
      </c>
      <c r="S474" s="4" t="str">
        <f>IF(Transaction[[#This Row],[Quantity]]&lt;0,"Negative-review","Valid")</f>
        <v>Valid</v>
      </c>
      <c r="T474">
        <v>894.86</v>
      </c>
      <c r="U47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894.86</v>
      </c>
      <c r="V474">
        <v>950</v>
      </c>
      <c r="W474">
        <v>2850</v>
      </c>
      <c r="X47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2850</v>
      </c>
      <c r="Y474">
        <f>IF(Transaction[[#This Row],[GrossRevenue_Check]]="Invalid",Transaction[[#This Row],[ListPrice]]*Transaction[[#This Row],[Quantity]],Transaction[[#This Row],[GrossRevenue_Clean]])</f>
        <v>2850</v>
      </c>
      <c r="Z474" t="str">
        <f>IF(Transaction[[#This Row],[GrossRevenue_Clean]]=Transaction[[#This Row],[ListPrice]]*Transaction[[#This Row],[Quantity]],"Valid","Invalid")</f>
        <v>Valid</v>
      </c>
      <c r="AA474">
        <v>165.42</v>
      </c>
      <c r="AB47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165.42</v>
      </c>
      <c r="AC474">
        <f>IF(Transaction[[#This Row],[DiscountAmount_Check2]]="Invalid",Transaction[[#This Row],[GrossRevenue_Analytical]]-Transaction[[#This Row],[NetRevenue_Analytical]],Transaction[[#This Row],[DiscountAmount_Clean]])</f>
        <v>165.42</v>
      </c>
      <c r="AD474">
        <v>2684.58</v>
      </c>
      <c r="AE474" t="str">
        <f>IF(ROUND(Transaction[[#This Row],[GrossRevenue_Analytical]]-Transaction[[#This Row],[NetRevenue_Analytical]],2)=ROUND(Transaction[[#This Row],[DiscountAmount_Clean]],2),"Valid","Invalid")</f>
        <v>Valid</v>
      </c>
      <c r="AF47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2684.58</v>
      </c>
      <c r="AG474">
        <f>IF(Transaction[[#This Row],[NetRevenue_Check]]="Invalid",(Transaction[[#This Row],[Quantity]]*Transaction[[#This Row],[UnitPrice_Clean]]),Transaction[[#This Row],[NetRevenue_Clean]])</f>
        <v>2684.58</v>
      </c>
      <c r="AH474" t="str">
        <f>IF(Transaction[[#This Row],[Quantity]]*Transaction[[#This Row],[UnitPrice_Clean]]=Transaction[[#This Row],[NetRevenue_Clean]],"Valid","Invalid")</f>
        <v>Valid</v>
      </c>
      <c r="AI474" t="s">
        <v>23</v>
      </c>
      <c r="AJ474" t="s">
        <v>871</v>
      </c>
      <c r="AK474" t="str">
        <f>IF(Transaction[[#This Row],[Salesperson]]="","Missing Value",TRIM(PROPER(Transaction[[#This Row],[Salesperson]])))</f>
        <v>Stewart</v>
      </c>
      <c r="AL474" t="s">
        <v>42</v>
      </c>
      <c r="AM474" t="str">
        <f>IF(Transaction[[#This Row],[ContractType]]="","Missing Value",Transaction[[#This Row],[ContractType]])</f>
        <v>Standard PO</v>
      </c>
      <c r="AN474" t="s">
        <v>49</v>
      </c>
    </row>
    <row r="475" spans="1:40" x14ac:dyDescent="0.25">
      <c r="A475" t="s">
        <v>2499</v>
      </c>
      <c r="B475" s="1">
        <v>45761</v>
      </c>
      <c r="C47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47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47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75" s="2">
        <f>IFERROR(DATE(Transaction[[#This Row],[TransactionDateY]],Transaction[[#This Row],[TransactionDateM]],Transaction[[#This Row],[TransactionDateD]]),"Missing Value")</f>
        <v>45761</v>
      </c>
      <c r="G475" t="s">
        <v>86</v>
      </c>
      <c r="H475" t="str">
        <f>IFERROR(VLOOKUP(Transaction[[#This Row],[CustomerID]],Custumer[],1,0),IF(LEN(Transaction[[#This Row],[CustomerID]])=7,LEFT(Transaction[[#This Row],[CustomerID]],6),"Invalid ID"))</f>
        <v>C-1177</v>
      </c>
      <c r="I475" t="s">
        <v>103</v>
      </c>
      <c r="J475" t="str">
        <f>TRIM(UPPER(Transaction[[#This Row],[ProductID]]))</f>
        <v>P-FS-005</v>
      </c>
      <c r="K475" t="str">
        <f>IFERROR(VLOOKUP(Transaction[[#This Row],[ProductID_Clean]],Product[],1,FALSE),"Invalid ID")</f>
        <v>P-FS-005</v>
      </c>
      <c r="L475" t="str">
        <f>TRIM(SUBSTITUTE(SUBSTITUTE(SUBSTITUTE(SUBSTITUTE(UPPER(Transaction[[#This Row],[Region]]),"EMEA REGION","EMEA"),"APAC REGION","APAC"),"NORTH AMERICA","N. AMERICA"),"N .AMERICA","N.AMERICA"))</f>
        <v>EMEA</v>
      </c>
      <c r="M475" t="s">
        <v>76</v>
      </c>
      <c r="N475" t="s">
        <v>21</v>
      </c>
      <c r="O47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475" t="s">
        <v>40</v>
      </c>
      <c r="Q475" t="str">
        <f>IF(TRIM(Transaction[[#This Row],[SalesChannel]])="","Missing Value",TRIM(Transaction[[#This Row],[SalesChannel]]))</f>
        <v>Distributor</v>
      </c>
      <c r="R475" s="4">
        <v>1</v>
      </c>
      <c r="S475" s="4" t="str">
        <f>IF(Transaction[[#This Row],[Quantity]]&lt;0,"Negative-review","Valid")</f>
        <v>Valid</v>
      </c>
      <c r="T475">
        <v>656.02</v>
      </c>
      <c r="U47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656.02</v>
      </c>
      <c r="V475">
        <v>950</v>
      </c>
      <c r="W475">
        <v>950</v>
      </c>
      <c r="X47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475">
        <f>IF(Transaction[[#This Row],[GrossRevenue_Check]]="Invalid",Transaction[[#This Row],[ListPrice]]*Transaction[[#This Row],[Quantity]],Transaction[[#This Row],[GrossRevenue_Clean]])</f>
        <v>950</v>
      </c>
      <c r="Z475" t="str">
        <f>IF(Transaction[[#This Row],[GrossRevenue_Clean]]=Transaction[[#This Row],[ListPrice]]*Transaction[[#This Row],[Quantity]],"Valid","Invalid")</f>
        <v>Valid</v>
      </c>
      <c r="AA475">
        <v>293.98</v>
      </c>
      <c r="AB47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293.98</v>
      </c>
      <c r="AC475">
        <f>IF(Transaction[[#This Row],[DiscountAmount_Check2]]="Invalid",Transaction[[#This Row],[GrossRevenue_Analytical]]-Transaction[[#This Row],[NetRevenue_Analytical]],Transaction[[#This Row],[DiscountAmount_Clean]])</f>
        <v>293.98</v>
      </c>
      <c r="AD475">
        <v>656.02</v>
      </c>
      <c r="AE475" t="str">
        <f>IF(ROUND(Transaction[[#This Row],[GrossRevenue_Analytical]]-Transaction[[#This Row],[NetRevenue_Analytical]],2)=ROUND(Transaction[[#This Row],[DiscountAmount_Clean]],2),"Valid","Invalid")</f>
        <v>Valid</v>
      </c>
      <c r="AF475">
        <f>VALUE(IF(ISNUMBER(Transaction[[#This Row],[NetRevenue]]),Transaction[[#This Row],[NetRevenue]],IFERROR(IF(FIND("$",Transaction[[#This Row],[NetRevenue]])&gt;0,MID(Transaction[[#This Row],[NetRevenue]],2,10)),Transaction[[#This Row],[NetRevenue]])))</f>
        <v>656.02</v>
      </c>
      <c r="AG475">
        <f>IF(Transaction[[#This Row],[NetRevenue_Check]]="Invalid",(Transaction[[#This Row],[Quantity]]*Transaction[[#This Row],[UnitPrice_Clean]]),Transaction[[#This Row],[NetRevenue_Clean]])</f>
        <v>656.02</v>
      </c>
      <c r="AH475" t="str">
        <f>IF(Transaction[[#This Row],[Quantity]]*Transaction[[#This Row],[UnitPrice_Clean]]=Transaction[[#This Row],[NetRevenue_Clean]],"Valid","Invalid")</f>
        <v>Valid</v>
      </c>
      <c r="AI475" t="s">
        <v>23</v>
      </c>
      <c r="AJ475" t="s">
        <v>655</v>
      </c>
      <c r="AK475" t="str">
        <f>IF(Transaction[[#This Row],[Salesperson]]="","Missing Value",TRIM(PROPER(Transaction[[#This Row],[Salesperson]])))</f>
        <v>Jones</v>
      </c>
      <c r="AL475" t="s">
        <v>42</v>
      </c>
      <c r="AM475" t="str">
        <f>IF(Transaction[[#This Row],[ContractType]]="","Missing Value",Transaction[[#This Row],[ContractType]])</f>
        <v>Standard PO</v>
      </c>
      <c r="AN475" t="s">
        <v>49</v>
      </c>
    </row>
    <row r="476" spans="1:40" x14ac:dyDescent="0.25">
      <c r="A476" t="s">
        <v>2161</v>
      </c>
      <c r="B476" s="1">
        <v>45719</v>
      </c>
      <c r="C47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47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47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76" s="2">
        <f>IFERROR(DATE(Transaction[[#This Row],[TransactionDateY]],Transaction[[#This Row],[TransactionDateM]],Transaction[[#This Row],[TransactionDateD]]),"Missing Value")</f>
        <v>45719</v>
      </c>
      <c r="G476" t="s">
        <v>630</v>
      </c>
      <c r="H476" t="str">
        <f>IFERROR(VLOOKUP(Transaction[[#This Row],[CustomerID]],Custumer[],1,0),IF(LEN(Transaction[[#This Row],[CustomerID]])=7,LEFT(Transaction[[#This Row],[CustomerID]],6),"Invalid ID"))</f>
        <v>C-1157</v>
      </c>
      <c r="I476" t="s">
        <v>117</v>
      </c>
      <c r="J476" t="str">
        <f>TRIM(UPPER(Transaction[[#This Row],[ProductID]]))</f>
        <v>P-SI-007</v>
      </c>
      <c r="K476" t="str">
        <f>IFERROR(VLOOKUP(Transaction[[#This Row],[ProductID_Clean]],Product[],1,FALSE),"Invalid ID")</f>
        <v>P-SI-007</v>
      </c>
      <c r="L476" t="str">
        <f>TRIM(SUBSTITUTE(SUBSTITUTE(SUBSTITUTE(SUBSTITUTE(UPPER(Transaction[[#This Row],[Region]]),"EMEA REGION","EMEA"),"APAC REGION","APAC"),"NORTH AMERICA","N. AMERICA"),"N .AMERICA","N.AMERICA"))</f>
        <v>EMEA</v>
      </c>
      <c r="M476" t="s">
        <v>76</v>
      </c>
      <c r="N476" t="s">
        <v>53</v>
      </c>
      <c r="O47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76" t="s">
        <v>22</v>
      </c>
      <c r="Q476" t="str">
        <f>IF(TRIM(Transaction[[#This Row],[SalesChannel]])="","Missing Value",TRIM(Transaction[[#This Row],[SalesChannel]]))</f>
        <v>Direct</v>
      </c>
      <c r="R476" s="4">
        <v>1</v>
      </c>
      <c r="S476" s="4" t="str">
        <f>IF(Transaction[[#This Row],[Quantity]]&lt;0,"Negative-review","Valid")</f>
        <v>Valid</v>
      </c>
      <c r="T476">
        <v>863.98</v>
      </c>
      <c r="U47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863.98</v>
      </c>
      <c r="V476">
        <v>980</v>
      </c>
      <c r="W476">
        <v>980</v>
      </c>
      <c r="X47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476">
        <f>IF(Transaction[[#This Row],[GrossRevenue_Check]]="Invalid",Transaction[[#This Row],[ListPrice]]*Transaction[[#This Row],[Quantity]],Transaction[[#This Row],[GrossRevenue_Clean]])</f>
        <v>980</v>
      </c>
      <c r="Z476" t="str">
        <f>IF(Transaction[[#This Row],[GrossRevenue_Clean]]=Transaction[[#This Row],[ListPrice]]*Transaction[[#This Row],[Quantity]],"Valid","Invalid")</f>
        <v>Valid</v>
      </c>
      <c r="AB47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476">
        <f>IF(Transaction[[#This Row],[DiscountAmount_Check2]]="Invalid",Transaction[[#This Row],[GrossRevenue_Analytical]]-Transaction[[#This Row],[NetRevenue_Analytical]],Transaction[[#This Row],[DiscountAmount_Clean]])</f>
        <v>116.01999999999998</v>
      </c>
      <c r="AD476">
        <v>863.98</v>
      </c>
      <c r="AE476" t="str">
        <f>IF(ROUND(Transaction[[#This Row],[GrossRevenue_Analytical]]-Transaction[[#This Row],[NetRevenue_Analytical]],2)=ROUND(Transaction[[#This Row],[DiscountAmount_Clean]],2),"Valid","Invalid")</f>
        <v>Invalid</v>
      </c>
      <c r="AF476">
        <f>VALUE(IF(ISNUMBER(Transaction[[#This Row],[NetRevenue]]),Transaction[[#This Row],[NetRevenue]],IFERROR(IF(FIND("$",Transaction[[#This Row],[NetRevenue]])&gt;0,MID(Transaction[[#This Row],[NetRevenue]],2,10)),Transaction[[#This Row],[NetRevenue]])))</f>
        <v>863.98</v>
      </c>
      <c r="AG476">
        <f>IF(Transaction[[#This Row],[NetRevenue_Check]]="Invalid",(Transaction[[#This Row],[Quantity]]*Transaction[[#This Row],[UnitPrice_Clean]]),Transaction[[#This Row],[NetRevenue_Clean]])</f>
        <v>863.98</v>
      </c>
      <c r="AH476" t="str">
        <f>IF(Transaction[[#This Row],[Quantity]]*Transaction[[#This Row],[UnitPrice_Clean]]=Transaction[[#This Row],[NetRevenue_Clean]],"Valid","Invalid")</f>
        <v>Valid</v>
      </c>
      <c r="AI476" t="s">
        <v>23</v>
      </c>
      <c r="AJ476" t="s">
        <v>2162</v>
      </c>
      <c r="AK476" t="str">
        <f>IF(Transaction[[#This Row],[Salesperson]]="","Missing Value",TRIM(PROPER(Transaction[[#This Row],[Salesperson]])))</f>
        <v>Meyers</v>
      </c>
      <c r="AL476" t="s">
        <v>25</v>
      </c>
      <c r="AM476" t="str">
        <f>IF(Transaction[[#This Row],[ContractType]]="","Missing Value",Transaction[[#This Row],[ContractType]])</f>
        <v>Frame Agreement</v>
      </c>
      <c r="AN476" t="s">
        <v>35</v>
      </c>
    </row>
    <row r="477" spans="1:40" x14ac:dyDescent="0.25">
      <c r="A477" t="s">
        <v>2717</v>
      </c>
      <c r="B477" s="1">
        <v>45816</v>
      </c>
      <c r="C47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47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47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77" s="2">
        <f>IFERROR(DATE(Transaction[[#This Row],[TransactionDateY]],Transaction[[#This Row],[TransactionDateM]],Transaction[[#This Row],[TransactionDateD]]),"Missing Value")</f>
        <v>45816</v>
      </c>
      <c r="G477" t="s">
        <v>621</v>
      </c>
      <c r="H477" t="str">
        <f>IFERROR(VLOOKUP(Transaction[[#This Row],[CustomerID]],Custumer[],1,0),IF(LEN(Transaction[[#This Row],[CustomerID]])=7,LEFT(Transaction[[#This Row],[CustomerID]],6),"Invalid ID"))</f>
        <v>C-1064</v>
      </c>
      <c r="I477" t="s">
        <v>121</v>
      </c>
      <c r="J477" t="str">
        <f>TRIM(UPPER(Transaction[[#This Row],[ProductID]]))</f>
        <v>P-FS-001</v>
      </c>
      <c r="K477" t="str">
        <f>IFERROR(VLOOKUP(Transaction[[#This Row],[ProductID_Clean]],Product[],1,FALSE),"Invalid ID")</f>
        <v>P-FS-001</v>
      </c>
      <c r="L477" t="str">
        <f>TRIM(SUBSTITUTE(SUBSTITUTE(SUBSTITUTE(SUBSTITUTE(UPPER(Transaction[[#This Row],[Region]]),"EMEA REGION","EMEA"),"APAC REGION","APAC"),"NORTH AMERICA","N. AMERICA"),"N .AMERICA","N.AMERICA"))</f>
        <v>N. AMERICA</v>
      </c>
      <c r="M477" t="s">
        <v>204</v>
      </c>
      <c r="N477" t="s">
        <v>21</v>
      </c>
      <c r="O477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477" t="s">
        <v>93</v>
      </c>
      <c r="Q477" t="str">
        <f>IF(TRIM(Transaction[[#This Row],[SalesChannel]])="","Missing Value",TRIM(Transaction[[#This Row],[SalesChannel]]))</f>
        <v>direct</v>
      </c>
      <c r="R477" s="4">
        <v>1</v>
      </c>
      <c r="S477" s="4" t="str">
        <f>IF(Transaction[[#This Row],[Quantity]]&lt;0,"Negative-review","Valid")</f>
        <v>Valid</v>
      </c>
      <c r="T477">
        <v>1634.46</v>
      </c>
      <c r="U47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1634.46</v>
      </c>
      <c r="V477">
        <v>1850</v>
      </c>
      <c r="W477">
        <v>1850</v>
      </c>
      <c r="X47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477">
        <f>IF(Transaction[[#This Row],[GrossRevenue_Check]]="Invalid",Transaction[[#This Row],[ListPrice]]*Transaction[[#This Row],[Quantity]],Transaction[[#This Row],[GrossRevenue_Clean]])</f>
        <v>1850</v>
      </c>
      <c r="Z477" t="str">
        <f>IF(Transaction[[#This Row],[GrossRevenue_Clean]]=Transaction[[#This Row],[ListPrice]]*Transaction[[#This Row],[Quantity]],"Valid","Invalid")</f>
        <v>Valid</v>
      </c>
      <c r="AA477">
        <v>215.54</v>
      </c>
      <c r="AB47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215.54</v>
      </c>
      <c r="AC477">
        <f>IF(Transaction[[#This Row],[DiscountAmount_Check2]]="Invalid",Transaction[[#This Row],[GrossRevenue_Analytical]]-Transaction[[#This Row],[NetRevenue_Analytical]],Transaction[[#This Row],[DiscountAmount_Clean]])</f>
        <v>215.54</v>
      </c>
      <c r="AD477">
        <v>1634.46</v>
      </c>
      <c r="AE477" t="str">
        <f>IF(ROUND(Transaction[[#This Row],[GrossRevenue_Analytical]]-Transaction[[#This Row],[NetRevenue_Analytical]],2)=ROUND(Transaction[[#This Row],[DiscountAmount_Clean]],2),"Valid","Invalid")</f>
        <v>Valid</v>
      </c>
      <c r="AF47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1634.46</v>
      </c>
      <c r="AG477">
        <f>IF(Transaction[[#This Row],[NetRevenue_Check]]="Invalid",(Transaction[[#This Row],[Quantity]]*Transaction[[#This Row],[UnitPrice_Clean]]),Transaction[[#This Row],[NetRevenue_Clean]])</f>
        <v>1634.46</v>
      </c>
      <c r="AH477" t="str">
        <f>IF(Transaction[[#This Row],[Quantity]]*Transaction[[#This Row],[UnitPrice_Clean]]=Transaction[[#This Row],[NetRevenue_Clean]],"Valid","Invalid")</f>
        <v>Valid</v>
      </c>
      <c r="AI477" t="s">
        <v>23</v>
      </c>
      <c r="AJ477" t="s">
        <v>2718</v>
      </c>
      <c r="AK477" t="str">
        <f>IF(Transaction[[#This Row],[Salesperson]]="","Missing Value",TRIM(PROPER(Transaction[[#This Row],[Salesperson]])))</f>
        <v>Holmes-Na</v>
      </c>
      <c r="AL477" t="s">
        <v>42</v>
      </c>
      <c r="AM477" t="str">
        <f>IF(Transaction[[#This Row],[ContractType]]="","Missing Value",Transaction[[#This Row],[ContractType]])</f>
        <v>Standard PO</v>
      </c>
      <c r="AN477" t="s">
        <v>35</v>
      </c>
    </row>
    <row r="478" spans="1:40" x14ac:dyDescent="0.25">
      <c r="A478" t="s">
        <v>2386</v>
      </c>
      <c r="B478" s="1">
        <v>45834</v>
      </c>
      <c r="C47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47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47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78" s="2">
        <f>IFERROR(DATE(Transaction[[#This Row],[TransactionDateY]],Transaction[[#This Row],[TransactionDateM]],Transaction[[#This Row],[TransactionDateD]]),"Missing Value")</f>
        <v>45834</v>
      </c>
      <c r="G478" t="s">
        <v>1154</v>
      </c>
      <c r="H478" t="str">
        <f>IFERROR(VLOOKUP(Transaction[[#This Row],[CustomerID]],Custumer[],1,0),IF(LEN(Transaction[[#This Row],[CustomerID]])=7,LEFT(Transaction[[#This Row],[CustomerID]],6),"Invalid ID"))</f>
        <v>C-1014</v>
      </c>
      <c r="I478" t="s">
        <v>226</v>
      </c>
      <c r="J478" t="str">
        <f>TRIM(UPPER(Transaction[[#This Row],[ProductID]]))</f>
        <v>P-SA-002</v>
      </c>
      <c r="K478" t="str">
        <f>IFERROR(VLOOKUP(Transaction[[#This Row],[ProductID_Clean]],Product[],1,FALSE),"Invalid ID")</f>
        <v>P-SA-002</v>
      </c>
      <c r="L478" t="str">
        <f>TRIM(SUBSTITUTE(SUBSTITUTE(SUBSTITUTE(SUBSTITUTE(UPPER(Transaction[[#This Row],[Region]]),"EMEA REGION","EMEA"),"APAC REGION","APAC"),"NORTH AMERICA","N. AMERICA"),"N .AMERICA","N.AMERICA"))</f>
        <v>N. AMERICA</v>
      </c>
      <c r="M478" t="s">
        <v>20</v>
      </c>
      <c r="N478" t="s">
        <v>31</v>
      </c>
      <c r="O47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478" t="s">
        <v>22</v>
      </c>
      <c r="Q478" t="str">
        <f>IF(TRIM(Transaction[[#This Row],[SalesChannel]])="","Missing Value",TRIM(Transaction[[#This Row],[SalesChannel]]))</f>
        <v>Direct</v>
      </c>
      <c r="R478" s="4">
        <v>3</v>
      </c>
      <c r="S478" s="4" t="str">
        <f>IF(Transaction[[#This Row],[Quantity]]&lt;0,"Negative-review","Valid")</f>
        <v>Valid</v>
      </c>
      <c r="T478">
        <v>9379.24</v>
      </c>
      <c r="U47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9379.24</v>
      </c>
      <c r="V478">
        <v>9800</v>
      </c>
      <c r="W478">
        <v>29400</v>
      </c>
      <c r="X47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29400</v>
      </c>
      <c r="Y478">
        <f>IF(Transaction[[#This Row],[GrossRevenue_Check]]="Invalid",Transaction[[#This Row],[ListPrice]]*Transaction[[#This Row],[Quantity]],Transaction[[#This Row],[GrossRevenue_Clean]])</f>
        <v>29400</v>
      </c>
      <c r="Z478" t="str">
        <f>IF(Transaction[[#This Row],[GrossRevenue_Clean]]=Transaction[[#This Row],[ListPrice]]*Transaction[[#This Row],[Quantity]],"Valid","Invalid")</f>
        <v>Valid</v>
      </c>
      <c r="AA478">
        <v>1262.28</v>
      </c>
      <c r="AB47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1262.28</v>
      </c>
      <c r="AC478">
        <f>IF(Transaction[[#This Row],[DiscountAmount_Check2]]="Invalid",Transaction[[#This Row],[GrossRevenue_Analytical]]-Transaction[[#This Row],[NetRevenue_Analytical]],Transaction[[#This Row],[DiscountAmount_Clean]])</f>
        <v>1262.28</v>
      </c>
      <c r="AD478">
        <v>28137.72</v>
      </c>
      <c r="AE478" t="str">
        <f>IF(ROUND(Transaction[[#This Row],[GrossRevenue_Analytical]]-Transaction[[#This Row],[NetRevenue_Analytical]],2)=ROUND(Transaction[[#This Row],[DiscountAmount_Clean]],2),"Valid","Invalid")</f>
        <v>Valid</v>
      </c>
      <c r="AF47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28137.72</v>
      </c>
      <c r="AG478">
        <f>IF(Transaction[[#This Row],[NetRevenue_Check]]="Invalid",(Transaction[[#This Row],[Quantity]]*Transaction[[#This Row],[UnitPrice_Clean]]),Transaction[[#This Row],[NetRevenue_Clean]])</f>
        <v>28137.72</v>
      </c>
      <c r="AH478" t="str">
        <f>IF(Transaction[[#This Row],[Quantity]]*Transaction[[#This Row],[UnitPrice_Clean]]=Transaction[[#This Row],[NetRevenue_Clean]],"Valid","Invalid")</f>
        <v>Valid</v>
      </c>
      <c r="AI478" t="s">
        <v>23</v>
      </c>
      <c r="AJ478" t="s">
        <v>430</v>
      </c>
      <c r="AK478" t="str">
        <f>IF(Transaction[[#This Row],[Salesperson]]="","Missing Value",TRIM(PROPER(Transaction[[#This Row],[Salesperson]])))</f>
        <v>Anderson</v>
      </c>
      <c r="AL478" t="s">
        <v>113</v>
      </c>
      <c r="AM478" t="str">
        <f>IF(Transaction[[#This Row],[ContractType]]="","Missing Value",Transaction[[#This Row],[ContractType]])</f>
        <v>Subscription</v>
      </c>
      <c r="AN478" t="s">
        <v>35</v>
      </c>
    </row>
    <row r="479" spans="1:40" x14ac:dyDescent="0.25">
      <c r="A479" t="s">
        <v>1844</v>
      </c>
      <c r="B479" s="1">
        <v>45728</v>
      </c>
      <c r="C47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47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47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79" s="2">
        <f>IFERROR(DATE(Transaction[[#This Row],[TransactionDateY]],Transaction[[#This Row],[TransactionDateM]],Transaction[[#This Row],[TransactionDateD]]),"Missing Value")</f>
        <v>45728</v>
      </c>
      <c r="G479" t="s">
        <v>1492</v>
      </c>
      <c r="H479" t="str">
        <f>IFERROR(VLOOKUP(Transaction[[#This Row],[CustomerID]],Custumer[],1,0),IF(LEN(Transaction[[#This Row],[CustomerID]])=7,LEFT(Transaction[[#This Row],[CustomerID]],6),"Invalid ID"))</f>
        <v>C-1090</v>
      </c>
      <c r="I479" t="s">
        <v>97</v>
      </c>
      <c r="J479" t="str">
        <f>TRIM(UPPER(Transaction[[#This Row],[ProductID]]))</f>
        <v>P-SI-001</v>
      </c>
      <c r="K479" t="str">
        <f>IFERROR(VLOOKUP(Transaction[[#This Row],[ProductID_Clean]],Product[],1,FALSE),"Invalid ID")</f>
        <v>P-SI-001</v>
      </c>
      <c r="L479" t="str">
        <f>TRIM(SUBSTITUTE(SUBSTITUTE(SUBSTITUTE(SUBSTITUTE(UPPER(Transaction[[#This Row],[Region]]),"EMEA REGION","EMEA"),"APAC REGION","APAC"),"NORTH AMERICA","N. AMERICA"),"N .AMERICA","N.AMERICA"))</f>
        <v>LATIN AMERICA</v>
      </c>
      <c r="M479" t="s">
        <v>82</v>
      </c>
      <c r="N479" t="s">
        <v>53</v>
      </c>
      <c r="O47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79" t="s">
        <v>181</v>
      </c>
      <c r="Q479" t="str">
        <f>IF(TRIM(Transaction[[#This Row],[SalesChannel]])="","Missing Value",TRIM(Transaction[[#This Row],[SalesChannel]]))</f>
        <v>Partner Portal</v>
      </c>
      <c r="R479" s="4">
        <v>1</v>
      </c>
      <c r="S479" s="4" t="str">
        <f>IF(Transaction[[#This Row],[Quantity]]&lt;0,"Negative-review","Valid")</f>
        <v>Valid</v>
      </c>
      <c r="T479">
        <v>24.25</v>
      </c>
      <c r="U47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24.25</v>
      </c>
      <c r="V479">
        <v>485</v>
      </c>
      <c r="W479">
        <v>485</v>
      </c>
      <c r="X47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479">
        <f>IF(Transaction[[#This Row],[GrossRevenue_Check]]="Invalid",Transaction[[#This Row],[ListPrice]]*Transaction[[#This Row],[Quantity]],Transaction[[#This Row],[GrossRevenue_Clean]])</f>
        <v>485</v>
      </c>
      <c r="Z479" t="str">
        <f>IF(Transaction[[#This Row],[GrossRevenue_Clean]]=Transaction[[#This Row],[ListPrice]]*Transaction[[#This Row],[Quantity]],"Valid","Invalid")</f>
        <v>Valid</v>
      </c>
      <c r="AA479">
        <v>62.01</v>
      </c>
      <c r="AB47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62.01</v>
      </c>
      <c r="AC479">
        <f>IF(Transaction[[#This Row],[DiscountAmount_Check2]]="Invalid",Transaction[[#This Row],[GrossRevenue_Analytical]]-Transaction[[#This Row],[NetRevenue_Analytical]],Transaction[[#This Row],[DiscountAmount_Clean]])</f>
        <v>460.75</v>
      </c>
      <c r="AD479">
        <v>422.99</v>
      </c>
      <c r="AE479" t="str">
        <f>IF(ROUND(Transaction[[#This Row],[GrossRevenue_Analytical]]-Transaction[[#This Row],[NetRevenue_Analytical]],2)=ROUND(Transaction[[#This Row],[DiscountAmount_Clean]],2),"Valid","Invalid")</f>
        <v>Invalid</v>
      </c>
      <c r="AF479">
        <f>VALUE(IF(ISNUMBER(Transaction[[#This Row],[NetRevenue]]),Transaction[[#This Row],[NetRevenue]],IFERROR(IF(FIND("$",Transaction[[#This Row],[NetRevenue]])&gt;0,MID(Transaction[[#This Row],[NetRevenue]],2,10)),Transaction[[#This Row],[NetRevenue]])))</f>
        <v>422.99</v>
      </c>
      <c r="AG479">
        <f>IF(Transaction[[#This Row],[NetRevenue_Check]]="Invalid",(Transaction[[#This Row],[Quantity]]*Transaction[[#This Row],[UnitPrice_Clean]]),Transaction[[#This Row],[NetRevenue_Clean]])</f>
        <v>24.25</v>
      </c>
      <c r="AH479" t="str">
        <f>IF(Transaction[[#This Row],[Quantity]]*Transaction[[#This Row],[UnitPrice_Clean]]=Transaction[[#This Row],[NetRevenue_Clean]],"Valid","Invalid")</f>
        <v>Invalid</v>
      </c>
      <c r="AI479" t="s">
        <v>23</v>
      </c>
      <c r="AJ479" t="s">
        <v>1845</v>
      </c>
      <c r="AK479" t="str">
        <f>IF(Transaction[[#This Row],[Salesperson]]="","Missing Value",TRIM(PROPER(Transaction[[#This Row],[Salesperson]])))</f>
        <v>Lee-Na</v>
      </c>
      <c r="AL479" t="s">
        <v>42</v>
      </c>
      <c r="AM479" t="str">
        <f>IF(Transaction[[#This Row],[ContractType]]="","Missing Value",Transaction[[#This Row],[ContractType]])</f>
        <v>Standard PO</v>
      </c>
      <c r="AN479" t="s">
        <v>65</v>
      </c>
    </row>
    <row r="480" spans="1:40" x14ac:dyDescent="0.25">
      <c r="A480" t="s">
        <v>1880</v>
      </c>
      <c r="B480" t="s">
        <v>310</v>
      </c>
      <c r="C48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48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04</v>
      </c>
      <c r="E48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80" s="2">
        <f>IFERROR(DATE(Transaction[[#This Row],[TransactionDateY]],Transaction[[#This Row],[TransactionDateM]],Transaction[[#This Row],[TransactionDateD]]),"Missing Value")</f>
        <v>45720</v>
      </c>
      <c r="G480" t="s">
        <v>423</v>
      </c>
      <c r="H480" t="str">
        <f>IFERROR(VLOOKUP(Transaction[[#This Row],[CustomerID]],Custumer[],1,0),IF(LEN(Transaction[[#This Row],[CustomerID]])=7,LEFT(Transaction[[#This Row],[CustomerID]],6),"Invalid ID"))</f>
        <v>C-1121</v>
      </c>
      <c r="I480" t="s">
        <v>62</v>
      </c>
      <c r="J480" t="str">
        <f>TRIM(UPPER(Transaction[[#This Row],[ProductID]]))</f>
        <v>P-SI-004</v>
      </c>
      <c r="K480" t="str">
        <f>IFERROR(VLOOKUP(Transaction[[#This Row],[ProductID_Clean]],Product[],1,FALSE),"Invalid ID")</f>
        <v>P-SI-004</v>
      </c>
      <c r="L480" t="str">
        <f>TRIM(SUBSTITUTE(SUBSTITUTE(SUBSTITUTE(SUBSTITUTE(UPPER(Transaction[[#This Row],[Region]]),"EMEA REGION","EMEA"),"APAC REGION","APAC"),"NORTH AMERICA","N. AMERICA"),"N .AMERICA","N.AMERICA"))</f>
        <v>N. AMERICA</v>
      </c>
      <c r="M480" t="s">
        <v>20</v>
      </c>
      <c r="N480" t="s">
        <v>53</v>
      </c>
      <c r="O48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80" t="s">
        <v>22</v>
      </c>
      <c r="Q480" t="str">
        <f>IF(TRIM(Transaction[[#This Row],[SalesChannel]])="","Missing Value",TRIM(Transaction[[#This Row],[SalesChannel]]))</f>
        <v>Direct</v>
      </c>
      <c r="R480" s="4">
        <v>1</v>
      </c>
      <c r="S480" s="4" t="str">
        <f>IF(Transaction[[#This Row],[Quantity]]&lt;0,"Negative-review","Valid")</f>
        <v>Valid</v>
      </c>
      <c r="T480">
        <v>2118.67</v>
      </c>
      <c r="U48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2118.67</v>
      </c>
      <c r="V480">
        <v>2450</v>
      </c>
      <c r="W480">
        <v>2450</v>
      </c>
      <c r="X48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480">
        <f>IF(Transaction[[#This Row],[GrossRevenue_Check]]="Invalid",Transaction[[#This Row],[ListPrice]]*Transaction[[#This Row],[Quantity]],Transaction[[#This Row],[GrossRevenue_Clean]])</f>
        <v>2450</v>
      </c>
      <c r="Z480" t="str">
        <f>IF(Transaction[[#This Row],[GrossRevenue_Clean]]=Transaction[[#This Row],[ListPrice]]*Transaction[[#This Row],[Quantity]],"Valid","Invalid")</f>
        <v>Valid</v>
      </c>
      <c r="AA480">
        <v>331.33</v>
      </c>
      <c r="AB48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331.33</v>
      </c>
      <c r="AC480">
        <f>IF(Transaction[[#This Row],[DiscountAmount_Check2]]="Invalid",Transaction[[#This Row],[GrossRevenue_Analytical]]-Transaction[[#This Row],[NetRevenue_Analytical]],Transaction[[#This Row],[DiscountAmount_Clean]])</f>
        <v>331.33</v>
      </c>
      <c r="AD480">
        <v>2118.67</v>
      </c>
      <c r="AE480" t="str">
        <f>IF(ROUND(Transaction[[#This Row],[GrossRevenue_Analytical]]-Transaction[[#This Row],[NetRevenue_Analytical]],2)=ROUND(Transaction[[#This Row],[DiscountAmount_Clean]],2),"Valid","Invalid")</f>
        <v>Valid</v>
      </c>
      <c r="AF48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2118.67</v>
      </c>
      <c r="AG480">
        <f>IF(Transaction[[#This Row],[NetRevenue_Check]]="Invalid",(Transaction[[#This Row],[Quantity]]*Transaction[[#This Row],[UnitPrice_Clean]]),Transaction[[#This Row],[NetRevenue_Clean]])</f>
        <v>2118.67</v>
      </c>
      <c r="AH480" t="str">
        <f>IF(Transaction[[#This Row],[Quantity]]*Transaction[[#This Row],[UnitPrice_Clean]]=Transaction[[#This Row],[NetRevenue_Clean]],"Valid","Invalid")</f>
        <v>Valid</v>
      </c>
      <c r="AI480" t="s">
        <v>23</v>
      </c>
      <c r="AJ480" t="s">
        <v>1881</v>
      </c>
      <c r="AK480" t="str">
        <f>IF(Transaction[[#This Row],[Salesperson]]="","Missing Value",TRIM(PROPER(Transaction[[#This Row],[Salesperson]])))</f>
        <v>Arnold-Na</v>
      </c>
      <c r="AL480" t="s">
        <v>25</v>
      </c>
      <c r="AM480" t="str">
        <f>IF(Transaction[[#This Row],[ContractType]]="","Missing Value",Transaction[[#This Row],[ContractType]])</f>
        <v>Frame Agreement</v>
      </c>
      <c r="AN480" t="s">
        <v>49</v>
      </c>
    </row>
    <row r="481" spans="1:40" x14ac:dyDescent="0.25">
      <c r="A481" t="s">
        <v>2592</v>
      </c>
      <c r="B481" s="1">
        <v>45808</v>
      </c>
      <c r="C48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48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31</v>
      </c>
      <c r="E48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81" s="2">
        <f>IFERROR(DATE(Transaction[[#This Row],[TransactionDateY]],Transaction[[#This Row],[TransactionDateM]],Transaction[[#This Row],[TransactionDateD]]),"Missing Value")</f>
        <v>45808</v>
      </c>
      <c r="G481" t="s">
        <v>1689</v>
      </c>
      <c r="H481" t="str">
        <f>IFERROR(VLOOKUP(Transaction[[#This Row],[CustomerID]],Custumer[],1,0),IF(LEN(Transaction[[#This Row],[CustomerID]])=7,LEFT(Transaction[[#This Row],[CustomerID]],6),"Invalid ID"))</f>
        <v>Invalid ID</v>
      </c>
      <c r="I481" t="s">
        <v>46</v>
      </c>
      <c r="J481" t="str">
        <f>TRIM(UPPER(Transaction[[#This Row],[ProductID]]))</f>
        <v>P-SI-006</v>
      </c>
      <c r="K481" t="str">
        <f>IFERROR(VLOOKUP(Transaction[[#This Row],[ProductID_Clean]],Product[],1,FALSE),"Invalid ID")</f>
        <v>P-SI-006</v>
      </c>
      <c r="L481" t="str">
        <f>TRIM(SUBSTITUTE(SUBSTITUTE(SUBSTITUTE(SUBSTITUTE(UPPER(Transaction[[#This Row],[Region]]),"EMEA REGION","EMEA"),"APAC REGION","APAC"),"NORTH AMERICA","N. AMERICA"),"N .AMERICA","N.AMERICA"))</f>
        <v>N. AMERICA</v>
      </c>
      <c r="M481" t="s">
        <v>20</v>
      </c>
      <c r="N481" t="s">
        <v>47</v>
      </c>
      <c r="O48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81" t="s">
        <v>22</v>
      </c>
      <c r="Q481" t="str">
        <f>IF(TRIM(Transaction[[#This Row],[SalesChannel]])="","Missing Value",TRIM(Transaction[[#This Row],[SalesChannel]]))</f>
        <v>Direct</v>
      </c>
      <c r="R481" s="4">
        <v>1</v>
      </c>
      <c r="S481" s="4" t="str">
        <f>IF(Transaction[[#This Row],[Quantity]]&lt;0,"Negative-review","Valid")</f>
        <v>Valid</v>
      </c>
      <c r="T481">
        <v>157.86000000000001</v>
      </c>
      <c r="U48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157.86000000000001</v>
      </c>
      <c r="V481">
        <v>215</v>
      </c>
      <c r="W481">
        <v>215</v>
      </c>
      <c r="X48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481">
        <f>IF(Transaction[[#This Row],[GrossRevenue_Check]]="Invalid",Transaction[[#This Row],[ListPrice]]*Transaction[[#This Row],[Quantity]],Transaction[[#This Row],[GrossRevenue_Clean]])</f>
        <v>215</v>
      </c>
      <c r="Z481" t="str">
        <f>IF(Transaction[[#This Row],[GrossRevenue_Clean]]=Transaction[[#This Row],[ListPrice]]*Transaction[[#This Row],[Quantity]],"Valid","Invalid")</f>
        <v>Valid</v>
      </c>
      <c r="AA481">
        <v>57.14</v>
      </c>
      <c r="AB48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57.14</v>
      </c>
      <c r="AC481">
        <f>IF(Transaction[[#This Row],[DiscountAmount_Check2]]="Invalid",Transaction[[#This Row],[GrossRevenue_Analytical]]-Transaction[[#This Row],[NetRevenue_Analytical]],Transaction[[#This Row],[DiscountAmount_Clean]])</f>
        <v>57.14</v>
      </c>
      <c r="AD481">
        <v>157.86000000000001</v>
      </c>
      <c r="AE481" t="str">
        <f>IF(ROUND(Transaction[[#This Row],[GrossRevenue_Analytical]]-Transaction[[#This Row],[NetRevenue_Analytical]],2)=ROUND(Transaction[[#This Row],[DiscountAmount_Clean]],2),"Valid","Invalid")</f>
        <v>Valid</v>
      </c>
      <c r="AF48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157.86000000000001</v>
      </c>
      <c r="AG481">
        <f>IF(Transaction[[#This Row],[NetRevenue_Check]]="Invalid",(Transaction[[#This Row],[Quantity]]*Transaction[[#This Row],[UnitPrice_Clean]]),Transaction[[#This Row],[NetRevenue_Clean]])</f>
        <v>157.86000000000001</v>
      </c>
      <c r="AH481" t="str">
        <f>IF(Transaction[[#This Row],[Quantity]]*Transaction[[#This Row],[UnitPrice_Clean]]=Transaction[[#This Row],[NetRevenue_Clean]],"Valid","Invalid")</f>
        <v>Valid</v>
      </c>
      <c r="AI481" t="s">
        <v>23</v>
      </c>
      <c r="AJ481" t="s">
        <v>2593</v>
      </c>
      <c r="AK481" t="str">
        <f>IF(Transaction[[#This Row],[Salesperson]]="","Missing Value",TRIM(PROPER(Transaction[[#This Row],[Salesperson]])))</f>
        <v>Matthews</v>
      </c>
      <c r="AL481" t="s">
        <v>25</v>
      </c>
      <c r="AM481" t="str">
        <f>IF(Transaction[[#This Row],[ContractType]]="","Missing Value",Transaction[[#This Row],[ContractType]])</f>
        <v>Frame Agreement</v>
      </c>
      <c r="AN481" t="s">
        <v>43</v>
      </c>
    </row>
    <row r="482" spans="1:40" x14ac:dyDescent="0.25">
      <c r="A482" t="s">
        <v>282</v>
      </c>
      <c r="B482" t="s">
        <v>283</v>
      </c>
      <c r="C48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48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48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82" s="2">
        <f>IFERROR(DATE(Transaction[[#This Row],[TransactionDateY]],Transaction[[#This Row],[TransactionDateM]],Transaction[[#This Row],[TransactionDateD]]),"Missing Value")</f>
        <v>45759</v>
      </c>
      <c r="G482" t="s">
        <v>284</v>
      </c>
      <c r="H482" t="str">
        <f>IFERROR(VLOOKUP(Transaction[[#This Row],[CustomerID]],Custumer[],1,0),IF(LEN(Transaction[[#This Row],[CustomerID]])=7,LEFT(Transaction[[#This Row],[CustomerID]],6),"Invalid ID"))</f>
        <v>C-1101</v>
      </c>
      <c r="I482" t="s">
        <v>285</v>
      </c>
      <c r="J482" t="str">
        <f>TRIM(UPPER(Transaction[[#This Row],[ProductID]]))</f>
        <v>P-SI-001</v>
      </c>
      <c r="K482" t="str">
        <f>IFERROR(VLOOKUP(Transaction[[#This Row],[ProductID_Clean]],Product[],1,FALSE),"Invalid ID")</f>
        <v>P-SI-001</v>
      </c>
      <c r="L482" t="str">
        <f>TRIM(SUBSTITUTE(SUBSTITUTE(SUBSTITUTE(SUBSTITUTE(UPPER(Transaction[[#This Row],[Region]]),"EMEA REGION","EMEA"),"APAC REGION","APAC"),"NORTH AMERICA","N. AMERICA"),"N .AMERICA","N.AMERICA"))</f>
        <v>EMEA</v>
      </c>
      <c r="M482" t="s">
        <v>76</v>
      </c>
      <c r="N482" t="s">
        <v>47</v>
      </c>
      <c r="O48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82" t="s">
        <v>40</v>
      </c>
      <c r="Q482" t="str">
        <f>IF(TRIM(Transaction[[#This Row],[SalesChannel]])="","Missing Value",TRIM(Transaction[[#This Row],[SalesChannel]]))</f>
        <v>Distributor</v>
      </c>
      <c r="R482" s="4">
        <v>1</v>
      </c>
      <c r="S482" s="4" t="str">
        <f>IF(Transaction[[#This Row],[Quantity]]&lt;0,"Negative-review","Valid")</f>
        <v>Valid</v>
      </c>
      <c r="T482">
        <v>378.46</v>
      </c>
      <c r="U48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378.46</v>
      </c>
      <c r="V482">
        <v>485</v>
      </c>
      <c r="W482">
        <v>485</v>
      </c>
      <c r="X48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482">
        <f>IF(Transaction[[#This Row],[GrossRevenue_Check]]="Invalid",Transaction[[#This Row],[ListPrice]]*Transaction[[#This Row],[Quantity]],Transaction[[#This Row],[GrossRevenue_Clean]])</f>
        <v>485</v>
      </c>
      <c r="Z482" t="str">
        <f>IF(Transaction[[#This Row],[GrossRevenue_Clean]]=Transaction[[#This Row],[ListPrice]]*Transaction[[#This Row],[Quantity]],"Valid","Invalid")</f>
        <v>Valid</v>
      </c>
      <c r="AA482" t="s">
        <v>286</v>
      </c>
      <c r="AB48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106.54</v>
      </c>
      <c r="AC482">
        <f>IF(Transaction[[#This Row],[DiscountAmount_Check2]]="Invalid",Transaction[[#This Row],[GrossRevenue_Analytical]]-Transaction[[#This Row],[NetRevenue_Analytical]],Transaction[[#This Row],[DiscountAmount_Clean]])</f>
        <v>106.54</v>
      </c>
      <c r="AD482">
        <v>378.46</v>
      </c>
      <c r="AE482" t="str">
        <f>IF(ROUND(Transaction[[#This Row],[GrossRevenue_Analytical]]-Transaction[[#This Row],[NetRevenue_Analytical]],2)=ROUND(Transaction[[#This Row],[DiscountAmount_Clean]],2),"Valid","Invalid")</f>
        <v>Valid</v>
      </c>
      <c r="AF482">
        <f>VALUE(IF(ISNUMBER(Transaction[[#This Row],[NetRevenue]]),Transaction[[#This Row],[NetRevenue]],IFERROR(IF(FIND("$",Transaction[[#This Row],[NetRevenue]])&gt;0,MID(Transaction[[#This Row],[NetRevenue]],2,10)),Transaction[[#This Row],[NetRevenue]])))</f>
        <v>378.46</v>
      </c>
      <c r="AG482">
        <f>IF(Transaction[[#This Row],[NetRevenue_Check]]="Invalid",(Transaction[[#This Row],[Quantity]]*Transaction[[#This Row],[UnitPrice_Clean]]),Transaction[[#This Row],[NetRevenue_Clean]])</f>
        <v>378.46</v>
      </c>
      <c r="AH482" t="str">
        <f>IF(Transaction[[#This Row],[Quantity]]*Transaction[[#This Row],[UnitPrice_Clean]]=Transaction[[#This Row],[NetRevenue_Clean]],"Valid","Invalid")</f>
        <v>Valid</v>
      </c>
      <c r="AI482" t="s">
        <v>99</v>
      </c>
      <c r="AJ482" t="s">
        <v>287</v>
      </c>
      <c r="AK482" t="str">
        <f>IF(Transaction[[#This Row],[Salesperson]]="","Missing Value",TRIM(PROPER(Transaction[[#This Row],[Salesperson]])))</f>
        <v>Saunders</v>
      </c>
      <c r="AL482" t="s">
        <v>42</v>
      </c>
      <c r="AM482" t="str">
        <f>IF(Transaction[[#This Row],[ContractType]]="","Missing Value",Transaction[[#This Row],[ContractType]])</f>
        <v>Standard PO</v>
      </c>
      <c r="AN482" t="s">
        <v>35</v>
      </c>
    </row>
    <row r="483" spans="1:40" x14ac:dyDescent="0.25">
      <c r="A483" t="s">
        <v>937</v>
      </c>
      <c r="C48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48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48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483" s="2" t="str">
        <f>IFERROR(DATE(Transaction[[#This Row],[TransactionDateY]],Transaction[[#This Row],[TransactionDateM]],Transaction[[#This Row],[TransactionDateD]]),"Missing Value")</f>
        <v>Missing Value</v>
      </c>
      <c r="G483" t="s">
        <v>200</v>
      </c>
      <c r="H483" t="str">
        <f>IFERROR(VLOOKUP(Transaction[[#This Row],[CustomerID]],Custumer[],1,0),IF(LEN(Transaction[[#This Row],[CustomerID]])=7,LEFT(Transaction[[#This Row],[CustomerID]],6),"Invalid ID"))</f>
        <v>C-1070</v>
      </c>
      <c r="I483" t="s">
        <v>121</v>
      </c>
      <c r="J483" t="str">
        <f>TRIM(UPPER(Transaction[[#This Row],[ProductID]]))</f>
        <v>P-FS-001</v>
      </c>
      <c r="K483" t="str">
        <f>IFERROR(VLOOKUP(Transaction[[#This Row],[ProductID_Clean]],Product[],1,FALSE),"Invalid ID")</f>
        <v>P-FS-001</v>
      </c>
      <c r="L483" t="str">
        <f>TRIM(SUBSTITUTE(SUBSTITUTE(SUBSTITUTE(SUBSTITUTE(UPPER(Transaction[[#This Row],[Region]]),"EMEA REGION","EMEA"),"APAC REGION","APAC"),"NORTH AMERICA","N. AMERICA"),"N .AMERICA","N.AMERICA"))</f>
        <v>EMEA</v>
      </c>
      <c r="M483" t="s">
        <v>76</v>
      </c>
      <c r="N483" t="s">
        <v>244</v>
      </c>
      <c r="O48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483" t="s">
        <v>40</v>
      </c>
      <c r="Q483" t="str">
        <f>IF(TRIM(Transaction[[#This Row],[SalesChannel]])="","Missing Value",TRIM(Transaction[[#This Row],[SalesChannel]]))</f>
        <v>Distributor</v>
      </c>
      <c r="R483" s="4">
        <v>1</v>
      </c>
      <c r="S483" s="4" t="str">
        <f>IF(Transaction[[#This Row],[Quantity]]&lt;0,"Negative-review","Valid")</f>
        <v>Valid</v>
      </c>
      <c r="T483">
        <v>1195.93</v>
      </c>
      <c r="U48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1195.93</v>
      </c>
      <c r="V483">
        <v>1850</v>
      </c>
      <c r="W483">
        <v>1850</v>
      </c>
      <c r="X48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483">
        <f>IF(Transaction[[#This Row],[GrossRevenue_Check]]="Invalid",Transaction[[#This Row],[ListPrice]]*Transaction[[#This Row],[Quantity]],Transaction[[#This Row],[GrossRevenue_Clean]])</f>
        <v>1850</v>
      </c>
      <c r="Z483" t="str">
        <f>IF(Transaction[[#This Row],[GrossRevenue_Clean]]=Transaction[[#This Row],[ListPrice]]*Transaction[[#This Row],[Quantity]],"Valid","Invalid")</f>
        <v>Valid</v>
      </c>
      <c r="AA483">
        <v>654.07000000000005</v>
      </c>
      <c r="AB48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654.07000000000005</v>
      </c>
      <c r="AC483">
        <f>IF(Transaction[[#This Row],[DiscountAmount_Check2]]="Invalid",Transaction[[#This Row],[GrossRevenue_Analytical]]-Transaction[[#This Row],[NetRevenue_Analytical]],Transaction[[#This Row],[DiscountAmount_Clean]])</f>
        <v>654.07000000000005</v>
      </c>
      <c r="AD483">
        <v>1195.93</v>
      </c>
      <c r="AE483" t="str">
        <f>IF(ROUND(Transaction[[#This Row],[GrossRevenue_Analytical]]-Transaction[[#This Row],[NetRevenue_Analytical]],2)=ROUND(Transaction[[#This Row],[DiscountAmount_Clean]],2),"Valid","Invalid")</f>
        <v>Valid</v>
      </c>
      <c r="AF48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1195.93</v>
      </c>
      <c r="AG483">
        <f>IF(Transaction[[#This Row],[NetRevenue_Check]]="Invalid",(Transaction[[#This Row],[Quantity]]*Transaction[[#This Row],[UnitPrice_Clean]]),Transaction[[#This Row],[NetRevenue_Clean]])</f>
        <v>1195.93</v>
      </c>
      <c r="AH483" t="str">
        <f>IF(Transaction[[#This Row],[Quantity]]*Transaction[[#This Row],[UnitPrice_Clean]]=Transaction[[#This Row],[NetRevenue_Clean]],"Valid","Invalid")</f>
        <v>Valid</v>
      </c>
      <c r="AI483" t="s">
        <v>23</v>
      </c>
      <c r="AJ483" t="s">
        <v>938</v>
      </c>
      <c r="AK483" t="str">
        <f>IF(Transaction[[#This Row],[Salesperson]]="","Missing Value",TRIM(PROPER(Transaction[[#This Row],[Salesperson]])))</f>
        <v>Anderson</v>
      </c>
      <c r="AM483" t="str">
        <f>IF(Transaction[[#This Row],[ContractType]]="","Missing Value",Transaction[[#This Row],[ContractType]])</f>
        <v>Missing Value</v>
      </c>
      <c r="AN483" t="s">
        <v>35</v>
      </c>
    </row>
    <row r="484" spans="1:40" x14ac:dyDescent="0.25">
      <c r="A484" t="s">
        <v>834</v>
      </c>
      <c r="B484" s="1">
        <v>45677</v>
      </c>
      <c r="C48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48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48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84" s="2">
        <f>IFERROR(DATE(Transaction[[#This Row],[TransactionDateY]],Transaction[[#This Row],[TransactionDateM]],Transaction[[#This Row],[TransactionDateD]]),"Missing Value")</f>
        <v>45677</v>
      </c>
      <c r="G484" t="s">
        <v>186</v>
      </c>
      <c r="H484" t="str">
        <f>IFERROR(VLOOKUP(Transaction[[#This Row],[CustomerID]],Custumer[],1,0),IF(LEN(Transaction[[#This Row],[CustomerID]])=7,LEFT(Transaction[[#This Row],[CustomerID]],6),"Invalid ID"))</f>
        <v>C-1063</v>
      </c>
      <c r="I484" t="s">
        <v>226</v>
      </c>
      <c r="J484" t="str">
        <f>TRIM(UPPER(Transaction[[#This Row],[ProductID]]))</f>
        <v>P-SA-002</v>
      </c>
      <c r="K484" t="str">
        <f>IFERROR(VLOOKUP(Transaction[[#This Row],[ProductID_Clean]],Product[],1,FALSE),"Invalid ID")</f>
        <v>P-SA-002</v>
      </c>
      <c r="L484" t="str">
        <f>TRIM(SUBSTITUTE(SUBSTITUTE(SUBSTITUTE(SUBSTITUTE(UPPER(Transaction[[#This Row],[Region]]),"EMEA REGION","EMEA"),"APAC REGION","APAC"),"NORTH AMERICA","N. AMERICA"),"N .AMERICA","N.AMERICA"))</f>
        <v>N. AMERICA</v>
      </c>
      <c r="M484" t="s">
        <v>20</v>
      </c>
      <c r="N484" t="s">
        <v>31</v>
      </c>
      <c r="O48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484" t="s">
        <v>22</v>
      </c>
      <c r="Q484" t="str">
        <f>IF(TRIM(Transaction[[#This Row],[SalesChannel]])="","Missing Value",TRIM(Transaction[[#This Row],[SalesChannel]]))</f>
        <v>Direct</v>
      </c>
      <c r="R484" s="4">
        <v>1</v>
      </c>
      <c r="S484" s="4" t="str">
        <f>IF(Transaction[[#This Row],[Quantity]]&lt;0,"Negative-review","Valid")</f>
        <v>Valid</v>
      </c>
      <c r="T484">
        <v>7833.13</v>
      </c>
      <c r="U48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7833.13</v>
      </c>
      <c r="V484">
        <v>9800</v>
      </c>
      <c r="W484">
        <v>9800</v>
      </c>
      <c r="X48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484">
        <f>IF(Transaction[[#This Row],[GrossRevenue_Check]]="Invalid",Transaction[[#This Row],[ListPrice]]*Transaction[[#This Row],[Quantity]],Transaction[[#This Row],[GrossRevenue_Clean]])</f>
        <v>9800</v>
      </c>
      <c r="Z484" t="str">
        <f>IF(Transaction[[#This Row],[GrossRevenue_Clean]]=Transaction[[#This Row],[ListPrice]]*Transaction[[#This Row],[Quantity]],"Valid","Invalid")</f>
        <v>Valid</v>
      </c>
      <c r="AA484">
        <v>1966.87</v>
      </c>
      <c r="AB48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1966.87</v>
      </c>
      <c r="AC484">
        <f>IF(Transaction[[#This Row],[DiscountAmount_Check2]]="Invalid",Transaction[[#This Row],[GrossRevenue_Analytical]]-Transaction[[#This Row],[NetRevenue_Analytical]],Transaction[[#This Row],[DiscountAmount_Clean]])</f>
        <v>1966.87</v>
      </c>
      <c r="AD484">
        <v>7833.13</v>
      </c>
      <c r="AE484" t="str">
        <f>IF(ROUND(Transaction[[#This Row],[GrossRevenue_Analytical]]-Transaction[[#This Row],[NetRevenue_Analytical]],2)=ROUND(Transaction[[#This Row],[DiscountAmount_Clean]],2),"Valid","Invalid")</f>
        <v>Valid</v>
      </c>
      <c r="AF484">
        <f>VALUE(IF(ISNUMBER(Transaction[[#This Row],[NetRevenue]]),Transaction[[#This Row],[NetRevenue]],IFERROR(IF(FIND("$",Transaction[[#This Row],[NetRevenue]])&gt;0,MID(Transaction[[#This Row],[NetRevenue]],2,10)),Transaction[[#This Row],[NetRevenue]])))</f>
        <v>7833.13</v>
      </c>
      <c r="AG484">
        <f>IF(Transaction[[#This Row],[NetRevenue_Check]]="Invalid",(Transaction[[#This Row],[Quantity]]*Transaction[[#This Row],[UnitPrice_Clean]]),Transaction[[#This Row],[NetRevenue_Clean]])</f>
        <v>7833.13</v>
      </c>
      <c r="AH484" t="str">
        <f>IF(Transaction[[#This Row],[Quantity]]*Transaction[[#This Row],[UnitPrice_Clean]]=Transaction[[#This Row],[NetRevenue_Clean]],"Valid","Invalid")</f>
        <v>Valid</v>
      </c>
      <c r="AI484" t="s">
        <v>23</v>
      </c>
      <c r="AJ484" t="s">
        <v>835</v>
      </c>
      <c r="AK484" t="str">
        <f>IF(Transaction[[#This Row],[Salesperson]]="","Missing Value",TRIM(PROPER(Transaction[[#This Row],[Salesperson]])))</f>
        <v>Shaw-Em</v>
      </c>
      <c r="AL484" t="s">
        <v>113</v>
      </c>
      <c r="AM484" t="str">
        <f>IF(Transaction[[#This Row],[ContractType]]="","Missing Value",Transaction[[#This Row],[ContractType]])</f>
        <v>Subscription</v>
      </c>
      <c r="AN484" t="s">
        <v>43</v>
      </c>
    </row>
    <row r="485" spans="1:40" x14ac:dyDescent="0.25">
      <c r="A485" t="s">
        <v>1582</v>
      </c>
      <c r="B485" t="s">
        <v>256</v>
      </c>
      <c r="C48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48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48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85" s="2">
        <f>IFERROR(DATE(Transaction[[#This Row],[TransactionDateY]],Transaction[[#This Row],[TransactionDateM]],Transaction[[#This Row],[TransactionDateD]]),"Missing Value")</f>
        <v>45820</v>
      </c>
      <c r="G485" t="s">
        <v>200</v>
      </c>
      <c r="H485" t="str">
        <f>IFERROR(VLOOKUP(Transaction[[#This Row],[CustomerID]],Custumer[],1,0),IF(LEN(Transaction[[#This Row],[CustomerID]])=7,LEFT(Transaction[[#This Row],[CustomerID]],6),"Invalid ID"))</f>
        <v>C-1070</v>
      </c>
      <c r="I485" t="s">
        <v>62</v>
      </c>
      <c r="J485" t="str">
        <f>TRIM(UPPER(Transaction[[#This Row],[ProductID]]))</f>
        <v>P-SI-004</v>
      </c>
      <c r="K485" t="str">
        <f>IFERROR(VLOOKUP(Transaction[[#This Row],[ProductID_Clean]],Product[],1,FALSE),"Invalid ID")</f>
        <v>P-SI-004</v>
      </c>
      <c r="L485" t="str">
        <f>TRIM(SUBSTITUTE(SUBSTITUTE(SUBSTITUTE(SUBSTITUTE(UPPER(Transaction[[#This Row],[Region]]),"EMEA REGION","EMEA"),"APAC REGION","APAC"),"NORTH AMERICA","N. AMERICA"),"N .AMERICA","N.AMERICA"))</f>
        <v>EMEA</v>
      </c>
      <c r="M485" t="s">
        <v>76</v>
      </c>
      <c r="N485" t="s">
        <v>53</v>
      </c>
      <c r="O48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85" t="s">
        <v>40</v>
      </c>
      <c r="Q485" t="str">
        <f>IF(TRIM(Transaction[[#This Row],[SalesChannel]])="","Missing Value",TRIM(Transaction[[#This Row],[SalesChannel]]))</f>
        <v>Distributor</v>
      </c>
      <c r="R485" s="4">
        <v>2</v>
      </c>
      <c r="S485" s="4" t="str">
        <f>IF(Transaction[[#This Row],[Quantity]]&lt;0,"Negative-review","Valid")</f>
        <v>Valid</v>
      </c>
      <c r="T485">
        <v>1703.13</v>
      </c>
      <c r="U48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1703.13</v>
      </c>
      <c r="V485">
        <v>2450</v>
      </c>
      <c r="W485">
        <v>4900</v>
      </c>
      <c r="X48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</v>
      </c>
      <c r="Y485">
        <f>IF(Transaction[[#This Row],[GrossRevenue_Check]]="Invalid",Transaction[[#This Row],[ListPrice]]*Transaction[[#This Row],[Quantity]],Transaction[[#This Row],[GrossRevenue_Clean]])</f>
        <v>4900</v>
      </c>
      <c r="Z485" t="str">
        <f>IF(Transaction[[#This Row],[GrossRevenue_Clean]]=Transaction[[#This Row],[ListPrice]]*Transaction[[#This Row],[Quantity]],"Valid","Invalid")</f>
        <v>Valid</v>
      </c>
      <c r="AA485">
        <v>1493.74</v>
      </c>
      <c r="AB48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1493.74</v>
      </c>
      <c r="AC485">
        <f>IF(Transaction[[#This Row],[DiscountAmount_Check2]]="Invalid",Transaction[[#This Row],[GrossRevenue_Analytical]]-Transaction[[#This Row],[NetRevenue_Analytical]],Transaction[[#This Row],[DiscountAmount_Clean]])</f>
        <v>1493.74</v>
      </c>
      <c r="AD485">
        <v>3406.26</v>
      </c>
      <c r="AE485" t="str">
        <f>IF(ROUND(Transaction[[#This Row],[GrossRevenue_Analytical]]-Transaction[[#This Row],[NetRevenue_Analytical]],2)=ROUND(Transaction[[#This Row],[DiscountAmount_Clean]],2),"Valid","Invalid")</f>
        <v>Valid</v>
      </c>
      <c r="AF48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3406.26</v>
      </c>
      <c r="AG485">
        <f>IF(Transaction[[#This Row],[NetRevenue_Check]]="Invalid",(Transaction[[#This Row],[Quantity]]*Transaction[[#This Row],[UnitPrice_Clean]]),Transaction[[#This Row],[NetRevenue_Clean]])</f>
        <v>3406.26</v>
      </c>
      <c r="AH485" t="str">
        <f>IF(Transaction[[#This Row],[Quantity]]*Transaction[[#This Row],[UnitPrice_Clean]]=Transaction[[#This Row],[NetRevenue_Clean]],"Valid","Invalid")</f>
        <v>Valid</v>
      </c>
      <c r="AI485" t="s">
        <v>23</v>
      </c>
      <c r="AJ485" t="s">
        <v>1583</v>
      </c>
      <c r="AK485" t="str">
        <f>IF(Transaction[[#This Row],[Salesperson]]="","Missing Value",TRIM(PROPER(Transaction[[#This Row],[Salesperson]])))</f>
        <v>Oneill</v>
      </c>
      <c r="AL485" t="s">
        <v>42</v>
      </c>
      <c r="AM485" t="str">
        <f>IF(Transaction[[#This Row],[ContractType]]="","Missing Value",Transaction[[#This Row],[ContractType]])</f>
        <v>Standard PO</v>
      </c>
      <c r="AN485" t="s">
        <v>35</v>
      </c>
    </row>
    <row r="486" spans="1:40" x14ac:dyDescent="0.25">
      <c r="A486" t="s">
        <v>853</v>
      </c>
      <c r="B486" s="1">
        <v>45793</v>
      </c>
      <c r="C48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48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48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86" s="2">
        <f>IFERROR(DATE(Transaction[[#This Row],[TransactionDateY]],Transaction[[#This Row],[TransactionDateM]],Transaction[[#This Row],[TransactionDateD]]),"Missing Value")</f>
        <v>45793</v>
      </c>
      <c r="G486" t="s">
        <v>357</v>
      </c>
      <c r="H486" t="str">
        <f>IFERROR(VLOOKUP(Transaction[[#This Row],[CustomerID]],Custumer[],1,0),IF(LEN(Transaction[[#This Row],[CustomerID]])=7,LEFT(Transaction[[#This Row],[CustomerID]],6),"Invalid ID"))</f>
        <v>C-1078</v>
      </c>
      <c r="I486" t="s">
        <v>268</v>
      </c>
      <c r="J486" t="str">
        <f>TRIM(UPPER(Transaction[[#This Row],[ProductID]]))</f>
        <v>P-FS-002</v>
      </c>
      <c r="K486" t="str">
        <f>IFERROR(VLOOKUP(Transaction[[#This Row],[ProductID_Clean]],Product[],1,FALSE),"Invalid ID")</f>
        <v>P-FS-002</v>
      </c>
      <c r="L486" t="str">
        <f>TRIM(SUBSTITUTE(SUBSTITUTE(SUBSTITUTE(SUBSTITUTE(UPPER(Transaction[[#This Row],[Region]]),"EMEA REGION","EMEA"),"APAC REGION","APAC"),"NORTH AMERICA","N. AMERICA"),"N .AMERICA","N.AMERICA"))</f>
        <v>N. AMERICA</v>
      </c>
      <c r="M486" t="s">
        <v>20</v>
      </c>
      <c r="N486" t="s">
        <v>21</v>
      </c>
      <c r="O48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486" t="s">
        <v>854</v>
      </c>
      <c r="Q486" t="str">
        <f>IF(TRIM(Transaction[[#This Row],[SalesChannel]])="","Missing Value",TRIM(Transaction[[#This Row],[SalesChannel]]))</f>
        <v>direct</v>
      </c>
      <c r="R486" s="4">
        <v>1</v>
      </c>
      <c r="S486" s="4" t="str">
        <f>IF(Transaction[[#This Row],[Quantity]]&lt;0,"Negative-review","Valid")</f>
        <v>Valid</v>
      </c>
      <c r="T486">
        <v>2038.29</v>
      </c>
      <c r="U48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2038.29</v>
      </c>
      <c r="V486">
        <v>2400</v>
      </c>
      <c r="W486">
        <v>2400</v>
      </c>
      <c r="X48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486">
        <f>IF(Transaction[[#This Row],[GrossRevenue_Check]]="Invalid",Transaction[[#This Row],[ListPrice]]*Transaction[[#This Row],[Quantity]],Transaction[[#This Row],[GrossRevenue_Clean]])</f>
        <v>2400</v>
      </c>
      <c r="Z486" t="str">
        <f>IF(Transaction[[#This Row],[GrossRevenue_Clean]]=Transaction[[#This Row],[ListPrice]]*Transaction[[#This Row],[Quantity]],"Valid","Invalid")</f>
        <v>Valid</v>
      </c>
      <c r="AA486">
        <v>361.71</v>
      </c>
      <c r="AB48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361.71</v>
      </c>
      <c r="AC486">
        <f>IF(Transaction[[#This Row],[DiscountAmount_Check2]]="Invalid",Transaction[[#This Row],[GrossRevenue_Analytical]]-Transaction[[#This Row],[NetRevenue_Analytical]],Transaction[[#This Row],[DiscountAmount_Clean]])</f>
        <v>361.71</v>
      </c>
      <c r="AD486">
        <v>2038.29</v>
      </c>
      <c r="AE486" t="str">
        <f>IF(ROUND(Transaction[[#This Row],[GrossRevenue_Analytical]]-Transaction[[#This Row],[NetRevenue_Analytical]],2)=ROUND(Transaction[[#This Row],[DiscountAmount_Clean]],2),"Valid","Invalid")</f>
        <v>Valid</v>
      </c>
      <c r="AF486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2038.29</v>
      </c>
      <c r="AG486">
        <f>IF(Transaction[[#This Row],[NetRevenue_Check]]="Invalid",(Transaction[[#This Row],[Quantity]]*Transaction[[#This Row],[UnitPrice_Clean]]),Transaction[[#This Row],[NetRevenue_Clean]])</f>
        <v>2038.29</v>
      </c>
      <c r="AH486" t="str">
        <f>IF(Transaction[[#This Row],[Quantity]]*Transaction[[#This Row],[UnitPrice_Clean]]=Transaction[[#This Row],[NetRevenue_Clean]],"Valid","Invalid")</f>
        <v>Valid</v>
      </c>
      <c r="AI486" t="s">
        <v>23</v>
      </c>
      <c r="AJ486" t="s">
        <v>535</v>
      </c>
      <c r="AK486" t="str">
        <f>IF(Transaction[[#This Row],[Salesperson]]="","Missing Value",TRIM(PROPER(Transaction[[#This Row],[Salesperson]])))</f>
        <v>Guerra-Em</v>
      </c>
      <c r="AL486" t="s">
        <v>295</v>
      </c>
      <c r="AM486" t="str">
        <f>IF(Transaction[[#This Row],[ContractType]]="","Missing Value",Transaction[[#This Row],[ContractType]])</f>
        <v>Multi-Year</v>
      </c>
      <c r="AN486" t="s">
        <v>26</v>
      </c>
    </row>
    <row r="487" spans="1:40" x14ac:dyDescent="0.25">
      <c r="A487" t="s">
        <v>536</v>
      </c>
      <c r="B487" s="1">
        <v>45707</v>
      </c>
      <c r="C48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48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48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87" s="2">
        <f>IFERROR(DATE(Transaction[[#This Row],[TransactionDateY]],Transaction[[#This Row],[TransactionDateM]],Transaction[[#This Row],[TransactionDateD]]),"Missing Value")</f>
        <v>45707</v>
      </c>
      <c r="G487" t="s">
        <v>399</v>
      </c>
      <c r="H487" t="str">
        <f>IFERROR(VLOOKUP(Transaction[[#This Row],[CustomerID]],Custumer[],1,0),IF(LEN(Transaction[[#This Row],[CustomerID]])=7,LEFT(Transaction[[#This Row],[CustomerID]],6),"Invalid ID"))</f>
        <v>C-1110</v>
      </c>
      <c r="I487" t="s">
        <v>46</v>
      </c>
      <c r="J487" t="str">
        <f>TRIM(UPPER(Transaction[[#This Row],[ProductID]]))</f>
        <v>P-SI-006</v>
      </c>
      <c r="K487" t="str">
        <f>IFERROR(VLOOKUP(Transaction[[#This Row],[ProductID_Clean]],Product[],1,FALSE),"Invalid ID")</f>
        <v>P-SI-006</v>
      </c>
      <c r="L487" t="str">
        <f>TRIM(SUBSTITUTE(SUBSTITUTE(SUBSTITUTE(SUBSTITUTE(UPPER(Transaction[[#This Row],[Region]]),"EMEA REGION","EMEA"),"APAC REGION","APAC"),"NORTH AMERICA","N. AMERICA"),"N .AMERICA","N.AMERICA"))</f>
        <v>N. AMERICA</v>
      </c>
      <c r="M487" t="s">
        <v>204</v>
      </c>
      <c r="N487" t="s">
        <v>98</v>
      </c>
      <c r="O48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87" t="s">
        <v>22</v>
      </c>
      <c r="Q487" t="str">
        <f>IF(TRIM(Transaction[[#This Row],[SalesChannel]])="","Missing Value",TRIM(Transaction[[#This Row],[SalesChannel]]))</f>
        <v>Direct</v>
      </c>
      <c r="R487" s="4">
        <v>5</v>
      </c>
      <c r="S487" s="4" t="str">
        <f>IF(Transaction[[#This Row],[Quantity]]&lt;0,"Negative-review","Valid")</f>
        <v>Valid</v>
      </c>
      <c r="T487">
        <v>190.33</v>
      </c>
      <c r="U48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190.33</v>
      </c>
      <c r="V487">
        <v>215</v>
      </c>
      <c r="W487">
        <v>1075</v>
      </c>
      <c r="X48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1075</v>
      </c>
      <c r="Y487">
        <f>IF(Transaction[[#This Row],[GrossRevenue_Check]]="Invalid",Transaction[[#This Row],[ListPrice]]*Transaction[[#This Row],[Quantity]],Transaction[[#This Row],[GrossRevenue_Clean]])</f>
        <v>1075</v>
      </c>
      <c r="Z487" t="str">
        <f>IF(Transaction[[#This Row],[GrossRevenue_Clean]]=Transaction[[#This Row],[ListPrice]]*Transaction[[#This Row],[Quantity]],"Valid","Invalid")</f>
        <v>Valid</v>
      </c>
      <c r="AA487">
        <v>123.35</v>
      </c>
      <c r="AB48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123.35</v>
      </c>
      <c r="AC487">
        <f>IF(Transaction[[#This Row],[DiscountAmount_Check2]]="Invalid",Transaction[[#This Row],[GrossRevenue_Analytical]]-Transaction[[#This Row],[NetRevenue_Analytical]],Transaction[[#This Row],[DiscountAmount_Clean]])</f>
        <v>123.35</v>
      </c>
      <c r="AD487">
        <v>951.65</v>
      </c>
      <c r="AE487" t="str">
        <f>IF(ROUND(Transaction[[#This Row],[GrossRevenue_Analytical]]-Transaction[[#This Row],[NetRevenue_Analytical]],2)=ROUND(Transaction[[#This Row],[DiscountAmount_Clean]],2),"Valid","Invalid")</f>
        <v>Valid</v>
      </c>
      <c r="AF487">
        <f>VALUE(IF(ISNUMBER(Transaction[[#This Row],[NetRevenue]]),Transaction[[#This Row],[NetRevenue]],IFERROR(IF(FIND("$",Transaction[[#This Row],[NetRevenue]])&gt;0,MID(Transaction[[#This Row],[NetRevenue]],2,10)),Transaction[[#This Row],[NetRevenue]])))</f>
        <v>951.65</v>
      </c>
      <c r="AG487">
        <f>IF(Transaction[[#This Row],[NetRevenue_Check]]="Invalid",(Transaction[[#This Row],[Quantity]]*Transaction[[#This Row],[UnitPrice_Clean]]),Transaction[[#This Row],[NetRevenue_Clean]])</f>
        <v>951.65</v>
      </c>
      <c r="AH487" t="str">
        <f>IF(Transaction[[#This Row],[Quantity]]*Transaction[[#This Row],[UnitPrice_Clean]]=Transaction[[#This Row],[NetRevenue_Clean]],"Valid","Invalid")</f>
        <v>Valid</v>
      </c>
      <c r="AI487" t="s">
        <v>23</v>
      </c>
      <c r="AJ487" t="s">
        <v>537</v>
      </c>
      <c r="AK487" t="str">
        <f>IF(Transaction[[#This Row],[Salesperson]]="","Missing Value",TRIM(PROPER(Transaction[[#This Row],[Salesperson]])))</f>
        <v>Holmes</v>
      </c>
      <c r="AL487" t="s">
        <v>42</v>
      </c>
      <c r="AM487" t="str">
        <f>IF(Transaction[[#This Row],[ContractType]]="","Missing Value",Transaction[[#This Row],[ContractType]])</f>
        <v>Standard PO</v>
      </c>
      <c r="AN487" t="s">
        <v>43</v>
      </c>
    </row>
    <row r="488" spans="1:40" x14ac:dyDescent="0.25">
      <c r="A488" t="s">
        <v>2023</v>
      </c>
      <c r="B488" t="s">
        <v>2024</v>
      </c>
      <c r="C48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48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31</v>
      </c>
      <c r="E48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88" s="2">
        <f>IFERROR(DATE(Transaction[[#This Row],[TransactionDateY]],Transaction[[#This Row],[TransactionDateM]],Transaction[[#This Row],[TransactionDateD]]),"Missing Value")</f>
        <v>45747</v>
      </c>
      <c r="G488" t="s">
        <v>913</v>
      </c>
      <c r="H488" t="str">
        <f>IFERROR(VLOOKUP(Transaction[[#This Row],[CustomerID]],Custumer[],1,0),IF(LEN(Transaction[[#This Row],[CustomerID]])=7,LEFT(Transaction[[#This Row],[CustomerID]],6),"Invalid ID"))</f>
        <v>C-1073</v>
      </c>
      <c r="I488" t="s">
        <v>97</v>
      </c>
      <c r="J488" t="str">
        <f>TRIM(UPPER(Transaction[[#This Row],[ProductID]]))</f>
        <v>P-SI-001</v>
      </c>
      <c r="K488" t="str">
        <f>IFERROR(VLOOKUP(Transaction[[#This Row],[ProductID_Clean]],Product[],1,FALSE),"Invalid ID")</f>
        <v>P-SI-001</v>
      </c>
      <c r="L488" t="str">
        <f>TRIM(SUBSTITUTE(SUBSTITUTE(SUBSTITUTE(SUBSTITUTE(UPPER(Transaction[[#This Row],[Region]]),"EMEA REGION","EMEA"),"APAC REGION","APAC"),"NORTH AMERICA","N. AMERICA"),"N .AMERICA","N.AMERICA"))</f>
        <v>EMEA</v>
      </c>
      <c r="M488" t="s">
        <v>87</v>
      </c>
      <c r="N488" t="s">
        <v>53</v>
      </c>
      <c r="O48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88" t="s">
        <v>22</v>
      </c>
      <c r="Q488" t="str">
        <f>IF(TRIM(Transaction[[#This Row],[SalesChannel]])="","Missing Value",TRIM(Transaction[[#This Row],[SalesChannel]]))</f>
        <v>Direct</v>
      </c>
      <c r="R488" s="4">
        <v>3</v>
      </c>
      <c r="S488" s="4" t="str">
        <f>IF(Transaction[[#This Row],[Quantity]]&lt;0,"Negative-review","Valid")</f>
        <v>Valid</v>
      </c>
      <c r="T488">
        <v>424.36</v>
      </c>
      <c r="U48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424.36</v>
      </c>
      <c r="V488">
        <v>485</v>
      </c>
      <c r="W488">
        <v>1455</v>
      </c>
      <c r="X48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488">
        <f>IF(Transaction[[#This Row],[GrossRevenue_Check]]="Invalid",Transaction[[#This Row],[ListPrice]]*Transaction[[#This Row],[Quantity]],Transaction[[#This Row],[GrossRevenue_Clean]])</f>
        <v>1455</v>
      </c>
      <c r="Z488" t="str">
        <f>IF(Transaction[[#This Row],[GrossRevenue_Clean]]=Transaction[[#This Row],[ListPrice]]*Transaction[[#This Row],[Quantity]],"Valid","Invalid")</f>
        <v>Valid</v>
      </c>
      <c r="AA488">
        <v>181.92</v>
      </c>
      <c r="AB48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181.92</v>
      </c>
      <c r="AC488">
        <f>IF(Transaction[[#This Row],[DiscountAmount_Check2]]="Invalid",Transaction[[#This Row],[GrossRevenue_Analytical]]-Transaction[[#This Row],[NetRevenue_Analytical]],Transaction[[#This Row],[DiscountAmount_Clean]])</f>
        <v>181.92</v>
      </c>
      <c r="AD488">
        <v>1273.08</v>
      </c>
      <c r="AE488" t="str">
        <f>IF(ROUND(Transaction[[#This Row],[GrossRevenue_Analytical]]-Transaction[[#This Row],[NetRevenue_Analytical]],2)=ROUND(Transaction[[#This Row],[DiscountAmount_Clean]],2),"Valid","Invalid")</f>
        <v>Valid</v>
      </c>
      <c r="AF48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1273.08</v>
      </c>
      <c r="AG488">
        <f>IF(Transaction[[#This Row],[NetRevenue_Check]]="Invalid",(Transaction[[#This Row],[Quantity]]*Transaction[[#This Row],[UnitPrice_Clean]]),Transaction[[#This Row],[NetRevenue_Clean]])</f>
        <v>1273.08</v>
      </c>
      <c r="AH488" t="str">
        <f>IF(Transaction[[#This Row],[Quantity]]*Transaction[[#This Row],[UnitPrice_Clean]]=Transaction[[#This Row],[NetRevenue_Clean]],"Valid","Invalid")</f>
        <v>Valid</v>
      </c>
      <c r="AI488" t="s">
        <v>23</v>
      </c>
      <c r="AJ488" t="s">
        <v>2025</v>
      </c>
      <c r="AK488" t="str">
        <f>IF(Transaction[[#This Row],[Salesperson]]="","Missing Value",TRIM(PROPER(Transaction[[#This Row],[Salesperson]])))</f>
        <v>Torres-Ap</v>
      </c>
      <c r="AL488" t="s">
        <v>25</v>
      </c>
      <c r="AM488" t="str">
        <f>IF(Transaction[[#This Row],[ContractType]]="","Missing Value",Transaction[[#This Row],[ContractType]])</f>
        <v>Frame Agreement</v>
      </c>
      <c r="AN488" t="s">
        <v>43</v>
      </c>
    </row>
    <row r="489" spans="1:40" x14ac:dyDescent="0.25">
      <c r="A489" t="s">
        <v>2842</v>
      </c>
      <c r="B489" s="1">
        <v>45695</v>
      </c>
      <c r="C48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48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48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89" s="2">
        <f>IFERROR(DATE(Transaction[[#This Row],[TransactionDateY]],Transaction[[#This Row],[TransactionDateM]],Transaction[[#This Row],[TransactionDateD]]),"Missing Value")</f>
        <v>45695</v>
      </c>
      <c r="G489" t="s">
        <v>2843</v>
      </c>
      <c r="H489" t="str">
        <f>IFERROR(VLOOKUP(Transaction[[#This Row],[CustomerID]],Custumer[],1,0),IF(LEN(Transaction[[#This Row],[CustomerID]])=7,LEFT(Transaction[[#This Row],[CustomerID]],6),"Invalid ID"))</f>
        <v>C-1127</v>
      </c>
      <c r="I489" t="s">
        <v>46</v>
      </c>
      <c r="J489" t="str">
        <f>TRIM(UPPER(Transaction[[#This Row],[ProductID]]))</f>
        <v>P-SI-006</v>
      </c>
      <c r="K489" t="str">
        <f>IFERROR(VLOOKUP(Transaction[[#This Row],[ProductID_Clean]],Product[],1,FALSE),"Invalid ID")</f>
        <v>P-SI-006</v>
      </c>
      <c r="L489" t="str">
        <f>TRIM(SUBSTITUTE(SUBSTITUTE(SUBSTITUTE(SUBSTITUTE(UPPER(Transaction[[#This Row],[Region]]),"EMEA REGION","EMEA"),"APAC REGION","APAC"),"NORTH AMERICA","N. AMERICA"),"N .AMERICA","N.AMERICA"))</f>
        <v>LATIN AMERICA</v>
      </c>
      <c r="M489" t="s">
        <v>780</v>
      </c>
      <c r="N489" t="s">
        <v>47</v>
      </c>
      <c r="O48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89" t="s">
        <v>173</v>
      </c>
      <c r="Q489" t="str">
        <f>IF(TRIM(Transaction[[#This Row],[SalesChannel]])="","Missing Value",TRIM(Transaction[[#This Row],[SalesChannel]]))</f>
        <v>Distributor</v>
      </c>
      <c r="R489" s="4">
        <v>3</v>
      </c>
      <c r="S489" s="4" t="str">
        <f>IF(Transaction[[#This Row],[Quantity]]&lt;0,"Negative-review","Valid")</f>
        <v>Valid</v>
      </c>
      <c r="T489">
        <v>180.78</v>
      </c>
      <c r="U48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180.78</v>
      </c>
      <c r="V489">
        <v>215</v>
      </c>
      <c r="W489">
        <v>645</v>
      </c>
      <c r="X48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489">
        <f>IF(Transaction[[#This Row],[GrossRevenue_Check]]="Invalid",Transaction[[#This Row],[ListPrice]]*Transaction[[#This Row],[Quantity]],Transaction[[#This Row],[GrossRevenue_Clean]])</f>
        <v>645</v>
      </c>
      <c r="Z489" t="str">
        <f>IF(Transaction[[#This Row],[GrossRevenue_Clean]]=Transaction[[#This Row],[ListPrice]]*Transaction[[#This Row],[Quantity]],"Valid","Invalid")</f>
        <v>Valid</v>
      </c>
      <c r="AA489">
        <v>102.66</v>
      </c>
      <c r="AB48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102.66</v>
      </c>
      <c r="AC489">
        <f>IF(Transaction[[#This Row],[DiscountAmount_Check2]]="Invalid",Transaction[[#This Row],[GrossRevenue_Analytical]]-Transaction[[#This Row],[NetRevenue_Analytical]],Transaction[[#This Row],[DiscountAmount_Clean]])</f>
        <v>102.66</v>
      </c>
      <c r="AD489">
        <v>542.34</v>
      </c>
      <c r="AE489" t="str">
        <f>IF(ROUND(Transaction[[#This Row],[GrossRevenue_Analytical]]-Transaction[[#This Row],[NetRevenue_Analytical]],2)=ROUND(Transaction[[#This Row],[DiscountAmount_Clean]],2),"Valid","Invalid")</f>
        <v>Valid</v>
      </c>
      <c r="AF489">
        <f>VALUE(IF(ISNUMBER(Transaction[[#This Row],[NetRevenue]]),Transaction[[#This Row],[NetRevenue]],IFERROR(IF(FIND("$",Transaction[[#This Row],[NetRevenue]])&gt;0,MID(Transaction[[#This Row],[NetRevenue]],2,10)),Transaction[[#This Row],[NetRevenue]])))</f>
        <v>542.34</v>
      </c>
      <c r="AG489">
        <f>IF(Transaction[[#This Row],[NetRevenue_Check]]="Invalid",(Transaction[[#This Row],[Quantity]]*Transaction[[#This Row],[UnitPrice_Clean]]),Transaction[[#This Row],[NetRevenue_Clean]])</f>
        <v>542.34</v>
      </c>
      <c r="AH489" t="str">
        <f>IF(Transaction[[#This Row],[Quantity]]*Transaction[[#This Row],[UnitPrice_Clean]]=Transaction[[#This Row],[NetRevenue_Clean]],"Valid","Invalid")</f>
        <v>Valid</v>
      </c>
      <c r="AI489" t="s">
        <v>23</v>
      </c>
      <c r="AJ489" t="s">
        <v>183</v>
      </c>
      <c r="AK489" t="str">
        <f>IF(Transaction[[#This Row],[Salesperson]]="","Missing Value",TRIM(PROPER(Transaction[[#This Row],[Salesperson]])))</f>
        <v>Martin</v>
      </c>
      <c r="AL489" t="s">
        <v>42</v>
      </c>
      <c r="AM489" t="str">
        <f>IF(Transaction[[#This Row],[ContractType]]="","Missing Value",Transaction[[#This Row],[ContractType]])</f>
        <v>Standard PO</v>
      </c>
      <c r="AN489" t="s">
        <v>35</v>
      </c>
    </row>
    <row r="490" spans="1:40" x14ac:dyDescent="0.25">
      <c r="A490" t="s">
        <v>710</v>
      </c>
      <c r="B490" s="1">
        <v>45684</v>
      </c>
      <c r="C49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49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49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90" s="2">
        <f>IFERROR(DATE(Transaction[[#This Row],[TransactionDateY]],Transaction[[#This Row],[TransactionDateM]],Transaction[[#This Row],[TransactionDateD]]),"Missing Value")</f>
        <v>45684</v>
      </c>
      <c r="G490" t="s">
        <v>116</v>
      </c>
      <c r="H490" t="str">
        <f>IFERROR(VLOOKUP(Transaction[[#This Row],[CustomerID]],Custumer[],1,0),IF(LEN(Transaction[[#This Row],[CustomerID]])=7,LEFT(Transaction[[#This Row],[CustomerID]],6),"Invalid ID"))</f>
        <v>C-1167</v>
      </c>
      <c r="I490" t="s">
        <v>258</v>
      </c>
      <c r="J490" t="str">
        <f>TRIM(UPPER(Transaction[[#This Row],[ProductID]]))</f>
        <v>P-SA-003</v>
      </c>
      <c r="K490" t="str">
        <f>IFERROR(VLOOKUP(Transaction[[#This Row],[ProductID_Clean]],Product[],1,FALSE),"Invalid ID")</f>
        <v>P-SA-003</v>
      </c>
      <c r="L490" t="str">
        <f>TRIM(SUBSTITUTE(SUBSTITUTE(SUBSTITUTE(SUBSTITUTE(UPPER(Transaction[[#This Row],[Region]]),"EMEA REGION","EMEA"),"APAC REGION","APAC"),"NORTH AMERICA","N. AMERICA"),"N .AMERICA","N.AMERICA"))</f>
        <v>EMEA</v>
      </c>
      <c r="M490" t="s">
        <v>76</v>
      </c>
      <c r="N490" t="s">
        <v>31</v>
      </c>
      <c r="O490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490" t="s">
        <v>181</v>
      </c>
      <c r="Q490" t="str">
        <f>IF(TRIM(Transaction[[#This Row],[SalesChannel]])="","Missing Value",TRIM(Transaction[[#This Row],[SalesChannel]]))</f>
        <v>Partner Portal</v>
      </c>
      <c r="R490" s="4">
        <v>1</v>
      </c>
      <c r="S490" s="4" t="str">
        <f>IF(Transaction[[#This Row],[Quantity]]&lt;0,"Negative-review","Valid")</f>
        <v>Valid</v>
      </c>
      <c r="T490">
        <v>2273.02</v>
      </c>
      <c r="U49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2273.02</v>
      </c>
      <c r="V490">
        <v>2750</v>
      </c>
      <c r="W490">
        <v>2750</v>
      </c>
      <c r="X49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490">
        <f>IF(Transaction[[#This Row],[GrossRevenue_Check]]="Invalid",Transaction[[#This Row],[ListPrice]]*Transaction[[#This Row],[Quantity]],Transaction[[#This Row],[GrossRevenue_Clean]])</f>
        <v>2750</v>
      </c>
      <c r="Z490" t="str">
        <f>IF(Transaction[[#This Row],[GrossRevenue_Clean]]=Transaction[[#This Row],[ListPrice]]*Transaction[[#This Row],[Quantity]],"Valid","Invalid")</f>
        <v>Valid</v>
      </c>
      <c r="AA490">
        <v>476.98</v>
      </c>
      <c r="AB49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476.98</v>
      </c>
      <c r="AC490">
        <f>IF(Transaction[[#This Row],[DiscountAmount_Check2]]="Invalid",Transaction[[#This Row],[GrossRevenue_Analytical]]-Transaction[[#This Row],[NetRevenue_Analytical]],Transaction[[#This Row],[DiscountAmount_Clean]])</f>
        <v>476.98</v>
      </c>
      <c r="AD490">
        <v>2273.02</v>
      </c>
      <c r="AE490" t="str">
        <f>IF(ROUND(Transaction[[#This Row],[GrossRevenue_Analytical]]-Transaction[[#This Row],[NetRevenue_Analytical]],2)=ROUND(Transaction[[#This Row],[DiscountAmount_Clean]],2),"Valid","Invalid")</f>
        <v>Valid</v>
      </c>
      <c r="AF49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2273.02</v>
      </c>
      <c r="AG490">
        <f>IF(Transaction[[#This Row],[NetRevenue_Check]]="Invalid",(Transaction[[#This Row],[Quantity]]*Transaction[[#This Row],[UnitPrice_Clean]]),Transaction[[#This Row],[NetRevenue_Clean]])</f>
        <v>2273.02</v>
      </c>
      <c r="AH490" t="str">
        <f>IF(Transaction[[#This Row],[Quantity]]*Transaction[[#This Row],[UnitPrice_Clean]]=Transaction[[#This Row],[NetRevenue_Clean]],"Valid","Invalid")</f>
        <v>Valid</v>
      </c>
      <c r="AI490" t="s">
        <v>128</v>
      </c>
      <c r="AJ490" t="s">
        <v>711</v>
      </c>
      <c r="AK490" t="str">
        <f>IF(Transaction[[#This Row],[Salesperson]]="","Missing Value",TRIM(PROPER(Transaction[[#This Row],[Salesperson]])))</f>
        <v>Donovan</v>
      </c>
      <c r="AL490" t="s">
        <v>34</v>
      </c>
      <c r="AM490" t="str">
        <f>IF(Transaction[[#This Row],[ContractType]]="","Missing Value",Transaction[[#This Row],[ContractType]])</f>
        <v>Annual License</v>
      </c>
      <c r="AN490" t="s">
        <v>49</v>
      </c>
    </row>
    <row r="491" spans="1:40" x14ac:dyDescent="0.25">
      <c r="A491" t="s">
        <v>702</v>
      </c>
      <c r="B491" s="1">
        <v>45702</v>
      </c>
      <c r="C49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49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49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91" s="2">
        <f>IFERROR(DATE(Transaction[[#This Row],[TransactionDateY]],Transaction[[#This Row],[TransactionDateM]],Transaction[[#This Row],[TransactionDateD]]),"Missing Value")</f>
        <v>45702</v>
      </c>
      <c r="G491" t="s">
        <v>412</v>
      </c>
      <c r="H491" t="str">
        <f>IFERROR(VLOOKUP(Transaction[[#This Row],[CustomerID]],Custumer[],1,0),IF(LEN(Transaction[[#This Row],[CustomerID]])=7,LEFT(Transaction[[#This Row],[CustomerID]],6),"Invalid ID"))</f>
        <v>C-1126</v>
      </c>
      <c r="I491" t="s">
        <v>703</v>
      </c>
      <c r="J491" t="str">
        <f>TRIM(UPPER(Transaction[[#This Row],[ProductID]]))</f>
        <v>P-SI-001</v>
      </c>
      <c r="K491" t="str">
        <f>IFERROR(VLOOKUP(Transaction[[#This Row],[ProductID_Clean]],Product[],1,FALSE),"Invalid ID")</f>
        <v>P-SI-001</v>
      </c>
      <c r="L491" t="str">
        <f>TRIM(SUBSTITUTE(SUBSTITUTE(SUBSTITUTE(SUBSTITUTE(UPPER(Transaction[[#This Row],[Region]]),"EMEA REGION","EMEA"),"APAC REGION","APAC"),"NORTH AMERICA","N. AMERICA"),"N .AMERICA","N.AMERICA"))</f>
        <v>EMEA</v>
      </c>
      <c r="M491" t="s">
        <v>76</v>
      </c>
      <c r="N491" t="s">
        <v>47</v>
      </c>
      <c r="O49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91" t="s">
        <v>22</v>
      </c>
      <c r="Q491" t="str">
        <f>IF(TRIM(Transaction[[#This Row],[SalesChannel]])="","Missing Value",TRIM(Transaction[[#This Row],[SalesChannel]]))</f>
        <v>Direct</v>
      </c>
      <c r="R491" s="4">
        <v>8</v>
      </c>
      <c r="S491" s="4" t="str">
        <f>IF(Transaction[[#This Row],[Quantity]]&lt;0,"Negative-review","Valid")</f>
        <v>Valid</v>
      </c>
      <c r="T491">
        <v>443.17</v>
      </c>
      <c r="U49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443.17</v>
      </c>
      <c r="V491">
        <v>485</v>
      </c>
      <c r="W491">
        <v>3880</v>
      </c>
      <c r="X49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3880</v>
      </c>
      <c r="Y491">
        <f>IF(Transaction[[#This Row],[GrossRevenue_Check]]="Invalid",Transaction[[#This Row],[ListPrice]]*Transaction[[#This Row],[Quantity]],Transaction[[#This Row],[GrossRevenue_Clean]])</f>
        <v>3880</v>
      </c>
      <c r="Z491" t="str">
        <f>IF(Transaction[[#This Row],[GrossRevenue_Clean]]=Transaction[[#This Row],[ListPrice]]*Transaction[[#This Row],[Quantity]],"Valid","Invalid")</f>
        <v>Valid</v>
      </c>
      <c r="AA491">
        <v>334.64</v>
      </c>
      <c r="AB49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334.64</v>
      </c>
      <c r="AC491">
        <f>IF(Transaction[[#This Row],[DiscountAmount_Check2]]="Invalid",Transaction[[#This Row],[GrossRevenue_Analytical]]-Transaction[[#This Row],[NetRevenue_Analytical]],Transaction[[#This Row],[DiscountAmount_Clean]])</f>
        <v>334.64</v>
      </c>
      <c r="AD491">
        <v>3545.36</v>
      </c>
      <c r="AE491" t="str">
        <f>IF(ROUND(Transaction[[#This Row],[GrossRevenue_Analytical]]-Transaction[[#This Row],[NetRevenue_Analytical]],2)=ROUND(Transaction[[#This Row],[DiscountAmount_Clean]],2),"Valid","Invalid")</f>
        <v>Valid</v>
      </c>
      <c r="AF491">
        <f>VALUE(IF(ISNUMBER(Transaction[[#This Row],[NetRevenue]]),Transaction[[#This Row],[NetRevenue]],IFERROR(IF(FIND("$",Transaction[[#This Row],[NetRevenue]])&gt;0,MID(Transaction[[#This Row],[NetRevenue]],2,10)),Transaction[[#This Row],[NetRevenue]])))</f>
        <v>3545.36</v>
      </c>
      <c r="AG491">
        <f>IF(Transaction[[#This Row],[NetRevenue_Check]]="Invalid",(Transaction[[#This Row],[Quantity]]*Transaction[[#This Row],[UnitPrice_Clean]]),Transaction[[#This Row],[NetRevenue_Clean]])</f>
        <v>3545.36</v>
      </c>
      <c r="AH491" t="str">
        <f>IF(Transaction[[#This Row],[Quantity]]*Transaction[[#This Row],[UnitPrice_Clean]]=Transaction[[#This Row],[NetRevenue_Clean]],"Valid","Invalid")</f>
        <v>Valid</v>
      </c>
      <c r="AI491" t="s">
        <v>99</v>
      </c>
      <c r="AJ491" t="s">
        <v>704</v>
      </c>
      <c r="AK491" t="str">
        <f>IF(Transaction[[#This Row],[Salesperson]]="","Missing Value",TRIM(PROPER(Transaction[[#This Row],[Salesperson]])))</f>
        <v>Perez-Em</v>
      </c>
      <c r="AL491" t="s">
        <v>42</v>
      </c>
      <c r="AM491" t="str">
        <f>IF(Transaction[[#This Row],[ContractType]]="","Missing Value",Transaction[[#This Row],[ContractType]])</f>
        <v>Standard PO</v>
      </c>
      <c r="AN491" t="s">
        <v>43</v>
      </c>
    </row>
    <row r="492" spans="1:40" x14ac:dyDescent="0.25">
      <c r="A492" t="s">
        <v>2347</v>
      </c>
      <c r="B492" s="1">
        <v>45697</v>
      </c>
      <c r="C49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49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49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92" s="2">
        <f>IFERROR(DATE(Transaction[[#This Row],[TransactionDateY]],Transaction[[#This Row],[TransactionDateM]],Transaction[[#This Row],[TransactionDateD]]),"Missing Value")</f>
        <v>45697</v>
      </c>
      <c r="G492" t="s">
        <v>57</v>
      </c>
      <c r="H492" t="str">
        <f>IFERROR(VLOOKUP(Transaction[[#This Row],[CustomerID]],Custumer[],1,0),IF(LEN(Transaction[[#This Row],[CustomerID]])=7,LEFT(Transaction[[#This Row],[CustomerID]],6),"Invalid ID"))</f>
        <v>C-1035</v>
      </c>
      <c r="I492" t="s">
        <v>75</v>
      </c>
      <c r="J492" t="str">
        <f>TRIM(UPPER(Transaction[[#This Row],[ProductID]]))</f>
        <v>P-SA-005</v>
      </c>
      <c r="K492" t="str">
        <f>IFERROR(VLOOKUP(Transaction[[#This Row],[ProductID_Clean]],Product[],1,FALSE),"Invalid ID")</f>
        <v>P-SA-005</v>
      </c>
      <c r="L492" t="str">
        <f>TRIM(SUBSTITUTE(SUBSTITUTE(SUBSTITUTE(SUBSTITUTE(UPPER(Transaction[[#This Row],[Region]]),"EMEA REGION","EMEA"),"APAC REGION","APAC"),"NORTH AMERICA","N. AMERICA"),"N .AMERICA","N.AMERICA"))</f>
        <v>N. AMERICA</v>
      </c>
      <c r="M492" t="s">
        <v>20</v>
      </c>
      <c r="N492" t="s">
        <v>31</v>
      </c>
      <c r="O49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492" t="s">
        <v>181</v>
      </c>
      <c r="Q492" t="str">
        <f>IF(TRIM(Transaction[[#This Row],[SalesChannel]])="","Missing Value",TRIM(Transaction[[#This Row],[SalesChannel]]))</f>
        <v>Partner Portal</v>
      </c>
      <c r="R492" s="4">
        <v>1</v>
      </c>
      <c r="S492" s="4" t="str">
        <f>IF(Transaction[[#This Row],[Quantity]]&lt;0,"Negative-review","Valid")</f>
        <v>Valid</v>
      </c>
      <c r="T492">
        <v>3014.57</v>
      </c>
      <c r="U49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3014.57</v>
      </c>
      <c r="V492">
        <v>3200</v>
      </c>
      <c r="W492">
        <v>3200</v>
      </c>
      <c r="X49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492">
        <f>IF(Transaction[[#This Row],[GrossRevenue_Check]]="Invalid",Transaction[[#This Row],[ListPrice]]*Transaction[[#This Row],[Quantity]],Transaction[[#This Row],[GrossRevenue_Clean]])</f>
        <v>3200</v>
      </c>
      <c r="Z492" t="str">
        <f>IF(Transaction[[#This Row],[GrossRevenue_Clean]]=Transaction[[#This Row],[ListPrice]]*Transaction[[#This Row],[Quantity]],"Valid","Invalid")</f>
        <v>Valid</v>
      </c>
      <c r="AA492">
        <v>185.43</v>
      </c>
      <c r="AB49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185.43</v>
      </c>
      <c r="AC492">
        <f>IF(Transaction[[#This Row],[DiscountAmount_Check2]]="Invalid",Transaction[[#This Row],[GrossRevenue_Analytical]]-Transaction[[#This Row],[NetRevenue_Analytical]],Transaction[[#This Row],[DiscountAmount_Clean]])</f>
        <v>185.43</v>
      </c>
      <c r="AD492">
        <v>3014.57</v>
      </c>
      <c r="AE492" t="str">
        <f>IF(ROUND(Transaction[[#This Row],[GrossRevenue_Analytical]]-Transaction[[#This Row],[NetRevenue_Analytical]],2)=ROUND(Transaction[[#This Row],[DiscountAmount_Clean]],2),"Valid","Invalid")</f>
        <v>Valid</v>
      </c>
      <c r="AF492">
        <f>VALUE(IF(ISNUMBER(Transaction[[#This Row],[NetRevenue]]),Transaction[[#This Row],[NetRevenue]],IFERROR(IF(FIND("$",Transaction[[#This Row],[NetRevenue]])&gt;0,MID(Transaction[[#This Row],[NetRevenue]],2,10)),Transaction[[#This Row],[NetRevenue]])))</f>
        <v>3014.57</v>
      </c>
      <c r="AG492">
        <f>IF(Transaction[[#This Row],[NetRevenue_Check]]="Invalid",(Transaction[[#This Row],[Quantity]]*Transaction[[#This Row],[UnitPrice_Clean]]),Transaction[[#This Row],[NetRevenue_Clean]])</f>
        <v>3014.57</v>
      </c>
      <c r="AH492" t="str">
        <f>IF(Transaction[[#This Row],[Quantity]]*Transaction[[#This Row],[UnitPrice_Clean]]=Transaction[[#This Row],[NetRevenue_Clean]],"Valid","Invalid")</f>
        <v>Valid</v>
      </c>
      <c r="AI492" t="s">
        <v>99</v>
      </c>
      <c r="AJ492" t="s">
        <v>1649</v>
      </c>
      <c r="AK492" t="str">
        <f>IF(Transaction[[#This Row],[Salesperson]]="","Missing Value",TRIM(PROPER(Transaction[[#This Row],[Salesperson]])))</f>
        <v>Meza-Ap</v>
      </c>
      <c r="AL492" t="s">
        <v>34</v>
      </c>
      <c r="AM492" t="str">
        <f>IF(Transaction[[#This Row],[ContractType]]="","Missing Value",Transaction[[#This Row],[ContractType]])</f>
        <v>Annual License</v>
      </c>
      <c r="AN492" t="s">
        <v>35</v>
      </c>
    </row>
    <row r="493" spans="1:40" x14ac:dyDescent="0.25">
      <c r="A493" t="s">
        <v>2724</v>
      </c>
      <c r="C49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49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49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493" s="2" t="str">
        <f>IFERROR(DATE(Transaction[[#This Row],[TransactionDateY]],Transaction[[#This Row],[TransactionDateM]],Transaction[[#This Row],[TransactionDateD]]),"Missing Value")</f>
        <v>Missing Value</v>
      </c>
      <c r="G493" t="s">
        <v>243</v>
      </c>
      <c r="H493" t="str">
        <f>IFERROR(VLOOKUP(Transaction[[#This Row],[CustomerID]],Custumer[],1,0),IF(LEN(Transaction[[#This Row],[CustomerID]])=7,LEFT(Transaction[[#This Row],[CustomerID]],6),"Invalid ID"))</f>
        <v>C-1059</v>
      </c>
      <c r="I493" t="s">
        <v>71</v>
      </c>
      <c r="J493" t="str">
        <f>TRIM(UPPER(Transaction[[#This Row],[ProductID]]))</f>
        <v>P-SI-003</v>
      </c>
      <c r="K493" t="str">
        <f>IFERROR(VLOOKUP(Transaction[[#This Row],[ProductID_Clean]],Product[],1,FALSE),"Invalid ID")</f>
        <v>P-SI-003</v>
      </c>
      <c r="L493" t="str">
        <f>TRIM(SUBSTITUTE(SUBSTITUTE(SUBSTITUTE(SUBSTITUTE(UPPER(Transaction[[#This Row],[Region]]),"EMEA REGION","EMEA"),"APAC REGION","APAC"),"NORTH AMERICA","N. AMERICA"),"N .AMERICA","N.AMERICA"))</f>
        <v>N. AMERICA</v>
      </c>
      <c r="M493" t="s">
        <v>20</v>
      </c>
      <c r="N493" t="s">
        <v>53</v>
      </c>
      <c r="O49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93" t="s">
        <v>77</v>
      </c>
      <c r="Q493" t="str">
        <f>IF(TRIM(Transaction[[#This Row],[SalesChannel]])="","Missing Value",TRIM(Transaction[[#This Row],[SalesChannel]]))</f>
        <v>distributor</v>
      </c>
      <c r="R493" s="4">
        <v>1</v>
      </c>
      <c r="S493" s="4" t="str">
        <f>IF(Transaction[[#This Row],[Quantity]]&lt;0,"Negative-review","Valid")</f>
        <v>Valid</v>
      </c>
      <c r="T493">
        <v>1669.67</v>
      </c>
      <c r="U49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1669.67</v>
      </c>
      <c r="V493">
        <v>1890</v>
      </c>
      <c r="W493">
        <v>1890</v>
      </c>
      <c r="X49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493">
        <f>IF(Transaction[[#This Row],[GrossRevenue_Check]]="Invalid",Transaction[[#This Row],[ListPrice]]*Transaction[[#This Row],[Quantity]],Transaction[[#This Row],[GrossRevenue_Clean]])</f>
        <v>1890</v>
      </c>
      <c r="Z493" t="str">
        <f>IF(Transaction[[#This Row],[GrossRevenue_Clean]]=Transaction[[#This Row],[ListPrice]]*Transaction[[#This Row],[Quantity]],"Valid","Invalid")</f>
        <v>Valid</v>
      </c>
      <c r="AA493">
        <v>220.33</v>
      </c>
      <c r="AB49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220.33</v>
      </c>
      <c r="AC493">
        <f>IF(Transaction[[#This Row],[DiscountAmount_Check2]]="Invalid",Transaction[[#This Row],[GrossRevenue_Analytical]]-Transaction[[#This Row],[NetRevenue_Analytical]],Transaction[[#This Row],[DiscountAmount_Clean]])</f>
        <v>220.33</v>
      </c>
      <c r="AD493">
        <v>1669.67</v>
      </c>
      <c r="AE493" t="str">
        <f>IF(ROUND(Transaction[[#This Row],[GrossRevenue_Analytical]]-Transaction[[#This Row],[NetRevenue_Analytical]],2)=ROUND(Transaction[[#This Row],[DiscountAmount_Clean]],2),"Valid","Invalid")</f>
        <v>Valid</v>
      </c>
      <c r="AF49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1669.67</v>
      </c>
      <c r="AG493">
        <f>IF(Transaction[[#This Row],[NetRevenue_Check]]="Invalid",(Transaction[[#This Row],[Quantity]]*Transaction[[#This Row],[UnitPrice_Clean]]),Transaction[[#This Row],[NetRevenue_Clean]])</f>
        <v>1669.67</v>
      </c>
      <c r="AH493" t="str">
        <f>IF(Transaction[[#This Row],[Quantity]]*Transaction[[#This Row],[UnitPrice_Clean]]=Transaction[[#This Row],[NetRevenue_Clean]],"Valid","Invalid")</f>
        <v>Valid</v>
      </c>
      <c r="AI493" t="s">
        <v>23</v>
      </c>
      <c r="AJ493" t="s">
        <v>2725</v>
      </c>
      <c r="AK493" t="str">
        <f>IF(Transaction[[#This Row],[Salesperson]]="","Missing Value",TRIM(PROPER(Transaction[[#This Row],[Salesperson]])))</f>
        <v>Stone</v>
      </c>
      <c r="AL493" t="s">
        <v>42</v>
      </c>
      <c r="AM493" t="str">
        <f>IF(Transaction[[#This Row],[ContractType]]="","Missing Value",Transaction[[#This Row],[ContractType]])</f>
        <v>Standard PO</v>
      </c>
      <c r="AN493" t="s">
        <v>49</v>
      </c>
    </row>
    <row r="494" spans="1:40" x14ac:dyDescent="0.25">
      <c r="A494" t="s">
        <v>2178</v>
      </c>
      <c r="B494" s="1">
        <v>45734</v>
      </c>
      <c r="C49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49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49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94" s="2">
        <f>IFERROR(DATE(Transaction[[#This Row],[TransactionDateY]],Transaction[[#This Row],[TransactionDateM]],Transaction[[#This Row],[TransactionDateD]]),"Missing Value")</f>
        <v>45734</v>
      </c>
      <c r="G494" t="s">
        <v>139</v>
      </c>
      <c r="H494" t="str">
        <f>IFERROR(VLOOKUP(Transaction[[#This Row],[CustomerID]],Custumer[],1,0),IF(LEN(Transaction[[#This Row],[CustomerID]])=7,LEFT(Transaction[[#This Row],[CustomerID]],6),"Invalid ID"))</f>
        <v>C-1171</v>
      </c>
      <c r="I494" t="s">
        <v>1091</v>
      </c>
      <c r="J494" t="str">
        <f>TRIM(UPPER(Transaction[[#This Row],[ProductID]]))</f>
        <v>P-SA-005</v>
      </c>
      <c r="K494" t="str">
        <f>IFERROR(VLOOKUP(Transaction[[#This Row],[ProductID_Clean]],Product[],1,FALSE),"Invalid ID")</f>
        <v>P-SA-005</v>
      </c>
      <c r="L494" t="str">
        <f>TRIM(SUBSTITUTE(SUBSTITUTE(SUBSTITUTE(SUBSTITUTE(UPPER(Transaction[[#This Row],[Region]]),"EMEA REGION","EMEA"),"APAC REGION","APAC"),"NORTH AMERICA","N. AMERICA"),"N .AMERICA","N.AMERICA"))</f>
        <v>APAC</v>
      </c>
      <c r="M494" t="s">
        <v>30</v>
      </c>
      <c r="N494" t="s">
        <v>205</v>
      </c>
      <c r="O49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494" t="s">
        <v>22</v>
      </c>
      <c r="Q494" t="str">
        <f>IF(TRIM(Transaction[[#This Row],[SalesChannel]])="","Missing Value",TRIM(Transaction[[#This Row],[SalesChannel]]))</f>
        <v>Direct</v>
      </c>
      <c r="R494" s="4">
        <v>2</v>
      </c>
      <c r="S494" s="4" t="str">
        <f>IF(Transaction[[#This Row],[Quantity]]&lt;0,"Negative-review","Valid")</f>
        <v>Valid</v>
      </c>
      <c r="T494">
        <v>2984.73</v>
      </c>
      <c r="U49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2984.73</v>
      </c>
      <c r="V494">
        <v>3200</v>
      </c>
      <c r="W494">
        <v>3200</v>
      </c>
      <c r="X49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494">
        <f>IF(Transaction[[#This Row],[GrossRevenue_Check]]="Invalid",Transaction[[#This Row],[ListPrice]]*Transaction[[#This Row],[Quantity]],Transaction[[#This Row],[GrossRevenue_Clean]])</f>
        <v>6400</v>
      </c>
      <c r="Z494" t="str">
        <f>IF(Transaction[[#This Row],[GrossRevenue_Clean]]=Transaction[[#This Row],[ListPrice]]*Transaction[[#This Row],[Quantity]],"Valid","Invalid")</f>
        <v>Invalid</v>
      </c>
      <c r="AA494">
        <v>215.27</v>
      </c>
      <c r="AB49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215.27</v>
      </c>
      <c r="AC494">
        <f>IF(Transaction[[#This Row],[DiscountAmount_Check2]]="Invalid",Transaction[[#This Row],[GrossRevenue_Analytical]]-Transaction[[#This Row],[NetRevenue_Analytical]],Transaction[[#This Row],[DiscountAmount_Clean]])</f>
        <v>430.53999999999996</v>
      </c>
      <c r="AD494" t="s">
        <v>1092</v>
      </c>
      <c r="AE494" t="str">
        <f>IF(ROUND(Transaction[[#This Row],[GrossRevenue_Analytical]]-Transaction[[#This Row],[NetRevenue_Analytical]],2)=ROUND(Transaction[[#This Row],[DiscountAmount_Clean]],2),"Valid","Invalid")</f>
        <v>Invalid</v>
      </c>
      <c r="AF49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2984.73</v>
      </c>
      <c r="AG494">
        <f>IF(Transaction[[#This Row],[NetRevenue_Check]]="Invalid",(Transaction[[#This Row],[Quantity]]*Transaction[[#This Row],[UnitPrice_Clean]]),Transaction[[#This Row],[NetRevenue_Clean]])</f>
        <v>5969.46</v>
      </c>
      <c r="AH494" t="str">
        <f>IF(Transaction[[#This Row],[Quantity]]*Transaction[[#This Row],[UnitPrice_Clean]]=Transaction[[#This Row],[NetRevenue_Clean]],"Valid","Invalid")</f>
        <v>Invalid</v>
      </c>
      <c r="AI494" t="s">
        <v>23</v>
      </c>
      <c r="AJ494" t="s">
        <v>1093</v>
      </c>
      <c r="AK494" t="str">
        <f>IF(Transaction[[#This Row],[Salesperson]]="","Missing Value",TRIM(PROPER(Transaction[[#This Row],[Salesperson]])))</f>
        <v>Williams-Ap</v>
      </c>
      <c r="AL494" t="s">
        <v>34</v>
      </c>
      <c r="AM494" t="str">
        <f>IF(Transaction[[#This Row],[ContractType]]="","Missing Value",Transaction[[#This Row],[ContractType]])</f>
        <v>Annual License</v>
      </c>
      <c r="AN494" t="s">
        <v>49</v>
      </c>
    </row>
    <row r="495" spans="1:40" x14ac:dyDescent="0.25">
      <c r="A495" t="s">
        <v>1373</v>
      </c>
      <c r="B495" s="1">
        <v>45776</v>
      </c>
      <c r="C49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49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29</v>
      </c>
      <c r="E49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95" s="2">
        <f>IFERROR(DATE(Transaction[[#This Row],[TransactionDateY]],Transaction[[#This Row],[TransactionDateM]],Transaction[[#This Row],[TransactionDateD]]),"Missing Value")</f>
        <v>45776</v>
      </c>
      <c r="G495" t="s">
        <v>297</v>
      </c>
      <c r="H495" t="str">
        <f>IFERROR(VLOOKUP(Transaction[[#This Row],[CustomerID]],Custumer[],1,0),IF(LEN(Transaction[[#This Row],[CustomerID]])=7,LEFT(Transaction[[#This Row],[CustomerID]],6),"Invalid ID"))</f>
        <v>C-1181</v>
      </c>
      <c r="I495" t="s">
        <v>97</v>
      </c>
      <c r="J495" t="str">
        <f>TRIM(UPPER(Transaction[[#This Row],[ProductID]]))</f>
        <v>P-SI-001</v>
      </c>
      <c r="K495" t="str">
        <f>IFERROR(VLOOKUP(Transaction[[#This Row],[ProductID_Clean]],Product[],1,FALSE),"Invalid ID")</f>
        <v>P-SI-001</v>
      </c>
      <c r="L495" t="str">
        <f>TRIM(SUBSTITUTE(SUBSTITUTE(SUBSTITUTE(SUBSTITUTE(UPPER(Transaction[[#This Row],[Region]]),"EMEA REGION","EMEA"),"APAC REGION","APAC"),"NORTH AMERICA","N. AMERICA"),"N .AMERICA","N.AMERICA"))</f>
        <v>N. AMERICA</v>
      </c>
      <c r="M495" t="s">
        <v>20</v>
      </c>
      <c r="N495" t="s">
        <v>47</v>
      </c>
      <c r="O49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95" t="s">
        <v>22</v>
      </c>
      <c r="Q495" t="str">
        <f>IF(TRIM(Transaction[[#This Row],[SalesChannel]])="","Missing Value",TRIM(Transaction[[#This Row],[SalesChannel]]))</f>
        <v>Direct</v>
      </c>
      <c r="R495" s="4">
        <v>1</v>
      </c>
      <c r="S495" s="4" t="str">
        <f>IF(Transaction[[#This Row],[Quantity]]&lt;0,"Negative-review","Valid")</f>
        <v>Valid</v>
      </c>
      <c r="T495">
        <v>420.43</v>
      </c>
      <c r="U49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420.43</v>
      </c>
      <c r="V495">
        <v>485</v>
      </c>
      <c r="W495" t="s">
        <v>804</v>
      </c>
      <c r="X49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495">
        <f>IF(Transaction[[#This Row],[GrossRevenue_Check]]="Invalid",Transaction[[#This Row],[ListPrice]]*Transaction[[#This Row],[Quantity]],Transaction[[#This Row],[GrossRevenue_Clean]])</f>
        <v>485</v>
      </c>
      <c r="Z495" t="str">
        <f>IF(Transaction[[#This Row],[GrossRevenue_Clean]]=Transaction[[#This Row],[ListPrice]]*Transaction[[#This Row],[Quantity]],"Valid","Invalid")</f>
        <v>Valid</v>
      </c>
      <c r="AA495">
        <v>64.569999999999993</v>
      </c>
      <c r="AB49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64.569999999999993</v>
      </c>
      <c r="AC495">
        <f>IF(Transaction[[#This Row],[DiscountAmount_Check2]]="Invalid",Transaction[[#This Row],[GrossRevenue_Analytical]]-Transaction[[#This Row],[NetRevenue_Analytical]],Transaction[[#This Row],[DiscountAmount_Clean]])</f>
        <v>64.569999999999993</v>
      </c>
      <c r="AD495">
        <v>420.43</v>
      </c>
      <c r="AE495" t="str">
        <f>IF(ROUND(Transaction[[#This Row],[GrossRevenue_Analytical]]-Transaction[[#This Row],[NetRevenue_Analytical]],2)=ROUND(Transaction[[#This Row],[DiscountAmount_Clean]],2),"Valid","Invalid")</f>
        <v>Valid</v>
      </c>
      <c r="AF495">
        <f>VALUE(IF(ISNUMBER(Transaction[[#This Row],[NetRevenue]]),Transaction[[#This Row],[NetRevenue]],IFERROR(IF(FIND("$",Transaction[[#This Row],[NetRevenue]])&gt;0,MID(Transaction[[#This Row],[NetRevenue]],2,10)),Transaction[[#This Row],[NetRevenue]])))</f>
        <v>420.43</v>
      </c>
      <c r="AG495">
        <f>IF(Transaction[[#This Row],[NetRevenue_Check]]="Invalid",(Transaction[[#This Row],[Quantity]]*Transaction[[#This Row],[UnitPrice_Clean]]),Transaction[[#This Row],[NetRevenue_Clean]])</f>
        <v>420.43</v>
      </c>
      <c r="AH495" t="str">
        <f>IF(Transaction[[#This Row],[Quantity]]*Transaction[[#This Row],[UnitPrice_Clean]]=Transaction[[#This Row],[NetRevenue_Clean]],"Valid","Invalid")</f>
        <v>Valid</v>
      </c>
      <c r="AI495" t="s">
        <v>23</v>
      </c>
      <c r="AJ495" t="s">
        <v>1374</v>
      </c>
      <c r="AK495" t="str">
        <f>IF(Transaction[[#This Row],[Salesperson]]="","Missing Value",TRIM(PROPER(Transaction[[#This Row],[Salesperson]])))</f>
        <v>Miller-Em</v>
      </c>
      <c r="AL495" t="s">
        <v>42</v>
      </c>
      <c r="AM495" t="str">
        <f>IF(Transaction[[#This Row],[ContractType]]="","Missing Value",Transaction[[#This Row],[ContractType]])</f>
        <v>Standard PO</v>
      </c>
      <c r="AN495" t="s">
        <v>49</v>
      </c>
    </row>
    <row r="496" spans="1:40" x14ac:dyDescent="0.25">
      <c r="A496" t="s">
        <v>1975</v>
      </c>
      <c r="B496" s="1">
        <v>45772</v>
      </c>
      <c r="C49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49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49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96" s="2">
        <f>IFERROR(DATE(Transaction[[#This Row],[TransactionDateY]],Transaction[[#This Row],[TransactionDateM]],Transaction[[#This Row],[TransactionDateD]]),"Missing Value")</f>
        <v>45772</v>
      </c>
      <c r="G496" t="s">
        <v>1976</v>
      </c>
      <c r="H496" t="str">
        <f>IFERROR(VLOOKUP(Transaction[[#This Row],[CustomerID]],Custumer[],1,0),IF(LEN(Transaction[[#This Row],[CustomerID]])=7,LEFT(Transaction[[#This Row],[CustomerID]],6),"Invalid ID"))</f>
        <v>C-1139</v>
      </c>
      <c r="I496" t="s">
        <v>52</v>
      </c>
      <c r="J496" t="str">
        <f>TRIM(UPPER(Transaction[[#This Row],[ProductID]]))</f>
        <v>P-SI-002</v>
      </c>
      <c r="K496" t="str">
        <f>IFERROR(VLOOKUP(Transaction[[#This Row],[ProductID_Clean]],Product[],1,FALSE),"Invalid ID")</f>
        <v>P-SI-002</v>
      </c>
      <c r="L496" t="str">
        <f>TRIM(SUBSTITUTE(SUBSTITUTE(SUBSTITUTE(SUBSTITUTE(UPPER(Transaction[[#This Row],[Region]]),"EMEA REGION","EMEA"),"APAC REGION","APAC"),"NORTH AMERICA","N. AMERICA"),"N .AMERICA","N.AMERICA"))</f>
        <v>EMEA</v>
      </c>
      <c r="M496" t="s">
        <v>76</v>
      </c>
      <c r="N496" t="s">
        <v>272</v>
      </c>
      <c r="O49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96" t="s">
        <v>32</v>
      </c>
      <c r="Q496" t="str">
        <f>IF(TRIM(Transaction[[#This Row],[SalesChannel]])="","Missing Value",TRIM(Transaction[[#This Row],[SalesChannel]]))</f>
        <v>Direct</v>
      </c>
      <c r="R496" s="4">
        <v>3</v>
      </c>
      <c r="S496" s="4" t="str">
        <f>IF(Transaction[[#This Row],[Quantity]]&lt;0,"Negative-review","Valid")</f>
        <v>Valid</v>
      </c>
      <c r="T496">
        <v>639.74</v>
      </c>
      <c r="U49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639.74</v>
      </c>
      <c r="V496">
        <v>725</v>
      </c>
      <c r="W496">
        <v>2175</v>
      </c>
      <c r="X49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2175</v>
      </c>
      <c r="Y496">
        <f>IF(Transaction[[#This Row],[GrossRevenue_Check]]="Invalid",Transaction[[#This Row],[ListPrice]]*Transaction[[#This Row],[Quantity]],Transaction[[#This Row],[GrossRevenue_Clean]])</f>
        <v>2175</v>
      </c>
      <c r="Z496" t="str">
        <f>IF(Transaction[[#This Row],[GrossRevenue_Clean]]=Transaction[[#This Row],[ListPrice]]*Transaction[[#This Row],[Quantity]],"Valid","Invalid")</f>
        <v>Valid</v>
      </c>
      <c r="AA496">
        <v>255.78</v>
      </c>
      <c r="AB49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255.78</v>
      </c>
      <c r="AC496">
        <f>IF(Transaction[[#This Row],[DiscountAmount_Check2]]="Invalid",Transaction[[#This Row],[GrossRevenue_Analytical]]-Transaction[[#This Row],[NetRevenue_Analytical]],Transaction[[#This Row],[DiscountAmount_Clean]])</f>
        <v>255.78</v>
      </c>
      <c r="AD496">
        <v>1919.22</v>
      </c>
      <c r="AE496" t="str">
        <f>IF(ROUND(Transaction[[#This Row],[GrossRevenue_Analytical]]-Transaction[[#This Row],[NetRevenue_Analytical]],2)=ROUND(Transaction[[#This Row],[DiscountAmount_Clean]],2),"Valid","Invalid")</f>
        <v>Valid</v>
      </c>
      <c r="AF49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1919.22</v>
      </c>
      <c r="AG496">
        <f>IF(Transaction[[#This Row],[NetRevenue_Check]]="Invalid",(Transaction[[#This Row],[Quantity]]*Transaction[[#This Row],[UnitPrice_Clean]]),Transaction[[#This Row],[NetRevenue_Clean]])</f>
        <v>1919.22</v>
      </c>
      <c r="AH496" t="str">
        <f>IF(Transaction[[#This Row],[Quantity]]*Transaction[[#This Row],[UnitPrice_Clean]]=Transaction[[#This Row],[NetRevenue_Clean]],"Valid","Invalid")</f>
        <v>Valid</v>
      </c>
      <c r="AI496" t="s">
        <v>23</v>
      </c>
      <c r="AJ496" t="s">
        <v>1977</v>
      </c>
      <c r="AK496" t="str">
        <f>IF(Transaction[[#This Row],[Salesperson]]="","Missing Value",TRIM(PROPER(Transaction[[#This Row],[Salesperson]])))</f>
        <v>Gonzalez-Ap</v>
      </c>
      <c r="AL496" t="s">
        <v>25</v>
      </c>
      <c r="AM496" t="str">
        <f>IF(Transaction[[#This Row],[ContractType]]="","Missing Value",Transaction[[#This Row],[ContractType]])</f>
        <v>Frame Agreement</v>
      </c>
      <c r="AN496" t="s">
        <v>43</v>
      </c>
    </row>
    <row r="497" spans="1:40" x14ac:dyDescent="0.25">
      <c r="A497" t="s">
        <v>2941</v>
      </c>
      <c r="B497" s="1">
        <v>45802</v>
      </c>
      <c r="C49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49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49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97" s="2">
        <f>IFERROR(DATE(Transaction[[#This Row],[TransactionDateY]],Transaction[[#This Row],[TransactionDateM]],Transaction[[#This Row],[TransactionDateD]]),"Missing Value")</f>
        <v>45802</v>
      </c>
      <c r="G497" t="s">
        <v>1000</v>
      </c>
      <c r="H497" t="str">
        <f>IFERROR(VLOOKUP(Transaction[[#This Row],[CustomerID]],Custumer[],1,0),IF(LEN(Transaction[[#This Row],[CustomerID]])=7,LEFT(Transaction[[#This Row],[CustomerID]],6),"Invalid ID"))</f>
        <v>C-1137</v>
      </c>
      <c r="I497" t="s">
        <v>268</v>
      </c>
      <c r="J497" t="str">
        <f>TRIM(UPPER(Transaction[[#This Row],[ProductID]]))</f>
        <v>P-FS-002</v>
      </c>
      <c r="K497" t="str">
        <f>IFERROR(VLOOKUP(Transaction[[#This Row],[ProductID_Clean]],Product[],1,FALSE),"Invalid ID")</f>
        <v>P-FS-002</v>
      </c>
      <c r="L497" t="str">
        <f>TRIM(SUBSTITUTE(SUBSTITUTE(SUBSTITUTE(SUBSTITUTE(UPPER(Transaction[[#This Row],[Region]]),"EMEA REGION","EMEA"),"APAC REGION","APAC"),"NORTH AMERICA","N. AMERICA"),"N .AMERICA","N.AMERICA"))</f>
        <v>N. AMERICA</v>
      </c>
      <c r="M497" t="s">
        <v>204</v>
      </c>
      <c r="N497" t="s">
        <v>318</v>
      </c>
      <c r="O497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497" t="s">
        <v>22</v>
      </c>
      <c r="Q497" t="str">
        <f>IF(TRIM(Transaction[[#This Row],[SalesChannel]])="","Missing Value",TRIM(Transaction[[#This Row],[SalesChannel]]))</f>
        <v>Direct</v>
      </c>
      <c r="R497" s="4">
        <v>1</v>
      </c>
      <c r="S497" s="4" t="str">
        <f>IF(Transaction[[#This Row],[Quantity]]&lt;0,"Negative-review","Valid")</f>
        <v>Valid</v>
      </c>
      <c r="T497">
        <v>2141.94</v>
      </c>
      <c r="U49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2141.94</v>
      </c>
      <c r="V497">
        <v>2400</v>
      </c>
      <c r="W497">
        <v>2400</v>
      </c>
      <c r="X49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497">
        <f>IF(Transaction[[#This Row],[GrossRevenue_Check]]="Invalid",Transaction[[#This Row],[ListPrice]]*Transaction[[#This Row],[Quantity]],Transaction[[#This Row],[GrossRevenue_Clean]])</f>
        <v>2400</v>
      </c>
      <c r="Z497" t="str">
        <f>IF(Transaction[[#This Row],[GrossRevenue_Clean]]=Transaction[[#This Row],[ListPrice]]*Transaction[[#This Row],[Quantity]],"Valid","Invalid")</f>
        <v>Valid</v>
      </c>
      <c r="AA497" t="s">
        <v>2942</v>
      </c>
      <c r="AB49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258.06</v>
      </c>
      <c r="AC497">
        <f>IF(Transaction[[#This Row],[DiscountAmount_Check2]]="Invalid",Transaction[[#This Row],[GrossRevenue_Analytical]]-Transaction[[#This Row],[NetRevenue_Analytical]],Transaction[[#This Row],[DiscountAmount_Clean]])</f>
        <v>258.06</v>
      </c>
      <c r="AD497">
        <v>2141.94</v>
      </c>
      <c r="AE497" t="str">
        <f>IF(ROUND(Transaction[[#This Row],[GrossRevenue_Analytical]]-Transaction[[#This Row],[NetRevenue_Analytical]],2)=ROUND(Transaction[[#This Row],[DiscountAmount_Clean]],2),"Valid","Invalid")</f>
        <v>Valid</v>
      </c>
      <c r="AF497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2141.94</v>
      </c>
      <c r="AG497">
        <f>IF(Transaction[[#This Row],[NetRevenue_Check]]="Invalid",(Transaction[[#This Row],[Quantity]]*Transaction[[#This Row],[UnitPrice_Clean]]),Transaction[[#This Row],[NetRevenue_Clean]])</f>
        <v>2141.94</v>
      </c>
      <c r="AH497" t="str">
        <f>IF(Transaction[[#This Row],[Quantity]]*Transaction[[#This Row],[UnitPrice_Clean]]=Transaction[[#This Row],[NetRevenue_Clean]],"Valid","Invalid")</f>
        <v>Valid</v>
      </c>
      <c r="AI497" t="s">
        <v>99</v>
      </c>
      <c r="AJ497" t="s">
        <v>2943</v>
      </c>
      <c r="AK497" t="str">
        <f>IF(Transaction[[#This Row],[Salesperson]]="","Missing Value",TRIM(PROPER(Transaction[[#This Row],[Salesperson]])))</f>
        <v>Huber-Ap</v>
      </c>
      <c r="AL497" t="s">
        <v>295</v>
      </c>
      <c r="AM497" t="str">
        <f>IF(Transaction[[#This Row],[ContractType]]="","Missing Value",Transaction[[#This Row],[ContractType]])</f>
        <v>Multi-Year</v>
      </c>
      <c r="AN497" t="s">
        <v>26</v>
      </c>
    </row>
    <row r="498" spans="1:40" x14ac:dyDescent="0.25">
      <c r="A498" t="s">
        <v>988</v>
      </c>
      <c r="B498" s="1">
        <v>45820</v>
      </c>
      <c r="C49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49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49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98" s="2">
        <f>IFERROR(DATE(Transaction[[#This Row],[TransactionDateY]],Transaction[[#This Row],[TransactionDateM]],Transaction[[#This Row],[TransactionDateD]]),"Missing Value")</f>
        <v>45820</v>
      </c>
      <c r="G498" t="s">
        <v>186</v>
      </c>
      <c r="H498" t="str">
        <f>IFERROR(VLOOKUP(Transaction[[#This Row],[CustomerID]],Custumer[],1,0),IF(LEN(Transaction[[#This Row],[CustomerID]])=7,LEFT(Transaction[[#This Row],[CustomerID]],6),"Invalid ID"))</f>
        <v>C-1063</v>
      </c>
      <c r="I498" t="s">
        <v>29</v>
      </c>
      <c r="J498" t="str">
        <f>TRIM(UPPER(Transaction[[#This Row],[ProductID]]))</f>
        <v>P-SA-001</v>
      </c>
      <c r="K498" t="str">
        <f>IFERROR(VLOOKUP(Transaction[[#This Row],[ProductID_Clean]],Product[],1,FALSE),"Invalid ID")</f>
        <v>P-SA-001</v>
      </c>
      <c r="L498" t="str">
        <f>TRIM(SUBSTITUTE(SUBSTITUTE(SUBSTITUTE(SUBSTITUTE(UPPER(Transaction[[#This Row],[Region]]),"EMEA REGION","EMEA"),"APAC REGION","APAC"),"NORTH AMERICA","N. AMERICA"),"N .AMERICA","N.AMERICA"))</f>
        <v>N. AMERICA</v>
      </c>
      <c r="M498" t="s">
        <v>204</v>
      </c>
      <c r="N498" t="s">
        <v>205</v>
      </c>
      <c r="O49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498" t="s">
        <v>22</v>
      </c>
      <c r="Q498" t="str">
        <f>IF(TRIM(Transaction[[#This Row],[SalesChannel]])="","Missing Value",TRIM(Transaction[[#This Row],[SalesChannel]]))</f>
        <v>Direct</v>
      </c>
      <c r="R498" s="4">
        <v>3</v>
      </c>
      <c r="S498" s="4" t="str">
        <f>IF(Transaction[[#This Row],[Quantity]]&lt;0,"Negative-review","Valid")</f>
        <v>Valid</v>
      </c>
      <c r="T498">
        <v>3292.09</v>
      </c>
      <c r="U49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3292.09</v>
      </c>
      <c r="V498">
        <v>4200</v>
      </c>
      <c r="W498">
        <v>12600</v>
      </c>
      <c r="X49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12600</v>
      </c>
      <c r="Y498">
        <f>IF(Transaction[[#This Row],[GrossRevenue_Check]]="Invalid",Transaction[[#This Row],[ListPrice]]*Transaction[[#This Row],[Quantity]],Transaction[[#This Row],[GrossRevenue_Clean]])</f>
        <v>12600</v>
      </c>
      <c r="Z498" t="str">
        <f>IF(Transaction[[#This Row],[GrossRevenue_Clean]]=Transaction[[#This Row],[ListPrice]]*Transaction[[#This Row],[Quantity]],"Valid","Invalid")</f>
        <v>Valid</v>
      </c>
      <c r="AA498">
        <v>2723.73</v>
      </c>
      <c r="AB49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2723.73</v>
      </c>
      <c r="AC498">
        <f>IF(Transaction[[#This Row],[DiscountAmount_Check2]]="Invalid",Transaction[[#This Row],[GrossRevenue_Analytical]]-Transaction[[#This Row],[NetRevenue_Analytical]],Transaction[[#This Row],[DiscountAmount_Clean]])</f>
        <v>2723.73</v>
      </c>
      <c r="AD498" t="s">
        <v>989</v>
      </c>
      <c r="AE498" t="str">
        <f>IF(ROUND(Transaction[[#This Row],[GrossRevenue_Analytical]]-Transaction[[#This Row],[NetRevenue_Analytical]],2)=ROUND(Transaction[[#This Row],[DiscountAmount_Clean]],2),"Valid","Invalid")</f>
        <v>Valid</v>
      </c>
      <c r="AF498">
        <f>VALUE(IF(ISNUMBER(Transaction[[#This Row],[NetRevenue]]),Transaction[[#This Row],[NetRevenue]],IFERROR(IF(FIND("$",Transaction[[#This Row],[NetRevenue]])&gt;0,MID(Transaction[[#This Row],[NetRevenue]],2,10)),Transaction[[#This Row],[NetRevenue]])))</f>
        <v>9876.27</v>
      </c>
      <c r="AG498">
        <f>IF(Transaction[[#This Row],[NetRevenue_Check]]="Invalid",(Transaction[[#This Row],[Quantity]]*Transaction[[#This Row],[UnitPrice_Clean]]),Transaction[[#This Row],[NetRevenue_Clean]])</f>
        <v>9876.27</v>
      </c>
      <c r="AH498" t="str">
        <f>IF(Transaction[[#This Row],[Quantity]]*Transaction[[#This Row],[UnitPrice_Clean]]=Transaction[[#This Row],[NetRevenue_Clean]],"Valid","Invalid")</f>
        <v>Valid</v>
      </c>
      <c r="AI498" t="s">
        <v>128</v>
      </c>
      <c r="AJ498" t="s">
        <v>990</v>
      </c>
      <c r="AK498" t="str">
        <f>IF(Transaction[[#This Row],[Salesperson]]="","Missing Value",TRIM(PROPER(Transaction[[#This Row],[Salesperson]])))</f>
        <v>Hill-Em</v>
      </c>
      <c r="AL498" t="s">
        <v>34</v>
      </c>
      <c r="AM498" t="str">
        <f>IF(Transaction[[#This Row],[ContractType]]="","Missing Value",Transaction[[#This Row],[ContractType]])</f>
        <v>Annual License</v>
      </c>
      <c r="AN498" t="s">
        <v>43</v>
      </c>
    </row>
    <row r="499" spans="1:40" x14ac:dyDescent="0.25">
      <c r="A499" t="s">
        <v>697</v>
      </c>
      <c r="B499" s="1">
        <v>45740</v>
      </c>
      <c r="C49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49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49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499" s="2">
        <f>IFERROR(DATE(Transaction[[#This Row],[TransactionDateY]],Transaction[[#This Row],[TransactionDateM]],Transaction[[#This Row],[TransactionDateD]]),"Missing Value")</f>
        <v>45740</v>
      </c>
      <c r="G499" t="s">
        <v>367</v>
      </c>
      <c r="H499" t="str">
        <f>IFERROR(VLOOKUP(Transaction[[#This Row],[CustomerID]],Custumer[],1,0),IF(LEN(Transaction[[#This Row],[CustomerID]])=7,LEFT(Transaction[[#This Row],[CustomerID]],6),"Invalid ID"))</f>
        <v>C-1024</v>
      </c>
      <c r="I499" t="s">
        <v>92</v>
      </c>
      <c r="J499" t="str">
        <f>TRIM(UPPER(Transaction[[#This Row],[ProductID]]))</f>
        <v>P-SI-008</v>
      </c>
      <c r="K499" t="str">
        <f>IFERROR(VLOOKUP(Transaction[[#This Row],[ProductID_Clean]],Product[],1,FALSE),"Invalid ID")</f>
        <v>P-SI-008</v>
      </c>
      <c r="L499" t="str">
        <f>TRIM(SUBSTITUTE(SUBSTITUTE(SUBSTITUTE(SUBSTITUTE(UPPER(Transaction[[#This Row],[Region]]),"EMEA REGION","EMEA"),"APAC REGION","APAC"),"NORTH AMERICA","N. AMERICA"),"N .AMERICA","N.AMERICA"))</f>
        <v>APAC</v>
      </c>
      <c r="M499" t="s">
        <v>122</v>
      </c>
      <c r="N499" t="s">
        <v>53</v>
      </c>
      <c r="O49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499" t="s">
        <v>22</v>
      </c>
      <c r="Q499" t="str">
        <f>IF(TRIM(Transaction[[#This Row],[SalesChannel]])="","Missing Value",TRIM(Transaction[[#This Row],[SalesChannel]]))</f>
        <v>Direct</v>
      </c>
      <c r="R499" s="4">
        <v>2</v>
      </c>
      <c r="S499" s="4" t="str">
        <f>IF(Transaction[[#This Row],[Quantity]]&lt;0,"Negative-review","Valid")</f>
        <v>Valid</v>
      </c>
      <c r="T499">
        <v>785.82</v>
      </c>
      <c r="U49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785.82</v>
      </c>
      <c r="V499">
        <v>950</v>
      </c>
      <c r="W499">
        <v>1900</v>
      </c>
      <c r="X49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1900</v>
      </c>
      <c r="Y499">
        <f>IF(Transaction[[#This Row],[GrossRevenue_Check]]="Invalid",Transaction[[#This Row],[ListPrice]]*Transaction[[#This Row],[Quantity]],Transaction[[#This Row],[GrossRevenue_Clean]])</f>
        <v>1900</v>
      </c>
      <c r="Z499" t="str">
        <f>IF(Transaction[[#This Row],[GrossRevenue_Clean]]=Transaction[[#This Row],[ListPrice]]*Transaction[[#This Row],[Quantity]],"Valid","Invalid")</f>
        <v>Valid</v>
      </c>
      <c r="AA499">
        <v>328.36</v>
      </c>
      <c r="AB49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328.36</v>
      </c>
      <c r="AC499">
        <f>IF(Transaction[[#This Row],[DiscountAmount_Check2]]="Invalid",Transaction[[#This Row],[GrossRevenue_Analytical]]-Transaction[[#This Row],[NetRevenue_Analytical]],Transaction[[#This Row],[DiscountAmount_Clean]])</f>
        <v>328.36</v>
      </c>
      <c r="AD499">
        <v>1571.64</v>
      </c>
      <c r="AE499" t="str">
        <f>IF(ROUND(Transaction[[#This Row],[GrossRevenue_Analytical]]-Transaction[[#This Row],[NetRevenue_Analytical]],2)=ROUND(Transaction[[#This Row],[DiscountAmount_Clean]],2),"Valid","Invalid")</f>
        <v>Valid</v>
      </c>
      <c r="AF49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1571.64</v>
      </c>
      <c r="AG499">
        <f>IF(Transaction[[#This Row],[NetRevenue_Check]]="Invalid",(Transaction[[#This Row],[Quantity]]*Transaction[[#This Row],[UnitPrice_Clean]]),Transaction[[#This Row],[NetRevenue_Clean]])</f>
        <v>1571.64</v>
      </c>
      <c r="AH499" t="str">
        <f>IF(Transaction[[#This Row],[Quantity]]*Transaction[[#This Row],[UnitPrice_Clean]]=Transaction[[#This Row],[NetRevenue_Clean]],"Valid","Invalid")</f>
        <v>Valid</v>
      </c>
      <c r="AI499" t="s">
        <v>23</v>
      </c>
      <c r="AJ499" t="s">
        <v>698</v>
      </c>
      <c r="AK499" t="str">
        <f>IF(Transaction[[#This Row],[Salesperson]]="","Missing Value",TRIM(PROPER(Transaction[[#This Row],[Salesperson]])))</f>
        <v>Weber-Ap</v>
      </c>
      <c r="AL499" t="s">
        <v>42</v>
      </c>
      <c r="AM499" t="str">
        <f>IF(Transaction[[#This Row],[ContractType]]="","Missing Value",Transaction[[#This Row],[ContractType]])</f>
        <v>Standard PO</v>
      </c>
      <c r="AN499" t="s">
        <v>65</v>
      </c>
    </row>
    <row r="500" spans="1:40" x14ac:dyDescent="0.25">
      <c r="A500" t="s">
        <v>1936</v>
      </c>
      <c r="B500" s="1">
        <v>45738</v>
      </c>
      <c r="C50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50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50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00" s="2">
        <f>IFERROR(DATE(Transaction[[#This Row],[TransactionDateY]],Transaction[[#This Row],[TransactionDateM]],Transaction[[#This Row],[TransactionDateD]]),"Missing Value")</f>
        <v>45738</v>
      </c>
      <c r="G500" t="s">
        <v>1937</v>
      </c>
      <c r="H500" t="str">
        <f>IFERROR(VLOOKUP(Transaction[[#This Row],[CustomerID]],Custumer[],1,0),IF(LEN(Transaction[[#This Row],[CustomerID]])=7,LEFT(Transaction[[#This Row],[CustomerID]],6),"Invalid ID"))</f>
        <v>C-1026</v>
      </c>
      <c r="I500" t="s">
        <v>46</v>
      </c>
      <c r="J500" t="str">
        <f>TRIM(UPPER(Transaction[[#This Row],[ProductID]]))</f>
        <v>P-SI-006</v>
      </c>
      <c r="K500" t="str">
        <f>IFERROR(VLOOKUP(Transaction[[#This Row],[ProductID_Clean]],Product[],1,FALSE),"Invalid ID")</f>
        <v>P-SI-006</v>
      </c>
      <c r="L500" t="str">
        <f>TRIM(SUBSTITUTE(SUBSTITUTE(SUBSTITUTE(SUBSTITUTE(UPPER(Transaction[[#This Row],[Region]]),"EMEA REGION","EMEA"),"APAC REGION","APAC"),"NORTH AMERICA","N. AMERICA"),"N .AMERICA","N.AMERICA"))</f>
        <v>APAC</v>
      </c>
      <c r="M500" t="s">
        <v>122</v>
      </c>
      <c r="N500" t="s">
        <v>98</v>
      </c>
      <c r="O50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00" t="s">
        <v>22</v>
      </c>
      <c r="Q500" t="str">
        <f>IF(TRIM(Transaction[[#This Row],[SalesChannel]])="","Missing Value",TRIM(Transaction[[#This Row],[SalesChannel]]))</f>
        <v>Direct</v>
      </c>
      <c r="R500" s="4">
        <v>3</v>
      </c>
      <c r="S500" s="4" t="str">
        <f>IF(Transaction[[#This Row],[Quantity]]&lt;0,"Negative-review","Valid")</f>
        <v>Valid</v>
      </c>
      <c r="T500">
        <v>187.84</v>
      </c>
      <c r="U50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187.84</v>
      </c>
      <c r="V500">
        <v>215</v>
      </c>
      <c r="W500">
        <v>645</v>
      </c>
      <c r="X50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500">
        <f>IF(Transaction[[#This Row],[GrossRevenue_Check]]="Invalid",Transaction[[#This Row],[ListPrice]]*Transaction[[#This Row],[Quantity]],Transaction[[#This Row],[GrossRevenue_Clean]])</f>
        <v>645</v>
      </c>
      <c r="Z500" t="str">
        <f>IF(Transaction[[#This Row],[GrossRevenue_Clean]]=Transaction[[#This Row],[ListPrice]]*Transaction[[#This Row],[Quantity]],"Valid","Invalid")</f>
        <v>Valid</v>
      </c>
      <c r="AA500">
        <v>81.48</v>
      </c>
      <c r="AB50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81.48</v>
      </c>
      <c r="AC500">
        <f>IF(Transaction[[#This Row],[DiscountAmount_Check2]]="Invalid",Transaction[[#This Row],[GrossRevenue_Analytical]]-Transaction[[#This Row],[NetRevenue_Analytical]],Transaction[[#This Row],[DiscountAmount_Clean]])</f>
        <v>81.48</v>
      </c>
      <c r="AD500">
        <v>563.52</v>
      </c>
      <c r="AE500" t="str">
        <f>IF(ROUND(Transaction[[#This Row],[GrossRevenue_Analytical]]-Transaction[[#This Row],[NetRevenue_Analytical]],2)=ROUND(Transaction[[#This Row],[DiscountAmount_Clean]],2),"Valid","Invalid")</f>
        <v>Valid</v>
      </c>
      <c r="AF500">
        <f>VALUE(IF(ISNUMBER(Transaction[[#This Row],[NetRevenue]]),Transaction[[#This Row],[NetRevenue]],IFERROR(IF(FIND("$",Transaction[[#This Row],[NetRevenue]])&gt;0,MID(Transaction[[#This Row],[NetRevenue]],2,10)),Transaction[[#This Row],[NetRevenue]])))</f>
        <v>563.52</v>
      </c>
      <c r="AG500">
        <f>IF(Transaction[[#This Row],[NetRevenue_Check]]="Invalid",(Transaction[[#This Row],[Quantity]]*Transaction[[#This Row],[UnitPrice_Clean]]),Transaction[[#This Row],[NetRevenue_Clean]])</f>
        <v>563.52</v>
      </c>
      <c r="AH500" t="str">
        <f>IF(Transaction[[#This Row],[Quantity]]*Transaction[[#This Row],[UnitPrice_Clean]]=Transaction[[#This Row],[NetRevenue_Clean]],"Valid","Invalid")</f>
        <v>Valid</v>
      </c>
      <c r="AI500" t="s">
        <v>23</v>
      </c>
      <c r="AJ500" t="s">
        <v>1340</v>
      </c>
      <c r="AK500" t="str">
        <f>IF(Transaction[[#This Row],[Salesperson]]="","Missing Value",TRIM(PROPER(Transaction[[#This Row],[Salesperson]])))</f>
        <v>Mendez</v>
      </c>
      <c r="AL500" t="s">
        <v>55</v>
      </c>
      <c r="AM500" t="str">
        <f>IF(Transaction[[#This Row],[ContractType]]="","Missing Value",Transaction[[#This Row],[ContractType]])</f>
        <v>Spot</v>
      </c>
      <c r="AN500" t="s">
        <v>43</v>
      </c>
    </row>
    <row r="501" spans="1:40" x14ac:dyDescent="0.25">
      <c r="A501" t="s">
        <v>2587</v>
      </c>
      <c r="B501" s="1">
        <v>45770</v>
      </c>
      <c r="C50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50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50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01" s="2">
        <f>IFERROR(DATE(Transaction[[#This Row],[TransactionDateY]],Transaction[[#This Row],[TransactionDateM]],Transaction[[#This Row],[TransactionDateD]]),"Missing Value")</f>
        <v>45770</v>
      </c>
      <c r="G501" t="s">
        <v>374</v>
      </c>
      <c r="H501" t="str">
        <f>IFERROR(VLOOKUP(Transaction[[#This Row],[CustomerID]],Custumer[],1,0),IF(LEN(Transaction[[#This Row],[CustomerID]])=7,LEFT(Transaction[[#This Row],[CustomerID]],6),"Invalid ID"))</f>
        <v>C-1102</v>
      </c>
      <c r="I501" t="s">
        <v>268</v>
      </c>
      <c r="J501" t="str">
        <f>TRIM(UPPER(Transaction[[#This Row],[ProductID]]))</f>
        <v>P-FS-002</v>
      </c>
      <c r="K501" t="str">
        <f>IFERROR(VLOOKUP(Transaction[[#This Row],[ProductID_Clean]],Product[],1,FALSE),"Invalid ID")</f>
        <v>P-FS-002</v>
      </c>
      <c r="L501" t="str">
        <f>TRIM(SUBSTITUTE(SUBSTITUTE(SUBSTITUTE(SUBSTITUTE(UPPER(Transaction[[#This Row],[Region]]),"EMEA REGION","EMEA"),"APAC REGION","APAC"),"NORTH AMERICA","N. AMERICA"),"N .AMERICA","N.AMERICA"))</f>
        <v>LATIN AMERICA</v>
      </c>
      <c r="M501" t="s">
        <v>82</v>
      </c>
      <c r="N501" t="s">
        <v>244</v>
      </c>
      <c r="O501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Q501" t="str">
        <f>IF(TRIM(Transaction[[#This Row],[SalesChannel]])="","Missing Value",TRIM(Transaction[[#This Row],[SalesChannel]]))</f>
        <v>Missing Value</v>
      </c>
      <c r="R501" s="4">
        <v>1</v>
      </c>
      <c r="S501" s="4" t="str">
        <f>IF(Transaction[[#This Row],[Quantity]]&lt;0,"Negative-review","Valid")</f>
        <v>Valid</v>
      </c>
      <c r="T501">
        <v>2153.1</v>
      </c>
      <c r="U50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2153.1</v>
      </c>
      <c r="V501">
        <v>2400</v>
      </c>
      <c r="W501">
        <v>2400</v>
      </c>
      <c r="X50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501">
        <f>IF(Transaction[[#This Row],[GrossRevenue_Check]]="Invalid",Transaction[[#This Row],[ListPrice]]*Transaction[[#This Row],[Quantity]],Transaction[[#This Row],[GrossRevenue_Clean]])</f>
        <v>2400</v>
      </c>
      <c r="Z501" t="str">
        <f>IF(Transaction[[#This Row],[GrossRevenue_Clean]]=Transaction[[#This Row],[ListPrice]]*Transaction[[#This Row],[Quantity]],"Valid","Invalid")</f>
        <v>Valid</v>
      </c>
      <c r="AA501">
        <v>246.9</v>
      </c>
      <c r="AB50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246.9</v>
      </c>
      <c r="AC501">
        <f>IF(Transaction[[#This Row],[DiscountAmount_Check2]]="Invalid",Transaction[[#This Row],[GrossRevenue_Analytical]]-Transaction[[#This Row],[NetRevenue_Analytical]],Transaction[[#This Row],[DiscountAmount_Clean]])</f>
        <v>246.9</v>
      </c>
      <c r="AD501">
        <v>2153.1</v>
      </c>
      <c r="AE501" t="str">
        <f>IF(ROUND(Transaction[[#This Row],[GrossRevenue_Analytical]]-Transaction[[#This Row],[NetRevenue_Analytical]],2)=ROUND(Transaction[[#This Row],[DiscountAmount_Clean]],2),"Valid","Invalid")</f>
        <v>Valid</v>
      </c>
      <c r="AF50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2153.1</v>
      </c>
      <c r="AG501">
        <f>IF(Transaction[[#This Row],[NetRevenue_Check]]="Invalid",(Transaction[[#This Row],[Quantity]]*Transaction[[#This Row],[UnitPrice_Clean]]),Transaction[[#This Row],[NetRevenue_Clean]])</f>
        <v>2153.1</v>
      </c>
      <c r="AH501" t="str">
        <f>IF(Transaction[[#This Row],[Quantity]]*Transaction[[#This Row],[UnitPrice_Clean]]=Transaction[[#This Row],[NetRevenue_Clean]],"Valid","Invalid")</f>
        <v>Valid</v>
      </c>
      <c r="AI501" t="s">
        <v>23</v>
      </c>
      <c r="AJ501" t="s">
        <v>781</v>
      </c>
      <c r="AK501" t="str">
        <f>IF(Transaction[[#This Row],[Salesperson]]="","Missing Value",TRIM(PROPER(Transaction[[#This Row],[Salesperson]])))</f>
        <v>Davis</v>
      </c>
      <c r="AL501" t="s">
        <v>224</v>
      </c>
      <c r="AM501" t="str">
        <f>IF(Transaction[[#This Row],[ContractType]]="","Missing Value",Transaction[[#This Row],[ContractType]])</f>
        <v>Annual</v>
      </c>
      <c r="AN501" t="s">
        <v>49</v>
      </c>
    </row>
    <row r="502" spans="1:40" x14ac:dyDescent="0.25">
      <c r="A502" t="s">
        <v>893</v>
      </c>
      <c r="B502" t="s">
        <v>894</v>
      </c>
      <c r="C50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50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01</v>
      </c>
      <c r="E50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02" s="2">
        <f>IFERROR(DATE(Transaction[[#This Row],[TransactionDateY]],Transaction[[#This Row],[TransactionDateM]],Transaction[[#This Row],[TransactionDateD]]),"Missing Value")</f>
        <v>45778</v>
      </c>
      <c r="G502" t="s">
        <v>18</v>
      </c>
      <c r="H502" t="str">
        <f>IFERROR(VLOOKUP(Transaction[[#This Row],[CustomerID]],Custumer[],1,0),IF(LEN(Transaction[[#This Row],[CustomerID]])=7,LEFT(Transaction[[#This Row],[CustomerID]],6),"Invalid ID"))</f>
        <v>C-1048</v>
      </c>
      <c r="I502" t="s">
        <v>46</v>
      </c>
      <c r="J502" t="str">
        <f>TRIM(UPPER(Transaction[[#This Row],[ProductID]]))</f>
        <v>P-SI-006</v>
      </c>
      <c r="K502" t="str">
        <f>IFERROR(VLOOKUP(Transaction[[#This Row],[ProductID_Clean]],Product[],1,FALSE),"Invalid ID")</f>
        <v>P-SI-006</v>
      </c>
      <c r="L502" t="str">
        <f>TRIM(SUBSTITUTE(SUBSTITUTE(SUBSTITUTE(SUBSTITUTE(UPPER(Transaction[[#This Row],[Region]]),"EMEA REGION","EMEA"),"APAC REGION","APAC"),"NORTH AMERICA","N. AMERICA"),"N .AMERICA","N.AMERICA"))</f>
        <v>N. AMERICA</v>
      </c>
      <c r="M502" t="s">
        <v>20</v>
      </c>
      <c r="N502" t="s">
        <v>53</v>
      </c>
      <c r="O50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02" t="s">
        <v>181</v>
      </c>
      <c r="Q502" t="str">
        <f>IF(TRIM(Transaction[[#This Row],[SalesChannel]])="","Missing Value",TRIM(Transaction[[#This Row],[SalesChannel]]))</f>
        <v>Partner Portal</v>
      </c>
      <c r="R502" s="4">
        <v>4</v>
      </c>
      <c r="S502" s="4" t="str">
        <f>IF(Transaction[[#This Row],[Quantity]]&lt;0,"Negative-review","Valid")</f>
        <v>Valid</v>
      </c>
      <c r="T502">
        <v>154</v>
      </c>
      <c r="U50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154</v>
      </c>
      <c r="V502">
        <v>215</v>
      </c>
      <c r="W502" t="s">
        <v>895</v>
      </c>
      <c r="X50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860</v>
      </c>
      <c r="Y502">
        <f>IF(Transaction[[#This Row],[GrossRevenue_Check]]="Invalid",Transaction[[#This Row],[ListPrice]]*Transaction[[#This Row],[Quantity]],Transaction[[#This Row],[GrossRevenue_Clean]])</f>
        <v>860</v>
      </c>
      <c r="Z502" t="str">
        <f>IF(Transaction[[#This Row],[GrossRevenue_Clean]]=Transaction[[#This Row],[ListPrice]]*Transaction[[#This Row],[Quantity]],"Valid","Invalid")</f>
        <v>Valid</v>
      </c>
      <c r="AA502">
        <v>244</v>
      </c>
      <c r="AB50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244</v>
      </c>
      <c r="AC502">
        <f>IF(Transaction[[#This Row],[DiscountAmount_Check2]]="Invalid",Transaction[[#This Row],[GrossRevenue_Analytical]]-Transaction[[#This Row],[NetRevenue_Analytical]],Transaction[[#This Row],[DiscountAmount_Clean]])</f>
        <v>244</v>
      </c>
      <c r="AD502">
        <v>616</v>
      </c>
      <c r="AE502" t="str">
        <f>IF(ROUND(Transaction[[#This Row],[GrossRevenue_Analytical]]-Transaction[[#This Row],[NetRevenue_Analytical]],2)=ROUND(Transaction[[#This Row],[DiscountAmount_Clean]],2),"Valid","Invalid")</f>
        <v>Valid</v>
      </c>
      <c r="AF502">
        <f>VALUE(IF(ISNUMBER(Transaction[[#This Row],[NetRevenue]]),Transaction[[#This Row],[NetRevenue]],IFERROR(IF(FIND("$",Transaction[[#This Row],[NetRevenue]])&gt;0,MID(Transaction[[#This Row],[NetRevenue]],2,10)),Transaction[[#This Row],[NetRevenue]])))</f>
        <v>616</v>
      </c>
      <c r="AG502">
        <f>IF(Transaction[[#This Row],[NetRevenue_Check]]="Invalid",(Transaction[[#This Row],[Quantity]]*Transaction[[#This Row],[UnitPrice_Clean]]),Transaction[[#This Row],[NetRevenue_Clean]])</f>
        <v>616</v>
      </c>
      <c r="AH502" t="str">
        <f>IF(Transaction[[#This Row],[Quantity]]*Transaction[[#This Row],[UnitPrice_Clean]]=Transaction[[#This Row],[NetRevenue_Clean]],"Valid","Invalid")</f>
        <v>Valid</v>
      </c>
      <c r="AI502" t="s">
        <v>23</v>
      </c>
      <c r="AJ502" t="s">
        <v>896</v>
      </c>
      <c r="AK502" t="str">
        <f>IF(Transaction[[#This Row],[Salesperson]]="","Missing Value",TRIM(PROPER(Transaction[[#This Row],[Salesperson]])))</f>
        <v>Davidson-Na</v>
      </c>
      <c r="AL502" t="s">
        <v>42</v>
      </c>
      <c r="AM502" t="str">
        <f>IF(Transaction[[#This Row],[ContractType]]="","Missing Value",Transaction[[#This Row],[ContractType]])</f>
        <v>Standard PO</v>
      </c>
      <c r="AN502" t="s">
        <v>26</v>
      </c>
    </row>
    <row r="503" spans="1:40" x14ac:dyDescent="0.25">
      <c r="A503" t="s">
        <v>2176</v>
      </c>
      <c r="B503" s="1">
        <v>45819</v>
      </c>
      <c r="C50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50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50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03" s="2">
        <f>IFERROR(DATE(Transaction[[#This Row],[TransactionDateY]],Transaction[[#This Row],[TransactionDateM]],Transaction[[#This Row],[TransactionDateD]]),"Missing Value")</f>
        <v>45819</v>
      </c>
      <c r="G503" t="s">
        <v>1515</v>
      </c>
      <c r="H503" t="str">
        <f>IFERROR(VLOOKUP(Transaction[[#This Row],[CustomerID]],Custumer[],1,0),IF(LEN(Transaction[[#This Row],[CustomerID]])=7,LEFT(Transaction[[#This Row],[CustomerID]],6),"Invalid ID"))</f>
        <v>C-1179</v>
      </c>
      <c r="I503" t="s">
        <v>1863</v>
      </c>
      <c r="J503" t="str">
        <f>TRIM(UPPER(Transaction[[#This Row],[ProductID]]))</f>
        <v>P-FS-001</v>
      </c>
      <c r="K503" t="str">
        <f>IFERROR(VLOOKUP(Transaction[[#This Row],[ProductID_Clean]],Product[],1,FALSE),"Invalid ID")</f>
        <v>P-FS-001</v>
      </c>
      <c r="L503" t="str">
        <f>TRIM(SUBSTITUTE(SUBSTITUTE(SUBSTITUTE(SUBSTITUTE(UPPER(Transaction[[#This Row],[Region]]),"EMEA REGION","EMEA"),"APAC REGION","APAC"),"NORTH AMERICA","N. AMERICA"),"N .AMERICA","N.AMERICA"))</f>
        <v>APAC</v>
      </c>
      <c r="M503" t="s">
        <v>30</v>
      </c>
      <c r="N503" t="s">
        <v>318</v>
      </c>
      <c r="O50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503" t="s">
        <v>22</v>
      </c>
      <c r="Q503" t="str">
        <f>IF(TRIM(Transaction[[#This Row],[SalesChannel]])="","Missing Value",TRIM(Transaction[[#This Row],[SalesChannel]]))</f>
        <v>Direct</v>
      </c>
      <c r="R503" s="4">
        <v>1</v>
      </c>
      <c r="S503" s="4" t="str">
        <f>IF(Transaction[[#This Row],[Quantity]]&lt;0,"Negative-review","Valid")</f>
        <v>Valid</v>
      </c>
      <c r="T503">
        <v>1422.4</v>
      </c>
      <c r="U50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1422.4</v>
      </c>
      <c r="V503">
        <v>1850</v>
      </c>
      <c r="W503">
        <v>1850</v>
      </c>
      <c r="X50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503">
        <f>IF(Transaction[[#This Row],[GrossRevenue_Check]]="Invalid",Transaction[[#This Row],[ListPrice]]*Transaction[[#This Row],[Quantity]],Transaction[[#This Row],[GrossRevenue_Clean]])</f>
        <v>1850</v>
      </c>
      <c r="Z503" t="str">
        <f>IF(Transaction[[#This Row],[GrossRevenue_Clean]]=Transaction[[#This Row],[ListPrice]]*Transaction[[#This Row],[Quantity]],"Valid","Invalid")</f>
        <v>Valid</v>
      </c>
      <c r="AA503">
        <v>427.6</v>
      </c>
      <c r="AB50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427.6</v>
      </c>
      <c r="AC503">
        <f>IF(Transaction[[#This Row],[DiscountAmount_Check2]]="Invalid",Transaction[[#This Row],[GrossRevenue_Analytical]]-Transaction[[#This Row],[NetRevenue_Analytical]],Transaction[[#This Row],[DiscountAmount_Clean]])</f>
        <v>427.6</v>
      </c>
      <c r="AD503">
        <v>1422.4</v>
      </c>
      <c r="AE503" t="str">
        <f>IF(ROUND(Transaction[[#This Row],[GrossRevenue_Analytical]]-Transaction[[#This Row],[NetRevenue_Analytical]],2)=ROUND(Transaction[[#This Row],[DiscountAmount_Clean]],2),"Valid","Invalid")</f>
        <v>Valid</v>
      </c>
      <c r="AF50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1422.4</v>
      </c>
      <c r="AG503">
        <f>IF(Transaction[[#This Row],[NetRevenue_Check]]="Invalid",(Transaction[[#This Row],[Quantity]]*Transaction[[#This Row],[UnitPrice_Clean]]),Transaction[[#This Row],[NetRevenue_Clean]])</f>
        <v>1422.4</v>
      </c>
      <c r="AH503" t="str">
        <f>IF(Transaction[[#This Row],[Quantity]]*Transaction[[#This Row],[UnitPrice_Clean]]=Transaction[[#This Row],[NetRevenue_Clean]],"Valid","Invalid")</f>
        <v>Valid</v>
      </c>
      <c r="AI503" t="s">
        <v>23</v>
      </c>
      <c r="AJ503" t="s">
        <v>1124</v>
      </c>
      <c r="AK503" t="str">
        <f>IF(Transaction[[#This Row],[Salesperson]]="","Missing Value",TRIM(PROPER(Transaction[[#This Row],[Salesperson]])))</f>
        <v>Vargas</v>
      </c>
      <c r="AL503" t="s">
        <v>55</v>
      </c>
      <c r="AM503" t="str">
        <f>IF(Transaction[[#This Row],[ContractType]]="","Missing Value",Transaction[[#This Row],[ContractType]])</f>
        <v>Spot</v>
      </c>
      <c r="AN503" t="s">
        <v>26</v>
      </c>
    </row>
    <row r="504" spans="1:40" x14ac:dyDescent="0.25">
      <c r="A504" t="s">
        <v>1931</v>
      </c>
      <c r="B504" s="1">
        <v>45728</v>
      </c>
      <c r="C50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50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50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04" s="2">
        <f>IFERROR(DATE(Transaction[[#This Row],[TransactionDateY]],Transaction[[#This Row],[TransactionDateM]],Transaction[[#This Row],[TransactionDateD]]),"Missing Value")</f>
        <v>45728</v>
      </c>
      <c r="G504" t="s">
        <v>1367</v>
      </c>
      <c r="H504" t="str">
        <f>IFERROR(VLOOKUP(Transaction[[#This Row],[CustomerID]],Custumer[],1,0),IF(LEN(Transaction[[#This Row],[CustomerID]])=7,LEFT(Transaction[[#This Row],[CustomerID]],6),"Invalid ID"))</f>
        <v>C-1069</v>
      </c>
      <c r="I504" t="s">
        <v>111</v>
      </c>
      <c r="J504" t="str">
        <f>TRIM(UPPER(Transaction[[#This Row],[ProductID]]))</f>
        <v>P-SA-004</v>
      </c>
      <c r="K504" t="str">
        <f>IFERROR(VLOOKUP(Transaction[[#This Row],[ProductID_Clean]],Product[],1,FALSE),"Invalid ID")</f>
        <v>P-SA-004</v>
      </c>
      <c r="L504" t="str">
        <f>TRIM(SUBSTITUTE(SUBSTITUTE(SUBSTITUTE(SUBSTITUTE(UPPER(Transaction[[#This Row],[Region]]),"EMEA REGION","EMEA"),"APAC REGION","APAC"),"NORTH AMERICA","N. AMERICA"),"N .AMERICA","N.AMERICA"))</f>
        <v>EMEA</v>
      </c>
      <c r="M504" t="s">
        <v>76</v>
      </c>
      <c r="N504" t="s">
        <v>31</v>
      </c>
      <c r="O50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04" t="s">
        <v>22</v>
      </c>
      <c r="Q504" t="str">
        <f>IF(TRIM(Transaction[[#This Row],[SalesChannel]])="","Missing Value",TRIM(Transaction[[#This Row],[SalesChannel]]))</f>
        <v>Direct</v>
      </c>
      <c r="R504" s="4">
        <v>1</v>
      </c>
      <c r="S504" s="4" t="str">
        <f>IF(Transaction[[#This Row],[Quantity]]&lt;0,"Negative-review","Valid")</f>
        <v>Valid</v>
      </c>
      <c r="T504">
        <v>1499.95</v>
      </c>
      <c r="U50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1499.95</v>
      </c>
      <c r="V504">
        <v>1650</v>
      </c>
      <c r="W504">
        <v>1650</v>
      </c>
      <c r="X50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504">
        <f>IF(Transaction[[#This Row],[GrossRevenue_Check]]="Invalid",Transaction[[#This Row],[ListPrice]]*Transaction[[#This Row],[Quantity]],Transaction[[#This Row],[GrossRevenue_Clean]])</f>
        <v>1650</v>
      </c>
      <c r="Z504" t="str">
        <f>IF(Transaction[[#This Row],[GrossRevenue_Clean]]=Transaction[[#This Row],[ListPrice]]*Transaction[[#This Row],[Quantity]],"Valid","Invalid")</f>
        <v>Valid</v>
      </c>
      <c r="AA504">
        <v>150.05000000000001</v>
      </c>
      <c r="AB50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150.05000000000001</v>
      </c>
      <c r="AC504">
        <f>IF(Transaction[[#This Row],[DiscountAmount_Check2]]="Invalid",Transaction[[#This Row],[GrossRevenue_Analytical]]-Transaction[[#This Row],[NetRevenue_Analytical]],Transaction[[#This Row],[DiscountAmount_Clean]])</f>
        <v>150.05000000000001</v>
      </c>
      <c r="AD504">
        <v>1499.95</v>
      </c>
      <c r="AE504" t="str">
        <f>IF(ROUND(Transaction[[#This Row],[GrossRevenue_Analytical]]-Transaction[[#This Row],[NetRevenue_Analytical]],2)=ROUND(Transaction[[#This Row],[DiscountAmount_Clean]],2),"Valid","Invalid")</f>
        <v>Valid</v>
      </c>
      <c r="AF50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1499.95</v>
      </c>
      <c r="AG504">
        <f>IF(Transaction[[#This Row],[NetRevenue_Check]]="Invalid",(Transaction[[#This Row],[Quantity]]*Transaction[[#This Row],[UnitPrice_Clean]]),Transaction[[#This Row],[NetRevenue_Clean]])</f>
        <v>1499.95</v>
      </c>
      <c r="AH504" t="str">
        <f>IF(Transaction[[#This Row],[Quantity]]*Transaction[[#This Row],[UnitPrice_Clean]]=Transaction[[#This Row],[NetRevenue_Clean]],"Valid","Invalid")</f>
        <v>Valid</v>
      </c>
      <c r="AI504" t="s">
        <v>23</v>
      </c>
      <c r="AJ504" t="s">
        <v>1932</v>
      </c>
      <c r="AK504" t="str">
        <f>IF(Transaction[[#This Row],[Salesperson]]="","Missing Value",TRIM(PROPER(Transaction[[#This Row],[Salesperson]])))</f>
        <v>Carpenter-Em</v>
      </c>
      <c r="AL504" t="s">
        <v>113</v>
      </c>
      <c r="AM504" t="str">
        <f>IF(Transaction[[#This Row],[ContractType]]="","Missing Value",Transaction[[#This Row],[ContractType]])</f>
        <v>Subscription</v>
      </c>
      <c r="AN504" t="s">
        <v>43</v>
      </c>
    </row>
    <row r="505" spans="1:40" x14ac:dyDescent="0.25">
      <c r="A505" t="s">
        <v>2144</v>
      </c>
      <c r="B505" s="1">
        <v>45672</v>
      </c>
      <c r="C50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50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50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05" s="2">
        <f>IFERROR(DATE(Transaction[[#This Row],[TransactionDateY]],Transaction[[#This Row],[TransactionDateM]],Transaction[[#This Row],[TransactionDateD]]),"Missing Value")</f>
        <v>45672</v>
      </c>
      <c r="G505" t="s">
        <v>1668</v>
      </c>
      <c r="H505" t="str">
        <f>IFERROR(VLOOKUP(Transaction[[#This Row],[CustomerID]],Custumer[],1,0),IF(LEN(Transaction[[#This Row],[CustomerID]])=7,LEFT(Transaction[[#This Row],[CustomerID]],6),"Invalid ID"))</f>
        <v>C-1143</v>
      </c>
      <c r="I505" t="s">
        <v>92</v>
      </c>
      <c r="J505" t="str">
        <f>TRIM(UPPER(Transaction[[#This Row],[ProductID]]))</f>
        <v>P-SI-008</v>
      </c>
      <c r="K505" t="str">
        <f>IFERROR(VLOOKUP(Transaction[[#This Row],[ProductID_Clean]],Product[],1,FALSE),"Invalid ID")</f>
        <v>P-SI-008</v>
      </c>
      <c r="L505" t="str">
        <f>TRIM(SUBSTITUTE(SUBSTITUTE(SUBSTITUTE(SUBSTITUTE(UPPER(Transaction[[#This Row],[Region]]),"EMEA REGION","EMEA"),"APAC REGION","APAC"),"NORTH AMERICA","N. AMERICA"),"N .AMERICA","N.AMERICA"))</f>
        <v>EMEA</v>
      </c>
      <c r="M505" t="s">
        <v>76</v>
      </c>
      <c r="N505" t="s">
        <v>272</v>
      </c>
      <c r="O50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05" t="s">
        <v>22</v>
      </c>
      <c r="Q505" t="str">
        <f>IF(TRIM(Transaction[[#This Row],[SalesChannel]])="","Missing Value",TRIM(Transaction[[#This Row],[SalesChannel]]))</f>
        <v>Direct</v>
      </c>
      <c r="R505" s="4">
        <v>2</v>
      </c>
      <c r="S505" s="4" t="str">
        <f>IF(Transaction[[#This Row],[Quantity]]&lt;0,"Negative-review","Valid")</f>
        <v>Valid</v>
      </c>
      <c r="T505">
        <v>825.85</v>
      </c>
      <c r="U50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825.85</v>
      </c>
      <c r="V505">
        <v>950</v>
      </c>
      <c r="W505">
        <v>1900</v>
      </c>
      <c r="X50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1900</v>
      </c>
      <c r="Y505">
        <f>IF(Transaction[[#This Row],[GrossRevenue_Check]]="Invalid",Transaction[[#This Row],[ListPrice]]*Transaction[[#This Row],[Quantity]],Transaction[[#This Row],[GrossRevenue_Clean]])</f>
        <v>1900</v>
      </c>
      <c r="Z505" t="str">
        <f>IF(Transaction[[#This Row],[GrossRevenue_Clean]]=Transaction[[#This Row],[ListPrice]]*Transaction[[#This Row],[Quantity]],"Valid","Invalid")</f>
        <v>Valid</v>
      </c>
      <c r="AA505">
        <v>248.3</v>
      </c>
      <c r="AB50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248.3</v>
      </c>
      <c r="AC505">
        <f>IF(Transaction[[#This Row],[DiscountAmount_Check2]]="Invalid",Transaction[[#This Row],[GrossRevenue_Analytical]]-Transaction[[#This Row],[NetRevenue_Analytical]],Transaction[[#This Row],[DiscountAmount_Clean]])</f>
        <v>248.3</v>
      </c>
      <c r="AD505">
        <v>1651.7</v>
      </c>
      <c r="AE505" t="str">
        <f>IF(ROUND(Transaction[[#This Row],[GrossRevenue_Analytical]]-Transaction[[#This Row],[NetRevenue_Analytical]],2)=ROUND(Transaction[[#This Row],[DiscountAmount_Clean]],2),"Valid","Invalid")</f>
        <v>Valid</v>
      </c>
      <c r="AF50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1651.7</v>
      </c>
      <c r="AG505">
        <f>IF(Transaction[[#This Row],[NetRevenue_Check]]="Invalid",(Transaction[[#This Row],[Quantity]]*Transaction[[#This Row],[UnitPrice_Clean]]),Transaction[[#This Row],[NetRevenue_Clean]])</f>
        <v>1651.7</v>
      </c>
      <c r="AH505" t="str">
        <f>IF(Transaction[[#This Row],[Quantity]]*Transaction[[#This Row],[UnitPrice_Clean]]=Transaction[[#This Row],[NetRevenue_Clean]],"Valid","Invalid")</f>
        <v>Valid</v>
      </c>
      <c r="AI505" t="s">
        <v>23</v>
      </c>
      <c r="AJ505" t="s">
        <v>434</v>
      </c>
      <c r="AK505" t="str">
        <f>IF(Transaction[[#This Row],[Salesperson]]="","Missing Value",TRIM(PROPER(Transaction[[#This Row],[Salesperson]])))</f>
        <v>Jackson</v>
      </c>
      <c r="AM505" t="str">
        <f>IF(Transaction[[#This Row],[ContractType]]="","Missing Value",Transaction[[#This Row],[ContractType]])</f>
        <v>Missing Value</v>
      </c>
      <c r="AN505" t="s">
        <v>26</v>
      </c>
    </row>
    <row r="506" spans="1:40" x14ac:dyDescent="0.25">
      <c r="A506" t="s">
        <v>1761</v>
      </c>
      <c r="B506" s="1">
        <v>45787</v>
      </c>
      <c r="C50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50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50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06" s="2">
        <f>IFERROR(DATE(Transaction[[#This Row],[TransactionDateY]],Transaction[[#This Row],[TransactionDateM]],Transaction[[#This Row],[TransactionDateD]]),"Missing Value")</f>
        <v>45787</v>
      </c>
      <c r="G506" t="s">
        <v>351</v>
      </c>
      <c r="H506" t="str">
        <f>IFERROR(VLOOKUP(Transaction[[#This Row],[CustomerID]],Custumer[],1,0),IF(LEN(Transaction[[#This Row],[CustomerID]])=7,LEFT(Transaction[[#This Row],[CustomerID]],6),"Invalid ID"))</f>
        <v>C-1004</v>
      </c>
      <c r="I506" t="s">
        <v>29</v>
      </c>
      <c r="J506" t="str">
        <f>TRIM(UPPER(Transaction[[#This Row],[ProductID]]))</f>
        <v>P-SA-001</v>
      </c>
      <c r="K506" t="str">
        <f>IFERROR(VLOOKUP(Transaction[[#This Row],[ProductID_Clean]],Product[],1,FALSE),"Invalid ID")</f>
        <v>P-SA-001</v>
      </c>
      <c r="L506" t="str">
        <f>TRIM(SUBSTITUTE(SUBSTITUTE(SUBSTITUTE(SUBSTITUTE(UPPER(Transaction[[#This Row],[Region]]),"EMEA REGION","EMEA"),"APAC REGION","APAC"),"NORTH AMERICA","N. AMERICA"),"N .AMERICA","N.AMERICA"))</f>
        <v>N. AMERICA</v>
      </c>
      <c r="M506" t="s">
        <v>20</v>
      </c>
      <c r="N506" t="s">
        <v>31</v>
      </c>
      <c r="O50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06" t="s">
        <v>181</v>
      </c>
      <c r="Q506" t="str">
        <f>IF(TRIM(Transaction[[#This Row],[SalesChannel]])="","Missing Value",TRIM(Transaction[[#This Row],[SalesChannel]]))</f>
        <v>Partner Portal</v>
      </c>
      <c r="R506" s="4">
        <v>1</v>
      </c>
      <c r="S506" s="4" t="str">
        <f>IF(Transaction[[#This Row],[Quantity]]&lt;0,"Negative-review","Valid")</f>
        <v>Valid</v>
      </c>
      <c r="T506">
        <v>3902.27</v>
      </c>
      <c r="U50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3902.27</v>
      </c>
      <c r="V506">
        <v>4200</v>
      </c>
      <c r="W506">
        <v>4200</v>
      </c>
      <c r="X50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506">
        <f>IF(Transaction[[#This Row],[GrossRevenue_Check]]="Invalid",Transaction[[#This Row],[ListPrice]]*Transaction[[#This Row],[Quantity]],Transaction[[#This Row],[GrossRevenue_Clean]])</f>
        <v>4200</v>
      </c>
      <c r="Z506" t="str">
        <f>IF(Transaction[[#This Row],[GrossRevenue_Clean]]=Transaction[[#This Row],[ListPrice]]*Transaction[[#This Row],[Quantity]],"Valid","Invalid")</f>
        <v>Valid</v>
      </c>
      <c r="AA506">
        <v>297.73</v>
      </c>
      <c r="AB50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297.73</v>
      </c>
      <c r="AC506">
        <f>IF(Transaction[[#This Row],[DiscountAmount_Check2]]="Invalid",Transaction[[#This Row],[GrossRevenue_Analytical]]-Transaction[[#This Row],[NetRevenue_Analytical]],Transaction[[#This Row],[DiscountAmount_Clean]])</f>
        <v>297.73</v>
      </c>
      <c r="AD506">
        <v>3902.27</v>
      </c>
      <c r="AE506" t="str">
        <f>IF(ROUND(Transaction[[#This Row],[GrossRevenue_Analytical]]-Transaction[[#This Row],[NetRevenue_Analytical]],2)=ROUND(Transaction[[#This Row],[DiscountAmount_Clean]],2),"Valid","Invalid")</f>
        <v>Valid</v>
      </c>
      <c r="AF506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3902.27</v>
      </c>
      <c r="AG506">
        <f>IF(Transaction[[#This Row],[NetRevenue_Check]]="Invalid",(Transaction[[#This Row],[Quantity]]*Transaction[[#This Row],[UnitPrice_Clean]]),Transaction[[#This Row],[NetRevenue_Clean]])</f>
        <v>3902.27</v>
      </c>
      <c r="AH506" t="str">
        <f>IF(Transaction[[#This Row],[Quantity]]*Transaction[[#This Row],[UnitPrice_Clean]]=Transaction[[#This Row],[NetRevenue_Clean]],"Valid","Invalid")</f>
        <v>Valid</v>
      </c>
      <c r="AI506" t="s">
        <v>23</v>
      </c>
      <c r="AJ506" t="s">
        <v>1762</v>
      </c>
      <c r="AK506" t="str">
        <f>IF(Transaction[[#This Row],[Salesperson]]="","Missing Value",TRIM(PROPER(Transaction[[#This Row],[Salesperson]])))</f>
        <v>Weber</v>
      </c>
      <c r="AL506" t="s">
        <v>34</v>
      </c>
      <c r="AM506" t="str">
        <f>IF(Transaction[[#This Row],[ContractType]]="","Missing Value",Transaction[[#This Row],[ContractType]])</f>
        <v>Annual License</v>
      </c>
      <c r="AN506" t="s">
        <v>49</v>
      </c>
    </row>
    <row r="507" spans="1:40" x14ac:dyDescent="0.25">
      <c r="A507" t="s">
        <v>2896</v>
      </c>
      <c r="B507" s="1">
        <v>45737</v>
      </c>
      <c r="C50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50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50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07" s="2">
        <f>IFERROR(DATE(Transaction[[#This Row],[TransactionDateY]],Transaction[[#This Row],[TransactionDateM]],Transaction[[#This Row],[TransactionDateD]]),"Missing Value")</f>
        <v>45737</v>
      </c>
      <c r="G507" t="s">
        <v>180</v>
      </c>
      <c r="H507" t="str">
        <f>IFERROR(VLOOKUP(Transaction[[#This Row],[CustomerID]],Custumer[],1,0),IF(LEN(Transaction[[#This Row],[CustomerID]])=7,LEFT(Transaction[[#This Row],[CustomerID]],6),"Invalid ID"))</f>
        <v>C-1158</v>
      </c>
      <c r="I507" t="s">
        <v>92</v>
      </c>
      <c r="J507" t="str">
        <f>TRIM(UPPER(Transaction[[#This Row],[ProductID]]))</f>
        <v>P-SI-008</v>
      </c>
      <c r="K507" t="str">
        <f>IFERROR(VLOOKUP(Transaction[[#This Row],[ProductID_Clean]],Product[],1,FALSE),"Invalid ID")</f>
        <v>P-SI-008</v>
      </c>
      <c r="L507" t="str">
        <f>TRIM(SUBSTITUTE(SUBSTITUTE(SUBSTITUTE(SUBSTITUTE(UPPER(Transaction[[#This Row],[Region]]),"EMEA REGION","EMEA"),"APAC REGION","APAC"),"NORTH AMERICA","N. AMERICA"),"N .AMERICA","N.AMERICA"))</f>
        <v>EMEA</v>
      </c>
      <c r="M507" t="s">
        <v>76</v>
      </c>
      <c r="N507" t="s">
        <v>53</v>
      </c>
      <c r="O50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07" t="s">
        <v>22</v>
      </c>
      <c r="Q507" t="str">
        <f>IF(TRIM(Transaction[[#This Row],[SalesChannel]])="","Missing Value",TRIM(Transaction[[#This Row],[SalesChannel]]))</f>
        <v>Direct</v>
      </c>
      <c r="R507" s="4">
        <v>4</v>
      </c>
      <c r="S507" s="4" t="str">
        <f>IF(Transaction[[#This Row],[Quantity]]&lt;0,"Negative-review","Valid")</f>
        <v>Valid</v>
      </c>
      <c r="T507" t="s">
        <v>2897</v>
      </c>
      <c r="U50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920.17</v>
      </c>
      <c r="V507">
        <v>950</v>
      </c>
      <c r="W507">
        <v>3800</v>
      </c>
      <c r="X50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3800</v>
      </c>
      <c r="Y507">
        <f>IF(Transaction[[#This Row],[GrossRevenue_Check]]="Invalid",Transaction[[#This Row],[ListPrice]]*Transaction[[#This Row],[Quantity]],Transaction[[#This Row],[GrossRevenue_Clean]])</f>
        <v>3800</v>
      </c>
      <c r="Z507" t="str">
        <f>IF(Transaction[[#This Row],[GrossRevenue_Clean]]=Transaction[[#This Row],[ListPrice]]*Transaction[[#This Row],[Quantity]],"Valid","Invalid")</f>
        <v>Valid</v>
      </c>
      <c r="AA507">
        <v>119.32</v>
      </c>
      <c r="AB50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119.32</v>
      </c>
      <c r="AC507">
        <f>IF(Transaction[[#This Row],[DiscountAmount_Check2]]="Invalid",Transaction[[#This Row],[GrossRevenue_Analytical]]-Transaction[[#This Row],[NetRevenue_Analytical]],Transaction[[#This Row],[DiscountAmount_Clean]])</f>
        <v>119.32</v>
      </c>
      <c r="AD507">
        <v>3680.68</v>
      </c>
      <c r="AE507" t="str">
        <f>IF(ROUND(Transaction[[#This Row],[GrossRevenue_Analytical]]-Transaction[[#This Row],[NetRevenue_Analytical]],2)=ROUND(Transaction[[#This Row],[DiscountAmount_Clean]],2),"Valid","Invalid")</f>
        <v>Valid</v>
      </c>
      <c r="AF50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3680.68</v>
      </c>
      <c r="AG507">
        <f>IF(Transaction[[#This Row],[NetRevenue_Check]]="Invalid",(Transaction[[#This Row],[Quantity]]*Transaction[[#This Row],[UnitPrice_Clean]]),Transaction[[#This Row],[NetRevenue_Clean]])</f>
        <v>3680.68</v>
      </c>
      <c r="AH507" t="str">
        <f>IF(Transaction[[#This Row],[Quantity]]*Transaction[[#This Row],[UnitPrice_Clean]]=Transaction[[#This Row],[NetRevenue_Clean]],"Valid","Invalid")</f>
        <v>Valid</v>
      </c>
      <c r="AI507" t="s">
        <v>99</v>
      </c>
      <c r="AJ507" t="s">
        <v>2898</v>
      </c>
      <c r="AK507" t="str">
        <f>IF(Transaction[[#This Row],[Salesperson]]="","Missing Value",TRIM(PROPER(Transaction[[#This Row],[Salesperson]])))</f>
        <v>Winters-Na</v>
      </c>
      <c r="AL507" t="s">
        <v>42</v>
      </c>
      <c r="AM507" t="str">
        <f>IF(Transaction[[#This Row],[ContractType]]="","Missing Value",Transaction[[#This Row],[ContractType]])</f>
        <v>Standard PO</v>
      </c>
      <c r="AN507" t="s">
        <v>65</v>
      </c>
    </row>
    <row r="508" spans="1:40" x14ac:dyDescent="0.25">
      <c r="A508" t="s">
        <v>770</v>
      </c>
      <c r="C50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50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50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508" s="2" t="str">
        <f>IFERROR(DATE(Transaction[[#This Row],[TransactionDateY]],Transaction[[#This Row],[TransactionDateM]],Transaction[[#This Row],[TransactionDateD]]),"Missing Value")</f>
        <v>Missing Value</v>
      </c>
      <c r="G508" t="s">
        <v>247</v>
      </c>
      <c r="H508" t="str">
        <f>IFERROR(VLOOKUP(Transaction[[#This Row],[CustomerID]],Custumer[],1,0),IF(LEN(Transaction[[#This Row],[CustomerID]])=7,LEFT(Transaction[[#This Row],[CustomerID]],6),"Invalid ID"))</f>
        <v>C-1045</v>
      </c>
      <c r="I508" t="s">
        <v>103</v>
      </c>
      <c r="J508" t="str">
        <f>TRIM(UPPER(Transaction[[#This Row],[ProductID]]))</f>
        <v>P-FS-005</v>
      </c>
      <c r="K508" t="str">
        <f>IFERROR(VLOOKUP(Transaction[[#This Row],[ProductID_Clean]],Product[],1,FALSE),"Invalid ID")</f>
        <v>P-FS-005</v>
      </c>
      <c r="L508" t="str">
        <f>TRIM(SUBSTITUTE(SUBSTITUTE(SUBSTITUTE(SUBSTITUTE(UPPER(Transaction[[#This Row],[Region]]),"EMEA REGION","EMEA"),"APAC REGION","APAC"),"NORTH AMERICA","N. AMERICA"),"N .AMERICA","N.AMERICA"))</f>
        <v>EMEA</v>
      </c>
      <c r="M508" t="s">
        <v>76</v>
      </c>
      <c r="N508" t="s">
        <v>771</v>
      </c>
      <c r="O508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Q508" t="str">
        <f>IF(TRIM(Transaction[[#This Row],[SalesChannel]])="","Missing Value",TRIM(Transaction[[#This Row],[SalesChannel]]))</f>
        <v>Missing Value</v>
      </c>
      <c r="R508" s="4">
        <v>2</v>
      </c>
      <c r="S508" s="4" t="str">
        <f>IF(Transaction[[#This Row],[Quantity]]&lt;0,"Negative-review","Valid")</f>
        <v>Valid</v>
      </c>
      <c r="T508">
        <v>767.07</v>
      </c>
      <c r="U50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767.07</v>
      </c>
      <c r="V508">
        <v>950</v>
      </c>
      <c r="W508">
        <v>1900</v>
      </c>
      <c r="X50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1900</v>
      </c>
      <c r="Y508">
        <f>IF(Transaction[[#This Row],[GrossRevenue_Check]]="Invalid",Transaction[[#This Row],[ListPrice]]*Transaction[[#This Row],[Quantity]],Transaction[[#This Row],[GrossRevenue_Clean]])</f>
        <v>1900</v>
      </c>
      <c r="Z508" t="str">
        <f>IF(Transaction[[#This Row],[GrossRevenue_Clean]]=Transaction[[#This Row],[ListPrice]]*Transaction[[#This Row],[Quantity]],"Valid","Invalid")</f>
        <v>Valid</v>
      </c>
      <c r="AA508">
        <v>365.86</v>
      </c>
      <c r="AB50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365.86</v>
      </c>
      <c r="AC508">
        <f>IF(Transaction[[#This Row],[DiscountAmount_Check2]]="Invalid",Transaction[[#This Row],[GrossRevenue_Analytical]]-Transaction[[#This Row],[NetRevenue_Analytical]],Transaction[[#This Row],[DiscountAmount_Clean]])</f>
        <v>365.86</v>
      </c>
      <c r="AD508">
        <v>1534.14</v>
      </c>
      <c r="AE508" t="str">
        <f>IF(ROUND(Transaction[[#This Row],[GrossRevenue_Analytical]]-Transaction[[#This Row],[NetRevenue_Analytical]],2)=ROUND(Transaction[[#This Row],[DiscountAmount_Clean]],2),"Valid","Invalid")</f>
        <v>Valid</v>
      </c>
      <c r="AF50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1534.14</v>
      </c>
      <c r="AG508">
        <f>IF(Transaction[[#This Row],[NetRevenue_Check]]="Invalid",(Transaction[[#This Row],[Quantity]]*Transaction[[#This Row],[UnitPrice_Clean]]),Transaction[[#This Row],[NetRevenue_Clean]])</f>
        <v>1534.14</v>
      </c>
      <c r="AH508" t="str">
        <f>IF(Transaction[[#This Row],[Quantity]]*Transaction[[#This Row],[UnitPrice_Clean]]=Transaction[[#This Row],[NetRevenue_Clean]],"Valid","Invalid")</f>
        <v>Valid</v>
      </c>
      <c r="AI508" t="s">
        <v>23</v>
      </c>
      <c r="AJ508" t="s">
        <v>772</v>
      </c>
      <c r="AK508" t="str">
        <f>IF(Transaction[[#This Row],[Salesperson]]="","Missing Value",TRIM(PROPER(Transaction[[#This Row],[Salesperson]])))</f>
        <v>Morgan</v>
      </c>
      <c r="AL508" t="s">
        <v>42</v>
      </c>
      <c r="AM508" t="str">
        <f>IF(Transaction[[#This Row],[ContractType]]="","Missing Value",Transaction[[#This Row],[ContractType]])</f>
        <v>Standard PO</v>
      </c>
      <c r="AN508" t="s">
        <v>35</v>
      </c>
    </row>
    <row r="509" spans="1:40" x14ac:dyDescent="0.25">
      <c r="A509" t="s">
        <v>1869</v>
      </c>
      <c r="B509" t="s">
        <v>1870</v>
      </c>
      <c r="C50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50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50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09" s="2">
        <f>IFERROR(DATE(Transaction[[#This Row],[TransactionDateY]],Transaction[[#This Row],[TransactionDateM]],Transaction[[#This Row],[TransactionDateD]]),"Missing Value")</f>
        <v>45731</v>
      </c>
      <c r="G509" t="s">
        <v>1871</v>
      </c>
      <c r="H509" t="str">
        <f>IFERROR(VLOOKUP(Transaction[[#This Row],[CustomerID]],Custumer[],1,0),IF(LEN(Transaction[[#This Row],[CustomerID]])=7,LEFT(Transaction[[#This Row],[CustomerID]],6),"Invalid ID"))</f>
        <v>C-1096</v>
      </c>
      <c r="I509" t="s">
        <v>226</v>
      </c>
      <c r="J509" t="str">
        <f>TRIM(UPPER(Transaction[[#This Row],[ProductID]]))</f>
        <v>P-SA-002</v>
      </c>
      <c r="K509" t="str">
        <f>IFERROR(VLOOKUP(Transaction[[#This Row],[ProductID_Clean]],Product[],1,FALSE),"Invalid ID")</f>
        <v>P-SA-002</v>
      </c>
      <c r="L509" t="str">
        <f>TRIM(SUBSTITUTE(SUBSTITUTE(SUBSTITUTE(SUBSTITUTE(UPPER(Transaction[[#This Row],[Region]]),"EMEA REGION","EMEA"),"APAC REGION","APAC"),"NORTH AMERICA","N. AMERICA"),"N .AMERICA","N.AMERICA"))</f>
        <v>N. AMERICA</v>
      </c>
      <c r="M509" t="s">
        <v>20</v>
      </c>
      <c r="N509" t="s">
        <v>31</v>
      </c>
      <c r="O50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09" t="s">
        <v>22</v>
      </c>
      <c r="Q509" t="str">
        <f>IF(TRIM(Transaction[[#This Row],[SalesChannel]])="","Missing Value",TRIM(Transaction[[#This Row],[SalesChannel]]))</f>
        <v>Direct</v>
      </c>
      <c r="R509" s="4">
        <v>1</v>
      </c>
      <c r="S509" s="4" t="str">
        <f>IF(Transaction[[#This Row],[Quantity]]&lt;0,"Negative-review","Valid")</f>
        <v>Valid</v>
      </c>
      <c r="T509">
        <v>9056.34</v>
      </c>
      <c r="U50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9056.34</v>
      </c>
      <c r="V509">
        <v>9800</v>
      </c>
      <c r="W509">
        <v>9800</v>
      </c>
      <c r="X50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509">
        <f>IF(Transaction[[#This Row],[GrossRevenue_Check]]="Invalid",Transaction[[#This Row],[ListPrice]]*Transaction[[#This Row],[Quantity]],Transaction[[#This Row],[GrossRevenue_Clean]])</f>
        <v>9800</v>
      </c>
      <c r="Z509" t="str">
        <f>IF(Transaction[[#This Row],[GrossRevenue_Clean]]=Transaction[[#This Row],[ListPrice]]*Transaction[[#This Row],[Quantity]],"Valid","Invalid")</f>
        <v>Valid</v>
      </c>
      <c r="AA509">
        <v>743.66</v>
      </c>
      <c r="AB50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743.66</v>
      </c>
      <c r="AC509">
        <f>IF(Transaction[[#This Row],[DiscountAmount_Check2]]="Invalid",Transaction[[#This Row],[GrossRevenue_Analytical]]-Transaction[[#This Row],[NetRevenue_Analytical]],Transaction[[#This Row],[DiscountAmount_Clean]])</f>
        <v>743.66</v>
      </c>
      <c r="AD509">
        <v>9056.34</v>
      </c>
      <c r="AE509" t="str">
        <f>IF(ROUND(Transaction[[#This Row],[GrossRevenue_Analytical]]-Transaction[[#This Row],[NetRevenue_Analytical]],2)=ROUND(Transaction[[#This Row],[DiscountAmount_Clean]],2),"Valid","Invalid")</f>
        <v>Valid</v>
      </c>
      <c r="AF509">
        <f>VALUE(IF(ISNUMBER(Transaction[[#This Row],[NetRevenue]]),Transaction[[#This Row],[NetRevenue]],IFERROR(IF(FIND("$",Transaction[[#This Row],[NetRevenue]])&gt;0,MID(Transaction[[#This Row],[NetRevenue]],2,10)),Transaction[[#This Row],[NetRevenue]])))</f>
        <v>9056.34</v>
      </c>
      <c r="AG509">
        <f>IF(Transaction[[#This Row],[NetRevenue_Check]]="Invalid",(Transaction[[#This Row],[Quantity]]*Transaction[[#This Row],[UnitPrice_Clean]]),Transaction[[#This Row],[NetRevenue_Clean]])</f>
        <v>9056.34</v>
      </c>
      <c r="AH509" t="str">
        <f>IF(Transaction[[#This Row],[Quantity]]*Transaction[[#This Row],[UnitPrice_Clean]]=Transaction[[#This Row],[NetRevenue_Clean]],"Valid","Invalid")</f>
        <v>Valid</v>
      </c>
      <c r="AI509" t="s">
        <v>23</v>
      </c>
      <c r="AJ509" t="s">
        <v>1872</v>
      </c>
      <c r="AK509" t="str">
        <f>IF(Transaction[[#This Row],[Salesperson]]="","Missing Value",TRIM(PROPER(Transaction[[#This Row],[Salesperson]])))</f>
        <v>Bradshaw</v>
      </c>
      <c r="AL509" t="s">
        <v>34</v>
      </c>
      <c r="AM509" t="str">
        <f>IF(Transaction[[#This Row],[ContractType]]="","Missing Value",Transaction[[#This Row],[ContractType]])</f>
        <v>Annual License</v>
      </c>
      <c r="AN509" t="s">
        <v>65</v>
      </c>
    </row>
    <row r="510" spans="1:40" x14ac:dyDescent="0.25">
      <c r="A510" t="s">
        <v>2521</v>
      </c>
      <c r="B510" s="1">
        <v>45823</v>
      </c>
      <c r="C51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51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51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10" s="2">
        <f>IFERROR(DATE(Transaction[[#This Row],[TransactionDateY]],Transaction[[#This Row],[TransactionDateM]],Transaction[[#This Row],[TransactionDateD]]),"Missing Value")</f>
        <v>45823</v>
      </c>
      <c r="G510" t="s">
        <v>150</v>
      </c>
      <c r="H510" t="str">
        <f>IFERROR(VLOOKUP(Transaction[[#This Row],[CustomerID]],Custumer[],1,0),IF(LEN(Transaction[[#This Row],[CustomerID]])=7,LEFT(Transaction[[#This Row],[CustomerID]],6),"Invalid ID"))</f>
        <v>C-1061</v>
      </c>
      <c r="I510" t="s">
        <v>117</v>
      </c>
      <c r="J510" t="str">
        <f>TRIM(UPPER(Transaction[[#This Row],[ProductID]]))</f>
        <v>P-SI-007</v>
      </c>
      <c r="K510" t="str">
        <f>IFERROR(VLOOKUP(Transaction[[#This Row],[ProductID_Clean]],Product[],1,FALSE),"Invalid ID")</f>
        <v>P-SI-007</v>
      </c>
      <c r="L510" t="str">
        <f>TRIM(SUBSTITUTE(SUBSTITUTE(SUBSTITUTE(SUBSTITUTE(UPPER(Transaction[[#This Row],[Region]]),"EMEA REGION","EMEA"),"APAC REGION","APAC"),"NORTH AMERICA","N. AMERICA"),"N .AMERICA","N.AMERICA"))</f>
        <v>EMEA</v>
      </c>
      <c r="M510" t="s">
        <v>76</v>
      </c>
      <c r="N510" t="s">
        <v>53</v>
      </c>
      <c r="O51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10" t="s">
        <v>22</v>
      </c>
      <c r="Q510" t="str">
        <f>IF(TRIM(Transaction[[#This Row],[SalesChannel]])="","Missing Value",TRIM(Transaction[[#This Row],[SalesChannel]]))</f>
        <v>Direct</v>
      </c>
      <c r="R510" s="4">
        <v>2</v>
      </c>
      <c r="S510" s="4" t="str">
        <f>IF(Transaction[[#This Row],[Quantity]]&lt;0,"Negative-review","Valid")</f>
        <v>Valid</v>
      </c>
      <c r="T510">
        <v>983.26</v>
      </c>
      <c r="U51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983.26</v>
      </c>
      <c r="V510">
        <v>980</v>
      </c>
      <c r="W510">
        <v>1960</v>
      </c>
      <c r="X51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</v>
      </c>
      <c r="Y510">
        <f>IF(Transaction[[#This Row],[GrossRevenue_Check]]="Invalid",Transaction[[#This Row],[ListPrice]]*Transaction[[#This Row],[Quantity]],Transaction[[#This Row],[GrossRevenue_Clean]])</f>
        <v>1960</v>
      </c>
      <c r="Z510" t="str">
        <f>IF(Transaction[[#This Row],[GrossRevenue_Clean]]=Transaction[[#This Row],[ListPrice]]*Transaction[[#This Row],[Quantity]],"Valid","Invalid")</f>
        <v>Valid</v>
      </c>
      <c r="AA510">
        <v>-6.52</v>
      </c>
      <c r="AB51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-6.52</v>
      </c>
      <c r="AC510">
        <f>IF(Transaction[[#This Row],[DiscountAmount_Check2]]="Invalid",Transaction[[#This Row],[GrossRevenue_Analytical]]-Transaction[[#This Row],[NetRevenue_Analytical]],Transaction[[#This Row],[DiscountAmount_Clean]])</f>
        <v>-6.52</v>
      </c>
      <c r="AD510">
        <v>1966.52</v>
      </c>
      <c r="AE510" t="str">
        <f>IF(ROUND(Transaction[[#This Row],[GrossRevenue_Analytical]]-Transaction[[#This Row],[NetRevenue_Analytical]],2)=ROUND(Transaction[[#This Row],[DiscountAmount_Clean]],2),"Valid","Invalid")</f>
        <v>Valid</v>
      </c>
      <c r="AF51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1966.52</v>
      </c>
      <c r="AG510">
        <f>IF(Transaction[[#This Row],[NetRevenue_Check]]="Invalid",(Transaction[[#This Row],[Quantity]]*Transaction[[#This Row],[UnitPrice_Clean]]),Transaction[[#This Row],[NetRevenue_Clean]])</f>
        <v>1966.52</v>
      </c>
      <c r="AH510" t="str">
        <f>IF(Transaction[[#This Row],[Quantity]]*Transaction[[#This Row],[UnitPrice_Clean]]=Transaction[[#This Row],[NetRevenue_Clean]],"Valid","Invalid")</f>
        <v>Valid</v>
      </c>
      <c r="AI510" t="s">
        <v>23</v>
      </c>
      <c r="AJ510" t="s">
        <v>2522</v>
      </c>
      <c r="AK510" t="str">
        <f>IF(Transaction[[#This Row],[Salesperson]]="","Missing Value",TRIM(PROPER(Transaction[[#This Row],[Salesperson]])))</f>
        <v>Williams</v>
      </c>
      <c r="AL510" t="s">
        <v>42</v>
      </c>
      <c r="AM510" t="str">
        <f>IF(Transaction[[#This Row],[ContractType]]="","Missing Value",Transaction[[#This Row],[ContractType]])</f>
        <v>Standard PO</v>
      </c>
      <c r="AN510" t="s">
        <v>49</v>
      </c>
    </row>
    <row r="511" spans="1:40" x14ac:dyDescent="0.25">
      <c r="A511" t="s">
        <v>483</v>
      </c>
      <c r="B511" s="1">
        <v>45815</v>
      </c>
      <c r="C51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51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51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11" s="2">
        <f>IFERROR(DATE(Transaction[[#This Row],[TransactionDateY]],Transaction[[#This Row],[TransactionDateM]],Transaction[[#This Row],[TransactionDateD]]),"Missing Value")</f>
        <v>45815</v>
      </c>
      <c r="G511" t="s">
        <v>484</v>
      </c>
      <c r="H511" t="str">
        <f>IFERROR(VLOOKUP(Transaction[[#This Row],[CustomerID]],Custumer[],1,0),IF(LEN(Transaction[[#This Row],[CustomerID]])=7,LEFT(Transaction[[#This Row],[CustomerID]],6),"Invalid ID"))</f>
        <v>C-1104</v>
      </c>
      <c r="I511" t="s">
        <v>39</v>
      </c>
      <c r="J511" t="str">
        <f>TRIM(UPPER(Transaction[[#This Row],[ProductID]]))</f>
        <v>P-FS-006</v>
      </c>
      <c r="K511" t="str">
        <f>IFERROR(VLOOKUP(Transaction[[#This Row],[ProductID_Clean]],Product[],1,FALSE),"Invalid ID")</f>
        <v>P-FS-006</v>
      </c>
      <c r="L511" t="str">
        <f>TRIM(SUBSTITUTE(SUBSTITUTE(SUBSTITUTE(SUBSTITUTE(UPPER(Transaction[[#This Row],[Region]]),"EMEA REGION","EMEA"),"APAC REGION","APAC"),"NORTH AMERICA","N. AMERICA"),"N .AMERICA","N.AMERICA"))</f>
        <v>N. AMERICA</v>
      </c>
      <c r="M511" t="s">
        <v>20</v>
      </c>
      <c r="N511" t="s">
        <v>21</v>
      </c>
      <c r="O511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511" t="s">
        <v>40</v>
      </c>
      <c r="Q511" t="str">
        <f>IF(TRIM(Transaction[[#This Row],[SalesChannel]])="","Missing Value",TRIM(Transaction[[#This Row],[SalesChannel]]))</f>
        <v>Distributor</v>
      </c>
      <c r="R511" s="4">
        <v>1</v>
      </c>
      <c r="S511" s="4" t="str">
        <f>IF(Transaction[[#This Row],[Quantity]]&lt;0,"Negative-review","Valid")</f>
        <v>Valid</v>
      </c>
      <c r="T511" t="s">
        <v>485</v>
      </c>
      <c r="U51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1216.47</v>
      </c>
      <c r="V511">
        <v>1450</v>
      </c>
      <c r="W511">
        <v>1450</v>
      </c>
      <c r="X51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511">
        <f>IF(Transaction[[#This Row],[GrossRevenue_Check]]="Invalid",Transaction[[#This Row],[ListPrice]]*Transaction[[#This Row],[Quantity]],Transaction[[#This Row],[GrossRevenue_Clean]])</f>
        <v>1450</v>
      </c>
      <c r="Z511" t="str">
        <f>IF(Transaction[[#This Row],[GrossRevenue_Clean]]=Transaction[[#This Row],[ListPrice]]*Transaction[[#This Row],[Quantity]],"Valid","Invalid")</f>
        <v>Valid</v>
      </c>
      <c r="AA511">
        <v>233.53</v>
      </c>
      <c r="AB51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233.53</v>
      </c>
      <c r="AC511">
        <f>IF(Transaction[[#This Row],[DiscountAmount_Check2]]="Invalid",Transaction[[#This Row],[GrossRevenue_Analytical]]-Transaction[[#This Row],[NetRevenue_Analytical]],Transaction[[#This Row],[DiscountAmount_Clean]])</f>
        <v>233.53</v>
      </c>
      <c r="AD511">
        <v>1216.47</v>
      </c>
      <c r="AE511" t="str">
        <f>IF(ROUND(Transaction[[#This Row],[GrossRevenue_Analytical]]-Transaction[[#This Row],[NetRevenue_Analytical]],2)=ROUND(Transaction[[#This Row],[DiscountAmount_Clean]],2),"Valid","Invalid")</f>
        <v>Valid</v>
      </c>
      <c r="AF51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1216.47</v>
      </c>
      <c r="AG511">
        <f>IF(Transaction[[#This Row],[NetRevenue_Check]]="Invalid",(Transaction[[#This Row],[Quantity]]*Transaction[[#This Row],[UnitPrice_Clean]]),Transaction[[#This Row],[NetRevenue_Clean]])</f>
        <v>1216.47</v>
      </c>
      <c r="AH511" t="str">
        <f>IF(Transaction[[#This Row],[Quantity]]*Transaction[[#This Row],[UnitPrice_Clean]]=Transaction[[#This Row],[NetRevenue_Clean]],"Valid","Invalid")</f>
        <v>Valid</v>
      </c>
      <c r="AI511" t="s">
        <v>23</v>
      </c>
      <c r="AJ511" t="s">
        <v>486</v>
      </c>
      <c r="AK511" t="str">
        <f>IF(Transaction[[#This Row],[Salesperson]]="","Missing Value",TRIM(PROPER(Transaction[[#This Row],[Salesperson]])))</f>
        <v>Shields-Em</v>
      </c>
      <c r="AL511" t="s">
        <v>25</v>
      </c>
      <c r="AM511" t="str">
        <f>IF(Transaction[[#This Row],[ContractType]]="","Missing Value",Transaction[[#This Row],[ContractType]])</f>
        <v>Frame Agreement</v>
      </c>
      <c r="AN511" t="s">
        <v>49</v>
      </c>
    </row>
    <row r="512" spans="1:40" x14ac:dyDescent="0.25">
      <c r="A512" t="s">
        <v>1864</v>
      </c>
      <c r="B512" s="1">
        <v>45787</v>
      </c>
      <c r="C51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51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51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12" s="2">
        <f>IFERROR(DATE(Transaction[[#This Row],[TransactionDateY]],Transaction[[#This Row],[TransactionDateM]],Transaction[[#This Row],[TransactionDateD]]),"Missing Value")</f>
        <v>45787</v>
      </c>
      <c r="G512" t="s">
        <v>61</v>
      </c>
      <c r="H512" t="str">
        <f>IFERROR(VLOOKUP(Transaction[[#This Row],[CustomerID]],Custumer[],1,0),IF(LEN(Transaction[[#This Row],[CustomerID]])=7,LEFT(Transaction[[#This Row],[CustomerID]],6),"Invalid ID"))</f>
        <v>C-1108</v>
      </c>
      <c r="I512" t="s">
        <v>258</v>
      </c>
      <c r="J512" t="str">
        <f>TRIM(UPPER(Transaction[[#This Row],[ProductID]]))</f>
        <v>P-SA-003</v>
      </c>
      <c r="K512" t="str">
        <f>IFERROR(VLOOKUP(Transaction[[#This Row],[ProductID_Clean]],Product[],1,FALSE),"Invalid ID")</f>
        <v>P-SA-003</v>
      </c>
      <c r="L512" t="str">
        <f>TRIM(SUBSTITUTE(SUBSTITUTE(SUBSTITUTE(SUBSTITUTE(UPPER(Transaction[[#This Row],[Region]]),"EMEA REGION","EMEA"),"APAC REGION","APAC"),"NORTH AMERICA","N. AMERICA"),"N .AMERICA","N.AMERICA"))</f>
        <v>APAC</v>
      </c>
      <c r="M512" t="s">
        <v>30</v>
      </c>
      <c r="N512" t="s">
        <v>31</v>
      </c>
      <c r="O51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12" t="s">
        <v>22</v>
      </c>
      <c r="Q512" t="str">
        <f>IF(TRIM(Transaction[[#This Row],[SalesChannel]])="","Missing Value",TRIM(Transaction[[#This Row],[SalesChannel]]))</f>
        <v>Direct</v>
      </c>
      <c r="R512" s="4">
        <v>1</v>
      </c>
      <c r="S512" s="4" t="str">
        <f>IF(Transaction[[#This Row],[Quantity]]&lt;0,"Negative-review","Valid")</f>
        <v>Valid</v>
      </c>
      <c r="T512">
        <v>2183.35</v>
      </c>
      <c r="U51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2183.35</v>
      </c>
      <c r="V512">
        <v>2750</v>
      </c>
      <c r="W512">
        <v>2750</v>
      </c>
      <c r="X51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512">
        <f>IF(Transaction[[#This Row],[GrossRevenue_Check]]="Invalid",Transaction[[#This Row],[ListPrice]]*Transaction[[#This Row],[Quantity]],Transaction[[#This Row],[GrossRevenue_Clean]])</f>
        <v>2750</v>
      </c>
      <c r="Z512" t="str">
        <f>IF(Transaction[[#This Row],[GrossRevenue_Clean]]=Transaction[[#This Row],[ListPrice]]*Transaction[[#This Row],[Quantity]],"Valid","Invalid")</f>
        <v>Valid</v>
      </c>
      <c r="AA512">
        <v>566.65</v>
      </c>
      <c r="AB51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566.65</v>
      </c>
      <c r="AC512">
        <f>IF(Transaction[[#This Row],[DiscountAmount_Check2]]="Invalid",Transaction[[#This Row],[GrossRevenue_Analytical]]-Transaction[[#This Row],[NetRevenue_Analytical]],Transaction[[#This Row],[DiscountAmount_Clean]])</f>
        <v>566.65</v>
      </c>
      <c r="AD512">
        <v>2183.35</v>
      </c>
      <c r="AE512" t="str">
        <f>IF(ROUND(Transaction[[#This Row],[GrossRevenue_Analytical]]-Transaction[[#This Row],[NetRevenue_Analytical]],2)=ROUND(Transaction[[#This Row],[DiscountAmount_Clean]],2),"Valid","Invalid")</f>
        <v>Valid</v>
      </c>
      <c r="AF51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2183.35</v>
      </c>
      <c r="AG512">
        <f>IF(Transaction[[#This Row],[NetRevenue_Check]]="Invalid",(Transaction[[#This Row],[Quantity]]*Transaction[[#This Row],[UnitPrice_Clean]]),Transaction[[#This Row],[NetRevenue_Clean]])</f>
        <v>2183.35</v>
      </c>
      <c r="AH512" t="str">
        <f>IF(Transaction[[#This Row],[Quantity]]*Transaction[[#This Row],[UnitPrice_Clean]]=Transaction[[#This Row],[NetRevenue_Clean]],"Valid","Invalid")</f>
        <v>Valid</v>
      </c>
      <c r="AI512" t="s">
        <v>23</v>
      </c>
      <c r="AJ512" t="s">
        <v>1865</v>
      </c>
      <c r="AK512" t="str">
        <f>IF(Transaction[[#This Row],[Salesperson]]="","Missing Value",TRIM(PROPER(Transaction[[#This Row],[Salesperson]])))</f>
        <v>Miller-Na</v>
      </c>
      <c r="AL512" t="s">
        <v>34</v>
      </c>
      <c r="AM512" t="str">
        <f>IF(Transaction[[#This Row],[ContractType]]="","Missing Value",Transaction[[#This Row],[ContractType]])</f>
        <v>Annual License</v>
      </c>
      <c r="AN512" t="s">
        <v>65</v>
      </c>
    </row>
    <row r="513" spans="1:40" x14ac:dyDescent="0.25">
      <c r="A513" t="s">
        <v>2572</v>
      </c>
      <c r="B513" s="1">
        <v>45776</v>
      </c>
      <c r="C51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51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29</v>
      </c>
      <c r="E51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13" s="2">
        <f>IFERROR(DATE(Transaction[[#This Row],[TransactionDateY]],Transaction[[#This Row],[TransactionDateM]],Transaction[[#This Row],[TransactionDateD]]),"Missing Value")</f>
        <v>45776</v>
      </c>
      <c r="G513" t="s">
        <v>498</v>
      </c>
      <c r="H513" t="str">
        <f>IFERROR(VLOOKUP(Transaction[[#This Row],[CustomerID]],Custumer[],1,0),IF(LEN(Transaction[[#This Row],[CustomerID]])=7,LEFT(Transaction[[#This Row],[CustomerID]],6),"Invalid ID"))</f>
        <v>C-1176</v>
      </c>
      <c r="I513" t="s">
        <v>97</v>
      </c>
      <c r="J513" t="str">
        <f>TRIM(UPPER(Transaction[[#This Row],[ProductID]]))</f>
        <v>P-SI-001</v>
      </c>
      <c r="K513" t="str">
        <f>IFERROR(VLOOKUP(Transaction[[#This Row],[ProductID_Clean]],Product[],1,FALSE),"Invalid ID")</f>
        <v>P-SI-001</v>
      </c>
      <c r="L513" t="str">
        <f>TRIM(SUBSTITUTE(SUBSTITUTE(SUBSTITUTE(SUBSTITUTE(UPPER(Transaction[[#This Row],[Region]]),"EMEA REGION","EMEA"),"APAC REGION","APAC"),"NORTH AMERICA","N. AMERICA"),"N .AMERICA","N.AMERICA"))</f>
        <v>APAC</v>
      </c>
      <c r="M513" t="s">
        <v>127</v>
      </c>
      <c r="N513" t="s">
        <v>47</v>
      </c>
      <c r="O51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13" t="s">
        <v>40</v>
      </c>
      <c r="Q513" t="str">
        <f>IF(TRIM(Transaction[[#This Row],[SalesChannel]])="","Missing Value",TRIM(Transaction[[#This Row],[SalesChannel]]))</f>
        <v>Distributor</v>
      </c>
      <c r="R513" s="4">
        <v>1</v>
      </c>
      <c r="S513" s="4" t="str">
        <f>IF(Transaction[[#This Row],[Quantity]]&lt;0,"Negative-review","Valid")</f>
        <v>Valid</v>
      </c>
      <c r="T513">
        <v>411.91</v>
      </c>
      <c r="U51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411.91</v>
      </c>
      <c r="V513">
        <v>485</v>
      </c>
      <c r="W513">
        <v>485</v>
      </c>
      <c r="X51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513">
        <f>IF(Transaction[[#This Row],[GrossRevenue_Check]]="Invalid",Transaction[[#This Row],[ListPrice]]*Transaction[[#This Row],[Quantity]],Transaction[[#This Row],[GrossRevenue_Clean]])</f>
        <v>485</v>
      </c>
      <c r="Z513" t="str">
        <f>IF(Transaction[[#This Row],[GrossRevenue_Clean]]=Transaction[[#This Row],[ListPrice]]*Transaction[[#This Row],[Quantity]],"Valid","Invalid")</f>
        <v>Valid</v>
      </c>
      <c r="AA513">
        <v>73.09</v>
      </c>
      <c r="AB51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73.09</v>
      </c>
      <c r="AC513">
        <f>IF(Transaction[[#This Row],[DiscountAmount_Check2]]="Invalid",Transaction[[#This Row],[GrossRevenue_Analytical]]-Transaction[[#This Row],[NetRevenue_Analytical]],Transaction[[#This Row],[DiscountAmount_Clean]])</f>
        <v>73.09</v>
      </c>
      <c r="AD513">
        <v>411.91</v>
      </c>
      <c r="AE513" t="str">
        <f>IF(ROUND(Transaction[[#This Row],[GrossRevenue_Analytical]]-Transaction[[#This Row],[NetRevenue_Analytical]],2)=ROUND(Transaction[[#This Row],[DiscountAmount_Clean]],2),"Valid","Invalid")</f>
        <v>Valid</v>
      </c>
      <c r="AF513">
        <f>VALUE(IF(ISNUMBER(Transaction[[#This Row],[NetRevenue]]),Transaction[[#This Row],[NetRevenue]],IFERROR(IF(FIND("$",Transaction[[#This Row],[NetRevenue]])&gt;0,MID(Transaction[[#This Row],[NetRevenue]],2,10)),Transaction[[#This Row],[NetRevenue]])))</f>
        <v>411.91</v>
      </c>
      <c r="AG513">
        <f>IF(Transaction[[#This Row],[NetRevenue_Check]]="Invalid",(Transaction[[#This Row],[Quantity]]*Transaction[[#This Row],[UnitPrice_Clean]]),Transaction[[#This Row],[NetRevenue_Clean]])</f>
        <v>411.91</v>
      </c>
      <c r="AH513" t="str">
        <f>IF(Transaction[[#This Row],[Quantity]]*Transaction[[#This Row],[UnitPrice_Clean]]=Transaction[[#This Row],[NetRevenue_Clean]],"Valid","Invalid")</f>
        <v>Valid</v>
      </c>
      <c r="AI513" t="s">
        <v>23</v>
      </c>
      <c r="AJ513" t="s">
        <v>2573</v>
      </c>
      <c r="AK513" t="str">
        <f>IF(Transaction[[#This Row],[Salesperson]]="","Missing Value",TRIM(PROPER(Transaction[[#This Row],[Salesperson]])))</f>
        <v>Fry-Ap</v>
      </c>
      <c r="AL513" t="s">
        <v>42</v>
      </c>
      <c r="AM513" t="str">
        <f>IF(Transaction[[#This Row],[ContractType]]="","Missing Value",Transaction[[#This Row],[ContractType]])</f>
        <v>Standard PO</v>
      </c>
      <c r="AN513" t="s">
        <v>49</v>
      </c>
    </row>
    <row r="514" spans="1:40" x14ac:dyDescent="0.25">
      <c r="A514" t="s">
        <v>2671</v>
      </c>
      <c r="B514" s="1">
        <v>45668</v>
      </c>
      <c r="C51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51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51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14" s="2">
        <f>IFERROR(DATE(Transaction[[#This Row],[TransactionDateY]],Transaction[[#This Row],[TransactionDateM]],Transaction[[#This Row],[TransactionDateD]]),"Missing Value")</f>
        <v>45668</v>
      </c>
      <c r="G514" t="s">
        <v>541</v>
      </c>
      <c r="H514" t="str">
        <f>IFERROR(VLOOKUP(Transaction[[#This Row],[CustomerID]],Custumer[],1,0),IF(LEN(Transaction[[#This Row],[CustomerID]])=7,LEFT(Transaction[[#This Row],[CustomerID]],6),"Invalid ID"))</f>
        <v>C-1075</v>
      </c>
      <c r="I514" t="s">
        <v>226</v>
      </c>
      <c r="J514" t="str">
        <f>TRIM(UPPER(Transaction[[#This Row],[ProductID]]))</f>
        <v>P-SA-002</v>
      </c>
      <c r="K514" t="str">
        <f>IFERROR(VLOOKUP(Transaction[[#This Row],[ProductID_Clean]],Product[],1,FALSE),"Invalid ID")</f>
        <v>P-SA-002</v>
      </c>
      <c r="L514" t="str">
        <f>TRIM(SUBSTITUTE(SUBSTITUTE(SUBSTITUTE(SUBSTITUTE(UPPER(Transaction[[#This Row],[Region]]),"EMEA REGION","EMEA"),"APAC REGION","APAC"),"NORTH AMERICA","N. AMERICA"),"N .AMERICA","N.AMERICA"))</f>
        <v>N. AMERICA</v>
      </c>
      <c r="M514" t="s">
        <v>20</v>
      </c>
      <c r="N514" t="s">
        <v>31</v>
      </c>
      <c r="O51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14" t="s">
        <v>22</v>
      </c>
      <c r="Q514" t="str">
        <f>IF(TRIM(Transaction[[#This Row],[SalesChannel]])="","Missing Value",TRIM(Transaction[[#This Row],[SalesChannel]]))</f>
        <v>Direct</v>
      </c>
      <c r="R514" s="4">
        <v>1</v>
      </c>
      <c r="S514" s="4" t="str">
        <f>IF(Transaction[[#This Row],[Quantity]]&lt;0,"Negative-review","Valid")</f>
        <v>Valid</v>
      </c>
      <c r="T514">
        <v>8675.16</v>
      </c>
      <c r="U51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8675.16</v>
      </c>
      <c r="V514">
        <v>9800</v>
      </c>
      <c r="W514">
        <v>9800</v>
      </c>
      <c r="X51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514">
        <f>IF(Transaction[[#This Row],[GrossRevenue_Check]]="Invalid",Transaction[[#This Row],[ListPrice]]*Transaction[[#This Row],[Quantity]],Transaction[[#This Row],[GrossRevenue_Clean]])</f>
        <v>9800</v>
      </c>
      <c r="Z514" t="str">
        <f>IF(Transaction[[#This Row],[GrossRevenue_Clean]]=Transaction[[#This Row],[ListPrice]]*Transaction[[#This Row],[Quantity]],"Valid","Invalid")</f>
        <v>Valid</v>
      </c>
      <c r="AA514">
        <v>1124.8399999999999</v>
      </c>
      <c r="AB51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1124.8399999999999</v>
      </c>
      <c r="AC514">
        <f>IF(Transaction[[#This Row],[DiscountAmount_Check2]]="Invalid",Transaction[[#This Row],[GrossRevenue_Analytical]]-Transaction[[#This Row],[NetRevenue_Analytical]],Transaction[[#This Row],[DiscountAmount_Clean]])</f>
        <v>1124.8399999999999</v>
      </c>
      <c r="AD514">
        <v>8675.16</v>
      </c>
      <c r="AE514" t="str">
        <f>IF(ROUND(Transaction[[#This Row],[GrossRevenue_Analytical]]-Transaction[[#This Row],[NetRevenue_Analytical]],2)=ROUND(Transaction[[#This Row],[DiscountAmount_Clean]],2),"Valid","Invalid")</f>
        <v>Valid</v>
      </c>
      <c r="AF514">
        <f>VALUE(IF(ISNUMBER(Transaction[[#This Row],[NetRevenue]]),Transaction[[#This Row],[NetRevenue]],IFERROR(IF(FIND("$",Transaction[[#This Row],[NetRevenue]])&gt;0,MID(Transaction[[#This Row],[NetRevenue]],2,10)),Transaction[[#This Row],[NetRevenue]])))</f>
        <v>8675.16</v>
      </c>
      <c r="AG514">
        <f>IF(Transaction[[#This Row],[NetRevenue_Check]]="Invalid",(Transaction[[#This Row],[Quantity]]*Transaction[[#This Row],[UnitPrice_Clean]]),Transaction[[#This Row],[NetRevenue_Clean]])</f>
        <v>8675.16</v>
      </c>
      <c r="AH514" t="str">
        <f>IF(Transaction[[#This Row],[Quantity]]*Transaction[[#This Row],[UnitPrice_Clean]]=Transaction[[#This Row],[NetRevenue_Clean]],"Valid","Invalid")</f>
        <v>Valid</v>
      </c>
      <c r="AI514" t="s">
        <v>23</v>
      </c>
      <c r="AJ514" t="s">
        <v>2672</v>
      </c>
      <c r="AK514" t="str">
        <f>IF(Transaction[[#This Row],[Salesperson]]="","Missing Value",TRIM(PROPER(Transaction[[#This Row],[Salesperson]])))</f>
        <v>Wise-Na</v>
      </c>
      <c r="AL514" t="s">
        <v>113</v>
      </c>
      <c r="AM514" t="str">
        <f>IF(Transaction[[#This Row],[ContractType]]="","Missing Value",Transaction[[#This Row],[ContractType]])</f>
        <v>Subscription</v>
      </c>
      <c r="AN514" t="s">
        <v>49</v>
      </c>
    </row>
    <row r="515" spans="1:40" x14ac:dyDescent="0.25">
      <c r="A515" t="s">
        <v>3038</v>
      </c>
      <c r="B515" s="1">
        <v>45804</v>
      </c>
      <c r="C51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51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51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15" s="2">
        <f>IFERROR(DATE(Transaction[[#This Row],[TransactionDateY]],Transaction[[#This Row],[TransactionDateM]],Transaction[[#This Row],[TransactionDateD]]),"Missing Value")</f>
        <v>45804</v>
      </c>
      <c r="G515" t="s">
        <v>247</v>
      </c>
      <c r="H515" t="str">
        <f>IFERROR(VLOOKUP(Transaction[[#This Row],[CustomerID]],Custumer[],1,0),IF(LEN(Transaction[[#This Row],[CustomerID]])=7,LEFT(Transaction[[#This Row],[CustomerID]],6),"Invalid ID"))</f>
        <v>C-1045</v>
      </c>
      <c r="I515" t="s">
        <v>97</v>
      </c>
      <c r="J515" t="str">
        <f>TRIM(UPPER(Transaction[[#This Row],[ProductID]]))</f>
        <v>P-SI-001</v>
      </c>
      <c r="K515" t="str">
        <f>IFERROR(VLOOKUP(Transaction[[#This Row],[ProductID_Clean]],Product[],1,FALSE),"Invalid ID")</f>
        <v>P-SI-001</v>
      </c>
      <c r="L515" t="str">
        <f>TRIM(SUBSTITUTE(SUBSTITUTE(SUBSTITUTE(SUBSTITUTE(UPPER(Transaction[[#This Row],[Region]]),"EMEA REGION","EMEA"),"APAC REGION","APAC"),"NORTH AMERICA","N. AMERICA"),"N .AMERICA","N.AMERICA"))</f>
        <v>EMEA</v>
      </c>
      <c r="M515" t="s">
        <v>76</v>
      </c>
      <c r="N515" t="s">
        <v>53</v>
      </c>
      <c r="O51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15" t="s">
        <v>22</v>
      </c>
      <c r="Q515" t="str">
        <f>IF(TRIM(Transaction[[#This Row],[SalesChannel]])="","Missing Value",TRIM(Transaction[[#This Row],[SalesChannel]]))</f>
        <v>Direct</v>
      </c>
      <c r="R515" s="4">
        <v>2</v>
      </c>
      <c r="S515" s="4" t="str">
        <f>IF(Transaction[[#This Row],[Quantity]]&lt;0,"Negative-review","Valid")</f>
        <v>Valid</v>
      </c>
      <c r="T515">
        <v>432.84</v>
      </c>
      <c r="U51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432.84</v>
      </c>
      <c r="V515">
        <v>485</v>
      </c>
      <c r="W515">
        <v>970</v>
      </c>
      <c r="X51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515">
        <f>IF(Transaction[[#This Row],[GrossRevenue_Check]]="Invalid",Transaction[[#This Row],[ListPrice]]*Transaction[[#This Row],[Quantity]],Transaction[[#This Row],[GrossRevenue_Clean]])</f>
        <v>970</v>
      </c>
      <c r="Z515" t="str">
        <f>IF(Transaction[[#This Row],[GrossRevenue_Clean]]=Transaction[[#This Row],[ListPrice]]*Transaction[[#This Row],[Quantity]],"Valid","Invalid")</f>
        <v>Valid</v>
      </c>
      <c r="AA515">
        <v>104.32</v>
      </c>
      <c r="AB51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104.32</v>
      </c>
      <c r="AC515">
        <f>IF(Transaction[[#This Row],[DiscountAmount_Check2]]="Invalid",Transaction[[#This Row],[GrossRevenue_Analytical]]-Transaction[[#This Row],[NetRevenue_Analytical]],Transaction[[#This Row],[DiscountAmount_Clean]])</f>
        <v>104.32</v>
      </c>
      <c r="AD515">
        <v>865.68</v>
      </c>
      <c r="AE515" t="str">
        <f>IF(ROUND(Transaction[[#This Row],[GrossRevenue_Analytical]]-Transaction[[#This Row],[NetRevenue_Analytical]],2)=ROUND(Transaction[[#This Row],[DiscountAmount_Clean]],2),"Valid","Invalid")</f>
        <v>Valid</v>
      </c>
      <c r="AF515">
        <f>VALUE(IF(ISNUMBER(Transaction[[#This Row],[NetRevenue]]),Transaction[[#This Row],[NetRevenue]],IFERROR(IF(FIND("$",Transaction[[#This Row],[NetRevenue]])&gt;0,MID(Transaction[[#This Row],[NetRevenue]],2,10)),Transaction[[#This Row],[NetRevenue]])))</f>
        <v>865.68</v>
      </c>
      <c r="AG515">
        <f>IF(Transaction[[#This Row],[NetRevenue_Check]]="Invalid",(Transaction[[#This Row],[Quantity]]*Transaction[[#This Row],[UnitPrice_Clean]]),Transaction[[#This Row],[NetRevenue_Clean]])</f>
        <v>865.68</v>
      </c>
      <c r="AH515" t="str">
        <f>IF(Transaction[[#This Row],[Quantity]]*Transaction[[#This Row],[UnitPrice_Clean]]=Transaction[[#This Row],[NetRevenue_Clean]],"Valid","Invalid")</f>
        <v>Valid</v>
      </c>
      <c r="AI515" t="s">
        <v>23</v>
      </c>
      <c r="AJ515" t="s">
        <v>331</v>
      </c>
      <c r="AK515" t="str">
        <f>IF(Transaction[[#This Row],[Salesperson]]="","Missing Value",TRIM(PROPER(Transaction[[#This Row],[Salesperson]])))</f>
        <v>Baker</v>
      </c>
      <c r="AL515" t="s">
        <v>55</v>
      </c>
      <c r="AM515" t="str">
        <f>IF(Transaction[[#This Row],[ContractType]]="","Missing Value",Transaction[[#This Row],[ContractType]])</f>
        <v>Spot</v>
      </c>
      <c r="AN515" t="s">
        <v>35</v>
      </c>
    </row>
    <row r="516" spans="1:40" x14ac:dyDescent="0.25">
      <c r="A516" t="s">
        <v>2177</v>
      </c>
      <c r="B516" s="1">
        <v>45812</v>
      </c>
      <c r="C51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51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51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16" s="2">
        <f>IFERROR(DATE(Transaction[[#This Row],[TransactionDateY]],Transaction[[#This Row],[TransactionDateM]],Transaction[[#This Row],[TransactionDateD]]),"Missing Value")</f>
        <v>45812</v>
      </c>
      <c r="G516" t="s">
        <v>360</v>
      </c>
      <c r="H516" t="str">
        <f>IFERROR(VLOOKUP(Transaction[[#This Row],[CustomerID]],Custumer[],1,0),IF(LEN(Transaction[[#This Row],[CustomerID]])=7,LEFT(Transaction[[#This Row],[CustomerID]],6),"Invalid ID"))</f>
        <v>C-1067</v>
      </c>
      <c r="I516" t="s">
        <v>226</v>
      </c>
      <c r="J516" t="str">
        <f>TRIM(UPPER(Transaction[[#This Row],[ProductID]]))</f>
        <v>P-SA-002</v>
      </c>
      <c r="K516" t="str">
        <f>IFERROR(VLOOKUP(Transaction[[#This Row],[ProductID_Clean]],Product[],1,FALSE),"Invalid ID")</f>
        <v>P-SA-002</v>
      </c>
      <c r="L516" t="str">
        <f>TRIM(SUBSTITUTE(SUBSTITUTE(SUBSTITUTE(SUBSTITUTE(UPPER(Transaction[[#This Row],[Region]]),"EMEA REGION","EMEA"),"APAC REGION","APAC"),"NORTH AMERICA","N. AMERICA"),"N .AMERICA","N.AMERICA"))</f>
        <v>APAC</v>
      </c>
      <c r="M516" t="s">
        <v>127</v>
      </c>
      <c r="N516" t="s">
        <v>31</v>
      </c>
      <c r="O51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16" t="s">
        <v>40</v>
      </c>
      <c r="Q516" t="str">
        <f>IF(TRIM(Transaction[[#This Row],[SalesChannel]])="","Missing Value",TRIM(Transaction[[#This Row],[SalesChannel]]))</f>
        <v>Distributor</v>
      </c>
      <c r="R516" s="4">
        <v>1</v>
      </c>
      <c r="S516" s="4" t="str">
        <f>IF(Transaction[[#This Row],[Quantity]]&lt;0,"Negative-review","Valid")</f>
        <v>Valid</v>
      </c>
      <c r="T516">
        <v>7944.5</v>
      </c>
      <c r="U51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7944.5</v>
      </c>
      <c r="V516">
        <v>9800</v>
      </c>
      <c r="W516">
        <v>9800</v>
      </c>
      <c r="X51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516">
        <f>IF(Transaction[[#This Row],[GrossRevenue_Check]]="Invalid",Transaction[[#This Row],[ListPrice]]*Transaction[[#This Row],[Quantity]],Transaction[[#This Row],[GrossRevenue_Clean]])</f>
        <v>9800</v>
      </c>
      <c r="Z516" t="str">
        <f>IF(Transaction[[#This Row],[GrossRevenue_Clean]]=Transaction[[#This Row],[ListPrice]]*Transaction[[#This Row],[Quantity]],"Valid","Invalid")</f>
        <v>Valid</v>
      </c>
      <c r="AA516">
        <v>1855.5</v>
      </c>
      <c r="AB51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1855.5</v>
      </c>
      <c r="AC516">
        <f>IF(Transaction[[#This Row],[DiscountAmount_Check2]]="Invalid",Transaction[[#This Row],[GrossRevenue_Analytical]]-Transaction[[#This Row],[NetRevenue_Analytical]],Transaction[[#This Row],[DiscountAmount_Clean]])</f>
        <v>1855.5</v>
      </c>
      <c r="AD516">
        <v>7944.5</v>
      </c>
      <c r="AE516" t="str">
        <f>IF(ROUND(Transaction[[#This Row],[GrossRevenue_Analytical]]-Transaction[[#This Row],[NetRevenue_Analytical]],2)=ROUND(Transaction[[#This Row],[DiscountAmount_Clean]],2),"Valid","Invalid")</f>
        <v>Valid</v>
      </c>
      <c r="AF516">
        <f>VALUE(IF(ISNUMBER(Transaction[[#This Row],[NetRevenue]]),Transaction[[#This Row],[NetRevenue]],IFERROR(IF(FIND("$",Transaction[[#This Row],[NetRevenue]])&gt;0,MID(Transaction[[#This Row],[NetRevenue]],2,10)),Transaction[[#This Row],[NetRevenue]])))</f>
        <v>7944.5</v>
      </c>
      <c r="AG516">
        <f>IF(Transaction[[#This Row],[NetRevenue_Check]]="Invalid",(Transaction[[#This Row],[Quantity]]*Transaction[[#This Row],[UnitPrice_Clean]]),Transaction[[#This Row],[NetRevenue_Clean]])</f>
        <v>7944.5</v>
      </c>
      <c r="AH516" t="str">
        <f>IF(Transaction[[#This Row],[Quantity]]*Transaction[[#This Row],[UnitPrice_Clean]]=Transaction[[#This Row],[NetRevenue_Clean]],"Valid","Invalid")</f>
        <v>Valid</v>
      </c>
      <c r="AI516" t="s">
        <v>23</v>
      </c>
      <c r="AJ516" t="s">
        <v>1415</v>
      </c>
      <c r="AK516" t="str">
        <f>IF(Transaction[[#This Row],[Salesperson]]="","Missing Value",TRIM(PROPER(Transaction[[#This Row],[Salesperson]])))</f>
        <v>Clark-Na</v>
      </c>
      <c r="AL516" t="s">
        <v>210</v>
      </c>
      <c r="AM516" t="str">
        <f>IF(Transaction[[#This Row],[ContractType]]="","Missing Value",Transaction[[#This Row],[ContractType]])</f>
        <v>Perpetual</v>
      </c>
      <c r="AN516" t="s">
        <v>43</v>
      </c>
    </row>
    <row r="517" spans="1:40" x14ac:dyDescent="0.25">
      <c r="A517" t="s">
        <v>2365</v>
      </c>
      <c r="B517" s="1">
        <v>45786</v>
      </c>
      <c r="C51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51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51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17" s="2">
        <f>IFERROR(DATE(Transaction[[#This Row],[TransactionDateY]],Transaction[[#This Row],[TransactionDateM]],Transaction[[#This Row],[TransactionDateD]]),"Missing Value")</f>
        <v>45786</v>
      </c>
      <c r="G517" t="s">
        <v>1133</v>
      </c>
      <c r="H517" t="str">
        <f>IFERROR(VLOOKUP(Transaction[[#This Row],[CustomerID]],Custumer[],1,0),IF(LEN(Transaction[[#This Row],[CustomerID]])=7,LEFT(Transaction[[#This Row],[CustomerID]],6),"Invalid ID"))</f>
        <v>C-1058</v>
      </c>
      <c r="I517" t="s">
        <v>1091</v>
      </c>
      <c r="J517" t="str">
        <f>TRIM(UPPER(Transaction[[#This Row],[ProductID]]))</f>
        <v>P-SA-005</v>
      </c>
      <c r="K517" t="str">
        <f>IFERROR(VLOOKUP(Transaction[[#This Row],[ProductID_Clean]],Product[],1,FALSE),"Invalid ID")</f>
        <v>P-SA-005</v>
      </c>
      <c r="L517" t="str">
        <f>TRIM(SUBSTITUTE(SUBSTITUTE(SUBSTITUTE(SUBSTITUTE(UPPER(Transaction[[#This Row],[Region]]),"EMEA REGION","EMEA"),"APAC REGION","APAC"),"NORTH AMERICA","N. AMERICA"),"N .AMERICA","N.AMERICA"))</f>
        <v>EMEA</v>
      </c>
      <c r="M517" t="s">
        <v>76</v>
      </c>
      <c r="N517" t="s">
        <v>31</v>
      </c>
      <c r="O51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17" t="s">
        <v>40</v>
      </c>
      <c r="Q517" t="str">
        <f>IF(TRIM(Transaction[[#This Row],[SalesChannel]])="","Missing Value",TRIM(Transaction[[#This Row],[SalesChannel]]))</f>
        <v>Distributor</v>
      </c>
      <c r="R517" s="4">
        <v>1</v>
      </c>
      <c r="S517" s="4" t="str">
        <f>IF(Transaction[[#This Row],[Quantity]]&lt;0,"Negative-review","Valid")</f>
        <v>Valid</v>
      </c>
      <c r="T517">
        <v>2824.54</v>
      </c>
      <c r="U51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2824.54</v>
      </c>
      <c r="V517">
        <v>3200</v>
      </c>
      <c r="W517">
        <v>3200</v>
      </c>
      <c r="X51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517">
        <f>IF(Transaction[[#This Row],[GrossRevenue_Check]]="Invalid",Transaction[[#This Row],[ListPrice]]*Transaction[[#This Row],[Quantity]],Transaction[[#This Row],[GrossRevenue_Clean]])</f>
        <v>3200</v>
      </c>
      <c r="Z517" t="str">
        <f>IF(Transaction[[#This Row],[GrossRevenue_Clean]]=Transaction[[#This Row],[ListPrice]]*Transaction[[#This Row],[Quantity]],"Valid","Invalid")</f>
        <v>Valid</v>
      </c>
      <c r="AA517">
        <v>375.46</v>
      </c>
      <c r="AB51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375.46</v>
      </c>
      <c r="AC517">
        <f>IF(Transaction[[#This Row],[DiscountAmount_Check2]]="Invalid",Transaction[[#This Row],[GrossRevenue_Analytical]]-Transaction[[#This Row],[NetRevenue_Analytical]],Transaction[[#This Row],[DiscountAmount_Clean]])</f>
        <v>375.46</v>
      </c>
      <c r="AD517">
        <v>2824.54</v>
      </c>
      <c r="AE517" t="str">
        <f>IF(ROUND(Transaction[[#This Row],[GrossRevenue_Analytical]]-Transaction[[#This Row],[NetRevenue_Analytical]],2)=ROUND(Transaction[[#This Row],[DiscountAmount_Clean]],2),"Valid","Invalid")</f>
        <v>Valid</v>
      </c>
      <c r="AF517">
        <f>VALUE(IF(ISNUMBER(Transaction[[#This Row],[NetRevenue]]),Transaction[[#This Row],[NetRevenue]],IFERROR(IF(FIND("$",Transaction[[#This Row],[NetRevenue]])&gt;0,MID(Transaction[[#This Row],[NetRevenue]],2,10)),Transaction[[#This Row],[NetRevenue]])))</f>
        <v>2824.54</v>
      </c>
      <c r="AG517">
        <f>IF(Transaction[[#This Row],[NetRevenue_Check]]="Invalid",(Transaction[[#This Row],[Quantity]]*Transaction[[#This Row],[UnitPrice_Clean]]),Transaction[[#This Row],[NetRevenue_Clean]])</f>
        <v>2824.54</v>
      </c>
      <c r="AH517" t="str">
        <f>IF(Transaction[[#This Row],[Quantity]]*Transaction[[#This Row],[UnitPrice_Clean]]=Transaction[[#This Row],[NetRevenue_Clean]],"Valid","Invalid")</f>
        <v>Valid</v>
      </c>
      <c r="AI517" t="s">
        <v>23</v>
      </c>
      <c r="AJ517" t="s">
        <v>454</v>
      </c>
      <c r="AK517" t="str">
        <f>IF(Transaction[[#This Row],[Salesperson]]="","Missing Value",TRIM(PROPER(Transaction[[#This Row],[Salesperson]])))</f>
        <v>Armstrong</v>
      </c>
      <c r="AL517" t="s">
        <v>34</v>
      </c>
      <c r="AM517" t="str">
        <f>IF(Transaction[[#This Row],[ContractType]]="","Missing Value",Transaction[[#This Row],[ContractType]])</f>
        <v>Annual License</v>
      </c>
      <c r="AN517" t="s">
        <v>49</v>
      </c>
    </row>
    <row r="518" spans="1:40" x14ac:dyDescent="0.25">
      <c r="A518" t="s">
        <v>466</v>
      </c>
      <c r="B518" s="1">
        <v>45673</v>
      </c>
      <c r="C51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51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51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18" s="2">
        <f>IFERROR(DATE(Transaction[[#This Row],[TransactionDateY]],Transaction[[#This Row],[TransactionDateM]],Transaction[[#This Row],[TransactionDateD]]),"Missing Value")</f>
        <v>45673</v>
      </c>
      <c r="G518" t="s">
        <v>467</v>
      </c>
      <c r="H518" t="str">
        <f>IFERROR(VLOOKUP(Transaction[[#This Row],[CustomerID]],Custumer[],1,0),IF(LEN(Transaction[[#This Row],[CustomerID]])=7,LEFT(Transaction[[#This Row],[CustomerID]],6),"Invalid ID"))</f>
        <v>C-1111</v>
      </c>
      <c r="I518" t="s">
        <v>222</v>
      </c>
      <c r="J518" t="str">
        <f>TRIM(UPPER(Transaction[[#This Row],[ProductID]]))</f>
        <v>P-FS-003</v>
      </c>
      <c r="K518" t="str">
        <f>IFERROR(VLOOKUP(Transaction[[#This Row],[ProductID_Clean]],Product[],1,FALSE),"Invalid ID")</f>
        <v>P-FS-003</v>
      </c>
      <c r="L518" t="str">
        <f>TRIM(SUBSTITUTE(SUBSTITUTE(SUBSTITUTE(SUBSTITUTE(UPPER(Transaction[[#This Row],[Region]]),"EMEA REGION","EMEA"),"APAC REGION","APAC"),"NORTH AMERICA","N. AMERICA"),"N .AMERICA","N.AMERICA"))</f>
        <v>APAC</v>
      </c>
      <c r="M518" t="s">
        <v>30</v>
      </c>
      <c r="N518" t="s">
        <v>244</v>
      </c>
      <c r="O518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518" t="s">
        <v>77</v>
      </c>
      <c r="Q518" t="str">
        <f>IF(TRIM(Transaction[[#This Row],[SalesChannel]])="","Missing Value",TRIM(Transaction[[#This Row],[SalesChannel]]))</f>
        <v>distributor</v>
      </c>
      <c r="R518" s="4">
        <v>1</v>
      </c>
      <c r="S518" s="4" t="str">
        <f>IF(Transaction[[#This Row],[Quantity]]&lt;0,"Negative-review","Valid")</f>
        <v>Valid</v>
      </c>
      <c r="T518">
        <v>3124.31</v>
      </c>
      <c r="U51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3124.31</v>
      </c>
      <c r="V518">
        <v>4100</v>
      </c>
      <c r="W518" t="s">
        <v>293</v>
      </c>
      <c r="X51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4100</v>
      </c>
      <c r="Y518">
        <f>IF(Transaction[[#This Row],[GrossRevenue_Check]]="Invalid",Transaction[[#This Row],[ListPrice]]*Transaction[[#This Row],[Quantity]],Transaction[[#This Row],[GrossRevenue_Clean]])</f>
        <v>4100</v>
      </c>
      <c r="Z518" t="str">
        <f>IF(Transaction[[#This Row],[GrossRevenue_Clean]]=Transaction[[#This Row],[ListPrice]]*Transaction[[#This Row],[Quantity]],"Valid","Invalid")</f>
        <v>Valid</v>
      </c>
      <c r="AA518">
        <v>975.69</v>
      </c>
      <c r="AB51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975.69</v>
      </c>
      <c r="AC518">
        <f>IF(Transaction[[#This Row],[DiscountAmount_Check2]]="Invalid",Transaction[[#This Row],[GrossRevenue_Analytical]]-Transaction[[#This Row],[NetRevenue_Analytical]],Transaction[[#This Row],[DiscountAmount_Clean]])</f>
        <v>975.69</v>
      </c>
      <c r="AD518">
        <v>3124.31</v>
      </c>
      <c r="AE518" t="str">
        <f>IF(ROUND(Transaction[[#This Row],[GrossRevenue_Analytical]]-Transaction[[#This Row],[NetRevenue_Analytical]],2)=ROUND(Transaction[[#This Row],[DiscountAmount_Clean]],2),"Valid","Invalid")</f>
        <v>Valid</v>
      </c>
      <c r="AF518">
        <f>VALUE(IF(ISNUMBER(Transaction[[#This Row],[NetRevenue]]),Transaction[[#This Row],[NetRevenue]],IFERROR(IF(FIND("$",Transaction[[#This Row],[NetRevenue]])&gt;0,MID(Transaction[[#This Row],[NetRevenue]],2,10)),Transaction[[#This Row],[NetRevenue]])))</f>
        <v>3124.31</v>
      </c>
      <c r="AG518">
        <f>IF(Transaction[[#This Row],[NetRevenue_Check]]="Invalid",(Transaction[[#This Row],[Quantity]]*Transaction[[#This Row],[UnitPrice_Clean]]),Transaction[[#This Row],[NetRevenue_Clean]])</f>
        <v>3124.31</v>
      </c>
      <c r="AH518" t="str">
        <f>IF(Transaction[[#This Row],[Quantity]]*Transaction[[#This Row],[UnitPrice_Clean]]=Transaction[[#This Row],[NetRevenue_Clean]],"Valid","Invalid")</f>
        <v>Valid</v>
      </c>
      <c r="AI518" t="s">
        <v>99</v>
      </c>
      <c r="AJ518" t="s">
        <v>468</v>
      </c>
      <c r="AK518" t="str">
        <f>IF(Transaction[[#This Row],[Salesperson]]="","Missing Value",TRIM(PROPER(Transaction[[#This Row],[Salesperson]])))</f>
        <v>Montgomery-Na</v>
      </c>
      <c r="AL518" t="s">
        <v>224</v>
      </c>
      <c r="AM518" t="str">
        <f>IF(Transaction[[#This Row],[ContractType]]="","Missing Value",Transaction[[#This Row],[ContractType]])</f>
        <v>Annual</v>
      </c>
      <c r="AN518" t="s">
        <v>43</v>
      </c>
    </row>
    <row r="519" spans="1:40" x14ac:dyDescent="0.25">
      <c r="A519" t="s">
        <v>1174</v>
      </c>
      <c r="B519" s="1">
        <v>45684</v>
      </c>
      <c r="C51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51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51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19" s="2">
        <f>IFERROR(DATE(Transaction[[#This Row],[TransactionDateY]],Transaction[[#This Row],[TransactionDateM]],Transaction[[#This Row],[TransactionDateD]]),"Missing Value")</f>
        <v>45684</v>
      </c>
      <c r="G519" t="s">
        <v>284</v>
      </c>
      <c r="H519" t="str">
        <f>IFERROR(VLOOKUP(Transaction[[#This Row],[CustomerID]],Custumer[],1,0),IF(LEN(Transaction[[#This Row],[CustomerID]])=7,LEFT(Transaction[[#This Row],[CustomerID]],6),"Invalid ID"))</f>
        <v>C-1101</v>
      </c>
      <c r="I519" t="s">
        <v>29</v>
      </c>
      <c r="J519" t="str">
        <f>TRIM(UPPER(Transaction[[#This Row],[ProductID]]))</f>
        <v>P-SA-001</v>
      </c>
      <c r="K519" t="str">
        <f>IFERROR(VLOOKUP(Transaction[[#This Row],[ProductID_Clean]],Product[],1,FALSE),"Invalid ID")</f>
        <v>P-SA-001</v>
      </c>
      <c r="L519" t="str">
        <f>TRIM(SUBSTITUTE(SUBSTITUTE(SUBSTITUTE(SUBSTITUTE(UPPER(Transaction[[#This Row],[Region]]),"EMEA REGION","EMEA"),"APAC REGION","APAC"),"NORTH AMERICA","N. AMERICA"),"N .AMERICA","N.AMERICA"))</f>
        <v>EMEA</v>
      </c>
      <c r="M519" t="s">
        <v>76</v>
      </c>
      <c r="N519" t="s">
        <v>205</v>
      </c>
      <c r="O51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19" t="s">
        <v>22</v>
      </c>
      <c r="Q519" t="str">
        <f>IF(TRIM(Transaction[[#This Row],[SalesChannel]])="","Missing Value",TRIM(Transaction[[#This Row],[SalesChannel]]))</f>
        <v>Direct</v>
      </c>
      <c r="R519" s="4">
        <v>1</v>
      </c>
      <c r="S519" s="4" t="str">
        <f>IF(Transaction[[#This Row],[Quantity]]&lt;0,"Negative-review","Valid")</f>
        <v>Valid</v>
      </c>
      <c r="T519">
        <v>3967.24</v>
      </c>
      <c r="U51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3967.24</v>
      </c>
      <c r="V519">
        <v>4200</v>
      </c>
      <c r="W519">
        <v>4200</v>
      </c>
      <c r="X51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519">
        <f>IF(Transaction[[#This Row],[GrossRevenue_Check]]="Invalid",Transaction[[#This Row],[ListPrice]]*Transaction[[#This Row],[Quantity]],Transaction[[#This Row],[GrossRevenue_Clean]])</f>
        <v>4200</v>
      </c>
      <c r="Z519" t="str">
        <f>IF(Transaction[[#This Row],[GrossRevenue_Clean]]=Transaction[[#This Row],[ListPrice]]*Transaction[[#This Row],[Quantity]],"Valid","Invalid")</f>
        <v>Valid</v>
      </c>
      <c r="AA519">
        <v>232.76</v>
      </c>
      <c r="AB51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232.76</v>
      </c>
      <c r="AC519">
        <f>IF(Transaction[[#This Row],[DiscountAmount_Check2]]="Invalid",Transaction[[#This Row],[GrossRevenue_Analytical]]-Transaction[[#This Row],[NetRevenue_Analytical]],Transaction[[#This Row],[DiscountAmount_Clean]])</f>
        <v>232.76</v>
      </c>
      <c r="AD519" t="s">
        <v>1175</v>
      </c>
      <c r="AE519" t="str">
        <f>IF(ROUND(Transaction[[#This Row],[GrossRevenue_Analytical]]-Transaction[[#This Row],[NetRevenue_Analytical]],2)=ROUND(Transaction[[#This Row],[DiscountAmount_Clean]],2),"Valid","Invalid")</f>
        <v>Valid</v>
      </c>
      <c r="AF519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3967.24</v>
      </c>
      <c r="AG519">
        <f>IF(Transaction[[#This Row],[NetRevenue_Check]]="Invalid",(Transaction[[#This Row],[Quantity]]*Transaction[[#This Row],[UnitPrice_Clean]]),Transaction[[#This Row],[NetRevenue_Clean]])</f>
        <v>3967.24</v>
      </c>
      <c r="AH519" t="str">
        <f>IF(Transaction[[#This Row],[Quantity]]*Transaction[[#This Row],[UnitPrice_Clean]]=Transaction[[#This Row],[NetRevenue_Clean]],"Valid","Invalid")</f>
        <v>Valid</v>
      </c>
      <c r="AI519" t="s">
        <v>23</v>
      </c>
      <c r="AJ519" t="s">
        <v>828</v>
      </c>
      <c r="AK519" t="str">
        <f>IF(Transaction[[#This Row],[Salesperson]]="","Missing Value",TRIM(PROPER(Transaction[[#This Row],[Salesperson]])))</f>
        <v>Johnson</v>
      </c>
      <c r="AL519" t="s">
        <v>34</v>
      </c>
      <c r="AM519" t="str">
        <f>IF(Transaction[[#This Row],[ContractType]]="","Missing Value",Transaction[[#This Row],[ContractType]])</f>
        <v>Annual License</v>
      </c>
      <c r="AN519" t="s">
        <v>35</v>
      </c>
    </row>
    <row r="520" spans="1:40" x14ac:dyDescent="0.25">
      <c r="A520" t="s">
        <v>2236</v>
      </c>
      <c r="B520" t="s">
        <v>2237</v>
      </c>
      <c r="C52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52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52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20" s="2">
        <f>IFERROR(DATE(Transaction[[#This Row],[TransactionDateY]],Transaction[[#This Row],[TransactionDateM]],Transaction[[#This Row],[TransactionDateD]]),"Missing Value")</f>
        <v>45679</v>
      </c>
      <c r="G520" t="s">
        <v>239</v>
      </c>
      <c r="H520" t="str">
        <f>IFERROR(VLOOKUP(Transaction[[#This Row],[CustomerID]],Custumer[],1,0),IF(LEN(Transaction[[#This Row],[CustomerID]])=7,LEFT(Transaction[[#This Row],[CustomerID]],6),"Invalid ID"))</f>
        <v>C-1092</v>
      </c>
      <c r="I520" t="s">
        <v>58</v>
      </c>
      <c r="J520" t="str">
        <f>TRIM(UPPER(Transaction[[#This Row],[ProductID]]))</f>
        <v>P-SI-005</v>
      </c>
      <c r="K520" t="str">
        <f>IFERROR(VLOOKUP(Transaction[[#This Row],[ProductID_Clean]],Product[],1,FALSE),"Invalid ID")</f>
        <v>P-SI-005</v>
      </c>
      <c r="L520" t="str">
        <f>TRIM(SUBSTITUTE(SUBSTITUTE(SUBSTITUTE(SUBSTITUTE(UPPER(Transaction[[#This Row],[Region]]),"EMEA REGION","EMEA"),"APAC REGION","APAC"),"NORTH AMERICA","N. AMERICA"),"N .AMERICA","N.AMERICA"))</f>
        <v>N. AMERICA</v>
      </c>
      <c r="M520" t="s">
        <v>20</v>
      </c>
      <c r="N520" t="s">
        <v>53</v>
      </c>
      <c r="O52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20" t="s">
        <v>22</v>
      </c>
      <c r="Q520" t="str">
        <f>IF(TRIM(Transaction[[#This Row],[SalesChannel]])="","Missing Value",TRIM(Transaction[[#This Row],[SalesChannel]]))</f>
        <v>Direct</v>
      </c>
      <c r="R520" s="4">
        <v>2</v>
      </c>
      <c r="S520" s="4" t="str">
        <f>IF(Transaction[[#This Row],[Quantity]]&lt;0,"Negative-review","Valid")</f>
        <v>Valid</v>
      </c>
      <c r="T520">
        <v>1040.74</v>
      </c>
      <c r="U52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1040.74</v>
      </c>
      <c r="V520">
        <v>1120</v>
      </c>
      <c r="W520">
        <v>2240</v>
      </c>
      <c r="X52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2240</v>
      </c>
      <c r="Y520">
        <f>IF(Transaction[[#This Row],[GrossRevenue_Check]]="Invalid",Transaction[[#This Row],[ListPrice]]*Transaction[[#This Row],[Quantity]],Transaction[[#This Row],[GrossRevenue_Clean]])</f>
        <v>2240</v>
      </c>
      <c r="Z520" t="str">
        <f>IF(Transaction[[#This Row],[GrossRevenue_Clean]]=Transaction[[#This Row],[ListPrice]]*Transaction[[#This Row],[Quantity]],"Valid","Invalid")</f>
        <v>Valid</v>
      </c>
      <c r="AA520">
        <v>158.52000000000001</v>
      </c>
      <c r="AB52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158.52000000000001</v>
      </c>
      <c r="AC520">
        <f>IF(Transaction[[#This Row],[DiscountAmount_Check2]]="Invalid",Transaction[[#This Row],[GrossRevenue_Analytical]]-Transaction[[#This Row],[NetRevenue_Analytical]],Transaction[[#This Row],[DiscountAmount_Clean]])</f>
        <v>158.52000000000001</v>
      </c>
      <c r="AD520">
        <v>2081.48</v>
      </c>
      <c r="AE520" t="str">
        <f>IF(ROUND(Transaction[[#This Row],[GrossRevenue_Analytical]]-Transaction[[#This Row],[NetRevenue_Analytical]],2)=ROUND(Transaction[[#This Row],[DiscountAmount_Clean]],2),"Valid","Invalid")</f>
        <v>Valid</v>
      </c>
      <c r="AF52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2081.48</v>
      </c>
      <c r="AG520">
        <f>IF(Transaction[[#This Row],[NetRevenue_Check]]="Invalid",(Transaction[[#This Row],[Quantity]]*Transaction[[#This Row],[UnitPrice_Clean]]),Transaction[[#This Row],[NetRevenue_Clean]])</f>
        <v>2081.48</v>
      </c>
      <c r="AH520" t="str">
        <f>IF(Transaction[[#This Row],[Quantity]]*Transaction[[#This Row],[UnitPrice_Clean]]=Transaction[[#This Row],[NetRevenue_Clean]],"Valid","Invalid")</f>
        <v>Valid</v>
      </c>
      <c r="AI520" t="s">
        <v>23</v>
      </c>
      <c r="AJ520" t="s">
        <v>2238</v>
      </c>
      <c r="AK520" t="str">
        <f>IF(Transaction[[#This Row],[Salesperson]]="","Missing Value",TRIM(PROPER(Transaction[[#This Row],[Salesperson]])))</f>
        <v>Small-Em</v>
      </c>
      <c r="AL520" t="s">
        <v>55</v>
      </c>
      <c r="AM520" t="str">
        <f>IF(Transaction[[#This Row],[ContractType]]="","Missing Value",Transaction[[#This Row],[ContractType]])</f>
        <v>Spot</v>
      </c>
      <c r="AN520" t="s">
        <v>43</v>
      </c>
    </row>
    <row r="521" spans="1:40" x14ac:dyDescent="0.25">
      <c r="A521" t="s">
        <v>1948</v>
      </c>
      <c r="B521" t="s">
        <v>820</v>
      </c>
      <c r="C52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52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52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21" s="2">
        <f>IFERROR(DATE(Transaction[[#This Row],[TransactionDateY]],Transaction[[#This Row],[TransactionDateM]],Transaction[[#This Row],[TransactionDateD]]),"Missing Value")</f>
        <v>45823</v>
      </c>
      <c r="G521" t="s">
        <v>339</v>
      </c>
      <c r="H521" t="str">
        <f>IFERROR(VLOOKUP(Transaction[[#This Row],[CustomerID]],Custumer[],1,0),IF(LEN(Transaction[[#This Row],[CustomerID]])=7,LEFT(Transaction[[#This Row],[CustomerID]],6),"Invalid ID"))</f>
        <v>C-1017</v>
      </c>
      <c r="I521" t="s">
        <v>111</v>
      </c>
      <c r="J521" t="str">
        <f>TRIM(UPPER(Transaction[[#This Row],[ProductID]]))</f>
        <v>P-SA-004</v>
      </c>
      <c r="K521" t="str">
        <f>IFERROR(VLOOKUP(Transaction[[#This Row],[ProductID_Clean]],Product[],1,FALSE),"Invalid ID")</f>
        <v>P-SA-004</v>
      </c>
      <c r="L521" t="str">
        <f>TRIM(SUBSTITUTE(SUBSTITUTE(SUBSTITUTE(SUBSTITUTE(UPPER(Transaction[[#This Row],[Region]]),"EMEA REGION","EMEA"),"APAC REGION","APAC"),"NORTH AMERICA","N. AMERICA"),"N .AMERICA","N.AMERICA"))</f>
        <v>EMEA</v>
      </c>
      <c r="M521" t="s">
        <v>87</v>
      </c>
      <c r="N521" t="s">
        <v>31</v>
      </c>
      <c r="O52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21" t="s">
        <v>22</v>
      </c>
      <c r="Q521" t="str">
        <f>IF(TRIM(Transaction[[#This Row],[SalesChannel]])="","Missing Value",TRIM(Transaction[[#This Row],[SalesChannel]]))</f>
        <v>Direct</v>
      </c>
      <c r="R521" s="4">
        <v>2</v>
      </c>
      <c r="S521" s="4" t="str">
        <f>IF(Transaction[[#This Row],[Quantity]]&lt;0,"Negative-review","Valid")</f>
        <v>Valid</v>
      </c>
      <c r="T521" t="s">
        <v>1949</v>
      </c>
      <c r="U52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1449.11</v>
      </c>
      <c r="V521">
        <v>1650</v>
      </c>
      <c r="W521" t="s">
        <v>1950</v>
      </c>
      <c r="X52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3300</v>
      </c>
      <c r="Y521">
        <f>IF(Transaction[[#This Row],[GrossRevenue_Check]]="Invalid",Transaction[[#This Row],[ListPrice]]*Transaction[[#This Row],[Quantity]],Transaction[[#This Row],[GrossRevenue_Clean]])</f>
        <v>3300</v>
      </c>
      <c r="Z521" t="str">
        <f>IF(Transaction[[#This Row],[GrossRevenue_Clean]]=Transaction[[#This Row],[ListPrice]]*Transaction[[#This Row],[Quantity]],"Valid","Invalid")</f>
        <v>Valid</v>
      </c>
      <c r="AA521">
        <v>401.78</v>
      </c>
      <c r="AB52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401.78</v>
      </c>
      <c r="AC521">
        <f>IF(Transaction[[#This Row],[DiscountAmount_Check2]]="Invalid",Transaction[[#This Row],[GrossRevenue_Analytical]]-Transaction[[#This Row],[NetRevenue_Analytical]],Transaction[[#This Row],[DiscountAmount_Clean]])</f>
        <v>401.78</v>
      </c>
      <c r="AD521">
        <v>2898.22</v>
      </c>
      <c r="AE521" t="str">
        <f>IF(ROUND(Transaction[[#This Row],[GrossRevenue_Analytical]]-Transaction[[#This Row],[NetRevenue_Analytical]],2)=ROUND(Transaction[[#This Row],[DiscountAmount_Clean]],2),"Valid","Invalid")</f>
        <v>Valid</v>
      </c>
      <c r="AF52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2898.22</v>
      </c>
      <c r="AG521">
        <f>IF(Transaction[[#This Row],[NetRevenue_Check]]="Invalid",(Transaction[[#This Row],[Quantity]]*Transaction[[#This Row],[UnitPrice_Clean]]),Transaction[[#This Row],[NetRevenue_Clean]])</f>
        <v>2898.22</v>
      </c>
      <c r="AH521" t="str">
        <f>IF(Transaction[[#This Row],[Quantity]]*Transaction[[#This Row],[UnitPrice_Clean]]=Transaction[[#This Row],[NetRevenue_Clean]],"Valid","Invalid")</f>
        <v>Valid</v>
      </c>
      <c r="AI521" t="s">
        <v>23</v>
      </c>
      <c r="AJ521" t="s">
        <v>1951</v>
      </c>
      <c r="AK521" t="str">
        <f>IF(Transaction[[#This Row],[Salesperson]]="","Missing Value",TRIM(PROPER(Transaction[[#This Row],[Salesperson]])))</f>
        <v>Gardner</v>
      </c>
      <c r="AM521" t="str">
        <f>IF(Transaction[[#This Row],[ContractType]]="","Missing Value",Transaction[[#This Row],[ContractType]])</f>
        <v>Missing Value</v>
      </c>
      <c r="AN521" t="s">
        <v>26</v>
      </c>
    </row>
    <row r="522" spans="1:40" x14ac:dyDescent="0.25">
      <c r="A522" t="s">
        <v>2591</v>
      </c>
      <c r="B522" s="1">
        <v>45668</v>
      </c>
      <c r="C52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52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52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22" s="2">
        <f>IFERROR(DATE(Transaction[[#This Row],[TransactionDateY]],Transaction[[#This Row],[TransactionDateM]],Transaction[[#This Row],[TransactionDateD]]),"Missing Value")</f>
        <v>45668</v>
      </c>
      <c r="G522" t="s">
        <v>795</v>
      </c>
      <c r="H522" t="str">
        <f>IFERROR(VLOOKUP(Transaction[[#This Row],[CustomerID]],Custumer[],1,0),IF(LEN(Transaction[[#This Row],[CustomerID]])=7,LEFT(Transaction[[#This Row],[CustomerID]],6),"Invalid ID"))</f>
        <v>C-1118</v>
      </c>
      <c r="I522" t="s">
        <v>46</v>
      </c>
      <c r="J522" t="str">
        <f>TRIM(UPPER(Transaction[[#This Row],[ProductID]]))</f>
        <v>P-SI-006</v>
      </c>
      <c r="K522" t="str">
        <f>IFERROR(VLOOKUP(Transaction[[#This Row],[ProductID_Clean]],Product[],1,FALSE),"Invalid ID")</f>
        <v>P-SI-006</v>
      </c>
      <c r="L522" t="str">
        <f>TRIM(SUBSTITUTE(SUBSTITUTE(SUBSTITUTE(SUBSTITUTE(UPPER(Transaction[[#This Row],[Region]]),"EMEA REGION","EMEA"),"APAC REGION","APAC"),"NORTH AMERICA","N. AMERICA"),"N .AMERICA","N.AMERICA"))</f>
        <v>N. AMERICA</v>
      </c>
      <c r="M522" t="s">
        <v>20</v>
      </c>
      <c r="N522" t="s">
        <v>53</v>
      </c>
      <c r="O52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22" t="s">
        <v>40</v>
      </c>
      <c r="Q522" t="str">
        <f>IF(TRIM(Transaction[[#This Row],[SalesChannel]])="","Missing Value",TRIM(Transaction[[#This Row],[SalesChannel]]))</f>
        <v>Distributor</v>
      </c>
      <c r="R522" s="4">
        <v>3</v>
      </c>
      <c r="S522" s="4" t="str">
        <f>IF(Transaction[[#This Row],[Quantity]]&lt;0,"Negative-review","Valid")</f>
        <v>Valid</v>
      </c>
      <c r="T522">
        <v>177.06</v>
      </c>
      <c r="U52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177.06</v>
      </c>
      <c r="V522">
        <v>215</v>
      </c>
      <c r="W522">
        <v>645</v>
      </c>
      <c r="X52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522">
        <f>IF(Transaction[[#This Row],[GrossRevenue_Check]]="Invalid",Transaction[[#This Row],[ListPrice]]*Transaction[[#This Row],[Quantity]],Transaction[[#This Row],[GrossRevenue_Clean]])</f>
        <v>645</v>
      </c>
      <c r="Z522" t="str">
        <f>IF(Transaction[[#This Row],[GrossRevenue_Clean]]=Transaction[[#This Row],[ListPrice]]*Transaction[[#This Row],[Quantity]],"Valid","Invalid")</f>
        <v>Valid</v>
      </c>
      <c r="AA522">
        <v>113.82</v>
      </c>
      <c r="AB52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113.82</v>
      </c>
      <c r="AC522">
        <f>IF(Transaction[[#This Row],[DiscountAmount_Check2]]="Invalid",Transaction[[#This Row],[GrossRevenue_Analytical]]-Transaction[[#This Row],[NetRevenue_Analytical]],Transaction[[#This Row],[DiscountAmount_Clean]])</f>
        <v>113.82</v>
      </c>
      <c r="AD522">
        <v>531.17999999999995</v>
      </c>
      <c r="AE522" t="str">
        <f>IF(ROUND(Transaction[[#This Row],[GrossRevenue_Analytical]]-Transaction[[#This Row],[NetRevenue_Analytical]],2)=ROUND(Transaction[[#This Row],[DiscountAmount_Clean]],2),"Valid","Invalid")</f>
        <v>Valid</v>
      </c>
      <c r="AF522">
        <f>VALUE(IF(ISNUMBER(Transaction[[#This Row],[NetRevenue]]),Transaction[[#This Row],[NetRevenue]],IFERROR(IF(FIND("$",Transaction[[#This Row],[NetRevenue]])&gt;0,MID(Transaction[[#This Row],[NetRevenue]],2,10)),Transaction[[#This Row],[NetRevenue]])))</f>
        <v>531.17999999999995</v>
      </c>
      <c r="AG522">
        <f>IF(Transaction[[#This Row],[NetRevenue_Check]]="Invalid",(Transaction[[#This Row],[Quantity]]*Transaction[[#This Row],[UnitPrice_Clean]]),Transaction[[#This Row],[NetRevenue_Clean]])</f>
        <v>531.17999999999995</v>
      </c>
      <c r="AH522" t="str">
        <f>IF(Transaction[[#This Row],[Quantity]]*Transaction[[#This Row],[UnitPrice_Clean]]=Transaction[[#This Row],[NetRevenue_Clean]],"Valid","Invalid")</f>
        <v>Valid</v>
      </c>
      <c r="AI522" t="s">
        <v>23</v>
      </c>
      <c r="AJ522" t="s">
        <v>2191</v>
      </c>
      <c r="AK522" t="str">
        <f>IF(Transaction[[#This Row],[Salesperson]]="","Missing Value",TRIM(PROPER(Transaction[[#This Row],[Salesperson]])))</f>
        <v>May</v>
      </c>
      <c r="AL522" t="s">
        <v>42</v>
      </c>
      <c r="AM522" t="str">
        <f>IF(Transaction[[#This Row],[ContractType]]="","Missing Value",Transaction[[#This Row],[ContractType]])</f>
        <v>Standard PO</v>
      </c>
      <c r="AN522" t="s">
        <v>49</v>
      </c>
    </row>
    <row r="523" spans="1:40" x14ac:dyDescent="0.25">
      <c r="A523" t="s">
        <v>1966</v>
      </c>
      <c r="B523" s="1">
        <v>45770</v>
      </c>
      <c r="C52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52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52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23" s="2">
        <f>IFERROR(DATE(Transaction[[#This Row],[TransactionDateY]],Transaction[[#This Row],[TransactionDateM]],Transaction[[#This Row],[TransactionDateD]]),"Missing Value")</f>
        <v>45770</v>
      </c>
      <c r="G523" t="s">
        <v>1017</v>
      </c>
      <c r="H523" t="str">
        <f>IFERROR(VLOOKUP(Transaction[[#This Row],[CustomerID]],Custumer[],1,0),IF(LEN(Transaction[[#This Row],[CustomerID]])=7,LEFT(Transaction[[#This Row],[CustomerID]],6),"Invalid ID"))</f>
        <v>C-1124</v>
      </c>
      <c r="I523" t="s">
        <v>111</v>
      </c>
      <c r="J523" t="str">
        <f>TRIM(UPPER(Transaction[[#This Row],[ProductID]]))</f>
        <v>P-SA-004</v>
      </c>
      <c r="K523" t="str">
        <f>IFERROR(VLOOKUP(Transaction[[#This Row],[ProductID_Clean]],Product[],1,FALSE),"Invalid ID")</f>
        <v>P-SA-004</v>
      </c>
      <c r="L523" t="str">
        <f>TRIM(SUBSTITUTE(SUBSTITUTE(SUBSTITUTE(SUBSTITUTE(UPPER(Transaction[[#This Row],[Region]]),"EMEA REGION","EMEA"),"APAC REGION","APAC"),"NORTH AMERICA","N. AMERICA"),"N .AMERICA","N.AMERICA"))</f>
        <v>N. AMERICA</v>
      </c>
      <c r="M523" t="s">
        <v>20</v>
      </c>
      <c r="N523" t="s">
        <v>31</v>
      </c>
      <c r="O52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23" t="s">
        <v>22</v>
      </c>
      <c r="Q523" t="str">
        <f>IF(TRIM(Transaction[[#This Row],[SalesChannel]])="","Missing Value",TRIM(Transaction[[#This Row],[SalesChannel]]))</f>
        <v>Direct</v>
      </c>
      <c r="R523" s="4">
        <v>1</v>
      </c>
      <c r="S523" s="4" t="str">
        <f>IF(Transaction[[#This Row],[Quantity]]&lt;0,"Negative-review","Valid")</f>
        <v>Valid</v>
      </c>
      <c r="T523" t="s">
        <v>1967</v>
      </c>
      <c r="U52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1573.67</v>
      </c>
      <c r="V523">
        <v>1650</v>
      </c>
      <c r="W523">
        <v>1650</v>
      </c>
      <c r="X52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523">
        <f>IF(Transaction[[#This Row],[GrossRevenue_Check]]="Invalid",Transaction[[#This Row],[ListPrice]]*Transaction[[#This Row],[Quantity]],Transaction[[#This Row],[GrossRevenue_Clean]])</f>
        <v>1650</v>
      </c>
      <c r="Z523" t="str">
        <f>IF(Transaction[[#This Row],[GrossRevenue_Clean]]=Transaction[[#This Row],[ListPrice]]*Transaction[[#This Row],[Quantity]],"Valid","Invalid")</f>
        <v>Valid</v>
      </c>
      <c r="AA523">
        <v>76.33</v>
      </c>
      <c r="AB52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76.33</v>
      </c>
      <c r="AC523">
        <f>IF(Transaction[[#This Row],[DiscountAmount_Check2]]="Invalid",Transaction[[#This Row],[GrossRevenue_Analytical]]-Transaction[[#This Row],[NetRevenue_Analytical]],Transaction[[#This Row],[DiscountAmount_Clean]])</f>
        <v>76.33</v>
      </c>
      <c r="AD523" t="s">
        <v>1968</v>
      </c>
      <c r="AE523" t="str">
        <f>IF(ROUND(Transaction[[#This Row],[GrossRevenue_Analytical]]-Transaction[[#This Row],[NetRevenue_Analytical]],2)=ROUND(Transaction[[#This Row],[DiscountAmount_Clean]],2),"Valid","Invalid")</f>
        <v>Valid</v>
      </c>
      <c r="AF52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1573.67</v>
      </c>
      <c r="AG523">
        <f>IF(Transaction[[#This Row],[NetRevenue_Check]]="Invalid",(Transaction[[#This Row],[Quantity]]*Transaction[[#This Row],[UnitPrice_Clean]]),Transaction[[#This Row],[NetRevenue_Clean]])</f>
        <v>1573.67</v>
      </c>
      <c r="AH523" t="str">
        <f>IF(Transaction[[#This Row],[Quantity]]*Transaction[[#This Row],[UnitPrice_Clean]]=Transaction[[#This Row],[NetRevenue_Clean]],"Valid","Invalid")</f>
        <v>Valid</v>
      </c>
      <c r="AI523" t="s">
        <v>23</v>
      </c>
      <c r="AJ523" t="s">
        <v>1969</v>
      </c>
      <c r="AK523" t="str">
        <f>IF(Transaction[[#This Row],[Salesperson]]="","Missing Value",TRIM(PROPER(Transaction[[#This Row],[Salesperson]])))</f>
        <v>Turner-Na</v>
      </c>
      <c r="AL523" t="s">
        <v>34</v>
      </c>
      <c r="AM523" t="str">
        <f>IF(Transaction[[#This Row],[ContractType]]="","Missing Value",Transaction[[#This Row],[ContractType]])</f>
        <v>Annual License</v>
      </c>
      <c r="AN523" t="s">
        <v>65</v>
      </c>
    </row>
    <row r="524" spans="1:40" x14ac:dyDescent="0.25">
      <c r="A524" t="s">
        <v>1529</v>
      </c>
      <c r="B524" s="1">
        <v>45792</v>
      </c>
      <c r="C52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52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52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24" s="2">
        <f>IFERROR(DATE(Transaction[[#This Row],[TransactionDateY]],Transaction[[#This Row],[TransactionDateM]],Transaction[[#This Row],[TransactionDateD]]),"Missing Value")</f>
        <v>45792</v>
      </c>
      <c r="G524" t="s">
        <v>733</v>
      </c>
      <c r="H524" t="str">
        <f>IFERROR(VLOOKUP(Transaction[[#This Row],[CustomerID]],Custumer[],1,0),IF(LEN(Transaction[[#This Row],[CustomerID]])=7,LEFT(Transaction[[#This Row],[CustomerID]],6),"Invalid ID"))</f>
        <v>C-1017</v>
      </c>
      <c r="I524" t="s">
        <v>29</v>
      </c>
      <c r="J524" t="str">
        <f>TRIM(UPPER(Transaction[[#This Row],[ProductID]]))</f>
        <v>P-SA-001</v>
      </c>
      <c r="K524" t="str">
        <f>IFERROR(VLOOKUP(Transaction[[#This Row],[ProductID_Clean]],Product[],1,FALSE),"Invalid ID")</f>
        <v>P-SA-001</v>
      </c>
      <c r="L524" t="str">
        <f>TRIM(SUBSTITUTE(SUBSTITUTE(SUBSTITUTE(SUBSTITUTE(UPPER(Transaction[[#This Row],[Region]]),"EMEA REGION","EMEA"),"APAC REGION","APAC"),"NORTH AMERICA","N. AMERICA"),"N .AMERICA","N.AMERICA"))</f>
        <v>EMEA</v>
      </c>
      <c r="M524" t="s">
        <v>76</v>
      </c>
      <c r="N524" t="s">
        <v>857</v>
      </c>
      <c r="O52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24" t="s">
        <v>77</v>
      </c>
      <c r="Q524" t="str">
        <f>IF(TRIM(Transaction[[#This Row],[SalesChannel]])="","Missing Value",TRIM(Transaction[[#This Row],[SalesChannel]]))</f>
        <v>distributor</v>
      </c>
      <c r="R524" s="4">
        <v>2</v>
      </c>
      <c r="S524" s="4" t="str">
        <f>IF(Transaction[[#This Row],[Quantity]]&lt;0,"Negative-review","Valid")</f>
        <v>Valid</v>
      </c>
      <c r="T524" t="s">
        <v>1530</v>
      </c>
      <c r="U52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3357.16</v>
      </c>
      <c r="V524">
        <v>4200</v>
      </c>
      <c r="W524">
        <v>8400</v>
      </c>
      <c r="X52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8400</v>
      </c>
      <c r="Y524">
        <f>IF(Transaction[[#This Row],[GrossRevenue_Check]]="Invalid",Transaction[[#This Row],[ListPrice]]*Transaction[[#This Row],[Quantity]],Transaction[[#This Row],[GrossRevenue_Clean]])</f>
        <v>8400</v>
      </c>
      <c r="Z524" t="str">
        <f>IF(Transaction[[#This Row],[GrossRevenue_Clean]]=Transaction[[#This Row],[ListPrice]]*Transaction[[#This Row],[Quantity]],"Valid","Invalid")</f>
        <v>Valid</v>
      </c>
      <c r="AA524">
        <v>1685.68</v>
      </c>
      <c r="AB52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1685.68</v>
      </c>
      <c r="AC524">
        <f>IF(Transaction[[#This Row],[DiscountAmount_Check2]]="Invalid",Transaction[[#This Row],[GrossRevenue_Analytical]]-Transaction[[#This Row],[NetRevenue_Analytical]],Transaction[[#This Row],[DiscountAmount_Clean]])</f>
        <v>1685.68</v>
      </c>
      <c r="AD524">
        <v>6714.32</v>
      </c>
      <c r="AE524" t="str">
        <f>IF(ROUND(Transaction[[#This Row],[GrossRevenue_Analytical]]-Transaction[[#This Row],[NetRevenue_Analytical]],2)=ROUND(Transaction[[#This Row],[DiscountAmount_Clean]],2),"Valid","Invalid")</f>
        <v>Valid</v>
      </c>
      <c r="AF524">
        <f>VALUE(IF(ISNUMBER(Transaction[[#This Row],[NetRevenue]]),Transaction[[#This Row],[NetRevenue]],IFERROR(IF(FIND("$",Transaction[[#This Row],[NetRevenue]])&gt;0,MID(Transaction[[#This Row],[NetRevenue]],2,10)),Transaction[[#This Row],[NetRevenue]])))</f>
        <v>6714.32</v>
      </c>
      <c r="AG524">
        <f>IF(Transaction[[#This Row],[NetRevenue_Check]]="Invalid",(Transaction[[#This Row],[Quantity]]*Transaction[[#This Row],[UnitPrice_Clean]]),Transaction[[#This Row],[NetRevenue_Clean]])</f>
        <v>6714.32</v>
      </c>
      <c r="AH524" t="str">
        <f>IF(Transaction[[#This Row],[Quantity]]*Transaction[[#This Row],[UnitPrice_Clean]]=Transaction[[#This Row],[NetRevenue_Clean]],"Valid","Invalid")</f>
        <v>Valid</v>
      </c>
      <c r="AI524" t="s">
        <v>23</v>
      </c>
      <c r="AJ524" t="s">
        <v>1270</v>
      </c>
      <c r="AK524" t="str">
        <f>IF(Transaction[[#This Row],[Salesperson]]="","Missing Value",TRIM(PROPER(Transaction[[#This Row],[Salesperson]])))</f>
        <v>Sanchez-Em</v>
      </c>
      <c r="AL524" t="s">
        <v>34</v>
      </c>
      <c r="AM524" t="str">
        <f>IF(Transaction[[#This Row],[ContractType]]="","Missing Value",Transaction[[#This Row],[ContractType]])</f>
        <v>Annual License</v>
      </c>
      <c r="AN524" t="s">
        <v>26</v>
      </c>
    </row>
    <row r="525" spans="1:40" x14ac:dyDescent="0.25">
      <c r="A525" t="s">
        <v>2932</v>
      </c>
      <c r="B525" s="1">
        <v>45814</v>
      </c>
      <c r="C52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52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52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25" s="2">
        <f>IFERROR(DATE(Transaction[[#This Row],[TransactionDateY]],Transaction[[#This Row],[TransactionDateM]],Transaction[[#This Row],[TransactionDateD]]),"Missing Value")</f>
        <v>45814</v>
      </c>
      <c r="G525" t="s">
        <v>1395</v>
      </c>
      <c r="H525" t="str">
        <f>IFERROR(VLOOKUP(Transaction[[#This Row],[CustomerID]],Custumer[],1,0),IF(LEN(Transaction[[#This Row],[CustomerID]])=7,LEFT(Transaction[[#This Row],[CustomerID]],6),"Invalid ID"))</f>
        <v>C-1023</v>
      </c>
      <c r="I525" t="s">
        <v>62</v>
      </c>
      <c r="J525" t="str">
        <f>TRIM(UPPER(Transaction[[#This Row],[ProductID]]))</f>
        <v>P-SI-004</v>
      </c>
      <c r="K525" t="str">
        <f>IFERROR(VLOOKUP(Transaction[[#This Row],[ProductID_Clean]],Product[],1,FALSE),"Invalid ID")</f>
        <v>P-SI-004</v>
      </c>
      <c r="L525" t="str">
        <f>TRIM(SUBSTITUTE(SUBSTITUTE(SUBSTITUTE(SUBSTITUTE(UPPER(Transaction[[#This Row],[Region]]),"EMEA REGION","EMEA"),"APAC REGION","APAC"),"NORTH AMERICA","N. AMERICA"),"N .AMERICA","N.AMERICA"))</f>
        <v>N. AMERICA</v>
      </c>
      <c r="M525" t="s">
        <v>495</v>
      </c>
      <c r="N525" t="s">
        <v>53</v>
      </c>
      <c r="O52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25" t="s">
        <v>40</v>
      </c>
      <c r="Q525" t="str">
        <f>IF(TRIM(Transaction[[#This Row],[SalesChannel]])="","Missing Value",TRIM(Transaction[[#This Row],[SalesChannel]]))</f>
        <v>Distributor</v>
      </c>
      <c r="R525" s="4">
        <v>2</v>
      </c>
      <c r="S525" s="4" t="str">
        <f>IF(Transaction[[#This Row],[Quantity]]&lt;0,"Negative-review","Valid")</f>
        <v>Valid</v>
      </c>
      <c r="T525">
        <v>2016.3</v>
      </c>
      <c r="U52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2016.3</v>
      </c>
      <c r="V525">
        <v>2450</v>
      </c>
      <c r="W525">
        <v>4900</v>
      </c>
      <c r="X52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</v>
      </c>
      <c r="Y525">
        <f>IF(Transaction[[#This Row],[GrossRevenue_Check]]="Invalid",Transaction[[#This Row],[ListPrice]]*Transaction[[#This Row],[Quantity]],Transaction[[#This Row],[GrossRevenue_Clean]])</f>
        <v>4900</v>
      </c>
      <c r="Z525" t="str">
        <f>IF(Transaction[[#This Row],[GrossRevenue_Clean]]=Transaction[[#This Row],[ListPrice]]*Transaction[[#This Row],[Quantity]],"Valid","Invalid")</f>
        <v>Valid</v>
      </c>
      <c r="AA525">
        <v>867.4</v>
      </c>
      <c r="AB52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867.4</v>
      </c>
      <c r="AC525">
        <f>IF(Transaction[[#This Row],[DiscountAmount_Check2]]="Invalid",Transaction[[#This Row],[GrossRevenue_Analytical]]-Transaction[[#This Row],[NetRevenue_Analytical]],Transaction[[#This Row],[DiscountAmount_Clean]])</f>
        <v>867.4</v>
      </c>
      <c r="AD525">
        <v>4032.6</v>
      </c>
      <c r="AE525" t="str">
        <f>IF(ROUND(Transaction[[#This Row],[GrossRevenue_Analytical]]-Transaction[[#This Row],[NetRevenue_Analytical]],2)=ROUND(Transaction[[#This Row],[DiscountAmount_Clean]],2),"Valid","Invalid")</f>
        <v>Valid</v>
      </c>
      <c r="AF525">
        <f>VALUE(IF(ISNUMBER(Transaction[[#This Row],[NetRevenue]]),Transaction[[#This Row],[NetRevenue]],IFERROR(IF(FIND("$",Transaction[[#This Row],[NetRevenue]])&gt;0,MID(Transaction[[#This Row],[NetRevenue]],2,10)),Transaction[[#This Row],[NetRevenue]])))</f>
        <v>4032.6</v>
      </c>
      <c r="AG525">
        <f>IF(Transaction[[#This Row],[NetRevenue_Check]]="Invalid",(Transaction[[#This Row],[Quantity]]*Transaction[[#This Row],[UnitPrice_Clean]]),Transaction[[#This Row],[NetRevenue_Clean]])</f>
        <v>4032.6</v>
      </c>
      <c r="AH525" t="str">
        <f>IF(Transaction[[#This Row],[Quantity]]*Transaction[[#This Row],[UnitPrice_Clean]]=Transaction[[#This Row],[NetRevenue_Clean]],"Valid","Invalid")</f>
        <v>Valid</v>
      </c>
      <c r="AI525" t="s">
        <v>23</v>
      </c>
      <c r="AJ525" t="s">
        <v>2933</v>
      </c>
      <c r="AK525" t="str">
        <f>IF(Transaction[[#This Row],[Salesperson]]="","Missing Value",TRIM(PROPER(Transaction[[#This Row],[Salesperson]])))</f>
        <v>Aguirre</v>
      </c>
      <c r="AM525" t="str">
        <f>IF(Transaction[[#This Row],[ContractType]]="","Missing Value",Transaction[[#This Row],[ContractType]])</f>
        <v>Missing Value</v>
      </c>
      <c r="AN525" t="s">
        <v>49</v>
      </c>
    </row>
    <row r="526" spans="1:40" x14ac:dyDescent="0.25">
      <c r="A526" t="s">
        <v>2266</v>
      </c>
      <c r="B526" s="1">
        <v>45751</v>
      </c>
      <c r="C52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52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52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26" s="2">
        <f>IFERROR(DATE(Transaction[[#This Row],[TransactionDateY]],Transaction[[#This Row],[TransactionDateM]],Transaction[[#This Row],[TransactionDateD]]),"Missing Value")</f>
        <v>45751</v>
      </c>
      <c r="G526" t="s">
        <v>973</v>
      </c>
      <c r="H526" t="str">
        <f>IFERROR(VLOOKUP(Transaction[[#This Row],[CustomerID]],Custumer[],1,0),IF(LEN(Transaction[[#This Row],[CustomerID]])=7,LEFT(Transaction[[#This Row],[CustomerID]],6),"Invalid ID"))</f>
        <v>C-1051</v>
      </c>
      <c r="I526" t="s">
        <v>29</v>
      </c>
      <c r="J526" t="str">
        <f>TRIM(UPPER(Transaction[[#This Row],[ProductID]]))</f>
        <v>P-SA-001</v>
      </c>
      <c r="K526" t="str">
        <f>IFERROR(VLOOKUP(Transaction[[#This Row],[ProductID_Clean]],Product[],1,FALSE),"Invalid ID")</f>
        <v>P-SA-001</v>
      </c>
      <c r="L526" t="str">
        <f>TRIM(SUBSTITUTE(SUBSTITUTE(SUBSTITUTE(SUBSTITUTE(UPPER(Transaction[[#This Row],[Region]]),"EMEA REGION","EMEA"),"APAC REGION","APAC"),"NORTH AMERICA","N. AMERICA"),"N .AMERICA","N.AMERICA"))</f>
        <v>N. AMERICA</v>
      </c>
      <c r="M526" t="s">
        <v>20</v>
      </c>
      <c r="N526" t="s">
        <v>31</v>
      </c>
      <c r="O52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26" t="s">
        <v>22</v>
      </c>
      <c r="Q526" t="str">
        <f>IF(TRIM(Transaction[[#This Row],[SalesChannel]])="","Missing Value",TRIM(Transaction[[#This Row],[SalesChannel]]))</f>
        <v>Direct</v>
      </c>
      <c r="R526" s="4">
        <v>1</v>
      </c>
      <c r="S526" s="4" t="str">
        <f>IF(Transaction[[#This Row],[Quantity]]&lt;0,"Negative-review","Valid")</f>
        <v>Valid</v>
      </c>
      <c r="T526">
        <v>3830.64</v>
      </c>
      <c r="U52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3830.64</v>
      </c>
      <c r="V526">
        <v>4200</v>
      </c>
      <c r="W526">
        <v>4200</v>
      </c>
      <c r="X52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526">
        <f>IF(Transaction[[#This Row],[GrossRevenue_Check]]="Invalid",Transaction[[#This Row],[ListPrice]]*Transaction[[#This Row],[Quantity]],Transaction[[#This Row],[GrossRevenue_Clean]])</f>
        <v>4200</v>
      </c>
      <c r="Z526" t="str">
        <f>IF(Transaction[[#This Row],[GrossRevenue_Clean]]=Transaction[[#This Row],[ListPrice]]*Transaction[[#This Row],[Quantity]],"Valid","Invalid")</f>
        <v>Valid</v>
      </c>
      <c r="AA526">
        <v>369.36</v>
      </c>
      <c r="AB52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369.36</v>
      </c>
      <c r="AC526">
        <f>IF(Transaction[[#This Row],[DiscountAmount_Check2]]="Invalid",Transaction[[#This Row],[GrossRevenue_Analytical]]-Transaction[[#This Row],[NetRevenue_Analytical]],Transaction[[#This Row],[DiscountAmount_Clean]])</f>
        <v>369.36</v>
      </c>
      <c r="AD526">
        <v>3830.64</v>
      </c>
      <c r="AE526" t="str">
        <f>IF(ROUND(Transaction[[#This Row],[GrossRevenue_Analytical]]-Transaction[[#This Row],[NetRevenue_Analytical]],2)=ROUND(Transaction[[#This Row],[DiscountAmount_Clean]],2),"Valid","Invalid")</f>
        <v>Valid</v>
      </c>
      <c r="AF526">
        <f>VALUE(IF(ISNUMBER(Transaction[[#This Row],[NetRevenue]]),Transaction[[#This Row],[NetRevenue]],IFERROR(IF(FIND("$",Transaction[[#This Row],[NetRevenue]])&gt;0,MID(Transaction[[#This Row],[NetRevenue]],2,10)),Transaction[[#This Row],[NetRevenue]])))</f>
        <v>3830.64</v>
      </c>
      <c r="AG526">
        <f>IF(Transaction[[#This Row],[NetRevenue_Check]]="Invalid",(Transaction[[#This Row],[Quantity]]*Transaction[[#This Row],[UnitPrice_Clean]]),Transaction[[#This Row],[NetRevenue_Clean]])</f>
        <v>3830.64</v>
      </c>
      <c r="AH526" t="str">
        <f>IF(Transaction[[#This Row],[Quantity]]*Transaction[[#This Row],[UnitPrice_Clean]]=Transaction[[#This Row],[NetRevenue_Clean]],"Valid","Invalid")</f>
        <v>Valid</v>
      </c>
      <c r="AI526" t="s">
        <v>23</v>
      </c>
      <c r="AJ526" t="s">
        <v>1004</v>
      </c>
      <c r="AK526" t="str">
        <f>IF(Transaction[[#This Row],[Salesperson]]="","Missing Value",TRIM(PROPER(Transaction[[#This Row],[Salesperson]])))</f>
        <v>Sullivan</v>
      </c>
      <c r="AL526" t="s">
        <v>113</v>
      </c>
      <c r="AM526" t="str">
        <f>IF(Transaction[[#This Row],[ContractType]]="","Missing Value",Transaction[[#This Row],[ContractType]])</f>
        <v>Subscription</v>
      </c>
      <c r="AN526" t="s">
        <v>49</v>
      </c>
    </row>
    <row r="527" spans="1:40" x14ac:dyDescent="0.25">
      <c r="A527" t="s">
        <v>411</v>
      </c>
      <c r="C52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52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52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527" s="2" t="str">
        <f>IFERROR(DATE(Transaction[[#This Row],[TransactionDateY]],Transaction[[#This Row],[TransactionDateM]],Transaction[[#This Row],[TransactionDateD]]),"Missing Value")</f>
        <v>Missing Value</v>
      </c>
      <c r="G527" t="s">
        <v>412</v>
      </c>
      <c r="H527" t="str">
        <f>IFERROR(VLOOKUP(Transaction[[#This Row],[CustomerID]],Custumer[],1,0),IF(LEN(Transaction[[#This Row],[CustomerID]])=7,LEFT(Transaction[[#This Row],[CustomerID]],6),"Invalid ID"))</f>
        <v>C-1126</v>
      </c>
      <c r="I527" t="s">
        <v>258</v>
      </c>
      <c r="J527" t="str">
        <f>TRIM(UPPER(Transaction[[#This Row],[ProductID]]))</f>
        <v>P-SA-003</v>
      </c>
      <c r="K527" t="str">
        <f>IFERROR(VLOOKUP(Transaction[[#This Row],[ProductID_Clean]],Product[],1,FALSE),"Invalid ID")</f>
        <v>P-SA-003</v>
      </c>
      <c r="L527" t="str">
        <f>TRIM(SUBSTITUTE(SUBSTITUTE(SUBSTITUTE(SUBSTITUTE(UPPER(Transaction[[#This Row],[Region]]),"EMEA REGION","EMEA"),"APAC REGION","APAC"),"NORTH AMERICA","N. AMERICA"),"N .AMERICA","N.AMERICA"))</f>
        <v>EMEA</v>
      </c>
      <c r="M527" t="s">
        <v>76</v>
      </c>
      <c r="N527" t="s">
        <v>205</v>
      </c>
      <c r="O52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27" t="s">
        <v>413</v>
      </c>
      <c r="Q527" t="str">
        <f>IF(TRIM(Transaction[[#This Row],[SalesChannel]])="","Missing Value",TRIM(Transaction[[#This Row],[SalesChannel]]))</f>
        <v>partner portal</v>
      </c>
      <c r="R527" s="4">
        <v>2</v>
      </c>
      <c r="S527" s="4" t="str">
        <f>IF(Transaction[[#This Row],[Quantity]]&lt;0,"Negative-review","Valid")</f>
        <v>Valid</v>
      </c>
      <c r="T527">
        <v>2337.77</v>
      </c>
      <c r="U52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2337.77</v>
      </c>
      <c r="V527">
        <v>2750</v>
      </c>
      <c r="W527">
        <v>5500</v>
      </c>
      <c r="X52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5500</v>
      </c>
      <c r="Y527">
        <f>IF(Transaction[[#This Row],[GrossRevenue_Check]]="Invalid",Transaction[[#This Row],[ListPrice]]*Transaction[[#This Row],[Quantity]],Transaction[[#This Row],[GrossRevenue_Clean]])</f>
        <v>5500</v>
      </c>
      <c r="Z527" t="str">
        <f>IF(Transaction[[#This Row],[GrossRevenue_Clean]]=Transaction[[#This Row],[ListPrice]]*Transaction[[#This Row],[Quantity]],"Valid","Invalid")</f>
        <v>Valid</v>
      </c>
      <c r="AA527">
        <v>824.46</v>
      </c>
      <c r="AB52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824.46</v>
      </c>
      <c r="AC527">
        <f>IF(Transaction[[#This Row],[DiscountAmount_Check2]]="Invalid",Transaction[[#This Row],[GrossRevenue_Analytical]]-Transaction[[#This Row],[NetRevenue_Analytical]],Transaction[[#This Row],[DiscountAmount_Clean]])</f>
        <v>824.46</v>
      </c>
      <c r="AD527">
        <v>4675.54</v>
      </c>
      <c r="AE527" t="str">
        <f>IF(ROUND(Transaction[[#This Row],[GrossRevenue_Analytical]]-Transaction[[#This Row],[NetRevenue_Analytical]],2)=ROUND(Transaction[[#This Row],[DiscountAmount_Clean]],2),"Valid","Invalid")</f>
        <v>Valid</v>
      </c>
      <c r="AF527">
        <f>VALUE(IF(ISNUMBER(Transaction[[#This Row],[NetRevenue]]),Transaction[[#This Row],[NetRevenue]],IFERROR(IF(FIND("$",Transaction[[#This Row],[NetRevenue]])&gt;0,MID(Transaction[[#This Row],[NetRevenue]],2,10)),Transaction[[#This Row],[NetRevenue]])))</f>
        <v>4675.54</v>
      </c>
      <c r="AG527">
        <f>IF(Transaction[[#This Row],[NetRevenue_Check]]="Invalid",(Transaction[[#This Row],[Quantity]]*Transaction[[#This Row],[UnitPrice_Clean]]),Transaction[[#This Row],[NetRevenue_Clean]])</f>
        <v>4675.54</v>
      </c>
      <c r="AH527" t="str">
        <f>IF(Transaction[[#This Row],[Quantity]]*Transaction[[#This Row],[UnitPrice_Clean]]=Transaction[[#This Row],[NetRevenue_Clean]],"Valid","Invalid")</f>
        <v>Valid</v>
      </c>
      <c r="AI527" t="s">
        <v>23</v>
      </c>
      <c r="AJ527" t="s">
        <v>414</v>
      </c>
      <c r="AK527" t="str">
        <f>IF(Transaction[[#This Row],[Salesperson]]="","Missing Value",TRIM(PROPER(Transaction[[#This Row],[Salesperson]])))</f>
        <v>Chavez-Na</v>
      </c>
      <c r="AL527" t="s">
        <v>210</v>
      </c>
      <c r="AM527" t="str">
        <f>IF(Transaction[[#This Row],[ContractType]]="","Missing Value",Transaction[[#This Row],[ContractType]])</f>
        <v>Perpetual</v>
      </c>
      <c r="AN527" t="s">
        <v>43</v>
      </c>
    </row>
    <row r="528" spans="1:40" x14ac:dyDescent="0.25">
      <c r="A528" t="s">
        <v>1497</v>
      </c>
      <c r="B528" s="1">
        <v>45762</v>
      </c>
      <c r="C52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52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52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28" s="2">
        <f>IFERROR(DATE(Transaction[[#This Row],[TransactionDateY]],Transaction[[#This Row],[TransactionDateM]],Transaction[[#This Row],[TransactionDateD]]),"Missing Value")</f>
        <v>45762</v>
      </c>
      <c r="G528" t="s">
        <v>157</v>
      </c>
      <c r="H528" t="str">
        <f>IFERROR(VLOOKUP(Transaction[[#This Row],[CustomerID]],Custumer[],1,0),IF(LEN(Transaction[[#This Row],[CustomerID]])=7,LEFT(Transaction[[#This Row],[CustomerID]],6),"Invalid ID"))</f>
        <v>C-1021</v>
      </c>
      <c r="I528" t="s">
        <v>29</v>
      </c>
      <c r="J528" t="str">
        <f>TRIM(UPPER(Transaction[[#This Row],[ProductID]]))</f>
        <v>P-SA-001</v>
      </c>
      <c r="K528" t="str">
        <f>IFERROR(VLOOKUP(Transaction[[#This Row],[ProductID_Clean]],Product[],1,FALSE),"Invalid ID")</f>
        <v>P-SA-001</v>
      </c>
      <c r="L528" t="str">
        <f>TRIM(SUBSTITUTE(SUBSTITUTE(SUBSTITUTE(SUBSTITUTE(UPPER(Transaction[[#This Row],[Region]]),"EMEA REGION","EMEA"),"APAC REGION","APAC"),"NORTH AMERICA","N. AMERICA"),"N .AMERICA","N.AMERICA"))</f>
        <v>EMEA</v>
      </c>
      <c r="M528" t="s">
        <v>76</v>
      </c>
      <c r="N528" t="s">
        <v>31</v>
      </c>
      <c r="O52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28" t="s">
        <v>22</v>
      </c>
      <c r="Q528" t="str">
        <f>IF(TRIM(Transaction[[#This Row],[SalesChannel]])="","Missing Value",TRIM(Transaction[[#This Row],[SalesChannel]]))</f>
        <v>Direct</v>
      </c>
      <c r="R528" s="4">
        <v>5</v>
      </c>
      <c r="S528" s="4" t="str">
        <f>IF(Transaction[[#This Row],[Quantity]]&lt;0,"Negative-review","Valid")</f>
        <v>Valid</v>
      </c>
      <c r="T528">
        <v>3540.66</v>
      </c>
      <c r="U52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3540.66</v>
      </c>
      <c r="V528">
        <v>4200</v>
      </c>
      <c r="W528" t="s">
        <v>1498</v>
      </c>
      <c r="X52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21000</v>
      </c>
      <c r="Y528">
        <f>IF(Transaction[[#This Row],[GrossRevenue_Check]]="Invalid",Transaction[[#This Row],[ListPrice]]*Transaction[[#This Row],[Quantity]],Transaction[[#This Row],[GrossRevenue_Clean]])</f>
        <v>21000</v>
      </c>
      <c r="Z528" t="str">
        <f>IF(Transaction[[#This Row],[GrossRevenue_Clean]]=Transaction[[#This Row],[ListPrice]]*Transaction[[#This Row],[Quantity]],"Valid","Invalid")</f>
        <v>Valid</v>
      </c>
      <c r="AA528">
        <v>3296.7</v>
      </c>
      <c r="AB52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3296.7</v>
      </c>
      <c r="AC528">
        <f>IF(Transaction[[#This Row],[DiscountAmount_Check2]]="Invalid",Transaction[[#This Row],[GrossRevenue_Analytical]]-Transaction[[#This Row],[NetRevenue_Analytical]],Transaction[[#This Row],[DiscountAmount_Clean]])</f>
        <v>3296.7</v>
      </c>
      <c r="AD528">
        <v>17703.3</v>
      </c>
      <c r="AE528" t="str">
        <f>IF(ROUND(Transaction[[#This Row],[GrossRevenue_Analytical]]-Transaction[[#This Row],[NetRevenue_Analytical]],2)=ROUND(Transaction[[#This Row],[DiscountAmount_Clean]],2),"Valid","Invalid")</f>
        <v>Valid</v>
      </c>
      <c r="AF52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17703.3</v>
      </c>
      <c r="AG528">
        <f>IF(Transaction[[#This Row],[NetRevenue_Check]]="Invalid",(Transaction[[#This Row],[Quantity]]*Transaction[[#This Row],[UnitPrice_Clean]]),Transaction[[#This Row],[NetRevenue_Clean]])</f>
        <v>17703.3</v>
      </c>
      <c r="AH528" t="str">
        <f>IF(Transaction[[#This Row],[Quantity]]*Transaction[[#This Row],[UnitPrice_Clean]]=Transaction[[#This Row],[NetRevenue_Clean]],"Valid","Invalid")</f>
        <v>Valid</v>
      </c>
      <c r="AI528" t="s">
        <v>23</v>
      </c>
      <c r="AJ528" t="s">
        <v>1499</v>
      </c>
      <c r="AK528" t="str">
        <f>IF(Transaction[[#This Row],[Salesperson]]="","Missing Value",TRIM(PROPER(Transaction[[#This Row],[Salesperson]])))</f>
        <v>Barker</v>
      </c>
      <c r="AM528" t="str">
        <f>IF(Transaction[[#This Row],[ContractType]]="","Missing Value",Transaction[[#This Row],[ContractType]])</f>
        <v>Missing Value</v>
      </c>
      <c r="AN528" t="s">
        <v>49</v>
      </c>
    </row>
    <row r="529" spans="1:40" x14ac:dyDescent="0.25">
      <c r="A529" t="s">
        <v>2833</v>
      </c>
      <c r="B529" t="s">
        <v>2834</v>
      </c>
      <c r="C52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52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52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29" s="2">
        <f>IFERROR(DATE(Transaction[[#This Row],[TransactionDateY]],Transaction[[#This Row],[TransactionDateM]],Transaction[[#This Row],[TransactionDateD]]),"Missing Value")</f>
        <v>45831</v>
      </c>
      <c r="G529" t="s">
        <v>1808</v>
      </c>
      <c r="H529" t="str">
        <f>IFERROR(VLOOKUP(Transaction[[#This Row],[CustomerID]],Custumer[],1,0),IF(LEN(Transaction[[#This Row],[CustomerID]])=7,LEFT(Transaction[[#This Row],[CustomerID]],6),"Invalid ID"))</f>
        <v>C-1127</v>
      </c>
      <c r="I529" t="s">
        <v>46</v>
      </c>
      <c r="J529" t="str">
        <f>TRIM(UPPER(Transaction[[#This Row],[ProductID]]))</f>
        <v>P-SI-006</v>
      </c>
      <c r="K529" t="str">
        <f>IFERROR(VLOOKUP(Transaction[[#This Row],[ProductID_Clean]],Product[],1,FALSE),"Invalid ID")</f>
        <v>P-SI-006</v>
      </c>
      <c r="L529" t="str">
        <f>TRIM(SUBSTITUTE(SUBSTITUTE(SUBSTITUTE(SUBSTITUTE(UPPER(Transaction[[#This Row],[Region]]),"EMEA REGION","EMEA"),"APAC REGION","APAC"),"NORTH AMERICA","N. AMERICA"),"N .AMERICA","N.AMERICA"))</f>
        <v>LATIN AMERICA</v>
      </c>
      <c r="M529" t="s">
        <v>82</v>
      </c>
      <c r="N529" t="s">
        <v>53</v>
      </c>
      <c r="O52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29" t="s">
        <v>22</v>
      </c>
      <c r="Q529" t="str">
        <f>IF(TRIM(Transaction[[#This Row],[SalesChannel]])="","Missing Value",TRIM(Transaction[[#This Row],[SalesChannel]]))</f>
        <v>Direct</v>
      </c>
      <c r="R529" s="4">
        <v>1</v>
      </c>
      <c r="S529" s="4" t="str">
        <f>IF(Transaction[[#This Row],[Quantity]]&lt;0,"Negative-review","Valid")</f>
        <v>Valid</v>
      </c>
      <c r="T529">
        <v>173.96</v>
      </c>
      <c r="U52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173.96</v>
      </c>
      <c r="V529">
        <v>215</v>
      </c>
      <c r="W529">
        <v>215</v>
      </c>
      <c r="X52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529">
        <f>IF(Transaction[[#This Row],[GrossRevenue_Check]]="Invalid",Transaction[[#This Row],[ListPrice]]*Transaction[[#This Row],[Quantity]],Transaction[[#This Row],[GrossRevenue_Clean]])</f>
        <v>215</v>
      </c>
      <c r="Z529" t="str">
        <f>IF(Transaction[[#This Row],[GrossRevenue_Clean]]=Transaction[[#This Row],[ListPrice]]*Transaction[[#This Row],[Quantity]],"Valid","Invalid")</f>
        <v>Valid</v>
      </c>
      <c r="AA529">
        <v>41.04</v>
      </c>
      <c r="AB52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41.04</v>
      </c>
      <c r="AC529">
        <f>IF(Transaction[[#This Row],[DiscountAmount_Check2]]="Invalid",Transaction[[#This Row],[GrossRevenue_Analytical]]-Transaction[[#This Row],[NetRevenue_Analytical]],Transaction[[#This Row],[DiscountAmount_Clean]])</f>
        <v>41.04</v>
      </c>
      <c r="AD529">
        <v>173.96</v>
      </c>
      <c r="AE529" t="str">
        <f>IF(ROUND(Transaction[[#This Row],[GrossRevenue_Analytical]]-Transaction[[#This Row],[NetRevenue_Analytical]],2)=ROUND(Transaction[[#This Row],[DiscountAmount_Clean]],2),"Valid","Invalid")</f>
        <v>Valid</v>
      </c>
      <c r="AF52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173.96</v>
      </c>
      <c r="AG529">
        <f>IF(Transaction[[#This Row],[NetRevenue_Check]]="Invalid",(Transaction[[#This Row],[Quantity]]*Transaction[[#This Row],[UnitPrice_Clean]]),Transaction[[#This Row],[NetRevenue_Clean]])</f>
        <v>173.96</v>
      </c>
      <c r="AH529" t="str">
        <f>IF(Transaction[[#This Row],[Quantity]]*Transaction[[#This Row],[UnitPrice_Clean]]=Transaction[[#This Row],[NetRevenue_Clean]],"Valid","Invalid")</f>
        <v>Valid</v>
      </c>
      <c r="AI529" t="s">
        <v>23</v>
      </c>
      <c r="AJ529" t="s">
        <v>860</v>
      </c>
      <c r="AK529" t="str">
        <f>IF(Transaction[[#This Row],[Salesperson]]="","Missing Value",TRIM(PROPER(Transaction[[#This Row],[Salesperson]])))</f>
        <v>Moore-Em</v>
      </c>
      <c r="AL529" t="s">
        <v>42</v>
      </c>
      <c r="AM529" t="str">
        <f>IF(Transaction[[#This Row],[ContractType]]="","Missing Value",Transaction[[#This Row],[ContractType]])</f>
        <v>Standard PO</v>
      </c>
      <c r="AN529" t="s">
        <v>35</v>
      </c>
    </row>
    <row r="530" spans="1:40" x14ac:dyDescent="0.25">
      <c r="A530" t="s">
        <v>1818</v>
      </c>
      <c r="B530" s="1">
        <v>45671</v>
      </c>
      <c r="C53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53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53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30" s="2">
        <f>IFERROR(DATE(Transaction[[#This Row],[TransactionDateY]],Transaction[[#This Row],[TransactionDateM]],Transaction[[#This Row],[TransactionDateD]]),"Missing Value")</f>
        <v>45671</v>
      </c>
      <c r="G530" t="s">
        <v>1152</v>
      </c>
      <c r="H530" t="str">
        <f>IFERROR(VLOOKUP(Transaction[[#This Row],[CustomerID]],Custumer[],1,0),IF(LEN(Transaction[[#This Row],[CustomerID]])=7,LEFT(Transaction[[#This Row],[CustomerID]],6),"Invalid ID"))</f>
        <v>C-1178</v>
      </c>
      <c r="I530" t="s">
        <v>1819</v>
      </c>
      <c r="J530" t="str">
        <f>TRIM(UPPER(Transaction[[#This Row],[ProductID]]))</f>
        <v>P-SI-005</v>
      </c>
      <c r="K530" t="str">
        <f>IFERROR(VLOOKUP(Transaction[[#This Row],[ProductID_Clean]],Product[],1,FALSE),"Invalid ID")</f>
        <v>P-SI-005</v>
      </c>
      <c r="L530" t="str">
        <f>TRIM(SUBSTITUTE(SUBSTITUTE(SUBSTITUTE(SUBSTITUTE(UPPER(Transaction[[#This Row],[Region]]),"EMEA REGION","EMEA"),"APAC REGION","APAC"),"NORTH AMERICA","N. AMERICA"),"N .AMERICA","N.AMERICA"))</f>
        <v>EMEA</v>
      </c>
      <c r="M530" t="s">
        <v>76</v>
      </c>
      <c r="N530" t="s">
        <v>53</v>
      </c>
      <c r="O53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30" t="s">
        <v>40</v>
      </c>
      <c r="Q530" t="str">
        <f>IF(TRIM(Transaction[[#This Row],[SalesChannel]])="","Missing Value",TRIM(Transaction[[#This Row],[SalesChannel]]))</f>
        <v>Distributor</v>
      </c>
      <c r="R530" s="4">
        <v>3</v>
      </c>
      <c r="S530" s="4" t="str">
        <f>IF(Transaction[[#This Row],[Quantity]]&lt;0,"Negative-review","Valid")</f>
        <v>Valid</v>
      </c>
      <c r="T530">
        <v>924.18</v>
      </c>
      <c r="U53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924.18</v>
      </c>
      <c r="V530">
        <v>1120</v>
      </c>
      <c r="W530">
        <v>3360</v>
      </c>
      <c r="X53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3360</v>
      </c>
      <c r="Y530">
        <f>IF(Transaction[[#This Row],[GrossRevenue_Check]]="Invalid",Transaction[[#This Row],[ListPrice]]*Transaction[[#This Row],[Quantity]],Transaction[[#This Row],[GrossRevenue_Clean]])</f>
        <v>3360</v>
      </c>
      <c r="Z530" t="str">
        <f>IF(Transaction[[#This Row],[GrossRevenue_Clean]]=Transaction[[#This Row],[ListPrice]]*Transaction[[#This Row],[Quantity]],"Valid","Invalid")</f>
        <v>Valid</v>
      </c>
      <c r="AA530">
        <v>587.46</v>
      </c>
      <c r="AB53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587.46</v>
      </c>
      <c r="AC530">
        <f>IF(Transaction[[#This Row],[DiscountAmount_Check2]]="Invalid",Transaction[[#This Row],[GrossRevenue_Analytical]]-Transaction[[#This Row],[NetRevenue_Analytical]],Transaction[[#This Row],[DiscountAmount_Clean]])</f>
        <v>587.46</v>
      </c>
      <c r="AD530">
        <v>2772.54</v>
      </c>
      <c r="AE530" t="str">
        <f>IF(ROUND(Transaction[[#This Row],[GrossRevenue_Analytical]]-Transaction[[#This Row],[NetRevenue_Analytical]],2)=ROUND(Transaction[[#This Row],[DiscountAmount_Clean]],2),"Valid","Invalid")</f>
        <v>Valid</v>
      </c>
      <c r="AF53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2772.54</v>
      </c>
      <c r="AG530">
        <f>IF(Transaction[[#This Row],[NetRevenue_Check]]="Invalid",(Transaction[[#This Row],[Quantity]]*Transaction[[#This Row],[UnitPrice_Clean]]),Transaction[[#This Row],[NetRevenue_Clean]])</f>
        <v>2772.54</v>
      </c>
      <c r="AH530" t="str">
        <f>IF(Transaction[[#This Row],[Quantity]]*Transaction[[#This Row],[UnitPrice_Clean]]=Transaction[[#This Row],[NetRevenue_Clean]],"Valid","Invalid")</f>
        <v>Valid</v>
      </c>
      <c r="AI530" t="s">
        <v>23</v>
      </c>
      <c r="AJ530" t="s">
        <v>1820</v>
      </c>
      <c r="AK530" t="str">
        <f>IF(Transaction[[#This Row],[Salesperson]]="","Missing Value",TRIM(PROPER(Transaction[[#This Row],[Salesperson]])))</f>
        <v>Perry-Ap</v>
      </c>
      <c r="AL530" t="s">
        <v>42</v>
      </c>
      <c r="AM530" t="str">
        <f>IF(Transaction[[#This Row],[ContractType]]="","Missing Value",Transaction[[#This Row],[ContractType]])</f>
        <v>Standard PO</v>
      </c>
      <c r="AN530" t="s">
        <v>49</v>
      </c>
    </row>
    <row r="531" spans="1:40" x14ac:dyDescent="0.25">
      <c r="A531" t="s">
        <v>1425</v>
      </c>
      <c r="B531" t="s">
        <v>820</v>
      </c>
      <c r="C53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53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53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31" s="2">
        <f>IFERROR(DATE(Transaction[[#This Row],[TransactionDateY]],Transaction[[#This Row],[TransactionDateM]],Transaction[[#This Row],[TransactionDateD]]),"Missing Value")</f>
        <v>45823</v>
      </c>
      <c r="G531" t="s">
        <v>157</v>
      </c>
      <c r="H531" t="str">
        <f>IFERROR(VLOOKUP(Transaction[[#This Row],[CustomerID]],Custumer[],1,0),IF(LEN(Transaction[[#This Row],[CustomerID]])=7,LEFT(Transaction[[#This Row],[CustomerID]],6),"Invalid ID"))</f>
        <v>C-1021</v>
      </c>
      <c r="I531" t="s">
        <v>29</v>
      </c>
      <c r="J531" t="str">
        <f>TRIM(UPPER(Transaction[[#This Row],[ProductID]]))</f>
        <v>P-SA-001</v>
      </c>
      <c r="K531" t="str">
        <f>IFERROR(VLOOKUP(Transaction[[#This Row],[ProductID_Clean]],Product[],1,FALSE),"Invalid ID")</f>
        <v>P-SA-001</v>
      </c>
      <c r="L531" t="str">
        <f>TRIM(SUBSTITUTE(SUBSTITUTE(SUBSTITUTE(SUBSTITUTE(UPPER(Transaction[[#This Row],[Region]]),"EMEA REGION","EMEA"),"APAC REGION","APAC"),"NORTH AMERICA","N. AMERICA"),"N .AMERICA","N.AMERICA"))</f>
        <v>EMEA</v>
      </c>
      <c r="M531" t="s">
        <v>76</v>
      </c>
      <c r="N531" t="s">
        <v>31</v>
      </c>
      <c r="O53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31" t="s">
        <v>181</v>
      </c>
      <c r="Q531" t="str">
        <f>IF(TRIM(Transaction[[#This Row],[SalesChannel]])="","Missing Value",TRIM(Transaction[[#This Row],[SalesChannel]]))</f>
        <v>Partner Portal</v>
      </c>
      <c r="R531" s="4">
        <v>1</v>
      </c>
      <c r="S531" s="4" t="str">
        <f>IF(Transaction[[#This Row],[Quantity]]&lt;0,"Negative-review","Valid")</f>
        <v>Valid</v>
      </c>
      <c r="T531">
        <v>3460.83</v>
      </c>
      <c r="U53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3460.83</v>
      </c>
      <c r="V531">
        <v>4200</v>
      </c>
      <c r="W531">
        <v>4200</v>
      </c>
      <c r="X53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531">
        <f>IF(Transaction[[#This Row],[GrossRevenue_Check]]="Invalid",Transaction[[#This Row],[ListPrice]]*Transaction[[#This Row],[Quantity]],Transaction[[#This Row],[GrossRevenue_Clean]])</f>
        <v>4200</v>
      </c>
      <c r="Z531" t="str">
        <f>IF(Transaction[[#This Row],[GrossRevenue_Clean]]=Transaction[[#This Row],[ListPrice]]*Transaction[[#This Row],[Quantity]],"Valid","Invalid")</f>
        <v>Valid</v>
      </c>
      <c r="AA531">
        <v>739.17</v>
      </c>
      <c r="AB53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739.17</v>
      </c>
      <c r="AC531">
        <f>IF(Transaction[[#This Row],[DiscountAmount_Check2]]="Invalid",Transaction[[#This Row],[GrossRevenue_Analytical]]-Transaction[[#This Row],[NetRevenue_Analytical]],Transaction[[#This Row],[DiscountAmount_Clean]])</f>
        <v>739.17</v>
      </c>
      <c r="AD531">
        <v>3460.83</v>
      </c>
      <c r="AE531" t="str">
        <f>IF(ROUND(Transaction[[#This Row],[GrossRevenue_Analytical]]-Transaction[[#This Row],[NetRevenue_Analytical]],2)=ROUND(Transaction[[#This Row],[DiscountAmount_Clean]],2),"Valid","Invalid")</f>
        <v>Valid</v>
      </c>
      <c r="AF531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3460.83</v>
      </c>
      <c r="AG531">
        <f>IF(Transaction[[#This Row],[NetRevenue_Check]]="Invalid",(Transaction[[#This Row],[Quantity]]*Transaction[[#This Row],[UnitPrice_Clean]]),Transaction[[#This Row],[NetRevenue_Clean]])</f>
        <v>3460.83</v>
      </c>
      <c r="AH531" t="str">
        <f>IF(Transaction[[#This Row],[Quantity]]*Transaction[[#This Row],[UnitPrice_Clean]]=Transaction[[#This Row],[NetRevenue_Clean]],"Valid","Invalid")</f>
        <v>Valid</v>
      </c>
      <c r="AI531" t="s">
        <v>23</v>
      </c>
      <c r="AJ531" t="s">
        <v>1426</v>
      </c>
      <c r="AK531" t="str">
        <f>IF(Transaction[[#This Row],[Salesperson]]="","Missing Value",TRIM(PROPER(Transaction[[#This Row],[Salesperson]])))</f>
        <v>Marshall</v>
      </c>
      <c r="AL531" t="s">
        <v>34</v>
      </c>
      <c r="AM531" t="str">
        <f>IF(Transaction[[#This Row],[ContractType]]="","Missing Value",Transaction[[#This Row],[ContractType]])</f>
        <v>Annual License</v>
      </c>
      <c r="AN531" t="s">
        <v>49</v>
      </c>
    </row>
    <row r="532" spans="1:40" x14ac:dyDescent="0.25">
      <c r="A532" t="s">
        <v>761</v>
      </c>
      <c r="B532" s="1">
        <v>45674</v>
      </c>
      <c r="C53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53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53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32" s="2">
        <f>IFERROR(DATE(Transaction[[#This Row],[TransactionDateY]],Transaction[[#This Row],[TransactionDateM]],Transaction[[#This Row],[TransactionDateD]]),"Missing Value")</f>
        <v>45674</v>
      </c>
      <c r="G532" t="s">
        <v>423</v>
      </c>
      <c r="H532" t="str">
        <f>IFERROR(VLOOKUP(Transaction[[#This Row],[CustomerID]],Custumer[],1,0),IF(LEN(Transaction[[#This Row],[CustomerID]])=7,LEFT(Transaction[[#This Row],[CustomerID]],6),"Invalid ID"))</f>
        <v>C-1121</v>
      </c>
      <c r="I532" t="s">
        <v>75</v>
      </c>
      <c r="J532" t="str">
        <f>TRIM(UPPER(Transaction[[#This Row],[ProductID]]))</f>
        <v>P-SA-005</v>
      </c>
      <c r="K532" t="str">
        <f>IFERROR(VLOOKUP(Transaction[[#This Row],[ProductID_Clean]],Product[],1,FALSE),"Invalid ID")</f>
        <v>P-SA-005</v>
      </c>
      <c r="L532" t="str">
        <f>TRIM(SUBSTITUTE(SUBSTITUTE(SUBSTITUTE(SUBSTITUTE(UPPER(Transaction[[#This Row],[Region]]),"EMEA REGION","EMEA"),"APAC REGION","APAC"),"NORTH AMERICA","N. AMERICA"),"N .AMERICA","N.AMERICA"))</f>
        <v>N. AMERICA</v>
      </c>
      <c r="M532" t="s">
        <v>20</v>
      </c>
      <c r="N532" t="s">
        <v>31</v>
      </c>
      <c r="O53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32" t="s">
        <v>40</v>
      </c>
      <c r="Q532" t="str">
        <f>IF(TRIM(Transaction[[#This Row],[SalesChannel]])="","Missing Value",TRIM(Transaction[[#This Row],[SalesChannel]]))</f>
        <v>Distributor</v>
      </c>
      <c r="R532" s="4">
        <v>1</v>
      </c>
      <c r="S532" s="4" t="str">
        <f>IF(Transaction[[#This Row],[Quantity]]&lt;0,"Negative-review","Valid")</f>
        <v>Valid</v>
      </c>
      <c r="T532">
        <v>2522.5300000000002</v>
      </c>
      <c r="U53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2522.5300000000002</v>
      </c>
      <c r="V532">
        <v>3200</v>
      </c>
      <c r="W532">
        <v>3200</v>
      </c>
      <c r="X53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532">
        <f>IF(Transaction[[#This Row],[GrossRevenue_Check]]="Invalid",Transaction[[#This Row],[ListPrice]]*Transaction[[#This Row],[Quantity]],Transaction[[#This Row],[GrossRevenue_Clean]])</f>
        <v>3200</v>
      </c>
      <c r="Z532" t="str">
        <f>IF(Transaction[[#This Row],[GrossRevenue_Clean]]=Transaction[[#This Row],[ListPrice]]*Transaction[[#This Row],[Quantity]],"Valid","Invalid")</f>
        <v>Valid</v>
      </c>
      <c r="AA532">
        <v>677.47</v>
      </c>
      <c r="AB53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677.47</v>
      </c>
      <c r="AC532">
        <f>IF(Transaction[[#This Row],[DiscountAmount_Check2]]="Invalid",Transaction[[#This Row],[GrossRevenue_Analytical]]-Transaction[[#This Row],[NetRevenue_Analytical]],Transaction[[#This Row],[DiscountAmount_Clean]])</f>
        <v>677.47</v>
      </c>
      <c r="AD532">
        <v>2522.5300000000002</v>
      </c>
      <c r="AE532" t="str">
        <f>IF(ROUND(Transaction[[#This Row],[GrossRevenue_Analytical]]-Transaction[[#This Row],[NetRevenue_Analytical]],2)=ROUND(Transaction[[#This Row],[DiscountAmount_Clean]],2),"Valid","Invalid")</f>
        <v>Valid</v>
      </c>
      <c r="AF53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2522.5300000000002</v>
      </c>
      <c r="AG532">
        <f>IF(Transaction[[#This Row],[NetRevenue_Check]]="Invalid",(Transaction[[#This Row],[Quantity]]*Transaction[[#This Row],[UnitPrice_Clean]]),Transaction[[#This Row],[NetRevenue_Clean]])</f>
        <v>2522.5300000000002</v>
      </c>
      <c r="AH532" t="str">
        <f>IF(Transaction[[#This Row],[Quantity]]*Transaction[[#This Row],[UnitPrice_Clean]]=Transaction[[#This Row],[NetRevenue_Clean]],"Valid","Invalid")</f>
        <v>Valid</v>
      </c>
      <c r="AI532" t="s">
        <v>23</v>
      </c>
      <c r="AJ532" t="s">
        <v>762</v>
      </c>
      <c r="AK532" t="str">
        <f>IF(Transaction[[#This Row],[Salesperson]]="","Missing Value",TRIM(PROPER(Transaction[[#This Row],[Salesperson]])))</f>
        <v>Peterson</v>
      </c>
      <c r="AL532" t="s">
        <v>210</v>
      </c>
      <c r="AM532" t="str">
        <f>IF(Transaction[[#This Row],[ContractType]]="","Missing Value",Transaction[[#This Row],[ContractType]])</f>
        <v>Perpetual</v>
      </c>
      <c r="AN532" t="s">
        <v>49</v>
      </c>
    </row>
    <row r="533" spans="1:40" x14ac:dyDescent="0.25">
      <c r="A533" t="s">
        <v>787</v>
      </c>
      <c r="B533" s="1">
        <v>45682</v>
      </c>
      <c r="C53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53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53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33" s="2">
        <f>IFERROR(DATE(Transaction[[#This Row],[TransactionDateY]],Transaction[[#This Row],[TransactionDateM]],Transaction[[#This Row],[TransactionDateD]]),"Missing Value")</f>
        <v>45682</v>
      </c>
      <c r="G533" t="s">
        <v>473</v>
      </c>
      <c r="H533" t="str">
        <f>IFERROR(VLOOKUP(Transaction[[#This Row],[CustomerID]],Custumer[],1,0),IF(LEN(Transaction[[#This Row],[CustomerID]])=7,LEFT(Transaction[[#This Row],[CustomerID]],6),"Invalid ID"))</f>
        <v>C-1016</v>
      </c>
      <c r="I533" t="s">
        <v>268</v>
      </c>
      <c r="J533" t="str">
        <f>TRIM(UPPER(Transaction[[#This Row],[ProductID]]))</f>
        <v>P-FS-002</v>
      </c>
      <c r="K533" t="str">
        <f>IFERROR(VLOOKUP(Transaction[[#This Row],[ProductID_Clean]],Product[],1,FALSE),"Invalid ID")</f>
        <v>P-FS-002</v>
      </c>
      <c r="L533" t="str">
        <f>TRIM(SUBSTITUTE(SUBSTITUTE(SUBSTITUTE(SUBSTITUTE(UPPER(Transaction[[#This Row],[Region]]),"EMEA REGION","EMEA"),"APAC REGION","APAC"),"NORTH AMERICA","N. AMERICA"),"N .AMERICA","N.AMERICA"))</f>
        <v>APAC</v>
      </c>
      <c r="M533" t="s">
        <v>127</v>
      </c>
      <c r="N533" t="s">
        <v>21</v>
      </c>
      <c r="O53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533" t="s">
        <v>22</v>
      </c>
      <c r="Q533" t="str">
        <f>IF(TRIM(Transaction[[#This Row],[SalesChannel]])="","Missing Value",TRIM(Transaction[[#This Row],[SalesChannel]]))</f>
        <v>Direct</v>
      </c>
      <c r="R533" s="4">
        <v>1</v>
      </c>
      <c r="S533" s="4" t="str">
        <f>IF(Transaction[[#This Row],[Quantity]]&lt;0,"Negative-review","Valid")</f>
        <v>Valid</v>
      </c>
      <c r="T533">
        <v>1778.71</v>
      </c>
      <c r="U53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1778.71</v>
      </c>
      <c r="V533">
        <v>2400</v>
      </c>
      <c r="W533">
        <v>2400</v>
      </c>
      <c r="X53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533">
        <f>IF(Transaction[[#This Row],[GrossRevenue_Check]]="Invalid",Transaction[[#This Row],[ListPrice]]*Transaction[[#This Row],[Quantity]],Transaction[[#This Row],[GrossRevenue_Clean]])</f>
        <v>2400</v>
      </c>
      <c r="Z533" t="str">
        <f>IF(Transaction[[#This Row],[GrossRevenue_Clean]]=Transaction[[#This Row],[ListPrice]]*Transaction[[#This Row],[Quantity]],"Valid","Invalid")</f>
        <v>Valid</v>
      </c>
      <c r="AA533">
        <v>621.29</v>
      </c>
      <c r="AB53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621.29</v>
      </c>
      <c r="AC533">
        <f>IF(Transaction[[#This Row],[DiscountAmount_Check2]]="Invalid",Transaction[[#This Row],[GrossRevenue_Analytical]]-Transaction[[#This Row],[NetRevenue_Analytical]],Transaction[[#This Row],[DiscountAmount_Clean]])</f>
        <v>621.29</v>
      </c>
      <c r="AD533">
        <v>1778.71</v>
      </c>
      <c r="AE533" t="str">
        <f>IF(ROUND(Transaction[[#This Row],[GrossRevenue_Analytical]]-Transaction[[#This Row],[NetRevenue_Analytical]],2)=ROUND(Transaction[[#This Row],[DiscountAmount_Clean]],2),"Valid","Invalid")</f>
        <v>Valid</v>
      </c>
      <c r="AF53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1778.71</v>
      </c>
      <c r="AG533">
        <f>IF(Transaction[[#This Row],[NetRevenue_Check]]="Invalid",(Transaction[[#This Row],[Quantity]]*Transaction[[#This Row],[UnitPrice_Clean]]),Transaction[[#This Row],[NetRevenue_Clean]])</f>
        <v>1778.71</v>
      </c>
      <c r="AH533" t="str">
        <f>IF(Transaction[[#This Row],[Quantity]]*Transaction[[#This Row],[UnitPrice_Clean]]=Transaction[[#This Row],[NetRevenue_Clean]],"Valid","Invalid")</f>
        <v>Valid</v>
      </c>
      <c r="AI533" t="s">
        <v>23</v>
      </c>
      <c r="AJ533" t="s">
        <v>427</v>
      </c>
      <c r="AK533" t="str">
        <f>IF(Transaction[[#This Row],[Salesperson]]="","Missing Value",TRIM(PROPER(Transaction[[#This Row],[Salesperson]])))</f>
        <v>Thomas-Em</v>
      </c>
      <c r="AL533" t="s">
        <v>224</v>
      </c>
      <c r="AM533" t="str">
        <f>IF(Transaction[[#This Row],[ContractType]]="","Missing Value",Transaction[[#This Row],[ContractType]])</f>
        <v>Annual</v>
      </c>
      <c r="AN533" t="s">
        <v>26</v>
      </c>
    </row>
    <row r="534" spans="1:40" x14ac:dyDescent="0.25">
      <c r="A534" t="s">
        <v>1140</v>
      </c>
      <c r="B534" s="1">
        <v>45831</v>
      </c>
      <c r="C53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53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53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34" s="2">
        <f>IFERROR(DATE(Transaction[[#This Row],[TransactionDateY]],Transaction[[#This Row],[TransactionDateM]],Transaction[[#This Row],[TransactionDateD]]),"Missing Value")</f>
        <v>45831</v>
      </c>
      <c r="G534" t="s">
        <v>195</v>
      </c>
      <c r="H534" t="str">
        <f>IFERROR(VLOOKUP(Transaction[[#This Row],[CustomerID]],Custumer[],1,0),IF(LEN(Transaction[[#This Row],[CustomerID]])=7,LEFT(Transaction[[#This Row],[CustomerID]],6),"Invalid ID"))</f>
        <v>C-1015</v>
      </c>
      <c r="I534" t="s">
        <v>258</v>
      </c>
      <c r="J534" t="str">
        <f>TRIM(UPPER(Transaction[[#This Row],[ProductID]]))</f>
        <v>P-SA-003</v>
      </c>
      <c r="K534" t="str">
        <f>IFERROR(VLOOKUP(Transaction[[#This Row],[ProductID_Clean]],Product[],1,FALSE),"Invalid ID")</f>
        <v>P-SA-003</v>
      </c>
      <c r="L534" t="str">
        <f>TRIM(SUBSTITUTE(SUBSTITUTE(SUBSTITUTE(SUBSTITUTE(UPPER(Transaction[[#This Row],[Region]]),"EMEA REGION","EMEA"),"APAC REGION","APAC"),"NORTH AMERICA","N. AMERICA"),"N .AMERICA","N.AMERICA"))</f>
        <v>N. AMERICA</v>
      </c>
      <c r="M534" t="s">
        <v>20</v>
      </c>
      <c r="N534" t="s">
        <v>31</v>
      </c>
      <c r="O53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34" t="s">
        <v>22</v>
      </c>
      <c r="Q534" t="str">
        <f>IF(TRIM(Transaction[[#This Row],[SalesChannel]])="","Missing Value",TRIM(Transaction[[#This Row],[SalesChannel]]))</f>
        <v>Direct</v>
      </c>
      <c r="R534" s="4">
        <v>1</v>
      </c>
      <c r="S534" s="4" t="str">
        <f>IF(Transaction[[#This Row],[Quantity]]&lt;0,"Negative-review","Valid")</f>
        <v>Valid</v>
      </c>
      <c r="T534">
        <v>2427.12</v>
      </c>
      <c r="U53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2427.12</v>
      </c>
      <c r="V534">
        <v>2750</v>
      </c>
      <c r="W534">
        <v>2750</v>
      </c>
      <c r="X53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534">
        <f>IF(Transaction[[#This Row],[GrossRevenue_Check]]="Invalid",Transaction[[#This Row],[ListPrice]]*Transaction[[#This Row],[Quantity]],Transaction[[#This Row],[GrossRevenue_Clean]])</f>
        <v>2750</v>
      </c>
      <c r="Z534" t="str">
        <f>IF(Transaction[[#This Row],[GrossRevenue_Clean]]=Transaction[[#This Row],[ListPrice]]*Transaction[[#This Row],[Quantity]],"Valid","Invalid")</f>
        <v>Valid</v>
      </c>
      <c r="AA534">
        <v>322.88</v>
      </c>
      <c r="AB53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322.88</v>
      </c>
      <c r="AC534">
        <f>IF(Transaction[[#This Row],[DiscountAmount_Check2]]="Invalid",Transaction[[#This Row],[GrossRevenue_Analytical]]-Transaction[[#This Row],[NetRevenue_Analytical]],Transaction[[#This Row],[DiscountAmount_Clean]])</f>
        <v>322.88</v>
      </c>
      <c r="AD534">
        <v>2427.12</v>
      </c>
      <c r="AE534" t="str">
        <f>IF(ROUND(Transaction[[#This Row],[GrossRevenue_Analytical]]-Transaction[[#This Row],[NetRevenue_Analytical]],2)=ROUND(Transaction[[#This Row],[DiscountAmount_Clean]],2),"Valid","Invalid")</f>
        <v>Valid</v>
      </c>
      <c r="AF53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2427.12</v>
      </c>
      <c r="AG534">
        <f>IF(Transaction[[#This Row],[NetRevenue_Check]]="Invalid",(Transaction[[#This Row],[Quantity]]*Transaction[[#This Row],[UnitPrice_Clean]]),Transaction[[#This Row],[NetRevenue_Clean]])</f>
        <v>2427.12</v>
      </c>
      <c r="AH534" t="str">
        <f>IF(Transaction[[#This Row],[Quantity]]*Transaction[[#This Row],[UnitPrice_Clean]]=Transaction[[#This Row],[NetRevenue_Clean]],"Valid","Invalid")</f>
        <v>Valid</v>
      </c>
      <c r="AI534" t="s">
        <v>23</v>
      </c>
      <c r="AJ534" t="s">
        <v>1141</v>
      </c>
      <c r="AK534" t="str">
        <f>IF(Transaction[[#This Row],[Salesperson]]="","Missing Value",TRIM(PROPER(Transaction[[#This Row],[Salesperson]])))</f>
        <v>Hensley-Na</v>
      </c>
      <c r="AL534" t="s">
        <v>34</v>
      </c>
      <c r="AM534" t="str">
        <f>IF(Transaction[[#This Row],[ContractType]]="","Missing Value",Transaction[[#This Row],[ContractType]])</f>
        <v>Annual License</v>
      </c>
      <c r="AN534" t="s">
        <v>26</v>
      </c>
    </row>
    <row r="535" spans="1:40" x14ac:dyDescent="0.25">
      <c r="A535" t="s">
        <v>1899</v>
      </c>
      <c r="B535" s="1">
        <v>45730</v>
      </c>
      <c r="C53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53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53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35" s="2">
        <f>IFERROR(DATE(Transaction[[#This Row],[TransactionDateY]],Transaction[[#This Row],[TransactionDateM]],Transaction[[#This Row],[TransactionDateD]]),"Missing Value")</f>
        <v>45730</v>
      </c>
      <c r="G535" t="s">
        <v>460</v>
      </c>
      <c r="H535" t="str">
        <f>IFERROR(VLOOKUP(Transaction[[#This Row],[CustomerID]],Custumer[],1,0),IF(LEN(Transaction[[#This Row],[CustomerID]])=7,LEFT(Transaction[[#This Row],[CustomerID]],6),"Invalid ID"))</f>
        <v>C-1153</v>
      </c>
      <c r="I535" t="s">
        <v>285</v>
      </c>
      <c r="J535" t="str">
        <f>TRIM(UPPER(Transaction[[#This Row],[ProductID]]))</f>
        <v>P-SI-001</v>
      </c>
      <c r="K535" t="str">
        <f>IFERROR(VLOOKUP(Transaction[[#This Row],[ProductID_Clean]],Product[],1,FALSE),"Invalid ID")</f>
        <v>P-SI-001</v>
      </c>
      <c r="L535" t="str">
        <f>TRIM(SUBSTITUTE(SUBSTITUTE(SUBSTITUTE(SUBSTITUTE(UPPER(Transaction[[#This Row],[Region]]),"EMEA REGION","EMEA"),"APAC REGION","APAC"),"NORTH AMERICA","N. AMERICA"),"N .AMERICA","N.AMERICA"))</f>
        <v>N. AMERICA</v>
      </c>
      <c r="M535" t="s">
        <v>20</v>
      </c>
      <c r="N535" t="s">
        <v>53</v>
      </c>
      <c r="O53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35" t="s">
        <v>40</v>
      </c>
      <c r="Q535" t="str">
        <f>IF(TRIM(Transaction[[#This Row],[SalesChannel]])="","Missing Value",TRIM(Transaction[[#This Row],[SalesChannel]]))</f>
        <v>Distributor</v>
      </c>
      <c r="R535" s="4">
        <v>1</v>
      </c>
      <c r="S535" s="4" t="str">
        <f>IF(Transaction[[#This Row],[Quantity]]&lt;0,"Negative-review","Valid")</f>
        <v>Valid</v>
      </c>
      <c r="T535">
        <v>395.24</v>
      </c>
      <c r="U53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395.24</v>
      </c>
      <c r="V535">
        <v>485</v>
      </c>
      <c r="W535">
        <v>485</v>
      </c>
      <c r="X53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535">
        <f>IF(Transaction[[#This Row],[GrossRevenue_Check]]="Invalid",Transaction[[#This Row],[ListPrice]]*Transaction[[#This Row],[Quantity]],Transaction[[#This Row],[GrossRevenue_Clean]])</f>
        <v>485</v>
      </c>
      <c r="Z535" t="str">
        <f>IF(Transaction[[#This Row],[GrossRevenue_Clean]]=Transaction[[#This Row],[ListPrice]]*Transaction[[#This Row],[Quantity]],"Valid","Invalid")</f>
        <v>Valid</v>
      </c>
      <c r="AA535">
        <v>89.76</v>
      </c>
      <c r="AB53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89.76</v>
      </c>
      <c r="AC535">
        <f>IF(Transaction[[#This Row],[DiscountAmount_Check2]]="Invalid",Transaction[[#This Row],[GrossRevenue_Analytical]]-Transaction[[#This Row],[NetRevenue_Analytical]],Transaction[[#This Row],[DiscountAmount_Clean]])</f>
        <v>89.76</v>
      </c>
      <c r="AD535">
        <v>395.24</v>
      </c>
      <c r="AE535" t="str">
        <f>IF(ROUND(Transaction[[#This Row],[GrossRevenue_Analytical]]-Transaction[[#This Row],[NetRevenue_Analytical]],2)=ROUND(Transaction[[#This Row],[DiscountAmount_Clean]],2),"Valid","Invalid")</f>
        <v>Valid</v>
      </c>
      <c r="AF53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395.24</v>
      </c>
      <c r="AG535">
        <f>IF(Transaction[[#This Row],[NetRevenue_Check]]="Invalid",(Transaction[[#This Row],[Quantity]]*Transaction[[#This Row],[UnitPrice_Clean]]),Transaction[[#This Row],[NetRevenue_Clean]])</f>
        <v>395.24</v>
      </c>
      <c r="AH535" t="str">
        <f>IF(Transaction[[#This Row],[Quantity]]*Transaction[[#This Row],[UnitPrice_Clean]]=Transaction[[#This Row],[NetRevenue_Clean]],"Valid","Invalid")</f>
        <v>Valid</v>
      </c>
      <c r="AI535" t="s">
        <v>23</v>
      </c>
      <c r="AJ535" t="s">
        <v>1900</v>
      </c>
      <c r="AK535" t="str">
        <f>IF(Transaction[[#This Row],[Salesperson]]="","Missing Value",TRIM(PROPER(Transaction[[#This Row],[Salesperson]])))</f>
        <v>Flores</v>
      </c>
      <c r="AL535" t="s">
        <v>42</v>
      </c>
      <c r="AM535" t="str">
        <f>IF(Transaction[[#This Row],[ContractType]]="","Missing Value",Transaction[[#This Row],[ContractType]])</f>
        <v>Standard PO</v>
      </c>
      <c r="AN535" t="s">
        <v>49</v>
      </c>
    </row>
    <row r="536" spans="1:40" x14ac:dyDescent="0.25">
      <c r="A536" t="s">
        <v>1831</v>
      </c>
      <c r="B536" s="1">
        <v>45826</v>
      </c>
      <c r="C53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53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53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36" s="2">
        <f>IFERROR(DATE(Transaction[[#This Row],[TransactionDateY]],Transaction[[#This Row],[TransactionDateM]],Transaction[[#This Row],[TransactionDateD]]),"Missing Value")</f>
        <v>45826</v>
      </c>
      <c r="G536" t="s">
        <v>565</v>
      </c>
      <c r="H536" t="str">
        <f>IFERROR(VLOOKUP(Transaction[[#This Row],[CustomerID]],Custumer[],1,0),IF(LEN(Transaction[[#This Row],[CustomerID]])=7,LEFT(Transaction[[#This Row],[CustomerID]],6),"Invalid ID"))</f>
        <v>C-1007</v>
      </c>
      <c r="I536" t="s">
        <v>258</v>
      </c>
      <c r="J536" t="str">
        <f>TRIM(UPPER(Transaction[[#This Row],[ProductID]]))</f>
        <v>P-SA-003</v>
      </c>
      <c r="K536" t="str">
        <f>IFERROR(VLOOKUP(Transaction[[#This Row],[ProductID_Clean]],Product[],1,FALSE),"Invalid ID")</f>
        <v>P-SA-003</v>
      </c>
      <c r="L536" t="str">
        <f>TRIM(SUBSTITUTE(SUBSTITUTE(SUBSTITUTE(SUBSTITUTE(UPPER(Transaction[[#This Row],[Region]]),"EMEA REGION","EMEA"),"APAC REGION","APAC"),"NORTH AMERICA","N. AMERICA"),"N .AMERICA","N.AMERICA"))</f>
        <v>N. AMERICA</v>
      </c>
      <c r="M536" t="s">
        <v>495</v>
      </c>
      <c r="N536" t="s">
        <v>205</v>
      </c>
      <c r="O53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36" t="s">
        <v>77</v>
      </c>
      <c r="Q536" t="str">
        <f>IF(TRIM(Transaction[[#This Row],[SalesChannel]])="","Missing Value",TRIM(Transaction[[#This Row],[SalesChannel]]))</f>
        <v>distributor</v>
      </c>
      <c r="R536" s="4">
        <v>1</v>
      </c>
      <c r="S536" s="4" t="str">
        <f>IF(Transaction[[#This Row],[Quantity]]&lt;0,"Negative-review","Valid")</f>
        <v>Valid</v>
      </c>
      <c r="T536">
        <v>2014.94</v>
      </c>
      <c r="U53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2014.94</v>
      </c>
      <c r="V536">
        <v>2750</v>
      </c>
      <c r="W536">
        <v>2750</v>
      </c>
      <c r="X53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536">
        <f>IF(Transaction[[#This Row],[GrossRevenue_Check]]="Invalid",Transaction[[#This Row],[ListPrice]]*Transaction[[#This Row],[Quantity]],Transaction[[#This Row],[GrossRevenue_Clean]])</f>
        <v>2750</v>
      </c>
      <c r="Z536" t="str">
        <f>IF(Transaction[[#This Row],[GrossRevenue_Clean]]=Transaction[[#This Row],[ListPrice]]*Transaction[[#This Row],[Quantity]],"Valid","Invalid")</f>
        <v>Valid</v>
      </c>
      <c r="AA536">
        <v>735.06</v>
      </c>
      <c r="AB53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735.06</v>
      </c>
      <c r="AC536">
        <f>IF(Transaction[[#This Row],[DiscountAmount_Check2]]="Invalid",Transaction[[#This Row],[GrossRevenue_Analytical]]-Transaction[[#This Row],[NetRevenue_Analytical]],Transaction[[#This Row],[DiscountAmount_Clean]])</f>
        <v>735.06</v>
      </c>
      <c r="AD536">
        <v>2014.94</v>
      </c>
      <c r="AE536" t="str">
        <f>IF(ROUND(Transaction[[#This Row],[GrossRevenue_Analytical]]-Transaction[[#This Row],[NetRevenue_Analytical]],2)=ROUND(Transaction[[#This Row],[DiscountAmount_Clean]],2),"Valid","Invalid")</f>
        <v>Valid</v>
      </c>
      <c r="AF536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2014.94</v>
      </c>
      <c r="AG536">
        <f>IF(Transaction[[#This Row],[NetRevenue_Check]]="Invalid",(Transaction[[#This Row],[Quantity]]*Transaction[[#This Row],[UnitPrice_Clean]]),Transaction[[#This Row],[NetRevenue_Clean]])</f>
        <v>2014.94</v>
      </c>
      <c r="AH536" t="str">
        <f>IF(Transaction[[#This Row],[Quantity]]*Transaction[[#This Row],[UnitPrice_Clean]]=Transaction[[#This Row],[NetRevenue_Clean]],"Valid","Invalid")</f>
        <v>Valid</v>
      </c>
      <c r="AI536" t="s">
        <v>23</v>
      </c>
      <c r="AJ536" t="s">
        <v>1832</v>
      </c>
      <c r="AK536" t="str">
        <f>IF(Transaction[[#This Row],[Salesperson]]="","Missing Value",TRIM(PROPER(Transaction[[#This Row],[Salesperson]])))</f>
        <v>Travis-Em</v>
      </c>
      <c r="AL536" t="s">
        <v>34</v>
      </c>
      <c r="AM536" t="str">
        <f>IF(Transaction[[#This Row],[ContractType]]="","Missing Value",Transaction[[#This Row],[ContractType]])</f>
        <v>Annual License</v>
      </c>
      <c r="AN536" t="s">
        <v>35</v>
      </c>
    </row>
    <row r="537" spans="1:40" x14ac:dyDescent="0.25">
      <c r="A537" t="s">
        <v>1421</v>
      </c>
      <c r="B537" s="1">
        <v>45678</v>
      </c>
      <c r="C53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53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53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37" s="2">
        <f>IFERROR(DATE(Transaction[[#This Row],[TransactionDateY]],Transaction[[#This Row],[TransactionDateM]],Transaction[[#This Row],[TransactionDateD]]),"Missing Value")</f>
        <v>45678</v>
      </c>
      <c r="G537" t="s">
        <v>135</v>
      </c>
      <c r="H537" t="str">
        <f>IFERROR(VLOOKUP(Transaction[[#This Row],[CustomerID]],Custumer[],1,0),IF(LEN(Transaction[[#This Row],[CustomerID]])=7,LEFT(Transaction[[#This Row],[CustomerID]],6),"Invalid ID"))</f>
        <v>C-1112</v>
      </c>
      <c r="I537" t="s">
        <v>111</v>
      </c>
      <c r="J537" t="str">
        <f>TRIM(UPPER(Transaction[[#This Row],[ProductID]]))</f>
        <v>P-SA-004</v>
      </c>
      <c r="K537" t="str">
        <f>IFERROR(VLOOKUP(Transaction[[#This Row],[ProductID_Clean]],Product[],1,FALSE),"Invalid ID")</f>
        <v>P-SA-004</v>
      </c>
      <c r="L537" t="str">
        <f>TRIM(SUBSTITUTE(SUBSTITUTE(SUBSTITUTE(SUBSTITUTE(UPPER(Transaction[[#This Row],[Region]]),"EMEA REGION","EMEA"),"APAC REGION","APAC"),"NORTH AMERICA","N. AMERICA"),"N .AMERICA","N.AMERICA"))</f>
        <v>N. AMERICA</v>
      </c>
      <c r="M537" t="s">
        <v>20</v>
      </c>
      <c r="N537" t="s">
        <v>31</v>
      </c>
      <c r="O53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37" t="s">
        <v>93</v>
      </c>
      <c r="Q537" t="str">
        <f>IF(TRIM(Transaction[[#This Row],[SalesChannel]])="","Missing Value",TRIM(Transaction[[#This Row],[SalesChannel]]))</f>
        <v>direct</v>
      </c>
      <c r="R537" s="4">
        <v>1</v>
      </c>
      <c r="S537" s="4" t="str">
        <f>IF(Transaction[[#This Row],[Quantity]]&lt;0,"Negative-review","Valid")</f>
        <v>Valid</v>
      </c>
      <c r="T537">
        <v>1338.36</v>
      </c>
      <c r="U53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1338.36</v>
      </c>
      <c r="V537">
        <v>1650</v>
      </c>
      <c r="W537">
        <v>1650</v>
      </c>
      <c r="X53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537">
        <f>IF(Transaction[[#This Row],[GrossRevenue_Check]]="Invalid",Transaction[[#This Row],[ListPrice]]*Transaction[[#This Row],[Quantity]],Transaction[[#This Row],[GrossRevenue_Clean]])</f>
        <v>1650</v>
      </c>
      <c r="Z537" t="str">
        <f>IF(Transaction[[#This Row],[GrossRevenue_Clean]]=Transaction[[#This Row],[ListPrice]]*Transaction[[#This Row],[Quantity]],"Valid","Invalid")</f>
        <v>Valid</v>
      </c>
      <c r="AA537">
        <v>311.64</v>
      </c>
      <c r="AB53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311.64</v>
      </c>
      <c r="AC537">
        <f>IF(Transaction[[#This Row],[DiscountAmount_Check2]]="Invalid",Transaction[[#This Row],[GrossRevenue_Analytical]]-Transaction[[#This Row],[NetRevenue_Analytical]],Transaction[[#This Row],[DiscountAmount_Clean]])</f>
        <v>311.64</v>
      </c>
      <c r="AD537" t="s">
        <v>1422</v>
      </c>
      <c r="AE537" t="str">
        <f>IF(ROUND(Transaction[[#This Row],[GrossRevenue_Analytical]]-Transaction[[#This Row],[NetRevenue_Analytical]],2)=ROUND(Transaction[[#This Row],[DiscountAmount_Clean]],2),"Valid","Invalid")</f>
        <v>Valid</v>
      </c>
      <c r="AF53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1338.36</v>
      </c>
      <c r="AG537">
        <f>IF(Transaction[[#This Row],[NetRevenue_Check]]="Invalid",(Transaction[[#This Row],[Quantity]]*Transaction[[#This Row],[UnitPrice_Clean]]),Transaction[[#This Row],[NetRevenue_Clean]])</f>
        <v>1338.36</v>
      </c>
      <c r="AH537" t="str">
        <f>IF(Transaction[[#This Row],[Quantity]]*Transaction[[#This Row],[UnitPrice_Clean]]=Transaction[[#This Row],[NetRevenue_Clean]],"Valid","Invalid")</f>
        <v>Valid</v>
      </c>
      <c r="AI537" t="s">
        <v>23</v>
      </c>
      <c r="AJ537" t="s">
        <v>1423</v>
      </c>
      <c r="AK537" t="str">
        <f>IF(Transaction[[#This Row],[Salesperson]]="","Missing Value",TRIM(PROPER(Transaction[[#This Row],[Salesperson]])))</f>
        <v>Ross-Em</v>
      </c>
      <c r="AL537" t="s">
        <v>113</v>
      </c>
      <c r="AM537" t="str">
        <f>IF(Transaction[[#This Row],[ContractType]]="","Missing Value",Transaction[[#This Row],[ContractType]])</f>
        <v>Subscription</v>
      </c>
      <c r="AN537" t="s">
        <v>43</v>
      </c>
    </row>
    <row r="538" spans="1:40" x14ac:dyDescent="0.25">
      <c r="A538" t="s">
        <v>1330</v>
      </c>
      <c r="B538" s="1">
        <v>45827</v>
      </c>
      <c r="C53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53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53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38" s="2">
        <f>IFERROR(DATE(Transaction[[#This Row],[TransactionDateY]],Transaction[[#This Row],[TransactionDateM]],Transaction[[#This Row],[TransactionDateD]]),"Missing Value")</f>
        <v>45827</v>
      </c>
      <c r="G538" t="s">
        <v>1179</v>
      </c>
      <c r="H538" t="str">
        <f>IFERROR(VLOOKUP(Transaction[[#This Row],[CustomerID]],Custumer[],1,0),IF(LEN(Transaction[[#This Row],[CustomerID]])=7,LEFT(Transaction[[#This Row],[CustomerID]],6),"Invalid ID"))</f>
        <v>C-1116</v>
      </c>
      <c r="I538" t="s">
        <v>58</v>
      </c>
      <c r="J538" t="str">
        <f>TRIM(UPPER(Transaction[[#This Row],[ProductID]]))</f>
        <v>P-SI-005</v>
      </c>
      <c r="K538" t="str">
        <f>IFERROR(VLOOKUP(Transaction[[#This Row],[ProductID_Clean]],Product[],1,FALSE),"Invalid ID")</f>
        <v>P-SI-005</v>
      </c>
      <c r="L538" t="str">
        <f>TRIM(SUBSTITUTE(SUBSTITUTE(SUBSTITUTE(SUBSTITUTE(UPPER(Transaction[[#This Row],[Region]]),"EMEA REGION","EMEA"),"APAC REGION","APAC"),"NORTH AMERICA","N. AMERICA"),"N .AMERICA","N.AMERICA"))</f>
        <v>N. AMERICA</v>
      </c>
      <c r="M538" t="s">
        <v>20</v>
      </c>
      <c r="N538" t="s">
        <v>47</v>
      </c>
      <c r="O53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38" t="s">
        <v>40</v>
      </c>
      <c r="Q538" t="str">
        <f>IF(TRIM(Transaction[[#This Row],[SalesChannel]])="","Missing Value",TRIM(Transaction[[#This Row],[SalesChannel]]))</f>
        <v>Distributor</v>
      </c>
      <c r="R538" s="4">
        <v>12</v>
      </c>
      <c r="S538" s="4" t="str">
        <f>IF(Transaction[[#This Row],[Quantity]]&lt;0,"Negative-review","Valid")</f>
        <v>Valid</v>
      </c>
      <c r="T538">
        <v>1056.8499999999999</v>
      </c>
      <c r="U53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1056.8499999999999</v>
      </c>
      <c r="V538">
        <v>1120</v>
      </c>
      <c r="W538">
        <v>13440</v>
      </c>
      <c r="X53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13440</v>
      </c>
      <c r="Y538">
        <f>IF(Transaction[[#This Row],[GrossRevenue_Check]]="Invalid",Transaction[[#This Row],[ListPrice]]*Transaction[[#This Row],[Quantity]],Transaction[[#This Row],[GrossRevenue_Clean]])</f>
        <v>13440</v>
      </c>
      <c r="Z538" t="str">
        <f>IF(Transaction[[#This Row],[GrossRevenue_Clean]]=Transaction[[#This Row],[ListPrice]]*Transaction[[#This Row],[Quantity]],"Valid","Invalid")</f>
        <v>Valid</v>
      </c>
      <c r="AA538">
        <v>757.8</v>
      </c>
      <c r="AB53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757.8</v>
      </c>
      <c r="AC538">
        <f>IF(Transaction[[#This Row],[DiscountAmount_Check2]]="Invalid",Transaction[[#This Row],[GrossRevenue_Analytical]]-Transaction[[#This Row],[NetRevenue_Analytical]],Transaction[[#This Row],[DiscountAmount_Clean]])</f>
        <v>757.8</v>
      </c>
      <c r="AD538">
        <v>12682.2</v>
      </c>
      <c r="AE538" t="str">
        <f>IF(ROUND(Transaction[[#This Row],[GrossRevenue_Analytical]]-Transaction[[#This Row],[NetRevenue_Analytical]],2)=ROUND(Transaction[[#This Row],[DiscountAmount_Clean]],2),"Valid","Invalid")</f>
        <v>Valid</v>
      </c>
      <c r="AF53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12682.2</v>
      </c>
      <c r="AG538">
        <f>IF(Transaction[[#This Row],[NetRevenue_Check]]="Invalid",(Transaction[[#This Row],[Quantity]]*Transaction[[#This Row],[UnitPrice_Clean]]),Transaction[[#This Row],[NetRevenue_Clean]])</f>
        <v>12682.2</v>
      </c>
      <c r="AH538" t="str">
        <f>IF(Transaction[[#This Row],[Quantity]]*Transaction[[#This Row],[UnitPrice_Clean]]=Transaction[[#This Row],[NetRevenue_Clean]],"Valid","Invalid")</f>
        <v>Valid</v>
      </c>
      <c r="AI538" t="s">
        <v>23</v>
      </c>
      <c r="AJ538" t="s">
        <v>1331</v>
      </c>
      <c r="AK538" t="str">
        <f>IF(Transaction[[#This Row],[Salesperson]]="","Missing Value",TRIM(PROPER(Transaction[[#This Row],[Salesperson]])))</f>
        <v>Hodges</v>
      </c>
      <c r="AL538" t="s">
        <v>42</v>
      </c>
      <c r="AM538" t="str">
        <f>IF(Transaction[[#This Row],[ContractType]]="","Missing Value",Transaction[[#This Row],[ContractType]])</f>
        <v>Standard PO</v>
      </c>
      <c r="AN538" t="s">
        <v>65</v>
      </c>
    </row>
    <row r="539" spans="1:40" x14ac:dyDescent="0.25">
      <c r="A539" t="s">
        <v>1010</v>
      </c>
      <c r="B539" s="1">
        <v>45747</v>
      </c>
      <c r="C53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53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31</v>
      </c>
      <c r="E53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39" s="2">
        <f>IFERROR(DATE(Transaction[[#This Row],[TransactionDateY]],Transaction[[#This Row],[TransactionDateM]],Transaction[[#This Row],[TransactionDateD]]),"Missing Value")</f>
        <v>45747</v>
      </c>
      <c r="G539" t="s">
        <v>300</v>
      </c>
      <c r="H539" t="str">
        <f>IFERROR(VLOOKUP(Transaction[[#This Row],[CustomerID]],Custumer[],1,0),IF(LEN(Transaction[[#This Row],[CustomerID]])=7,LEFT(Transaction[[#This Row],[CustomerID]],6),"Invalid ID"))</f>
        <v>C-1089</v>
      </c>
      <c r="I539" t="s">
        <v>222</v>
      </c>
      <c r="J539" t="str">
        <f>TRIM(UPPER(Transaction[[#This Row],[ProductID]]))</f>
        <v>P-FS-003</v>
      </c>
      <c r="K539" t="str">
        <f>IFERROR(VLOOKUP(Transaction[[#This Row],[ProductID_Clean]],Product[],1,FALSE),"Invalid ID")</f>
        <v>P-FS-003</v>
      </c>
      <c r="L539" t="str">
        <f>TRIM(SUBSTITUTE(SUBSTITUTE(SUBSTITUTE(SUBSTITUTE(UPPER(Transaction[[#This Row],[Region]]),"EMEA REGION","EMEA"),"APAC REGION","APAC"),"NORTH AMERICA","N. AMERICA"),"N .AMERICA","N.AMERICA"))</f>
        <v>LATIN AMERICA</v>
      </c>
      <c r="M539" t="s">
        <v>82</v>
      </c>
      <c r="N539" t="s">
        <v>21</v>
      </c>
      <c r="O539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539" t="s">
        <v>40</v>
      </c>
      <c r="Q539" t="str">
        <f>IF(TRIM(Transaction[[#This Row],[SalesChannel]])="","Missing Value",TRIM(Transaction[[#This Row],[SalesChannel]]))</f>
        <v>Distributor</v>
      </c>
      <c r="R539" s="4">
        <v>1</v>
      </c>
      <c r="S539" s="4" t="str">
        <f>IF(Transaction[[#This Row],[Quantity]]&lt;0,"Negative-review","Valid")</f>
        <v>Valid</v>
      </c>
      <c r="T539">
        <v>3349.68</v>
      </c>
      <c r="U53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3349.68</v>
      </c>
      <c r="V539">
        <v>4100</v>
      </c>
      <c r="W539">
        <v>4100</v>
      </c>
      <c r="X53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4100</v>
      </c>
      <c r="Y539">
        <f>IF(Transaction[[#This Row],[GrossRevenue_Check]]="Invalid",Transaction[[#This Row],[ListPrice]]*Transaction[[#This Row],[Quantity]],Transaction[[#This Row],[GrossRevenue_Clean]])</f>
        <v>4100</v>
      </c>
      <c r="Z539" t="str">
        <f>IF(Transaction[[#This Row],[GrossRevenue_Clean]]=Transaction[[#This Row],[ListPrice]]*Transaction[[#This Row],[Quantity]],"Valid","Invalid")</f>
        <v>Valid</v>
      </c>
      <c r="AA539">
        <v>750.32</v>
      </c>
      <c r="AB53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750.32</v>
      </c>
      <c r="AC539">
        <f>IF(Transaction[[#This Row],[DiscountAmount_Check2]]="Invalid",Transaction[[#This Row],[GrossRevenue_Analytical]]-Transaction[[#This Row],[NetRevenue_Analytical]],Transaction[[#This Row],[DiscountAmount_Clean]])</f>
        <v>750.32</v>
      </c>
      <c r="AD539" t="s">
        <v>1011</v>
      </c>
      <c r="AE539" t="str">
        <f>IF(ROUND(Transaction[[#This Row],[GrossRevenue_Analytical]]-Transaction[[#This Row],[NetRevenue_Analytical]],2)=ROUND(Transaction[[#This Row],[DiscountAmount_Clean]],2),"Valid","Invalid")</f>
        <v>Valid</v>
      </c>
      <c r="AF539">
        <f>VALUE(IF(ISNUMBER(Transaction[[#This Row],[NetRevenue]]),Transaction[[#This Row],[NetRevenue]],IFERROR(IF(FIND("$",Transaction[[#This Row],[NetRevenue]])&gt;0,MID(Transaction[[#This Row],[NetRevenue]],2,10)),Transaction[[#This Row],[NetRevenue]])))</f>
        <v>3349.68</v>
      </c>
      <c r="AG539">
        <f>IF(Transaction[[#This Row],[NetRevenue_Check]]="Invalid",(Transaction[[#This Row],[Quantity]]*Transaction[[#This Row],[UnitPrice_Clean]]),Transaction[[#This Row],[NetRevenue_Clean]])</f>
        <v>3349.68</v>
      </c>
      <c r="AH539" t="str">
        <f>IF(Transaction[[#This Row],[Quantity]]*Transaction[[#This Row],[UnitPrice_Clean]]=Transaction[[#This Row],[NetRevenue_Clean]],"Valid","Invalid")</f>
        <v>Valid</v>
      </c>
      <c r="AI539" t="s">
        <v>23</v>
      </c>
      <c r="AJ539" t="s">
        <v>1012</v>
      </c>
      <c r="AK539" t="str">
        <f>IF(Transaction[[#This Row],[Salesperson]]="","Missing Value",TRIM(PROPER(Transaction[[#This Row],[Salesperson]])))</f>
        <v>Robertson-Ap</v>
      </c>
      <c r="AM539" t="str">
        <f>IF(Transaction[[#This Row],[ContractType]]="","Missing Value",Transaction[[#This Row],[ContractType]])</f>
        <v>Missing Value</v>
      </c>
      <c r="AN539" t="s">
        <v>49</v>
      </c>
    </row>
    <row r="540" spans="1:40" x14ac:dyDescent="0.25">
      <c r="A540" t="s">
        <v>948</v>
      </c>
      <c r="B540" t="s">
        <v>949</v>
      </c>
      <c r="C54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54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54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40" s="2">
        <f>IFERROR(DATE(Transaction[[#This Row],[TransactionDateY]],Transaction[[#This Row],[TransactionDateM]],Transaction[[#This Row],[TransactionDateD]]),"Missing Value")</f>
        <v>45836</v>
      </c>
      <c r="G540" t="s">
        <v>38</v>
      </c>
      <c r="H540" t="str">
        <f>IFERROR(VLOOKUP(Transaction[[#This Row],[CustomerID]],Custumer[],1,0),IF(LEN(Transaction[[#This Row],[CustomerID]])=7,LEFT(Transaction[[#This Row],[CustomerID]],6),"Invalid ID"))</f>
        <v>C-1027</v>
      </c>
      <c r="I540" t="s">
        <v>226</v>
      </c>
      <c r="J540" t="str">
        <f>TRIM(UPPER(Transaction[[#This Row],[ProductID]]))</f>
        <v>P-SA-002</v>
      </c>
      <c r="K540" t="str">
        <f>IFERROR(VLOOKUP(Transaction[[#This Row],[ProductID_Clean]],Product[],1,FALSE),"Invalid ID")</f>
        <v>P-SA-002</v>
      </c>
      <c r="L540" t="str">
        <f>TRIM(SUBSTITUTE(SUBSTITUTE(SUBSTITUTE(SUBSTITUTE(UPPER(Transaction[[#This Row],[Region]]),"EMEA REGION","EMEA"),"APAC REGION","APAC"),"NORTH AMERICA","N. AMERICA"),"N .AMERICA","N.AMERICA"))</f>
        <v>N. AMERICA</v>
      </c>
      <c r="M540" t="s">
        <v>20</v>
      </c>
      <c r="N540" t="s">
        <v>31</v>
      </c>
      <c r="O540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40" t="s">
        <v>22</v>
      </c>
      <c r="Q540" t="str">
        <f>IF(TRIM(Transaction[[#This Row],[SalesChannel]])="","Missing Value",TRIM(Transaction[[#This Row],[SalesChannel]]))</f>
        <v>Direct</v>
      </c>
      <c r="R540" s="4">
        <v>1</v>
      </c>
      <c r="S540" s="4" t="str">
        <f>IF(Transaction[[#This Row],[Quantity]]&lt;0,"Negative-review","Valid")</f>
        <v>Valid</v>
      </c>
      <c r="T540" t="s">
        <v>950</v>
      </c>
      <c r="U54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7963.77</v>
      </c>
      <c r="V540">
        <v>9800</v>
      </c>
      <c r="W540">
        <v>9800</v>
      </c>
      <c r="X54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540">
        <f>IF(Transaction[[#This Row],[GrossRevenue_Check]]="Invalid",Transaction[[#This Row],[ListPrice]]*Transaction[[#This Row],[Quantity]],Transaction[[#This Row],[GrossRevenue_Clean]])</f>
        <v>9800</v>
      </c>
      <c r="Z540" t="str">
        <f>IF(Transaction[[#This Row],[GrossRevenue_Clean]]=Transaction[[#This Row],[ListPrice]]*Transaction[[#This Row],[Quantity]],"Valid","Invalid")</f>
        <v>Valid</v>
      </c>
      <c r="AA540">
        <v>1836.23</v>
      </c>
      <c r="AB54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1836.23</v>
      </c>
      <c r="AC540">
        <f>IF(Transaction[[#This Row],[DiscountAmount_Check2]]="Invalid",Transaction[[#This Row],[GrossRevenue_Analytical]]-Transaction[[#This Row],[NetRevenue_Analytical]],Transaction[[#This Row],[DiscountAmount_Clean]])</f>
        <v>1836.23</v>
      </c>
      <c r="AD540">
        <v>7963.77</v>
      </c>
      <c r="AE540" t="str">
        <f>IF(ROUND(Transaction[[#This Row],[GrossRevenue_Analytical]]-Transaction[[#This Row],[NetRevenue_Analytical]],2)=ROUND(Transaction[[#This Row],[DiscountAmount_Clean]],2),"Valid","Invalid")</f>
        <v>Valid</v>
      </c>
      <c r="AF540">
        <f>VALUE(IF(ISNUMBER(Transaction[[#This Row],[NetRevenue]]),Transaction[[#This Row],[NetRevenue]],IFERROR(IF(FIND("$",Transaction[[#This Row],[NetRevenue]])&gt;0,MID(Transaction[[#This Row],[NetRevenue]],2,10)),Transaction[[#This Row],[NetRevenue]])))</f>
        <v>7963.77</v>
      </c>
      <c r="AG540">
        <f>IF(Transaction[[#This Row],[NetRevenue_Check]]="Invalid",(Transaction[[#This Row],[Quantity]]*Transaction[[#This Row],[UnitPrice_Clean]]),Transaction[[#This Row],[NetRevenue_Clean]])</f>
        <v>7963.77</v>
      </c>
      <c r="AH540" t="str">
        <f>IF(Transaction[[#This Row],[Quantity]]*Transaction[[#This Row],[UnitPrice_Clean]]=Transaction[[#This Row],[NetRevenue_Clean]],"Valid","Invalid")</f>
        <v>Valid</v>
      </c>
      <c r="AI540" t="s">
        <v>23</v>
      </c>
      <c r="AJ540" t="s">
        <v>206</v>
      </c>
      <c r="AK540" t="str">
        <f>IF(Transaction[[#This Row],[Salesperson]]="","Missing Value",TRIM(PROPER(Transaction[[#This Row],[Salesperson]])))</f>
        <v>Rodriguez</v>
      </c>
      <c r="AL540" t="s">
        <v>34</v>
      </c>
      <c r="AM540" t="str">
        <f>IF(Transaction[[#This Row],[ContractType]]="","Missing Value",Transaction[[#This Row],[ContractType]])</f>
        <v>Annual License</v>
      </c>
      <c r="AN540" t="s">
        <v>43</v>
      </c>
    </row>
    <row r="541" spans="1:40" x14ac:dyDescent="0.25">
      <c r="A541" t="s">
        <v>2536</v>
      </c>
      <c r="B541" s="1">
        <v>45810</v>
      </c>
      <c r="C54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54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54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41" s="2">
        <f>IFERROR(DATE(Transaction[[#This Row],[TransactionDateY]],Transaction[[#This Row],[TransactionDateM]],Transaction[[#This Row],[TransactionDateD]]),"Missing Value")</f>
        <v>45810</v>
      </c>
      <c r="G541" t="s">
        <v>1906</v>
      </c>
      <c r="H541" t="str">
        <f>IFERROR(VLOOKUP(Transaction[[#This Row],[CustomerID]],Custumer[],1,0),IF(LEN(Transaction[[#This Row],[CustomerID]])=7,LEFT(Transaction[[#This Row],[CustomerID]],6),"Invalid ID"))</f>
        <v>C-1055</v>
      </c>
      <c r="I541" t="s">
        <v>62</v>
      </c>
      <c r="J541" t="str">
        <f>TRIM(UPPER(Transaction[[#This Row],[ProductID]]))</f>
        <v>P-SI-004</v>
      </c>
      <c r="K541" t="str">
        <f>IFERROR(VLOOKUP(Transaction[[#This Row],[ProductID_Clean]],Product[],1,FALSE),"Invalid ID")</f>
        <v>P-SI-004</v>
      </c>
      <c r="L541" t="str">
        <f>TRIM(SUBSTITUTE(SUBSTITUTE(SUBSTITUTE(SUBSTITUTE(UPPER(Transaction[[#This Row],[Region]]),"EMEA REGION","EMEA"),"APAC REGION","APAC"),"NORTH AMERICA","N. AMERICA"),"N .AMERICA","N.AMERICA"))</f>
        <v>APAC</v>
      </c>
      <c r="M541" t="s">
        <v>30</v>
      </c>
      <c r="N541" t="s">
        <v>53</v>
      </c>
      <c r="O54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41" t="s">
        <v>22</v>
      </c>
      <c r="Q541" t="str">
        <f>IF(TRIM(Transaction[[#This Row],[SalesChannel]])="","Missing Value",TRIM(Transaction[[#This Row],[SalesChannel]]))</f>
        <v>Direct</v>
      </c>
      <c r="R541" s="4">
        <v>2</v>
      </c>
      <c r="S541" s="4" t="str">
        <f>IF(Transaction[[#This Row],[Quantity]]&lt;0,"Negative-review","Valid")</f>
        <v>Valid</v>
      </c>
      <c r="T541">
        <v>2011.1</v>
      </c>
      <c r="U54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2011.1</v>
      </c>
      <c r="V541">
        <v>2450</v>
      </c>
      <c r="W541">
        <v>4900</v>
      </c>
      <c r="X54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</v>
      </c>
      <c r="Y541">
        <f>IF(Transaction[[#This Row],[GrossRevenue_Check]]="Invalid",Transaction[[#This Row],[ListPrice]]*Transaction[[#This Row],[Quantity]],Transaction[[#This Row],[GrossRevenue_Clean]])</f>
        <v>4900</v>
      </c>
      <c r="Z541" t="str">
        <f>IF(Transaction[[#This Row],[GrossRevenue_Clean]]=Transaction[[#This Row],[ListPrice]]*Transaction[[#This Row],[Quantity]],"Valid","Invalid")</f>
        <v>Valid</v>
      </c>
      <c r="AA541">
        <v>877.8</v>
      </c>
      <c r="AB54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877.8</v>
      </c>
      <c r="AC541">
        <f>IF(Transaction[[#This Row],[DiscountAmount_Check2]]="Invalid",Transaction[[#This Row],[GrossRevenue_Analytical]]-Transaction[[#This Row],[NetRevenue_Analytical]],Transaction[[#This Row],[DiscountAmount_Clean]])</f>
        <v>877.8</v>
      </c>
      <c r="AD541">
        <v>4022.2</v>
      </c>
      <c r="AE541" t="str">
        <f>IF(ROUND(Transaction[[#This Row],[GrossRevenue_Analytical]]-Transaction[[#This Row],[NetRevenue_Analytical]],2)=ROUND(Transaction[[#This Row],[DiscountAmount_Clean]],2),"Valid","Invalid")</f>
        <v>Valid</v>
      </c>
      <c r="AF541">
        <f>VALUE(IF(ISNUMBER(Transaction[[#This Row],[NetRevenue]]),Transaction[[#This Row],[NetRevenue]],IFERROR(IF(FIND("$",Transaction[[#This Row],[NetRevenue]])&gt;0,MID(Transaction[[#This Row],[NetRevenue]],2,10)),Transaction[[#This Row],[NetRevenue]])))</f>
        <v>4022.2</v>
      </c>
      <c r="AG541">
        <f>IF(Transaction[[#This Row],[NetRevenue_Check]]="Invalid",(Transaction[[#This Row],[Quantity]]*Transaction[[#This Row],[UnitPrice_Clean]]),Transaction[[#This Row],[NetRevenue_Clean]])</f>
        <v>4022.2</v>
      </c>
      <c r="AH541" t="str">
        <f>IF(Transaction[[#This Row],[Quantity]]*Transaction[[#This Row],[UnitPrice_Clean]]=Transaction[[#This Row],[NetRevenue_Clean]],"Valid","Invalid")</f>
        <v>Valid</v>
      </c>
      <c r="AI541" t="s">
        <v>23</v>
      </c>
      <c r="AJ541" t="s">
        <v>818</v>
      </c>
      <c r="AK541" t="str">
        <f>IF(Transaction[[#This Row],[Salesperson]]="","Missing Value",TRIM(PROPER(Transaction[[#This Row],[Salesperson]])))</f>
        <v>Allen-Ap</v>
      </c>
      <c r="AL541" t="s">
        <v>55</v>
      </c>
      <c r="AM541" t="str">
        <f>IF(Transaction[[#This Row],[ContractType]]="","Missing Value",Transaction[[#This Row],[ContractType]])</f>
        <v>Spot</v>
      </c>
      <c r="AN541" t="s">
        <v>26</v>
      </c>
    </row>
    <row r="542" spans="1:40" x14ac:dyDescent="0.25">
      <c r="A542" t="s">
        <v>265</v>
      </c>
      <c r="B542" t="s">
        <v>266</v>
      </c>
      <c r="C54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54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54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42" s="2">
        <f>IFERROR(DATE(Transaction[[#This Row],[TransactionDateY]],Transaction[[#This Row],[TransactionDateM]],Transaction[[#This Row],[TransactionDateD]]),"Missing Value")</f>
        <v>45679</v>
      </c>
      <c r="G542" t="s">
        <v>267</v>
      </c>
      <c r="H542" t="str">
        <f>IFERROR(VLOOKUP(Transaction[[#This Row],[CustomerID]],Custumer[],1,0),IF(LEN(Transaction[[#This Row],[CustomerID]])=7,LEFT(Transaction[[#This Row],[CustomerID]],6),"Invalid ID"))</f>
        <v>C-1119</v>
      </c>
      <c r="I542" t="s">
        <v>268</v>
      </c>
      <c r="J542" t="str">
        <f>TRIM(UPPER(Transaction[[#This Row],[ProductID]]))</f>
        <v>P-FS-002</v>
      </c>
      <c r="K542" t="str">
        <f>IFERROR(VLOOKUP(Transaction[[#This Row],[ProductID_Clean]],Product[],1,FALSE),"Invalid ID")</f>
        <v>P-FS-002</v>
      </c>
      <c r="L542" t="str">
        <f>TRIM(SUBSTITUTE(SUBSTITUTE(SUBSTITUTE(SUBSTITUTE(UPPER(Transaction[[#This Row],[Region]]),"EMEA REGION","EMEA"),"APAC REGION","APAC"),"NORTH AMERICA","N. AMERICA"),"N .AMERICA","N.AMERICA"))</f>
        <v>EMEA</v>
      </c>
      <c r="M542" t="s">
        <v>76</v>
      </c>
      <c r="N542" t="s">
        <v>21</v>
      </c>
      <c r="O542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542" t="s">
        <v>32</v>
      </c>
      <c r="Q542" t="str">
        <f>IF(TRIM(Transaction[[#This Row],[SalesChannel]])="","Missing Value",TRIM(Transaction[[#This Row],[SalesChannel]]))</f>
        <v>Direct</v>
      </c>
      <c r="R542" s="4">
        <v>1</v>
      </c>
      <c r="S542" s="4" t="str">
        <f>IF(Transaction[[#This Row],[Quantity]]&lt;0,"Negative-review","Valid")</f>
        <v>Valid</v>
      </c>
      <c r="T542">
        <v>2084.11</v>
      </c>
      <c r="U54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2084.11</v>
      </c>
      <c r="V542">
        <v>2400</v>
      </c>
      <c r="W542">
        <v>2400</v>
      </c>
      <c r="X54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542">
        <f>IF(Transaction[[#This Row],[GrossRevenue_Check]]="Invalid",Transaction[[#This Row],[ListPrice]]*Transaction[[#This Row],[Quantity]],Transaction[[#This Row],[GrossRevenue_Clean]])</f>
        <v>2400</v>
      </c>
      <c r="Z542" t="str">
        <f>IF(Transaction[[#This Row],[GrossRevenue_Clean]]=Transaction[[#This Row],[ListPrice]]*Transaction[[#This Row],[Quantity]],"Valid","Invalid")</f>
        <v>Valid</v>
      </c>
      <c r="AA542">
        <v>315.89</v>
      </c>
      <c r="AB54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315.89</v>
      </c>
      <c r="AC542">
        <f>IF(Transaction[[#This Row],[DiscountAmount_Check2]]="Invalid",Transaction[[#This Row],[GrossRevenue_Analytical]]-Transaction[[#This Row],[NetRevenue_Analytical]],Transaction[[#This Row],[DiscountAmount_Clean]])</f>
        <v>315.89</v>
      </c>
      <c r="AD542">
        <v>2084.11</v>
      </c>
      <c r="AE542" t="str">
        <f>IF(ROUND(Transaction[[#This Row],[GrossRevenue_Analytical]]-Transaction[[#This Row],[NetRevenue_Analytical]],2)=ROUND(Transaction[[#This Row],[DiscountAmount_Clean]],2),"Valid","Invalid")</f>
        <v>Valid</v>
      </c>
      <c r="AF54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2084.11</v>
      </c>
      <c r="AG542">
        <f>IF(Transaction[[#This Row],[NetRevenue_Check]]="Invalid",(Transaction[[#This Row],[Quantity]]*Transaction[[#This Row],[UnitPrice_Clean]]),Transaction[[#This Row],[NetRevenue_Clean]])</f>
        <v>2084.11</v>
      </c>
      <c r="AH542" t="str">
        <f>IF(Transaction[[#This Row],[Quantity]]*Transaction[[#This Row],[UnitPrice_Clean]]=Transaction[[#This Row],[NetRevenue_Clean]],"Valid","Invalid")</f>
        <v>Valid</v>
      </c>
      <c r="AI542" t="s">
        <v>23</v>
      </c>
      <c r="AJ542" t="s">
        <v>269</v>
      </c>
      <c r="AK542" t="str">
        <f>IF(Transaction[[#This Row],[Salesperson]]="","Missing Value",TRIM(PROPER(Transaction[[#This Row],[Salesperson]])))</f>
        <v>Martinez</v>
      </c>
      <c r="AL542" t="s">
        <v>224</v>
      </c>
      <c r="AM542" t="str">
        <f>IF(Transaction[[#This Row],[ContractType]]="","Missing Value",Transaction[[#This Row],[ContractType]])</f>
        <v>Annual</v>
      </c>
      <c r="AN542" t="s">
        <v>49</v>
      </c>
    </row>
    <row r="543" spans="1:40" x14ac:dyDescent="0.25">
      <c r="A543" t="s">
        <v>1882</v>
      </c>
      <c r="B543" s="1">
        <v>45739</v>
      </c>
      <c r="C54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54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54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43" s="2">
        <f>IFERROR(DATE(Transaction[[#This Row],[TransactionDateY]],Transaction[[#This Row],[TransactionDateM]],Transaction[[#This Row],[TransactionDateD]]),"Missing Value")</f>
        <v>45739</v>
      </c>
      <c r="G543" t="s">
        <v>292</v>
      </c>
      <c r="H543" t="str">
        <f>IFERROR(VLOOKUP(Transaction[[#This Row],[CustomerID]],Custumer[],1,0),IF(LEN(Transaction[[#This Row],[CustomerID]])=7,LEFT(Transaction[[#This Row],[CustomerID]],6),"Invalid ID"))</f>
        <v>C-1065</v>
      </c>
      <c r="I543" t="s">
        <v>222</v>
      </c>
      <c r="J543" t="str">
        <f>TRIM(UPPER(Transaction[[#This Row],[ProductID]]))</f>
        <v>P-FS-003</v>
      </c>
      <c r="K543" t="str">
        <f>IFERROR(VLOOKUP(Transaction[[#This Row],[ProductID_Clean]],Product[],1,FALSE),"Invalid ID")</f>
        <v>P-FS-003</v>
      </c>
      <c r="L543" t="str">
        <f>TRIM(SUBSTITUTE(SUBSTITUTE(SUBSTITUTE(SUBSTITUTE(UPPER(Transaction[[#This Row],[Region]]),"EMEA REGION","EMEA"),"APAC REGION","APAC"),"NORTH AMERICA","N. AMERICA"),"N .AMERICA","N.AMERICA"))</f>
        <v>APAC</v>
      </c>
      <c r="M543" t="s">
        <v>30</v>
      </c>
      <c r="N543" t="s">
        <v>21</v>
      </c>
      <c r="O54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543" t="s">
        <v>40</v>
      </c>
      <c r="Q543" t="str">
        <f>IF(TRIM(Transaction[[#This Row],[SalesChannel]])="","Missing Value",TRIM(Transaction[[#This Row],[SalesChannel]]))</f>
        <v>Distributor</v>
      </c>
      <c r="R543" s="4">
        <v>2</v>
      </c>
      <c r="S543" s="4" t="str">
        <f>IF(Transaction[[#This Row],[Quantity]]&lt;0,"Negative-review","Valid")</f>
        <v>Valid</v>
      </c>
      <c r="T543">
        <v>3376.92</v>
      </c>
      <c r="U54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3376.92</v>
      </c>
      <c r="V543">
        <v>4100</v>
      </c>
      <c r="W543" t="s">
        <v>293</v>
      </c>
      <c r="X54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4100</v>
      </c>
      <c r="Y543">
        <f>IF(Transaction[[#This Row],[GrossRevenue_Check]]="Invalid",Transaction[[#This Row],[ListPrice]]*Transaction[[#This Row],[Quantity]],Transaction[[#This Row],[GrossRevenue_Clean]])</f>
        <v>8200</v>
      </c>
      <c r="Z543" t="str">
        <f>IF(Transaction[[#This Row],[GrossRevenue_Clean]]=Transaction[[#This Row],[ListPrice]]*Transaction[[#This Row],[Quantity]],"Valid","Invalid")</f>
        <v>Invalid</v>
      </c>
      <c r="AA543">
        <v>723.08</v>
      </c>
      <c r="AB54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723.08</v>
      </c>
      <c r="AC543">
        <f>IF(Transaction[[#This Row],[DiscountAmount_Check2]]="Invalid",Transaction[[#This Row],[GrossRevenue_Analytical]]-Transaction[[#This Row],[NetRevenue_Analytical]],Transaction[[#This Row],[DiscountAmount_Clean]])</f>
        <v>1446.1599999999999</v>
      </c>
      <c r="AD543">
        <v>3376.92</v>
      </c>
      <c r="AE543" t="str">
        <f>IF(ROUND(Transaction[[#This Row],[GrossRevenue_Analytical]]-Transaction[[#This Row],[NetRevenue_Analytical]],2)=ROUND(Transaction[[#This Row],[DiscountAmount_Clean]],2),"Valid","Invalid")</f>
        <v>Invalid</v>
      </c>
      <c r="AF54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3376.92</v>
      </c>
      <c r="AG543">
        <f>IF(Transaction[[#This Row],[NetRevenue_Check]]="Invalid",(Transaction[[#This Row],[Quantity]]*Transaction[[#This Row],[UnitPrice_Clean]]),Transaction[[#This Row],[NetRevenue_Clean]])</f>
        <v>6753.84</v>
      </c>
      <c r="AH543" t="str">
        <f>IF(Transaction[[#This Row],[Quantity]]*Transaction[[#This Row],[UnitPrice_Clean]]=Transaction[[#This Row],[NetRevenue_Clean]],"Valid","Invalid")</f>
        <v>Invalid</v>
      </c>
      <c r="AI543" t="s">
        <v>23</v>
      </c>
      <c r="AJ543" t="s">
        <v>294</v>
      </c>
      <c r="AK543" t="str">
        <f>IF(Transaction[[#This Row],[Salesperson]]="","Missing Value",TRIM(PROPER(Transaction[[#This Row],[Salesperson]])))</f>
        <v>Sanders</v>
      </c>
      <c r="AL543" t="s">
        <v>295</v>
      </c>
      <c r="AM543" t="str">
        <f>IF(Transaction[[#This Row],[ContractType]]="","Missing Value",Transaction[[#This Row],[ContractType]])</f>
        <v>Multi-Year</v>
      </c>
      <c r="AN543" t="s">
        <v>35</v>
      </c>
    </row>
    <row r="544" spans="1:40" x14ac:dyDescent="0.25">
      <c r="A544" t="s">
        <v>1580</v>
      </c>
      <c r="B544" s="1">
        <v>45690</v>
      </c>
      <c r="C54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54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54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44" s="2">
        <f>IFERROR(DATE(Transaction[[#This Row],[TransactionDateY]],Transaction[[#This Row],[TransactionDateM]],Transaction[[#This Row],[TransactionDateD]]),"Missing Value")</f>
        <v>45690</v>
      </c>
      <c r="G544" t="s">
        <v>267</v>
      </c>
      <c r="H544" t="str">
        <f>IFERROR(VLOOKUP(Transaction[[#This Row],[CustomerID]],Custumer[],1,0),IF(LEN(Transaction[[#This Row],[CustomerID]])=7,LEFT(Transaction[[#This Row],[CustomerID]],6),"Invalid ID"))</f>
        <v>C-1119</v>
      </c>
      <c r="I544" t="s">
        <v>117</v>
      </c>
      <c r="J544" t="str">
        <f>TRIM(UPPER(Transaction[[#This Row],[ProductID]]))</f>
        <v>P-SI-007</v>
      </c>
      <c r="K544" t="str">
        <f>IFERROR(VLOOKUP(Transaction[[#This Row],[ProductID_Clean]],Product[],1,FALSE),"Invalid ID")</f>
        <v>P-SI-007</v>
      </c>
      <c r="L544" t="str">
        <f>TRIM(SUBSTITUTE(SUBSTITUTE(SUBSTITUTE(SUBSTITUTE(UPPER(Transaction[[#This Row],[Region]]),"EMEA REGION","EMEA"),"APAC REGION","APAC"),"NORTH AMERICA","N. AMERICA"),"N .AMERICA","N.AMERICA"))</f>
        <v>EMEA</v>
      </c>
      <c r="M544" t="s">
        <v>76</v>
      </c>
      <c r="N544" t="s">
        <v>53</v>
      </c>
      <c r="O54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44" t="s">
        <v>40</v>
      </c>
      <c r="Q544" t="str">
        <f>IF(TRIM(Transaction[[#This Row],[SalesChannel]])="","Missing Value",TRIM(Transaction[[#This Row],[SalesChannel]]))</f>
        <v>Distributor</v>
      </c>
      <c r="R544" s="4">
        <v>4</v>
      </c>
      <c r="S544" s="4" t="str">
        <f>IF(Transaction[[#This Row],[Quantity]]&lt;0,"Negative-review","Valid")</f>
        <v>Valid</v>
      </c>
      <c r="T544">
        <v>782.15</v>
      </c>
      <c r="U54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782.15</v>
      </c>
      <c r="V544">
        <v>980</v>
      </c>
      <c r="W544">
        <v>3920</v>
      </c>
      <c r="X54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3920</v>
      </c>
      <c r="Y544">
        <f>IF(Transaction[[#This Row],[GrossRevenue_Check]]="Invalid",Transaction[[#This Row],[ListPrice]]*Transaction[[#This Row],[Quantity]],Transaction[[#This Row],[GrossRevenue_Clean]])</f>
        <v>3920</v>
      </c>
      <c r="Z544" t="str">
        <f>IF(Transaction[[#This Row],[GrossRevenue_Clean]]=Transaction[[#This Row],[ListPrice]]*Transaction[[#This Row],[Quantity]],"Valid","Invalid")</f>
        <v>Valid</v>
      </c>
      <c r="AA544">
        <v>791.4</v>
      </c>
      <c r="AB54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791.4</v>
      </c>
      <c r="AC544">
        <f>IF(Transaction[[#This Row],[DiscountAmount_Check2]]="Invalid",Transaction[[#This Row],[GrossRevenue_Analytical]]-Transaction[[#This Row],[NetRevenue_Analytical]],Transaction[[#This Row],[DiscountAmount_Clean]])</f>
        <v>791.4</v>
      </c>
      <c r="AD544">
        <v>3128.6</v>
      </c>
      <c r="AE544" t="str">
        <f>IF(ROUND(Transaction[[#This Row],[GrossRevenue_Analytical]]-Transaction[[#This Row],[NetRevenue_Analytical]],2)=ROUND(Transaction[[#This Row],[DiscountAmount_Clean]],2),"Valid","Invalid")</f>
        <v>Valid</v>
      </c>
      <c r="AF544">
        <f>VALUE(IF(ISNUMBER(Transaction[[#This Row],[NetRevenue]]),Transaction[[#This Row],[NetRevenue]],IFERROR(IF(FIND("$",Transaction[[#This Row],[NetRevenue]])&gt;0,MID(Transaction[[#This Row],[NetRevenue]],2,10)),Transaction[[#This Row],[NetRevenue]])))</f>
        <v>3128.6</v>
      </c>
      <c r="AG544">
        <f>IF(Transaction[[#This Row],[NetRevenue_Check]]="Invalid",(Transaction[[#This Row],[Quantity]]*Transaction[[#This Row],[UnitPrice_Clean]]),Transaction[[#This Row],[NetRevenue_Clean]])</f>
        <v>3128.6</v>
      </c>
      <c r="AH544" t="str">
        <f>IF(Transaction[[#This Row],[Quantity]]*Transaction[[#This Row],[UnitPrice_Clean]]=Transaction[[#This Row],[NetRevenue_Clean]],"Valid","Invalid")</f>
        <v>Valid</v>
      </c>
      <c r="AI544" t="s">
        <v>99</v>
      </c>
      <c r="AJ544" t="s">
        <v>1093</v>
      </c>
      <c r="AK544" t="str">
        <f>IF(Transaction[[#This Row],[Salesperson]]="","Missing Value",TRIM(PROPER(Transaction[[#This Row],[Salesperson]])))</f>
        <v>Williams-Ap</v>
      </c>
      <c r="AL544" t="s">
        <v>42</v>
      </c>
      <c r="AM544" t="str">
        <f>IF(Transaction[[#This Row],[ContractType]]="","Missing Value",Transaction[[#This Row],[ContractType]])</f>
        <v>Standard PO</v>
      </c>
      <c r="AN544" t="s">
        <v>49</v>
      </c>
    </row>
    <row r="545" spans="1:40" x14ac:dyDescent="0.25">
      <c r="A545" t="s">
        <v>372</v>
      </c>
      <c r="B545" t="s">
        <v>373</v>
      </c>
      <c r="C54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54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29</v>
      </c>
      <c r="E54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45" s="2">
        <f>IFERROR(DATE(Transaction[[#This Row],[TransactionDateY]],Transaction[[#This Row],[TransactionDateM]],Transaction[[#This Row],[TransactionDateD]]),"Missing Value")</f>
        <v>45837</v>
      </c>
      <c r="G545" t="s">
        <v>374</v>
      </c>
      <c r="H545" t="str">
        <f>IFERROR(VLOOKUP(Transaction[[#This Row],[CustomerID]],Custumer[],1,0),IF(LEN(Transaction[[#This Row],[CustomerID]])=7,LEFT(Transaction[[#This Row],[CustomerID]],6),"Invalid ID"))</f>
        <v>C-1102</v>
      </c>
      <c r="I545" t="s">
        <v>121</v>
      </c>
      <c r="J545" t="str">
        <f>TRIM(UPPER(Transaction[[#This Row],[ProductID]]))</f>
        <v>P-FS-001</v>
      </c>
      <c r="K545" t="str">
        <f>IFERROR(VLOOKUP(Transaction[[#This Row],[ProductID_Clean]],Product[],1,FALSE),"Invalid ID")</f>
        <v>P-FS-001</v>
      </c>
      <c r="L545" t="str">
        <f>TRIM(SUBSTITUTE(SUBSTITUTE(SUBSTITUTE(SUBSTITUTE(UPPER(Transaction[[#This Row],[Region]]),"EMEA REGION","EMEA"),"APAC REGION","APAC"),"NORTH AMERICA","N. AMERICA"),"N .AMERICA","N.AMERICA"))</f>
        <v>LATIN AMERICA</v>
      </c>
      <c r="M545" t="s">
        <v>82</v>
      </c>
      <c r="N545" t="s">
        <v>244</v>
      </c>
      <c r="O54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545" t="s">
        <v>40</v>
      </c>
      <c r="Q545" t="str">
        <f>IF(TRIM(Transaction[[#This Row],[SalesChannel]])="","Missing Value",TRIM(Transaction[[#This Row],[SalesChannel]]))</f>
        <v>Distributor</v>
      </c>
      <c r="R545" s="4">
        <v>2</v>
      </c>
      <c r="S545" s="4" t="str">
        <f>IF(Transaction[[#This Row],[Quantity]]&lt;0,"Negative-review","Valid")</f>
        <v>Valid</v>
      </c>
      <c r="T545">
        <v>1326.89</v>
      </c>
      <c r="U54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1326.89</v>
      </c>
      <c r="V545">
        <v>1850</v>
      </c>
      <c r="W545">
        <v>3700</v>
      </c>
      <c r="X54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3700</v>
      </c>
      <c r="Y545">
        <f>IF(Transaction[[#This Row],[GrossRevenue_Check]]="Invalid",Transaction[[#This Row],[ListPrice]]*Transaction[[#This Row],[Quantity]],Transaction[[#This Row],[GrossRevenue_Clean]])</f>
        <v>3700</v>
      </c>
      <c r="Z545" t="str">
        <f>IF(Transaction[[#This Row],[GrossRevenue_Clean]]=Transaction[[#This Row],[ListPrice]]*Transaction[[#This Row],[Quantity]],"Valid","Invalid")</f>
        <v>Valid</v>
      </c>
      <c r="AA545">
        <v>1046.22</v>
      </c>
      <c r="AB54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1046.22</v>
      </c>
      <c r="AC545">
        <f>IF(Transaction[[#This Row],[DiscountAmount_Check2]]="Invalid",Transaction[[#This Row],[GrossRevenue_Analytical]]-Transaction[[#This Row],[NetRevenue_Analytical]],Transaction[[#This Row],[DiscountAmount_Clean]])</f>
        <v>1046.22</v>
      </c>
      <c r="AD545">
        <v>2653.78</v>
      </c>
      <c r="AE545" t="str">
        <f>IF(ROUND(Transaction[[#This Row],[GrossRevenue_Analytical]]-Transaction[[#This Row],[NetRevenue_Analytical]],2)=ROUND(Transaction[[#This Row],[DiscountAmount_Clean]],2),"Valid","Invalid")</f>
        <v>Valid</v>
      </c>
      <c r="AF545">
        <f>VALUE(IF(ISNUMBER(Transaction[[#This Row],[NetRevenue]]),Transaction[[#This Row],[NetRevenue]],IFERROR(IF(FIND("$",Transaction[[#This Row],[NetRevenue]])&gt;0,MID(Transaction[[#This Row],[NetRevenue]],2,10)),Transaction[[#This Row],[NetRevenue]])))</f>
        <v>2653.78</v>
      </c>
      <c r="AG545">
        <f>IF(Transaction[[#This Row],[NetRevenue_Check]]="Invalid",(Transaction[[#This Row],[Quantity]]*Transaction[[#This Row],[UnitPrice_Clean]]),Transaction[[#This Row],[NetRevenue_Clean]])</f>
        <v>2653.78</v>
      </c>
      <c r="AH545" t="str">
        <f>IF(Transaction[[#This Row],[Quantity]]*Transaction[[#This Row],[UnitPrice_Clean]]=Transaction[[#This Row],[NetRevenue_Clean]],"Valid","Invalid")</f>
        <v>Valid</v>
      </c>
      <c r="AI545" t="s">
        <v>23</v>
      </c>
      <c r="AJ545" t="s">
        <v>375</v>
      </c>
      <c r="AK545" t="str">
        <f>IF(Transaction[[#This Row],[Salesperson]]="","Missing Value",TRIM(PROPER(Transaction[[#This Row],[Salesperson]])))</f>
        <v>Dougherty-Ap</v>
      </c>
      <c r="AL545" t="s">
        <v>42</v>
      </c>
      <c r="AM545" t="str">
        <f>IF(Transaction[[#This Row],[ContractType]]="","Missing Value",Transaction[[#This Row],[ContractType]])</f>
        <v>Standard PO</v>
      </c>
      <c r="AN545" t="s">
        <v>49</v>
      </c>
    </row>
    <row r="546" spans="1:40" x14ac:dyDescent="0.25">
      <c r="A546" t="s">
        <v>338</v>
      </c>
      <c r="B546" s="1">
        <v>45833</v>
      </c>
      <c r="C54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54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54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46" s="2">
        <f>IFERROR(DATE(Transaction[[#This Row],[TransactionDateY]],Transaction[[#This Row],[TransactionDateM]],Transaction[[#This Row],[TransactionDateD]]),"Missing Value")</f>
        <v>45833</v>
      </c>
      <c r="G546" t="s">
        <v>339</v>
      </c>
      <c r="H546" t="str">
        <f>IFERROR(VLOOKUP(Transaction[[#This Row],[CustomerID]],Custumer[],1,0),IF(LEN(Transaction[[#This Row],[CustomerID]])=7,LEFT(Transaction[[#This Row],[CustomerID]],6),"Invalid ID"))</f>
        <v>C-1017</v>
      </c>
      <c r="I546" t="s">
        <v>111</v>
      </c>
      <c r="J546" t="str">
        <f>TRIM(UPPER(Transaction[[#This Row],[ProductID]]))</f>
        <v>P-SA-004</v>
      </c>
      <c r="K546" t="str">
        <f>IFERROR(VLOOKUP(Transaction[[#This Row],[ProductID_Clean]],Product[],1,FALSE),"Invalid ID")</f>
        <v>P-SA-004</v>
      </c>
      <c r="L546" t="str">
        <f>TRIM(SUBSTITUTE(SUBSTITUTE(SUBSTITUTE(SUBSTITUTE(UPPER(Transaction[[#This Row],[Region]]),"EMEA REGION","EMEA"),"APAC REGION","APAC"),"NORTH AMERICA","N. AMERICA"),"N .AMERICA","N.AMERICA"))</f>
        <v>EMEA</v>
      </c>
      <c r="M546" t="s">
        <v>76</v>
      </c>
      <c r="N546" t="s">
        <v>31</v>
      </c>
      <c r="O54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46" t="s">
        <v>40</v>
      </c>
      <c r="Q546" t="str">
        <f>IF(TRIM(Transaction[[#This Row],[SalesChannel]])="","Missing Value",TRIM(Transaction[[#This Row],[SalesChannel]]))</f>
        <v>Distributor</v>
      </c>
      <c r="R546" s="4">
        <v>3</v>
      </c>
      <c r="S546" s="4" t="str">
        <f>IF(Transaction[[#This Row],[Quantity]]&lt;0,"Negative-review","Valid")</f>
        <v>Valid</v>
      </c>
      <c r="T546">
        <v>1368.74</v>
      </c>
      <c r="U54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1368.74</v>
      </c>
      <c r="V546">
        <v>1650</v>
      </c>
      <c r="W546">
        <v>4950</v>
      </c>
      <c r="X54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4950</v>
      </c>
      <c r="Y546">
        <f>IF(Transaction[[#This Row],[GrossRevenue_Check]]="Invalid",Transaction[[#This Row],[ListPrice]]*Transaction[[#This Row],[Quantity]],Transaction[[#This Row],[GrossRevenue_Clean]])</f>
        <v>4950</v>
      </c>
      <c r="Z546" t="str">
        <f>IF(Transaction[[#This Row],[GrossRevenue_Clean]]=Transaction[[#This Row],[ListPrice]]*Transaction[[#This Row],[Quantity]],"Valid","Invalid")</f>
        <v>Valid</v>
      </c>
      <c r="AA546">
        <v>843.78</v>
      </c>
      <c r="AB54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843.78</v>
      </c>
      <c r="AC546">
        <f>IF(Transaction[[#This Row],[DiscountAmount_Check2]]="Invalid",Transaction[[#This Row],[GrossRevenue_Analytical]]-Transaction[[#This Row],[NetRevenue_Analytical]],Transaction[[#This Row],[DiscountAmount_Clean]])</f>
        <v>843.78</v>
      </c>
      <c r="AD546">
        <v>4106.22</v>
      </c>
      <c r="AE546" t="str">
        <f>IF(ROUND(Transaction[[#This Row],[GrossRevenue_Analytical]]-Transaction[[#This Row],[NetRevenue_Analytical]],2)=ROUND(Transaction[[#This Row],[DiscountAmount_Clean]],2),"Valid","Invalid")</f>
        <v>Valid</v>
      </c>
      <c r="AF546">
        <f>VALUE(IF(ISNUMBER(Transaction[[#This Row],[NetRevenue]]),Transaction[[#This Row],[NetRevenue]],IFERROR(IF(FIND("$",Transaction[[#This Row],[NetRevenue]])&gt;0,MID(Transaction[[#This Row],[NetRevenue]],2,10)),Transaction[[#This Row],[NetRevenue]])))</f>
        <v>4106.22</v>
      </c>
      <c r="AG546">
        <f>IF(Transaction[[#This Row],[NetRevenue_Check]]="Invalid",(Transaction[[#This Row],[Quantity]]*Transaction[[#This Row],[UnitPrice_Clean]]),Transaction[[#This Row],[NetRevenue_Clean]])</f>
        <v>4106.22</v>
      </c>
      <c r="AH546" t="str">
        <f>IF(Transaction[[#This Row],[Quantity]]*Transaction[[#This Row],[UnitPrice_Clean]]=Transaction[[#This Row],[NetRevenue_Clean]],"Valid","Invalid")</f>
        <v>Valid</v>
      </c>
      <c r="AI546" t="s">
        <v>23</v>
      </c>
      <c r="AJ546" t="s">
        <v>340</v>
      </c>
      <c r="AK546" t="str">
        <f>IF(Transaction[[#This Row],[Salesperson]]="","Missing Value",TRIM(PROPER(Transaction[[#This Row],[Salesperson]])))</f>
        <v>Lin-Em</v>
      </c>
      <c r="AL546" t="s">
        <v>34</v>
      </c>
      <c r="AM546" t="str">
        <f>IF(Transaction[[#This Row],[ContractType]]="","Missing Value",Transaction[[#This Row],[ContractType]])</f>
        <v>Annual License</v>
      </c>
      <c r="AN546" t="s">
        <v>26</v>
      </c>
    </row>
    <row r="547" spans="1:40" x14ac:dyDescent="0.25">
      <c r="A547" t="s">
        <v>2208</v>
      </c>
      <c r="B547" t="s">
        <v>2209</v>
      </c>
      <c r="C54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54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54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47" s="2">
        <f>IFERROR(DATE(Transaction[[#This Row],[TransactionDateY]],Transaction[[#This Row],[TransactionDateM]],Transaction[[#This Row],[TransactionDateD]]),"Missing Value")</f>
        <v>45681</v>
      </c>
      <c r="G547" t="s">
        <v>1285</v>
      </c>
      <c r="H547" t="str">
        <f>IFERROR(VLOOKUP(Transaction[[#This Row],[CustomerID]],Custumer[],1,0),IF(LEN(Transaction[[#This Row],[CustomerID]])=7,LEFT(Transaction[[#This Row],[CustomerID]],6),"Invalid ID"))</f>
        <v>C-1172</v>
      </c>
      <c r="I547" t="s">
        <v>19</v>
      </c>
      <c r="J547" t="str">
        <f>TRIM(UPPER(Transaction[[#This Row],[ProductID]]))</f>
        <v>P-FS-004</v>
      </c>
      <c r="K547" t="str">
        <f>IFERROR(VLOOKUP(Transaction[[#This Row],[ProductID_Clean]],Product[],1,FALSE),"Invalid ID")</f>
        <v>P-FS-004</v>
      </c>
      <c r="L547" t="str">
        <f>TRIM(SUBSTITUTE(SUBSTITUTE(SUBSTITUTE(SUBSTITUTE(UPPER(Transaction[[#This Row],[Region]]),"EMEA REGION","EMEA"),"APAC REGION","APAC"),"NORTH AMERICA","N. AMERICA"),"N .AMERICA","N.AMERICA"))</f>
        <v>N. AMERICA</v>
      </c>
      <c r="M547" t="s">
        <v>204</v>
      </c>
      <c r="N547" t="s">
        <v>244</v>
      </c>
      <c r="O547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547" t="s">
        <v>40</v>
      </c>
      <c r="Q547" t="str">
        <f>IF(TRIM(Transaction[[#This Row],[SalesChannel]])="","Missing Value",TRIM(Transaction[[#This Row],[SalesChannel]]))</f>
        <v>Distributor</v>
      </c>
      <c r="R547" s="4">
        <v>1</v>
      </c>
      <c r="S547" s="4" t="str">
        <f>IF(Transaction[[#This Row],[Quantity]]&lt;0,"Negative-review","Valid")</f>
        <v>Valid</v>
      </c>
      <c r="T547" t="s">
        <v>2210</v>
      </c>
      <c r="U54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2711.67</v>
      </c>
      <c r="V547">
        <v>3200</v>
      </c>
      <c r="W547">
        <v>3200</v>
      </c>
      <c r="X54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547">
        <f>IF(Transaction[[#This Row],[GrossRevenue_Check]]="Invalid",Transaction[[#This Row],[ListPrice]]*Transaction[[#This Row],[Quantity]],Transaction[[#This Row],[GrossRevenue_Clean]])</f>
        <v>3200</v>
      </c>
      <c r="Z547" t="str">
        <f>IF(Transaction[[#This Row],[GrossRevenue_Clean]]=Transaction[[#This Row],[ListPrice]]*Transaction[[#This Row],[Quantity]],"Valid","Invalid")</f>
        <v>Valid</v>
      </c>
      <c r="AA547">
        <v>488.33</v>
      </c>
      <c r="AB54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488.33</v>
      </c>
      <c r="AC547">
        <f>IF(Transaction[[#This Row],[DiscountAmount_Check2]]="Invalid",Transaction[[#This Row],[GrossRevenue_Analytical]]-Transaction[[#This Row],[NetRevenue_Analytical]],Transaction[[#This Row],[DiscountAmount_Clean]])</f>
        <v>488.33</v>
      </c>
      <c r="AD547">
        <v>2711.67</v>
      </c>
      <c r="AE547" t="str">
        <f>IF(ROUND(Transaction[[#This Row],[GrossRevenue_Analytical]]-Transaction[[#This Row],[NetRevenue_Analytical]],2)=ROUND(Transaction[[#This Row],[DiscountAmount_Clean]],2),"Valid","Invalid")</f>
        <v>Valid</v>
      </c>
      <c r="AF547">
        <f>VALUE(IF(ISNUMBER(Transaction[[#This Row],[NetRevenue]]),Transaction[[#This Row],[NetRevenue]],IFERROR(IF(FIND("$",Transaction[[#This Row],[NetRevenue]])&gt;0,MID(Transaction[[#This Row],[NetRevenue]],2,10)),Transaction[[#This Row],[NetRevenue]])))</f>
        <v>2711.67</v>
      </c>
      <c r="AG547">
        <f>IF(Transaction[[#This Row],[NetRevenue_Check]]="Invalid",(Transaction[[#This Row],[Quantity]]*Transaction[[#This Row],[UnitPrice_Clean]]),Transaction[[#This Row],[NetRevenue_Clean]])</f>
        <v>2711.67</v>
      </c>
      <c r="AH547" t="str">
        <f>IF(Transaction[[#This Row],[Quantity]]*Transaction[[#This Row],[UnitPrice_Clean]]=Transaction[[#This Row],[NetRevenue_Clean]],"Valid","Invalid")</f>
        <v>Valid</v>
      </c>
      <c r="AI547" t="s">
        <v>99</v>
      </c>
      <c r="AJ547" t="s">
        <v>2211</v>
      </c>
      <c r="AK547" t="str">
        <f>IF(Transaction[[#This Row],[Salesperson]]="","Missing Value",TRIM(PROPER(Transaction[[#This Row],[Salesperson]])))</f>
        <v>Barnes-Ap</v>
      </c>
      <c r="AL547" t="s">
        <v>42</v>
      </c>
      <c r="AM547" t="str">
        <f>IF(Transaction[[#This Row],[ContractType]]="","Missing Value",Transaction[[#This Row],[ContractType]])</f>
        <v>Standard PO</v>
      </c>
      <c r="AN547" t="s">
        <v>49</v>
      </c>
    </row>
    <row r="548" spans="1:40" x14ac:dyDescent="0.25">
      <c r="A548" t="s">
        <v>1555</v>
      </c>
      <c r="C54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54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54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548" s="2" t="str">
        <f>IFERROR(DATE(Transaction[[#This Row],[TransactionDateY]],Transaction[[#This Row],[TransactionDateM]],Transaction[[#This Row],[TransactionDateD]]),"Missing Value")</f>
        <v>Missing Value</v>
      </c>
      <c r="G548" t="s">
        <v>1143</v>
      </c>
      <c r="H548" t="str">
        <f>IFERROR(VLOOKUP(Transaction[[#This Row],[CustomerID]],Custumer[],1,0),IF(LEN(Transaction[[#This Row],[CustomerID]])=7,LEFT(Transaction[[#This Row],[CustomerID]],6),"Invalid ID"))</f>
        <v>C-1114</v>
      </c>
      <c r="I548" t="s">
        <v>258</v>
      </c>
      <c r="J548" t="str">
        <f>TRIM(UPPER(Transaction[[#This Row],[ProductID]]))</f>
        <v>P-SA-003</v>
      </c>
      <c r="K548" t="str">
        <f>IFERROR(VLOOKUP(Transaction[[#This Row],[ProductID_Clean]],Product[],1,FALSE),"Invalid ID")</f>
        <v>P-SA-003</v>
      </c>
      <c r="L548" t="str">
        <f>TRIM(SUBSTITUTE(SUBSTITUTE(SUBSTITUTE(SUBSTITUTE(UPPER(Transaction[[#This Row],[Region]]),"EMEA REGION","EMEA"),"APAC REGION","APAC"),"NORTH AMERICA","N. AMERICA"),"N .AMERICA","N.AMERICA"))</f>
        <v>N. AMERICA</v>
      </c>
      <c r="M548" t="s">
        <v>20</v>
      </c>
      <c r="N548" t="s">
        <v>205</v>
      </c>
      <c r="O54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48" t="s">
        <v>22</v>
      </c>
      <c r="Q548" t="str">
        <f>IF(TRIM(Transaction[[#This Row],[SalesChannel]])="","Missing Value",TRIM(Transaction[[#This Row],[SalesChannel]]))</f>
        <v>Direct</v>
      </c>
      <c r="R548" s="4">
        <v>1</v>
      </c>
      <c r="S548" s="4" t="str">
        <f>IF(Transaction[[#This Row],[Quantity]]&lt;0,"Negative-review","Valid")</f>
        <v>Valid</v>
      </c>
      <c r="T548">
        <v>2578.81</v>
      </c>
      <c r="U54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2578.81</v>
      </c>
      <c r="V548">
        <v>2750</v>
      </c>
      <c r="W548">
        <v>2750</v>
      </c>
      <c r="X54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548">
        <f>IF(Transaction[[#This Row],[GrossRevenue_Check]]="Invalid",Transaction[[#This Row],[ListPrice]]*Transaction[[#This Row],[Quantity]],Transaction[[#This Row],[GrossRevenue_Clean]])</f>
        <v>2750</v>
      </c>
      <c r="Z548" t="str">
        <f>IF(Transaction[[#This Row],[GrossRevenue_Clean]]=Transaction[[#This Row],[ListPrice]]*Transaction[[#This Row],[Quantity]],"Valid","Invalid")</f>
        <v>Valid</v>
      </c>
      <c r="AA548">
        <v>171.19</v>
      </c>
      <c r="AB54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171.19</v>
      </c>
      <c r="AC548">
        <f>IF(Transaction[[#This Row],[DiscountAmount_Check2]]="Invalid",Transaction[[#This Row],[GrossRevenue_Analytical]]-Transaction[[#This Row],[NetRevenue_Analytical]],Transaction[[#This Row],[DiscountAmount_Clean]])</f>
        <v>171.19</v>
      </c>
      <c r="AD548">
        <v>2578.81</v>
      </c>
      <c r="AE548" t="str">
        <f>IF(ROUND(Transaction[[#This Row],[GrossRevenue_Analytical]]-Transaction[[#This Row],[NetRevenue_Analytical]],2)=ROUND(Transaction[[#This Row],[DiscountAmount_Clean]],2),"Valid","Invalid")</f>
        <v>Valid</v>
      </c>
      <c r="AF54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2578.81</v>
      </c>
      <c r="AG548">
        <f>IF(Transaction[[#This Row],[NetRevenue_Check]]="Invalid",(Transaction[[#This Row],[Quantity]]*Transaction[[#This Row],[UnitPrice_Clean]]),Transaction[[#This Row],[NetRevenue_Clean]])</f>
        <v>2578.81</v>
      </c>
      <c r="AH548" t="str">
        <f>IF(Transaction[[#This Row],[Quantity]]*Transaction[[#This Row],[UnitPrice_Clean]]=Transaction[[#This Row],[NetRevenue_Clean]],"Valid","Invalid")</f>
        <v>Valid</v>
      </c>
      <c r="AI548" t="s">
        <v>23</v>
      </c>
      <c r="AJ548" t="s">
        <v>1556</v>
      </c>
      <c r="AK548" t="str">
        <f>IF(Transaction[[#This Row],[Salesperson]]="","Missing Value",TRIM(PROPER(Transaction[[#This Row],[Salesperson]])))</f>
        <v>Estes-Na</v>
      </c>
      <c r="AL548" t="s">
        <v>210</v>
      </c>
      <c r="AM548" t="str">
        <f>IF(Transaction[[#This Row],[ContractType]]="","Missing Value",Transaction[[#This Row],[ContractType]])</f>
        <v>Perpetual</v>
      </c>
      <c r="AN548" t="s">
        <v>35</v>
      </c>
    </row>
    <row r="549" spans="1:40" x14ac:dyDescent="0.25">
      <c r="A549" t="s">
        <v>2599</v>
      </c>
      <c r="B549" s="1">
        <v>45788</v>
      </c>
      <c r="C54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54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54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49" s="2">
        <f>IFERROR(DATE(Transaction[[#This Row],[TransactionDateY]],Transaction[[#This Row],[TransactionDateM]],Transaction[[#This Row],[TransactionDateD]]),"Missing Value")</f>
        <v>45788</v>
      </c>
      <c r="G549" t="s">
        <v>2232</v>
      </c>
      <c r="H549" t="str">
        <f>IFERROR(VLOOKUP(Transaction[[#This Row],[CustomerID]],Custumer[],1,0),IF(LEN(Transaction[[#This Row],[CustomerID]])=7,LEFT(Transaction[[#This Row],[CustomerID]],6),"Invalid ID"))</f>
        <v>C-1149</v>
      </c>
      <c r="I549" t="s">
        <v>1061</v>
      </c>
      <c r="J549" t="str">
        <f>TRIM(UPPER(Transaction[[#This Row],[ProductID]]))</f>
        <v>P-SI-003</v>
      </c>
      <c r="K549" t="str">
        <f>IFERROR(VLOOKUP(Transaction[[#This Row],[ProductID_Clean]],Product[],1,FALSE),"Invalid ID")</f>
        <v>P-SI-003</v>
      </c>
      <c r="L549" t="str">
        <f>TRIM(SUBSTITUTE(SUBSTITUTE(SUBSTITUTE(SUBSTITUTE(UPPER(Transaction[[#This Row],[Region]]),"EMEA REGION","EMEA"),"APAC REGION","APAC"),"NORTH AMERICA","N. AMERICA"),"N .AMERICA","N.AMERICA"))</f>
        <v>N. AMERICA</v>
      </c>
      <c r="M549" t="s">
        <v>20</v>
      </c>
      <c r="N549" t="s">
        <v>53</v>
      </c>
      <c r="O54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49" t="s">
        <v>40</v>
      </c>
      <c r="Q549" t="str">
        <f>IF(TRIM(Transaction[[#This Row],[SalesChannel]])="","Missing Value",TRIM(Transaction[[#This Row],[SalesChannel]]))</f>
        <v>Distributor</v>
      </c>
      <c r="R549" s="4">
        <v>4</v>
      </c>
      <c r="S549" s="4" t="str">
        <f>IF(Transaction[[#This Row],[Quantity]]&lt;0,"Negative-review","Valid")</f>
        <v>Valid</v>
      </c>
      <c r="T549">
        <v>1597.62</v>
      </c>
      <c r="U54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1597.62</v>
      </c>
      <c r="V549">
        <v>1890</v>
      </c>
      <c r="W549">
        <v>7560</v>
      </c>
      <c r="X54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7560</v>
      </c>
      <c r="Y549">
        <f>IF(Transaction[[#This Row],[GrossRevenue_Check]]="Invalid",Transaction[[#This Row],[ListPrice]]*Transaction[[#This Row],[Quantity]],Transaction[[#This Row],[GrossRevenue_Clean]])</f>
        <v>7560</v>
      </c>
      <c r="Z549" t="str">
        <f>IF(Transaction[[#This Row],[GrossRevenue_Clean]]=Transaction[[#This Row],[ListPrice]]*Transaction[[#This Row],[Quantity]],"Valid","Invalid")</f>
        <v>Valid</v>
      </c>
      <c r="AA549">
        <v>1169.52</v>
      </c>
      <c r="AB54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1169.52</v>
      </c>
      <c r="AC549">
        <f>IF(Transaction[[#This Row],[DiscountAmount_Check2]]="Invalid",Transaction[[#This Row],[GrossRevenue_Analytical]]-Transaction[[#This Row],[NetRevenue_Analytical]],Transaction[[#This Row],[DiscountAmount_Clean]])</f>
        <v>1169.52</v>
      </c>
      <c r="AD549">
        <v>6390.48</v>
      </c>
      <c r="AE549" t="str">
        <f>IF(ROUND(Transaction[[#This Row],[GrossRevenue_Analytical]]-Transaction[[#This Row],[NetRevenue_Analytical]],2)=ROUND(Transaction[[#This Row],[DiscountAmount_Clean]],2),"Valid","Invalid")</f>
        <v>Valid</v>
      </c>
      <c r="AF549">
        <f>VALUE(IF(ISNUMBER(Transaction[[#This Row],[NetRevenue]]),Transaction[[#This Row],[NetRevenue]],IFERROR(IF(FIND("$",Transaction[[#This Row],[NetRevenue]])&gt;0,MID(Transaction[[#This Row],[NetRevenue]],2,10)),Transaction[[#This Row],[NetRevenue]])))</f>
        <v>6390.48</v>
      </c>
      <c r="AG549">
        <f>IF(Transaction[[#This Row],[NetRevenue_Check]]="Invalid",(Transaction[[#This Row],[Quantity]]*Transaction[[#This Row],[UnitPrice_Clean]]),Transaction[[#This Row],[NetRevenue_Clean]])</f>
        <v>6390.48</v>
      </c>
      <c r="AH549" t="str">
        <f>IF(Transaction[[#This Row],[Quantity]]*Transaction[[#This Row],[UnitPrice_Clean]]=Transaction[[#This Row],[NetRevenue_Clean]],"Valid","Invalid")</f>
        <v>Valid</v>
      </c>
      <c r="AI549" t="s">
        <v>23</v>
      </c>
      <c r="AJ549" t="s">
        <v>2600</v>
      </c>
      <c r="AK549" t="str">
        <f>IF(Transaction[[#This Row],[Salesperson]]="","Missing Value",TRIM(PROPER(Transaction[[#This Row],[Salesperson]])))</f>
        <v>Barrera</v>
      </c>
      <c r="AM549" t="str">
        <f>IF(Transaction[[#This Row],[ContractType]]="","Missing Value",Transaction[[#This Row],[ContractType]])</f>
        <v>Missing Value</v>
      </c>
      <c r="AN549" t="s">
        <v>43</v>
      </c>
    </row>
    <row r="550" spans="1:40" x14ac:dyDescent="0.25">
      <c r="A550" t="s">
        <v>2110</v>
      </c>
      <c r="B550" s="1">
        <v>45662</v>
      </c>
      <c r="C55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55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55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50" s="2">
        <f>IFERROR(DATE(Transaction[[#This Row],[TransactionDateY]],Transaction[[#This Row],[TransactionDateM]],Transaction[[#This Row],[TransactionDateD]]),"Missing Value")</f>
        <v>45662</v>
      </c>
      <c r="G550" t="s">
        <v>262</v>
      </c>
      <c r="H550" t="str">
        <f>IFERROR(VLOOKUP(Transaction[[#This Row],[CustomerID]],Custumer[],1,0),IF(LEN(Transaction[[#This Row],[CustomerID]])=7,LEFT(Transaction[[#This Row],[CustomerID]],6),"Invalid ID"))</f>
        <v>C-1148</v>
      </c>
      <c r="I550" t="s">
        <v>39</v>
      </c>
      <c r="J550" t="str">
        <f>TRIM(UPPER(Transaction[[#This Row],[ProductID]]))</f>
        <v>P-FS-006</v>
      </c>
      <c r="K550" t="str">
        <f>IFERROR(VLOOKUP(Transaction[[#This Row],[ProductID_Clean]],Product[],1,FALSE),"Invalid ID")</f>
        <v>P-FS-006</v>
      </c>
      <c r="L550" t="str">
        <f>TRIM(SUBSTITUTE(SUBSTITUTE(SUBSTITUTE(SUBSTITUTE(UPPER(Transaction[[#This Row],[Region]]),"EMEA REGION","EMEA"),"APAC REGION","APAC"),"NORTH AMERICA","N. AMERICA"),"N .AMERICA","N.AMERICA"))</f>
        <v>N. AMERICA</v>
      </c>
      <c r="M550" t="s">
        <v>20</v>
      </c>
      <c r="N550" t="s">
        <v>21</v>
      </c>
      <c r="O550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550" t="s">
        <v>173</v>
      </c>
      <c r="Q550" t="str">
        <f>IF(TRIM(Transaction[[#This Row],[SalesChannel]])="","Missing Value",TRIM(Transaction[[#This Row],[SalesChannel]]))</f>
        <v>Distributor</v>
      </c>
      <c r="R550" s="4">
        <v>1</v>
      </c>
      <c r="S550" s="4" t="str">
        <f>IF(Transaction[[#This Row],[Quantity]]&lt;0,"Negative-review","Valid")</f>
        <v>Valid</v>
      </c>
      <c r="T550">
        <v>1269.52</v>
      </c>
      <c r="U55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1269.52</v>
      </c>
      <c r="V550">
        <v>1450</v>
      </c>
      <c r="W550">
        <v>1450</v>
      </c>
      <c r="X55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550">
        <f>IF(Transaction[[#This Row],[GrossRevenue_Check]]="Invalid",Transaction[[#This Row],[ListPrice]]*Transaction[[#This Row],[Quantity]],Transaction[[#This Row],[GrossRevenue_Clean]])</f>
        <v>1450</v>
      </c>
      <c r="Z550" t="str">
        <f>IF(Transaction[[#This Row],[GrossRevenue_Clean]]=Transaction[[#This Row],[ListPrice]]*Transaction[[#This Row],[Quantity]],"Valid","Invalid")</f>
        <v>Valid</v>
      </c>
      <c r="AA550">
        <v>180.48</v>
      </c>
      <c r="AB55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180.48</v>
      </c>
      <c r="AC550">
        <f>IF(Transaction[[#This Row],[DiscountAmount_Check2]]="Invalid",Transaction[[#This Row],[GrossRevenue_Analytical]]-Transaction[[#This Row],[NetRevenue_Analytical]],Transaction[[#This Row],[DiscountAmount_Clean]])</f>
        <v>180.48</v>
      </c>
      <c r="AD550">
        <v>1269.52</v>
      </c>
      <c r="AE550" t="str">
        <f>IF(ROUND(Transaction[[#This Row],[GrossRevenue_Analytical]]-Transaction[[#This Row],[NetRevenue_Analytical]],2)=ROUND(Transaction[[#This Row],[DiscountAmount_Clean]],2),"Valid","Invalid")</f>
        <v>Valid</v>
      </c>
      <c r="AF55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1269.52</v>
      </c>
      <c r="AG550">
        <f>IF(Transaction[[#This Row],[NetRevenue_Check]]="Invalid",(Transaction[[#This Row],[Quantity]]*Transaction[[#This Row],[UnitPrice_Clean]]),Transaction[[#This Row],[NetRevenue_Clean]])</f>
        <v>1269.52</v>
      </c>
      <c r="AH550" t="str">
        <f>IF(Transaction[[#This Row],[Quantity]]*Transaction[[#This Row],[UnitPrice_Clean]]=Transaction[[#This Row],[NetRevenue_Clean]],"Valid","Invalid")</f>
        <v>Valid</v>
      </c>
      <c r="AI550" t="s">
        <v>23</v>
      </c>
      <c r="AJ550" t="s">
        <v>2111</v>
      </c>
      <c r="AK550" t="str">
        <f>IF(Transaction[[#This Row],[Salesperson]]="","Missing Value",TRIM(PROPER(Transaction[[#This Row],[Salesperson]])))</f>
        <v>Li</v>
      </c>
      <c r="AL550" t="s">
        <v>42</v>
      </c>
      <c r="AM550" t="str">
        <f>IF(Transaction[[#This Row],[ContractType]]="","Missing Value",Transaction[[#This Row],[ContractType]])</f>
        <v>Standard PO</v>
      </c>
      <c r="AN550" t="s">
        <v>65</v>
      </c>
    </row>
    <row r="551" spans="1:40" x14ac:dyDescent="0.25">
      <c r="A551" t="s">
        <v>1394</v>
      </c>
      <c r="B551" s="1">
        <v>45737</v>
      </c>
      <c r="C55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55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55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51" s="2">
        <f>IFERROR(DATE(Transaction[[#This Row],[TransactionDateY]],Transaction[[#This Row],[TransactionDateM]],Transaction[[#This Row],[TransactionDateD]]),"Missing Value")</f>
        <v>45737</v>
      </c>
      <c r="G551" t="s">
        <v>1395</v>
      </c>
      <c r="H551" t="str">
        <f>IFERROR(VLOOKUP(Transaction[[#This Row],[CustomerID]],Custumer[],1,0),IF(LEN(Transaction[[#This Row],[CustomerID]])=7,LEFT(Transaction[[#This Row],[CustomerID]],6),"Invalid ID"))</f>
        <v>C-1023</v>
      </c>
      <c r="I551" t="s">
        <v>957</v>
      </c>
      <c r="J551" t="str">
        <f>TRIM(UPPER(Transaction[[#This Row],[ProductID]]))</f>
        <v>P-FS-006</v>
      </c>
      <c r="K551" t="str">
        <f>IFERROR(VLOOKUP(Transaction[[#This Row],[ProductID_Clean]],Product[],1,FALSE),"Invalid ID")</f>
        <v>P-FS-006</v>
      </c>
      <c r="L551" t="str">
        <f>TRIM(SUBSTITUTE(SUBSTITUTE(SUBSTITUTE(SUBSTITUTE(UPPER(Transaction[[#This Row],[Region]]),"EMEA REGION","EMEA"),"APAC REGION","APAC"),"NORTH AMERICA","N. AMERICA"),"N .AMERICA","N.AMERICA"))</f>
        <v>N. AMERICA</v>
      </c>
      <c r="M551" t="s">
        <v>204</v>
      </c>
      <c r="N551" t="s">
        <v>771</v>
      </c>
      <c r="O551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551" t="s">
        <v>22</v>
      </c>
      <c r="Q551" t="str">
        <f>IF(TRIM(Transaction[[#This Row],[SalesChannel]])="","Missing Value",TRIM(Transaction[[#This Row],[SalesChannel]]))</f>
        <v>Direct</v>
      </c>
      <c r="R551" s="4">
        <v>2</v>
      </c>
      <c r="S551" s="4" t="str">
        <f>IF(Transaction[[#This Row],[Quantity]]&lt;0,"Negative-review","Valid")</f>
        <v>Valid</v>
      </c>
      <c r="T551">
        <v>1408.12</v>
      </c>
      <c r="U55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1408.12</v>
      </c>
      <c r="V551">
        <v>1450</v>
      </c>
      <c r="W551">
        <v>2900</v>
      </c>
      <c r="X55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2900</v>
      </c>
      <c r="Y551">
        <f>IF(Transaction[[#This Row],[GrossRevenue_Check]]="Invalid",Transaction[[#This Row],[ListPrice]]*Transaction[[#This Row],[Quantity]],Transaction[[#This Row],[GrossRevenue_Clean]])</f>
        <v>2900</v>
      </c>
      <c r="Z551" t="str">
        <f>IF(Transaction[[#This Row],[GrossRevenue_Clean]]=Transaction[[#This Row],[ListPrice]]*Transaction[[#This Row],[Quantity]],"Valid","Invalid")</f>
        <v>Valid</v>
      </c>
      <c r="AA551">
        <v>83.76</v>
      </c>
      <c r="AB55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83.76</v>
      </c>
      <c r="AC551">
        <f>IF(Transaction[[#This Row],[DiscountAmount_Check2]]="Invalid",Transaction[[#This Row],[GrossRevenue_Analytical]]-Transaction[[#This Row],[NetRevenue_Analytical]],Transaction[[#This Row],[DiscountAmount_Clean]])</f>
        <v>83.76</v>
      </c>
      <c r="AD551" t="s">
        <v>1396</v>
      </c>
      <c r="AE551" t="str">
        <f>IF(ROUND(Transaction[[#This Row],[GrossRevenue_Analytical]]-Transaction[[#This Row],[NetRevenue_Analytical]],2)=ROUND(Transaction[[#This Row],[DiscountAmount_Clean]],2),"Valid","Invalid")</f>
        <v>Valid</v>
      </c>
      <c r="AF55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2816.24</v>
      </c>
      <c r="AG551">
        <f>IF(Transaction[[#This Row],[NetRevenue_Check]]="Invalid",(Transaction[[#This Row],[Quantity]]*Transaction[[#This Row],[UnitPrice_Clean]]),Transaction[[#This Row],[NetRevenue_Clean]])</f>
        <v>2816.24</v>
      </c>
      <c r="AH551" t="str">
        <f>IF(Transaction[[#This Row],[Quantity]]*Transaction[[#This Row],[UnitPrice_Clean]]=Transaction[[#This Row],[NetRevenue_Clean]],"Valid","Invalid")</f>
        <v>Valid</v>
      </c>
      <c r="AI551" t="s">
        <v>23</v>
      </c>
      <c r="AJ551" t="s">
        <v>1397</v>
      </c>
      <c r="AK551" t="str">
        <f>IF(Transaction[[#This Row],[Salesperson]]="","Missing Value",TRIM(PROPER(Transaction[[#This Row],[Salesperson]])))</f>
        <v>Peck</v>
      </c>
      <c r="AL551" t="s">
        <v>42</v>
      </c>
      <c r="AM551" t="str">
        <f>IF(Transaction[[#This Row],[ContractType]]="","Missing Value",Transaction[[#This Row],[ContractType]])</f>
        <v>Standard PO</v>
      </c>
      <c r="AN551" t="s">
        <v>49</v>
      </c>
    </row>
    <row r="552" spans="1:40" x14ac:dyDescent="0.25">
      <c r="A552" t="s">
        <v>231</v>
      </c>
      <c r="B552" s="1">
        <v>45712</v>
      </c>
      <c r="C55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55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55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52" s="2">
        <f>IFERROR(DATE(Transaction[[#This Row],[TransactionDateY]],Transaction[[#This Row],[TransactionDateM]],Transaction[[#This Row],[TransactionDateD]]),"Missing Value")</f>
        <v>45712</v>
      </c>
      <c r="G552" t="s">
        <v>200</v>
      </c>
      <c r="H552" t="str">
        <f>IFERROR(VLOOKUP(Transaction[[#This Row],[CustomerID]],Custumer[],1,0),IF(LEN(Transaction[[#This Row],[CustomerID]])=7,LEFT(Transaction[[#This Row],[CustomerID]],6),"Invalid ID"))</f>
        <v>C-1070</v>
      </c>
      <c r="I552" t="s">
        <v>97</v>
      </c>
      <c r="J552" t="str">
        <f>TRIM(UPPER(Transaction[[#This Row],[ProductID]]))</f>
        <v>P-SI-001</v>
      </c>
      <c r="K552" t="str">
        <f>IFERROR(VLOOKUP(Transaction[[#This Row],[ProductID_Clean]],Product[],1,FALSE),"Invalid ID")</f>
        <v>P-SI-001</v>
      </c>
      <c r="L552" t="str">
        <f>TRIM(SUBSTITUTE(SUBSTITUTE(SUBSTITUTE(SUBSTITUTE(UPPER(Transaction[[#This Row],[Region]]),"EMEA REGION","EMEA"),"APAC REGION","APAC"),"NORTH AMERICA","N. AMERICA"),"N .AMERICA","N.AMERICA"))</f>
        <v>EMEA</v>
      </c>
      <c r="M552" t="s">
        <v>76</v>
      </c>
      <c r="N552" t="s">
        <v>53</v>
      </c>
      <c r="O55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52" t="s">
        <v>40</v>
      </c>
      <c r="Q552" t="str">
        <f>IF(TRIM(Transaction[[#This Row],[SalesChannel]])="","Missing Value",TRIM(Transaction[[#This Row],[SalesChannel]]))</f>
        <v>Distributor</v>
      </c>
      <c r="R552" s="4">
        <v>2</v>
      </c>
      <c r="S552" s="4" t="str">
        <f>IF(Transaction[[#This Row],[Quantity]]&lt;0,"Negative-review","Valid")</f>
        <v>Valid</v>
      </c>
      <c r="T552">
        <v>336.63</v>
      </c>
      <c r="U55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336.63</v>
      </c>
      <c r="V552">
        <v>485</v>
      </c>
      <c r="W552">
        <v>970</v>
      </c>
      <c r="X55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552">
        <f>IF(Transaction[[#This Row],[GrossRevenue_Check]]="Invalid",Transaction[[#This Row],[ListPrice]]*Transaction[[#This Row],[Quantity]],Transaction[[#This Row],[GrossRevenue_Clean]])</f>
        <v>970</v>
      </c>
      <c r="Z552" t="str">
        <f>IF(Transaction[[#This Row],[GrossRevenue_Clean]]=Transaction[[#This Row],[ListPrice]]*Transaction[[#This Row],[Quantity]],"Valid","Invalid")</f>
        <v>Valid</v>
      </c>
      <c r="AA552">
        <v>296.74</v>
      </c>
      <c r="AB55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296.74</v>
      </c>
      <c r="AC552">
        <f>IF(Transaction[[#This Row],[DiscountAmount_Check2]]="Invalid",Transaction[[#This Row],[GrossRevenue_Analytical]]-Transaction[[#This Row],[NetRevenue_Analytical]],Transaction[[#This Row],[DiscountAmount_Clean]])</f>
        <v>296.74</v>
      </c>
      <c r="AD552">
        <v>673.26</v>
      </c>
      <c r="AE552" t="str">
        <f>IF(ROUND(Transaction[[#This Row],[GrossRevenue_Analytical]]-Transaction[[#This Row],[NetRevenue_Analytical]],2)=ROUND(Transaction[[#This Row],[DiscountAmount_Clean]],2),"Valid","Invalid")</f>
        <v>Valid</v>
      </c>
      <c r="AF552">
        <f>VALUE(IF(ISNUMBER(Transaction[[#This Row],[NetRevenue]]),Transaction[[#This Row],[NetRevenue]],IFERROR(IF(FIND("$",Transaction[[#This Row],[NetRevenue]])&gt;0,MID(Transaction[[#This Row],[NetRevenue]],2,10)),Transaction[[#This Row],[NetRevenue]])))</f>
        <v>673.26</v>
      </c>
      <c r="AG552">
        <f>IF(Transaction[[#This Row],[NetRevenue_Check]]="Invalid",(Transaction[[#This Row],[Quantity]]*Transaction[[#This Row],[UnitPrice_Clean]]),Transaction[[#This Row],[NetRevenue_Clean]])</f>
        <v>673.26</v>
      </c>
      <c r="AH552" t="str">
        <f>IF(Transaction[[#This Row],[Quantity]]*Transaction[[#This Row],[UnitPrice_Clean]]=Transaction[[#This Row],[NetRevenue_Clean]],"Valid","Invalid")</f>
        <v>Valid</v>
      </c>
      <c r="AI552" t="s">
        <v>23</v>
      </c>
      <c r="AJ552" t="s">
        <v>232</v>
      </c>
      <c r="AK552" t="str">
        <f>IF(Transaction[[#This Row],[Salesperson]]="","Missing Value",TRIM(PROPER(Transaction[[#This Row],[Salesperson]])))</f>
        <v>Griffith</v>
      </c>
      <c r="AL552" t="s">
        <v>55</v>
      </c>
      <c r="AM552" t="str">
        <f>IF(Transaction[[#This Row],[ContractType]]="","Missing Value",Transaction[[#This Row],[ContractType]])</f>
        <v>Spot</v>
      </c>
      <c r="AN552" t="s">
        <v>35</v>
      </c>
    </row>
    <row r="553" spans="1:40" x14ac:dyDescent="0.25">
      <c r="A553" t="s">
        <v>2722</v>
      </c>
      <c r="B553" s="1">
        <v>45782</v>
      </c>
      <c r="C55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55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55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53" s="2">
        <f>IFERROR(DATE(Transaction[[#This Row],[TransactionDateY]],Transaction[[#This Row],[TransactionDateM]],Transaction[[#This Row],[TransactionDateD]]),"Missing Value")</f>
        <v>45782</v>
      </c>
      <c r="G553" t="s">
        <v>580</v>
      </c>
      <c r="H553" t="str">
        <f>IFERROR(VLOOKUP(Transaction[[#This Row],[CustomerID]],Custumer[],1,0),IF(LEN(Transaction[[#This Row],[CustomerID]])=7,LEFT(Transaction[[#This Row],[CustomerID]],6),"Invalid ID"))</f>
        <v>C-1053</v>
      </c>
      <c r="I553" t="s">
        <v>97</v>
      </c>
      <c r="J553" t="str">
        <f>TRIM(UPPER(Transaction[[#This Row],[ProductID]]))</f>
        <v>P-SI-001</v>
      </c>
      <c r="K553" t="str">
        <f>IFERROR(VLOOKUP(Transaction[[#This Row],[ProductID_Clean]],Product[],1,FALSE),"Invalid ID")</f>
        <v>P-SI-001</v>
      </c>
      <c r="L553" t="str">
        <f>TRIM(SUBSTITUTE(SUBSTITUTE(SUBSTITUTE(SUBSTITUTE(UPPER(Transaction[[#This Row],[Region]]),"EMEA REGION","EMEA"),"APAC REGION","APAC"),"NORTH AMERICA","N. AMERICA"),"N .AMERICA","N.AMERICA"))</f>
        <v>LATIN AMERICA</v>
      </c>
      <c r="M553" t="s">
        <v>82</v>
      </c>
      <c r="N553" t="s">
        <v>53</v>
      </c>
      <c r="O55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53" t="s">
        <v>77</v>
      </c>
      <c r="Q553" t="str">
        <f>IF(TRIM(Transaction[[#This Row],[SalesChannel]])="","Missing Value",TRIM(Transaction[[#This Row],[SalesChannel]]))</f>
        <v>distributor</v>
      </c>
      <c r="R553" s="4">
        <v>1</v>
      </c>
      <c r="S553" s="4" t="str">
        <f>IF(Transaction[[#This Row],[Quantity]]&lt;0,"Negative-review","Valid")</f>
        <v>Valid</v>
      </c>
      <c r="T553">
        <v>380.12</v>
      </c>
      <c r="U55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380.12</v>
      </c>
      <c r="V553">
        <v>485</v>
      </c>
      <c r="W553">
        <v>485</v>
      </c>
      <c r="X55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553">
        <f>IF(Transaction[[#This Row],[GrossRevenue_Check]]="Invalid",Transaction[[#This Row],[ListPrice]]*Transaction[[#This Row],[Quantity]],Transaction[[#This Row],[GrossRevenue_Clean]])</f>
        <v>485</v>
      </c>
      <c r="Z553" t="str">
        <f>IF(Transaction[[#This Row],[GrossRevenue_Clean]]=Transaction[[#This Row],[ListPrice]]*Transaction[[#This Row],[Quantity]],"Valid","Invalid")</f>
        <v>Valid</v>
      </c>
      <c r="AA553">
        <v>104.88</v>
      </c>
      <c r="AB55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104.88</v>
      </c>
      <c r="AC553">
        <f>IF(Transaction[[#This Row],[DiscountAmount_Check2]]="Invalid",Transaction[[#This Row],[GrossRevenue_Analytical]]-Transaction[[#This Row],[NetRevenue_Analytical]],Transaction[[#This Row],[DiscountAmount_Clean]])</f>
        <v>104.88</v>
      </c>
      <c r="AD553">
        <v>380.12</v>
      </c>
      <c r="AE553" t="str">
        <f>IF(ROUND(Transaction[[#This Row],[GrossRevenue_Analytical]]-Transaction[[#This Row],[NetRevenue_Analytical]],2)=ROUND(Transaction[[#This Row],[DiscountAmount_Clean]],2),"Valid","Invalid")</f>
        <v>Valid</v>
      </c>
      <c r="AF55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380.12</v>
      </c>
      <c r="AG553">
        <f>IF(Transaction[[#This Row],[NetRevenue_Check]]="Invalid",(Transaction[[#This Row],[Quantity]]*Transaction[[#This Row],[UnitPrice_Clean]]),Transaction[[#This Row],[NetRevenue_Clean]])</f>
        <v>380.12</v>
      </c>
      <c r="AH553" t="str">
        <f>IF(Transaction[[#This Row],[Quantity]]*Transaction[[#This Row],[UnitPrice_Clean]]=Transaction[[#This Row],[NetRevenue_Clean]],"Valid","Invalid")</f>
        <v>Valid</v>
      </c>
      <c r="AI553" t="s">
        <v>23</v>
      </c>
      <c r="AJ553" t="s">
        <v>1541</v>
      </c>
      <c r="AK553" t="str">
        <f>IF(Transaction[[#This Row],[Salesperson]]="","Missing Value",TRIM(PROPER(Transaction[[#This Row],[Salesperson]])))</f>
        <v>Lee</v>
      </c>
      <c r="AL553" t="s">
        <v>42</v>
      </c>
      <c r="AM553" t="str">
        <f>IF(Transaction[[#This Row],[ContractType]]="","Missing Value",Transaction[[#This Row],[ContractType]])</f>
        <v>Standard PO</v>
      </c>
      <c r="AN553" t="s">
        <v>35</v>
      </c>
    </row>
    <row r="554" spans="1:40" x14ac:dyDescent="0.25">
      <c r="A554" t="s">
        <v>489</v>
      </c>
      <c r="B554" t="s">
        <v>490</v>
      </c>
      <c r="C55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55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55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54" s="2">
        <f>IFERROR(DATE(Transaction[[#This Row],[TransactionDateY]],Transaction[[#This Row],[TransactionDateM]],Transaction[[#This Row],[TransactionDateD]]),"Missing Value")</f>
        <v>45715</v>
      </c>
      <c r="G554" t="s">
        <v>491</v>
      </c>
      <c r="H554" t="str">
        <f>IFERROR(VLOOKUP(Transaction[[#This Row],[CustomerID]],Custumer[],1,0),IF(LEN(Transaction[[#This Row],[CustomerID]])=7,LEFT(Transaction[[#This Row],[CustomerID]],6),"Invalid ID"))</f>
        <v>C-1133</v>
      </c>
      <c r="I554" t="s">
        <v>52</v>
      </c>
      <c r="J554" t="str">
        <f>TRIM(UPPER(Transaction[[#This Row],[ProductID]]))</f>
        <v>P-SI-002</v>
      </c>
      <c r="K554" t="str">
        <f>IFERROR(VLOOKUP(Transaction[[#This Row],[ProductID_Clean]],Product[],1,FALSE),"Invalid ID")</f>
        <v>P-SI-002</v>
      </c>
      <c r="L554" t="str">
        <f>TRIM(SUBSTITUTE(SUBSTITUTE(SUBSTITUTE(SUBSTITUTE(UPPER(Transaction[[#This Row],[Region]]),"EMEA REGION","EMEA"),"APAC REGION","APAC"),"NORTH AMERICA","N. AMERICA"),"N .AMERICA","N.AMERICA"))</f>
        <v>LATIN AMERICA</v>
      </c>
      <c r="M554" t="s">
        <v>82</v>
      </c>
      <c r="N554" t="s">
        <v>53</v>
      </c>
      <c r="O55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54" t="s">
        <v>22</v>
      </c>
      <c r="Q554" t="str">
        <f>IF(TRIM(Transaction[[#This Row],[SalesChannel]])="","Missing Value",TRIM(Transaction[[#This Row],[SalesChannel]]))</f>
        <v>Direct</v>
      </c>
      <c r="R554" s="4">
        <v>2</v>
      </c>
      <c r="S554" s="4" t="str">
        <f>IF(Transaction[[#This Row],[Quantity]]&lt;0,"Negative-review","Valid")</f>
        <v>Valid</v>
      </c>
      <c r="T554">
        <v>620.42999999999995</v>
      </c>
      <c r="U55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620.42999999999995</v>
      </c>
      <c r="V554">
        <v>725</v>
      </c>
      <c r="W554">
        <v>1450</v>
      </c>
      <c r="X55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554">
        <f>IF(Transaction[[#This Row],[GrossRevenue_Check]]="Invalid",Transaction[[#This Row],[ListPrice]]*Transaction[[#This Row],[Quantity]],Transaction[[#This Row],[GrossRevenue_Clean]])</f>
        <v>1450</v>
      </c>
      <c r="Z554" t="str">
        <f>IF(Transaction[[#This Row],[GrossRevenue_Clean]]=Transaction[[#This Row],[ListPrice]]*Transaction[[#This Row],[Quantity]],"Valid","Invalid")</f>
        <v>Valid</v>
      </c>
      <c r="AA554">
        <v>209.14</v>
      </c>
      <c r="AB55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209.14</v>
      </c>
      <c r="AC554">
        <f>IF(Transaction[[#This Row],[DiscountAmount_Check2]]="Invalid",Transaction[[#This Row],[GrossRevenue_Analytical]]-Transaction[[#This Row],[NetRevenue_Analytical]],Transaction[[#This Row],[DiscountAmount_Clean]])</f>
        <v>209.14</v>
      </c>
      <c r="AD554">
        <v>1240.8599999999999</v>
      </c>
      <c r="AE554" t="str">
        <f>IF(ROUND(Transaction[[#This Row],[GrossRevenue_Analytical]]-Transaction[[#This Row],[NetRevenue_Analytical]],2)=ROUND(Transaction[[#This Row],[DiscountAmount_Clean]],2),"Valid","Invalid")</f>
        <v>Valid</v>
      </c>
      <c r="AF55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1240.8599999999999</v>
      </c>
      <c r="AG554">
        <f>IF(Transaction[[#This Row],[NetRevenue_Check]]="Invalid",(Transaction[[#This Row],[Quantity]]*Transaction[[#This Row],[UnitPrice_Clean]]),Transaction[[#This Row],[NetRevenue_Clean]])</f>
        <v>1240.8599999999999</v>
      </c>
      <c r="AH554" t="str">
        <f>IF(Transaction[[#This Row],[Quantity]]*Transaction[[#This Row],[UnitPrice_Clean]]=Transaction[[#This Row],[NetRevenue_Clean]],"Valid","Invalid")</f>
        <v>Valid</v>
      </c>
      <c r="AI554" t="s">
        <v>23</v>
      </c>
      <c r="AJ554" t="s">
        <v>389</v>
      </c>
      <c r="AK554" t="str">
        <f>IF(Transaction[[#This Row],[Salesperson]]="","Missing Value",TRIM(PROPER(Transaction[[#This Row],[Salesperson]])))</f>
        <v>Moore</v>
      </c>
      <c r="AM554" t="str">
        <f>IF(Transaction[[#This Row],[ContractType]]="","Missing Value",Transaction[[#This Row],[ContractType]])</f>
        <v>Missing Value</v>
      </c>
      <c r="AN554" t="s">
        <v>43</v>
      </c>
    </row>
    <row r="555" spans="1:40" x14ac:dyDescent="0.25">
      <c r="A555" t="s">
        <v>478</v>
      </c>
      <c r="B555" t="s">
        <v>479</v>
      </c>
      <c r="C55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55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55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55" s="2">
        <f>IFERROR(DATE(Transaction[[#This Row],[TransactionDateY]],Transaction[[#This Row],[TransactionDateM]],Transaction[[#This Row],[TransactionDateD]]),"Missing Value")</f>
        <v>45677</v>
      </c>
      <c r="G555" t="s">
        <v>91</v>
      </c>
      <c r="H555" t="str">
        <f>IFERROR(VLOOKUP(Transaction[[#This Row],[CustomerID]],Custumer[],1,0),IF(LEN(Transaction[[#This Row],[CustomerID]])=7,LEFT(Transaction[[#This Row],[CustomerID]],6),"Invalid ID"))</f>
        <v>C-1147</v>
      </c>
      <c r="I555" t="s">
        <v>46</v>
      </c>
      <c r="J555" t="str">
        <f>TRIM(UPPER(Transaction[[#This Row],[ProductID]]))</f>
        <v>P-SI-006</v>
      </c>
      <c r="K555" t="str">
        <f>IFERROR(VLOOKUP(Transaction[[#This Row],[ProductID_Clean]],Product[],1,FALSE),"Invalid ID")</f>
        <v>P-SI-006</v>
      </c>
      <c r="L555" t="str">
        <f>TRIM(SUBSTITUTE(SUBSTITUTE(SUBSTITUTE(SUBSTITUTE(UPPER(Transaction[[#This Row],[Region]]),"EMEA REGION","EMEA"),"APAC REGION","APAC"),"NORTH AMERICA","N. AMERICA"),"N .AMERICA","N.AMERICA"))</f>
        <v>APAC</v>
      </c>
      <c r="M555" t="s">
        <v>30</v>
      </c>
      <c r="N555" t="s">
        <v>53</v>
      </c>
      <c r="O55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55" t="s">
        <v>181</v>
      </c>
      <c r="Q555" t="str">
        <f>IF(TRIM(Transaction[[#This Row],[SalesChannel]])="","Missing Value",TRIM(Transaction[[#This Row],[SalesChannel]]))</f>
        <v>Partner Portal</v>
      </c>
      <c r="R555" s="4">
        <v>5</v>
      </c>
      <c r="S555" s="4" t="str">
        <f>IF(Transaction[[#This Row],[Quantity]]&lt;0,"Negative-review","Valid")</f>
        <v>Valid</v>
      </c>
      <c r="T555">
        <v>167.46</v>
      </c>
      <c r="U55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167.46</v>
      </c>
      <c r="V555">
        <v>215</v>
      </c>
      <c r="W555">
        <v>1075</v>
      </c>
      <c r="X55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1075</v>
      </c>
      <c r="Y555">
        <f>IF(Transaction[[#This Row],[GrossRevenue_Check]]="Invalid",Transaction[[#This Row],[ListPrice]]*Transaction[[#This Row],[Quantity]],Transaction[[#This Row],[GrossRevenue_Clean]])</f>
        <v>1075</v>
      </c>
      <c r="Z555" t="str">
        <f>IF(Transaction[[#This Row],[GrossRevenue_Clean]]=Transaction[[#This Row],[ListPrice]]*Transaction[[#This Row],[Quantity]],"Valid","Invalid")</f>
        <v>Valid</v>
      </c>
      <c r="AA555">
        <v>237.7</v>
      </c>
      <c r="AB55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237.7</v>
      </c>
      <c r="AC555">
        <f>IF(Transaction[[#This Row],[DiscountAmount_Check2]]="Invalid",Transaction[[#This Row],[GrossRevenue_Analytical]]-Transaction[[#This Row],[NetRevenue_Analytical]],Transaction[[#This Row],[DiscountAmount_Clean]])</f>
        <v>237.7</v>
      </c>
      <c r="AD555">
        <v>837.3</v>
      </c>
      <c r="AE555" t="str">
        <f>IF(ROUND(Transaction[[#This Row],[GrossRevenue_Analytical]]-Transaction[[#This Row],[NetRevenue_Analytical]],2)=ROUND(Transaction[[#This Row],[DiscountAmount_Clean]],2),"Valid","Invalid")</f>
        <v>Valid</v>
      </c>
      <c r="AF555">
        <f>VALUE(IF(ISNUMBER(Transaction[[#This Row],[NetRevenue]]),Transaction[[#This Row],[NetRevenue]],IFERROR(IF(FIND("$",Transaction[[#This Row],[NetRevenue]])&gt;0,MID(Transaction[[#This Row],[NetRevenue]],2,10)),Transaction[[#This Row],[NetRevenue]])))</f>
        <v>837.3</v>
      </c>
      <c r="AG555">
        <f>IF(Transaction[[#This Row],[NetRevenue_Check]]="Invalid",(Transaction[[#This Row],[Quantity]]*Transaction[[#This Row],[UnitPrice_Clean]]),Transaction[[#This Row],[NetRevenue_Clean]])</f>
        <v>837.3</v>
      </c>
      <c r="AH555" t="str">
        <f>IF(Transaction[[#This Row],[Quantity]]*Transaction[[#This Row],[UnitPrice_Clean]]=Transaction[[#This Row],[NetRevenue_Clean]],"Valid","Invalid")</f>
        <v>Valid</v>
      </c>
      <c r="AI555" t="s">
        <v>23</v>
      </c>
      <c r="AJ555" t="s">
        <v>480</v>
      </c>
      <c r="AK555" t="str">
        <f>IF(Transaction[[#This Row],[Salesperson]]="","Missing Value",TRIM(PROPER(Transaction[[#This Row],[Salesperson]])))</f>
        <v>Ferrell</v>
      </c>
      <c r="AL555" t="s">
        <v>42</v>
      </c>
      <c r="AM555" t="str">
        <f>IF(Transaction[[#This Row],[ContractType]]="","Missing Value",Transaction[[#This Row],[ContractType]])</f>
        <v>Standard PO</v>
      </c>
      <c r="AN555" t="s">
        <v>49</v>
      </c>
    </row>
    <row r="556" spans="1:40" x14ac:dyDescent="0.25">
      <c r="A556" t="s">
        <v>2509</v>
      </c>
      <c r="B556" s="1">
        <v>45741</v>
      </c>
      <c r="C55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55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55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56" s="2">
        <f>IFERROR(DATE(Transaction[[#This Row],[TransactionDateY]],Transaction[[#This Row],[TransactionDateM]],Transaction[[#This Row],[TransactionDateD]]),"Missing Value")</f>
        <v>45741</v>
      </c>
      <c r="G556" t="s">
        <v>585</v>
      </c>
      <c r="H556" t="str">
        <f>IFERROR(VLOOKUP(Transaction[[#This Row],[CustomerID]],Custumer[],1,0),IF(LEN(Transaction[[#This Row],[CustomerID]])=7,LEFT(Transaction[[#This Row],[CustomerID]],6),"Invalid ID"))</f>
        <v>C-1088</v>
      </c>
      <c r="I556" t="s">
        <v>62</v>
      </c>
      <c r="J556" t="str">
        <f>TRIM(UPPER(Transaction[[#This Row],[ProductID]]))</f>
        <v>P-SI-004</v>
      </c>
      <c r="K556" t="str">
        <f>IFERROR(VLOOKUP(Transaction[[#This Row],[ProductID_Clean]],Product[],1,FALSE),"Invalid ID")</f>
        <v>P-SI-004</v>
      </c>
      <c r="L556" t="str">
        <f>TRIM(SUBSTITUTE(SUBSTITUTE(SUBSTITUTE(SUBSTITUTE(UPPER(Transaction[[#This Row],[Region]]),"EMEA REGION","EMEA"),"APAC REGION","APAC"),"NORTH AMERICA","N. AMERICA"),"N .AMERICA","N.AMERICA"))</f>
        <v>N. AMERICA</v>
      </c>
      <c r="M556" t="s">
        <v>20</v>
      </c>
      <c r="N556" t="s">
        <v>53</v>
      </c>
      <c r="O55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56" t="s">
        <v>32</v>
      </c>
      <c r="Q556" t="str">
        <f>IF(TRIM(Transaction[[#This Row],[SalesChannel]])="","Missing Value",TRIM(Transaction[[#This Row],[SalesChannel]]))</f>
        <v>Direct</v>
      </c>
      <c r="R556" s="4">
        <v>-3</v>
      </c>
      <c r="S556" s="4" t="str">
        <f>IF(Transaction[[#This Row],[Quantity]]&lt;0,"Negative-review","Valid")</f>
        <v>Negative-review</v>
      </c>
      <c r="T556">
        <v>2328.6999999999998</v>
      </c>
      <c r="U55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2328.6999999999998</v>
      </c>
      <c r="V556">
        <v>2450</v>
      </c>
      <c r="W556">
        <v>7350</v>
      </c>
      <c r="X55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7350</v>
      </c>
      <c r="Y556">
        <f>IF(Transaction[[#This Row],[GrossRevenue_Check]]="Invalid",Transaction[[#This Row],[ListPrice]]*Transaction[[#This Row],[Quantity]],Transaction[[#This Row],[GrossRevenue_Clean]])</f>
        <v>-7350</v>
      </c>
      <c r="Z556" t="str">
        <f>IF(Transaction[[#This Row],[GrossRevenue_Clean]]=Transaction[[#This Row],[ListPrice]]*Transaction[[#This Row],[Quantity]],"Valid","Invalid")</f>
        <v>Invalid</v>
      </c>
      <c r="AA556">
        <v>363.9</v>
      </c>
      <c r="AB55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363.9</v>
      </c>
      <c r="AC556">
        <f>IF(Transaction[[#This Row],[DiscountAmount_Check2]]="Invalid",Transaction[[#This Row],[GrossRevenue_Analytical]]-Transaction[[#This Row],[NetRevenue_Analytical]],Transaction[[#This Row],[DiscountAmount_Clean]])</f>
        <v>-363.90000000000055</v>
      </c>
      <c r="AD556" t="s">
        <v>2510</v>
      </c>
      <c r="AE556" t="str">
        <f>IF(ROUND(Transaction[[#This Row],[GrossRevenue_Analytical]]-Transaction[[#This Row],[NetRevenue_Analytical]],2)=ROUND(Transaction[[#This Row],[DiscountAmount_Clean]],2),"Valid","Invalid")</f>
        <v>Invalid</v>
      </c>
      <c r="AF556">
        <f>VALUE(IF(ISNUMBER(Transaction[[#This Row],[NetRevenue]]),Transaction[[#This Row],[NetRevenue]],IFERROR(IF(FIND("$",Transaction[[#This Row],[NetRevenue]])&gt;0,MID(Transaction[[#This Row],[NetRevenue]],2,10)),Transaction[[#This Row],[NetRevenue]])))</f>
        <v>6986.1</v>
      </c>
      <c r="AG556">
        <f>IF(Transaction[[#This Row],[NetRevenue_Check]]="Invalid",(Transaction[[#This Row],[Quantity]]*Transaction[[#This Row],[UnitPrice_Clean]]),Transaction[[#This Row],[NetRevenue_Clean]])</f>
        <v>-6986.0999999999995</v>
      </c>
      <c r="AH556" t="str">
        <f>IF(Transaction[[#This Row],[Quantity]]*Transaction[[#This Row],[UnitPrice_Clean]]=Transaction[[#This Row],[NetRevenue_Clean]],"Valid","Invalid")</f>
        <v>Invalid</v>
      </c>
      <c r="AI556" t="s">
        <v>99</v>
      </c>
      <c r="AJ556" t="s">
        <v>2511</v>
      </c>
      <c r="AK556" t="str">
        <f>IF(Transaction[[#This Row],[Salesperson]]="","Missing Value",TRIM(PROPER(Transaction[[#This Row],[Salesperson]])))</f>
        <v>Hartman-Em</v>
      </c>
      <c r="AL556" t="s">
        <v>42</v>
      </c>
      <c r="AM556" t="str">
        <f>IF(Transaction[[#This Row],[ContractType]]="","Missing Value",Transaction[[#This Row],[ContractType]])</f>
        <v>Standard PO</v>
      </c>
      <c r="AN556" t="s">
        <v>35</v>
      </c>
    </row>
    <row r="557" spans="1:40" x14ac:dyDescent="0.25">
      <c r="A557" t="s">
        <v>119</v>
      </c>
      <c r="B557" t="s">
        <v>120</v>
      </c>
      <c r="C55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55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55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57" s="2">
        <f>IFERROR(DATE(Transaction[[#This Row],[TransactionDateY]],Transaction[[#This Row],[TransactionDateM]],Transaction[[#This Row],[TransactionDateD]]),"Missing Value")</f>
        <v>45792</v>
      </c>
      <c r="G557" t="s">
        <v>45</v>
      </c>
      <c r="H557" t="str">
        <f>IFERROR(VLOOKUP(Transaction[[#This Row],[CustomerID]],Custumer[],1,0),IF(LEN(Transaction[[#This Row],[CustomerID]])=7,LEFT(Transaction[[#This Row],[CustomerID]],6),"Invalid ID"))</f>
        <v>C-1155</v>
      </c>
      <c r="I557" t="s">
        <v>121</v>
      </c>
      <c r="J557" t="str">
        <f>TRIM(UPPER(Transaction[[#This Row],[ProductID]]))</f>
        <v>P-FS-001</v>
      </c>
      <c r="K557" t="str">
        <f>IFERROR(VLOOKUP(Transaction[[#This Row],[ProductID_Clean]],Product[],1,FALSE),"Invalid ID")</f>
        <v>P-FS-001</v>
      </c>
      <c r="L557" t="str">
        <f>TRIM(SUBSTITUTE(SUBSTITUTE(SUBSTITUTE(SUBSTITUTE(UPPER(Transaction[[#This Row],[Region]]),"EMEA REGION","EMEA"),"APAC REGION","APAC"),"NORTH AMERICA","N. AMERICA"),"N .AMERICA","N.AMERICA"))</f>
        <v>APAC</v>
      </c>
      <c r="M557" t="s">
        <v>122</v>
      </c>
      <c r="N557" t="s">
        <v>21</v>
      </c>
      <c r="O557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557" t="s">
        <v>22</v>
      </c>
      <c r="Q557" t="str">
        <f>IF(TRIM(Transaction[[#This Row],[SalesChannel]])="","Missing Value",TRIM(Transaction[[#This Row],[SalesChannel]]))</f>
        <v>Direct</v>
      </c>
      <c r="R557" s="4">
        <v>1</v>
      </c>
      <c r="S557" s="4" t="str">
        <f>IF(Transaction[[#This Row],[Quantity]]&lt;0,"Negative-review","Valid")</f>
        <v>Valid</v>
      </c>
      <c r="T557">
        <v>1525.69</v>
      </c>
      <c r="U55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1525.69</v>
      </c>
      <c r="V557">
        <v>1850</v>
      </c>
      <c r="W557">
        <v>1850</v>
      </c>
      <c r="X55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557">
        <f>IF(Transaction[[#This Row],[GrossRevenue_Check]]="Invalid",Transaction[[#This Row],[ListPrice]]*Transaction[[#This Row],[Quantity]],Transaction[[#This Row],[GrossRevenue_Clean]])</f>
        <v>1850</v>
      </c>
      <c r="Z557" t="str">
        <f>IF(Transaction[[#This Row],[GrossRevenue_Clean]]=Transaction[[#This Row],[ListPrice]]*Transaction[[#This Row],[Quantity]],"Valid","Invalid")</f>
        <v>Valid</v>
      </c>
      <c r="AA557" t="s">
        <v>123</v>
      </c>
      <c r="AB55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324.31</v>
      </c>
      <c r="AC557">
        <f>IF(Transaction[[#This Row],[DiscountAmount_Check2]]="Invalid",Transaction[[#This Row],[GrossRevenue_Analytical]]-Transaction[[#This Row],[NetRevenue_Analytical]],Transaction[[#This Row],[DiscountAmount_Clean]])</f>
        <v>324.31</v>
      </c>
      <c r="AD557">
        <v>1525.69</v>
      </c>
      <c r="AE557" t="str">
        <f>IF(ROUND(Transaction[[#This Row],[GrossRevenue_Analytical]]-Transaction[[#This Row],[NetRevenue_Analytical]],2)=ROUND(Transaction[[#This Row],[DiscountAmount_Clean]],2),"Valid","Invalid")</f>
        <v>Valid</v>
      </c>
      <c r="AF55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1525.69</v>
      </c>
      <c r="AG557">
        <f>IF(Transaction[[#This Row],[NetRevenue_Check]]="Invalid",(Transaction[[#This Row],[Quantity]]*Transaction[[#This Row],[UnitPrice_Clean]]),Transaction[[#This Row],[NetRevenue_Clean]])</f>
        <v>1525.69</v>
      </c>
      <c r="AH557" t="str">
        <f>IF(Transaction[[#This Row],[Quantity]]*Transaction[[#This Row],[UnitPrice_Clean]]=Transaction[[#This Row],[NetRevenue_Clean]],"Valid","Invalid")</f>
        <v>Valid</v>
      </c>
      <c r="AI557" t="s">
        <v>23</v>
      </c>
      <c r="AJ557" t="s">
        <v>124</v>
      </c>
      <c r="AK557" t="str">
        <f>IF(Transaction[[#This Row],[Salesperson]]="","Missing Value",TRIM(PROPER(Transaction[[#This Row],[Salesperson]])))</f>
        <v>Koch</v>
      </c>
      <c r="AL557" t="s">
        <v>42</v>
      </c>
      <c r="AM557" t="str">
        <f>IF(Transaction[[#This Row],[ContractType]]="","Missing Value",Transaction[[#This Row],[ContractType]])</f>
        <v>Standard PO</v>
      </c>
      <c r="AN557" t="s">
        <v>49</v>
      </c>
    </row>
    <row r="558" spans="1:40" x14ac:dyDescent="0.25">
      <c r="A558" t="s">
        <v>2567</v>
      </c>
      <c r="B558" s="1">
        <v>45651</v>
      </c>
      <c r="C55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12</v>
      </c>
      <c r="D55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55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2024</v>
      </c>
      <c r="F558" s="2">
        <f>IFERROR(DATE(Transaction[[#This Row],[TransactionDateY]],Transaction[[#This Row],[TransactionDateM]],Transaction[[#This Row],[TransactionDateD]]),"Missing Value")</f>
        <v>45651</v>
      </c>
      <c r="G558" t="s">
        <v>172</v>
      </c>
      <c r="H558" t="str">
        <f>IFERROR(VLOOKUP(Transaction[[#This Row],[CustomerID]],Custumer[],1,0),IF(LEN(Transaction[[#This Row],[CustomerID]])=7,LEFT(Transaction[[#This Row],[CustomerID]],6),"Invalid ID"))</f>
        <v>C-1099</v>
      </c>
      <c r="I558" t="s">
        <v>97</v>
      </c>
      <c r="J558" t="str">
        <f>TRIM(UPPER(Transaction[[#This Row],[ProductID]]))</f>
        <v>P-SI-001</v>
      </c>
      <c r="K558" t="str">
        <f>IFERROR(VLOOKUP(Transaction[[#This Row],[ProductID_Clean]],Product[],1,FALSE),"Invalid ID")</f>
        <v>P-SI-001</v>
      </c>
      <c r="L558" t="str">
        <f>TRIM(SUBSTITUTE(SUBSTITUTE(SUBSTITUTE(SUBSTITUTE(UPPER(Transaction[[#This Row],[Region]]),"EMEA REGION","EMEA"),"APAC REGION","APAC"),"NORTH AMERICA","N. AMERICA"),"N .AMERICA","N.AMERICA"))</f>
        <v>EMEA</v>
      </c>
      <c r="M558" t="s">
        <v>76</v>
      </c>
      <c r="N558" t="s">
        <v>53</v>
      </c>
      <c r="O55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58" t="s">
        <v>22</v>
      </c>
      <c r="Q558" t="str">
        <f>IF(TRIM(Transaction[[#This Row],[SalesChannel]])="","Missing Value",TRIM(Transaction[[#This Row],[SalesChannel]]))</f>
        <v>Direct</v>
      </c>
      <c r="R558" s="4">
        <v>3</v>
      </c>
      <c r="S558" s="4" t="str">
        <f>IF(Transaction[[#This Row],[Quantity]]&lt;0,"Negative-review","Valid")</f>
        <v>Valid</v>
      </c>
      <c r="T558">
        <v>414.08</v>
      </c>
      <c r="U55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414.08</v>
      </c>
      <c r="V558">
        <v>485</v>
      </c>
      <c r="W558">
        <v>1455</v>
      </c>
      <c r="X55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558">
        <f>IF(Transaction[[#This Row],[GrossRevenue_Check]]="Invalid",Transaction[[#This Row],[ListPrice]]*Transaction[[#This Row],[Quantity]],Transaction[[#This Row],[GrossRevenue_Clean]])</f>
        <v>1455</v>
      </c>
      <c r="Z558" t="str">
        <f>IF(Transaction[[#This Row],[GrossRevenue_Clean]]=Transaction[[#This Row],[ListPrice]]*Transaction[[#This Row],[Quantity]],"Valid","Invalid")</f>
        <v>Valid</v>
      </c>
      <c r="AA558">
        <v>212.76</v>
      </c>
      <c r="AB55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212.76</v>
      </c>
      <c r="AC558">
        <f>IF(Transaction[[#This Row],[DiscountAmount_Check2]]="Invalid",Transaction[[#This Row],[GrossRevenue_Analytical]]-Transaction[[#This Row],[NetRevenue_Analytical]],Transaction[[#This Row],[DiscountAmount_Clean]])</f>
        <v>212.76</v>
      </c>
      <c r="AD558">
        <v>1242.24</v>
      </c>
      <c r="AE558" t="str">
        <f>IF(ROUND(Transaction[[#This Row],[GrossRevenue_Analytical]]-Transaction[[#This Row],[NetRevenue_Analytical]],2)=ROUND(Transaction[[#This Row],[DiscountAmount_Clean]],2),"Valid","Invalid")</f>
        <v>Valid</v>
      </c>
      <c r="AF55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1242.24</v>
      </c>
      <c r="AG558">
        <f>IF(Transaction[[#This Row],[NetRevenue_Check]]="Invalid",(Transaction[[#This Row],[Quantity]]*Transaction[[#This Row],[UnitPrice_Clean]]),Transaction[[#This Row],[NetRevenue_Clean]])</f>
        <v>1242.24</v>
      </c>
      <c r="AH558" t="str">
        <f>IF(Transaction[[#This Row],[Quantity]]*Transaction[[#This Row],[UnitPrice_Clean]]=Transaction[[#This Row],[NetRevenue_Clean]],"Valid","Invalid")</f>
        <v>Valid</v>
      </c>
      <c r="AI558" t="s">
        <v>23</v>
      </c>
      <c r="AJ558" t="s">
        <v>2568</v>
      </c>
      <c r="AK558" t="str">
        <f>IF(Transaction[[#This Row],[Salesperson]]="","Missing Value",TRIM(PROPER(Transaction[[#This Row],[Salesperson]])))</f>
        <v>Maldonado-Em</v>
      </c>
      <c r="AL558" t="s">
        <v>25</v>
      </c>
      <c r="AM558" t="str">
        <f>IF(Transaction[[#This Row],[ContractType]]="","Missing Value",Transaction[[#This Row],[ContractType]])</f>
        <v>Frame Agreement</v>
      </c>
      <c r="AN558" t="s">
        <v>43</v>
      </c>
    </row>
    <row r="559" spans="1:40" x14ac:dyDescent="0.25">
      <c r="A559" t="s">
        <v>2185</v>
      </c>
      <c r="B559" s="1">
        <v>45827</v>
      </c>
      <c r="C55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55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55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59" s="2">
        <f>IFERROR(DATE(Transaction[[#This Row],[TransactionDateY]],Transaction[[#This Row],[TransactionDateM]],Transaction[[#This Row],[TransactionDateD]]),"Missing Value")</f>
        <v>45827</v>
      </c>
      <c r="G559" t="s">
        <v>799</v>
      </c>
      <c r="H559" t="str">
        <f>IFERROR(VLOOKUP(Transaction[[#This Row],[CustomerID]],Custumer[],1,0),IF(LEN(Transaction[[#This Row],[CustomerID]])=7,LEFT(Transaction[[#This Row],[CustomerID]],6),"Invalid ID"))</f>
        <v>C-1003</v>
      </c>
      <c r="I559" t="s">
        <v>46</v>
      </c>
      <c r="J559" t="str">
        <f>TRIM(UPPER(Transaction[[#This Row],[ProductID]]))</f>
        <v>P-SI-006</v>
      </c>
      <c r="K559" t="str">
        <f>IFERROR(VLOOKUP(Transaction[[#This Row],[ProductID_Clean]],Product[],1,FALSE),"Invalid ID")</f>
        <v>P-SI-006</v>
      </c>
      <c r="L559" t="str">
        <f>TRIM(SUBSTITUTE(SUBSTITUTE(SUBSTITUTE(SUBSTITUTE(UPPER(Transaction[[#This Row],[Region]]),"EMEA REGION","EMEA"),"APAC REGION","APAC"),"NORTH AMERICA","N. AMERICA"),"N .AMERICA","N.AMERICA"))</f>
        <v>LATIN AMERICA</v>
      </c>
      <c r="M559" t="s">
        <v>82</v>
      </c>
      <c r="N559" t="s">
        <v>53</v>
      </c>
      <c r="O55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59" t="s">
        <v>40</v>
      </c>
      <c r="Q559" t="str">
        <f>IF(TRIM(Transaction[[#This Row],[SalesChannel]])="","Missing Value",TRIM(Transaction[[#This Row],[SalesChannel]]))</f>
        <v>Distributor</v>
      </c>
      <c r="R559" s="4">
        <v>4</v>
      </c>
      <c r="S559" s="4" t="str">
        <f>IF(Transaction[[#This Row],[Quantity]]&lt;0,"Negative-review","Valid")</f>
        <v>Valid</v>
      </c>
      <c r="T559">
        <v>161.15</v>
      </c>
      <c r="U55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161.15</v>
      </c>
      <c r="V559">
        <v>215</v>
      </c>
      <c r="W559">
        <v>860</v>
      </c>
      <c r="X55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860</v>
      </c>
      <c r="Y559">
        <f>IF(Transaction[[#This Row],[GrossRevenue_Check]]="Invalid",Transaction[[#This Row],[ListPrice]]*Transaction[[#This Row],[Quantity]],Transaction[[#This Row],[GrossRevenue_Clean]])</f>
        <v>860</v>
      </c>
      <c r="Z559" t="str">
        <f>IF(Transaction[[#This Row],[GrossRevenue_Clean]]=Transaction[[#This Row],[ListPrice]]*Transaction[[#This Row],[Quantity]],"Valid","Invalid")</f>
        <v>Valid</v>
      </c>
      <c r="AA559">
        <v>215.4</v>
      </c>
      <c r="AB55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215.4</v>
      </c>
      <c r="AC559">
        <f>IF(Transaction[[#This Row],[DiscountAmount_Check2]]="Invalid",Transaction[[#This Row],[GrossRevenue_Analytical]]-Transaction[[#This Row],[NetRevenue_Analytical]],Transaction[[#This Row],[DiscountAmount_Clean]])</f>
        <v>215.4</v>
      </c>
      <c r="AD559">
        <v>644.6</v>
      </c>
      <c r="AE559" t="str">
        <f>IF(ROUND(Transaction[[#This Row],[GrossRevenue_Analytical]]-Transaction[[#This Row],[NetRevenue_Analytical]],2)=ROUND(Transaction[[#This Row],[DiscountAmount_Clean]],2),"Valid","Invalid")</f>
        <v>Valid</v>
      </c>
      <c r="AF559">
        <f>VALUE(IF(ISNUMBER(Transaction[[#This Row],[NetRevenue]]),Transaction[[#This Row],[NetRevenue]],IFERROR(IF(FIND("$",Transaction[[#This Row],[NetRevenue]])&gt;0,MID(Transaction[[#This Row],[NetRevenue]],2,10)),Transaction[[#This Row],[NetRevenue]])))</f>
        <v>644.6</v>
      </c>
      <c r="AG559">
        <f>IF(Transaction[[#This Row],[NetRevenue_Check]]="Invalid",(Transaction[[#This Row],[Quantity]]*Transaction[[#This Row],[UnitPrice_Clean]]),Transaction[[#This Row],[NetRevenue_Clean]])</f>
        <v>644.6</v>
      </c>
      <c r="AH559" t="str">
        <f>IF(Transaction[[#This Row],[Quantity]]*Transaction[[#This Row],[UnitPrice_Clean]]=Transaction[[#This Row],[NetRevenue_Clean]],"Valid","Invalid")</f>
        <v>Valid</v>
      </c>
      <c r="AI559" t="s">
        <v>23</v>
      </c>
      <c r="AJ559" t="s">
        <v>2186</v>
      </c>
      <c r="AK559" t="str">
        <f>IF(Transaction[[#This Row],[Salesperson]]="","Missing Value",TRIM(PROPER(Transaction[[#This Row],[Salesperson]])))</f>
        <v>Jimenez</v>
      </c>
      <c r="AL559" t="s">
        <v>42</v>
      </c>
      <c r="AM559" t="str">
        <f>IF(Transaction[[#This Row],[ContractType]]="","Missing Value",Transaction[[#This Row],[ContractType]])</f>
        <v>Standard PO</v>
      </c>
      <c r="AN559" t="s">
        <v>49</v>
      </c>
    </row>
    <row r="560" spans="1:40" x14ac:dyDescent="0.25">
      <c r="A560" t="s">
        <v>705</v>
      </c>
      <c r="B560" t="s">
        <v>706</v>
      </c>
      <c r="C56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56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56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60" s="2">
        <f>IFERROR(DATE(Transaction[[#This Row],[TransactionDateY]],Transaction[[#This Row],[TransactionDateM]],Transaction[[#This Row],[TransactionDateD]]),"Missing Value")</f>
        <v>45741</v>
      </c>
      <c r="G560" t="s">
        <v>580</v>
      </c>
      <c r="H560" t="str">
        <f>IFERROR(VLOOKUP(Transaction[[#This Row],[CustomerID]],Custumer[],1,0),IF(LEN(Transaction[[#This Row],[CustomerID]])=7,LEFT(Transaction[[#This Row],[CustomerID]],6),"Invalid ID"))</f>
        <v>C-1053</v>
      </c>
      <c r="I560" t="s">
        <v>58</v>
      </c>
      <c r="J560" t="str">
        <f>TRIM(UPPER(Transaction[[#This Row],[ProductID]]))</f>
        <v>P-SI-005</v>
      </c>
      <c r="K560" t="str">
        <f>IFERROR(VLOOKUP(Transaction[[#This Row],[ProductID_Clean]],Product[],1,FALSE),"Invalid ID")</f>
        <v>P-SI-005</v>
      </c>
      <c r="L560" t="str">
        <f>TRIM(SUBSTITUTE(SUBSTITUTE(SUBSTITUTE(SUBSTITUTE(UPPER(Transaction[[#This Row],[Region]]),"EMEA REGION","EMEA"),"APAC REGION","APAC"),"NORTH AMERICA","N. AMERICA"),"N .AMERICA","N.AMERICA"))</f>
        <v>LATIN AMERICA</v>
      </c>
      <c r="M560" t="s">
        <v>82</v>
      </c>
      <c r="N560" t="s">
        <v>98</v>
      </c>
      <c r="O56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60" t="s">
        <v>22</v>
      </c>
      <c r="Q560" t="str">
        <f>IF(TRIM(Transaction[[#This Row],[SalesChannel]])="","Missing Value",TRIM(Transaction[[#This Row],[SalesChannel]]))</f>
        <v>Direct</v>
      </c>
      <c r="R560" s="4">
        <v>10</v>
      </c>
      <c r="S560" s="4" t="str">
        <f>IF(Transaction[[#This Row],[Quantity]]&lt;0,"Negative-review","Valid")</f>
        <v>Valid</v>
      </c>
      <c r="T560">
        <v>978.26</v>
      </c>
      <c r="U56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978.26</v>
      </c>
      <c r="V560">
        <v>1120</v>
      </c>
      <c r="W560">
        <v>11200</v>
      </c>
      <c r="X56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11200</v>
      </c>
      <c r="Y560">
        <f>IF(Transaction[[#This Row],[GrossRevenue_Check]]="Invalid",Transaction[[#This Row],[ListPrice]]*Transaction[[#This Row],[Quantity]],Transaction[[#This Row],[GrossRevenue_Clean]])</f>
        <v>11200</v>
      </c>
      <c r="Z560" t="str">
        <f>IF(Transaction[[#This Row],[GrossRevenue_Clean]]=Transaction[[#This Row],[ListPrice]]*Transaction[[#This Row],[Quantity]],"Valid","Invalid")</f>
        <v>Valid</v>
      </c>
      <c r="AB56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560">
        <f>IF(Transaction[[#This Row],[DiscountAmount_Check2]]="Invalid",Transaction[[#This Row],[GrossRevenue_Analytical]]-Transaction[[#This Row],[NetRevenue_Analytical]],Transaction[[#This Row],[DiscountAmount_Clean]])</f>
        <v>1417.3999999999996</v>
      </c>
      <c r="AD560">
        <v>9782.6</v>
      </c>
      <c r="AE560" t="str">
        <f>IF(ROUND(Transaction[[#This Row],[GrossRevenue_Analytical]]-Transaction[[#This Row],[NetRevenue_Analytical]],2)=ROUND(Transaction[[#This Row],[DiscountAmount_Clean]],2),"Valid","Invalid")</f>
        <v>Invalid</v>
      </c>
      <c r="AF560">
        <f>VALUE(IF(ISNUMBER(Transaction[[#This Row],[NetRevenue]]),Transaction[[#This Row],[NetRevenue]],IFERROR(IF(FIND("$",Transaction[[#This Row],[NetRevenue]])&gt;0,MID(Transaction[[#This Row],[NetRevenue]],2,10)),Transaction[[#This Row],[NetRevenue]])))</f>
        <v>9782.6</v>
      </c>
      <c r="AG560">
        <f>IF(Transaction[[#This Row],[NetRevenue_Check]]="Invalid",(Transaction[[#This Row],[Quantity]]*Transaction[[#This Row],[UnitPrice_Clean]]),Transaction[[#This Row],[NetRevenue_Clean]])</f>
        <v>9782.6</v>
      </c>
      <c r="AH560" t="str">
        <f>IF(Transaction[[#This Row],[Quantity]]*Transaction[[#This Row],[UnitPrice_Clean]]=Transaction[[#This Row],[NetRevenue_Clean]],"Valid","Invalid")</f>
        <v>Valid</v>
      </c>
      <c r="AI560" t="s">
        <v>23</v>
      </c>
      <c r="AJ560" t="s">
        <v>707</v>
      </c>
      <c r="AK560" t="str">
        <f>IF(Transaction[[#This Row],[Salesperson]]="","Missing Value",TRIM(PROPER(Transaction[[#This Row],[Salesperson]])))</f>
        <v>Owens</v>
      </c>
      <c r="AL560" t="s">
        <v>42</v>
      </c>
      <c r="AM560" t="str">
        <f>IF(Transaction[[#This Row],[ContractType]]="","Missing Value",Transaction[[#This Row],[ContractType]])</f>
        <v>Standard PO</v>
      </c>
      <c r="AN560" t="s">
        <v>35</v>
      </c>
    </row>
    <row r="561" spans="1:40" x14ac:dyDescent="0.25">
      <c r="A561" t="s">
        <v>1752</v>
      </c>
      <c r="B561" s="1">
        <v>45810</v>
      </c>
      <c r="C56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56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56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61" s="2">
        <f>IFERROR(DATE(Transaction[[#This Row],[TransactionDateY]],Transaction[[#This Row],[TransactionDateM]],Transaction[[#This Row],[TransactionDateD]]),"Missing Value")</f>
        <v>45810</v>
      </c>
      <c r="G561" t="s">
        <v>647</v>
      </c>
      <c r="H561" t="str">
        <f>IFERROR(VLOOKUP(Transaction[[#This Row],[CustomerID]],Custumer[],1,0),IF(LEN(Transaction[[#This Row],[CustomerID]])=7,LEFT(Transaction[[#This Row],[CustomerID]],6),"Invalid ID"))</f>
        <v>C-1085</v>
      </c>
      <c r="I561" t="s">
        <v>117</v>
      </c>
      <c r="J561" t="str">
        <f>TRIM(UPPER(Transaction[[#This Row],[ProductID]]))</f>
        <v>P-SI-007</v>
      </c>
      <c r="K561" t="str">
        <f>IFERROR(VLOOKUP(Transaction[[#This Row],[ProductID_Clean]],Product[],1,FALSE),"Invalid ID")</f>
        <v>P-SI-007</v>
      </c>
      <c r="L561" t="str">
        <f>TRIM(SUBSTITUTE(SUBSTITUTE(SUBSTITUTE(SUBSTITUTE(UPPER(Transaction[[#This Row],[Region]]),"EMEA REGION","EMEA"),"APAC REGION","APAC"),"NORTH AMERICA","N. AMERICA"),"N .AMERICA","N.AMERICA"))</f>
        <v>APAC</v>
      </c>
      <c r="M561" t="s">
        <v>30</v>
      </c>
      <c r="N561" t="s">
        <v>53</v>
      </c>
      <c r="O56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61" t="s">
        <v>40</v>
      </c>
      <c r="Q561" t="str">
        <f>IF(TRIM(Transaction[[#This Row],[SalesChannel]])="","Missing Value",TRIM(Transaction[[#This Row],[SalesChannel]]))</f>
        <v>Distributor</v>
      </c>
      <c r="R561" s="4">
        <v>3</v>
      </c>
      <c r="S561" s="4" t="str">
        <f>IF(Transaction[[#This Row],[Quantity]]&lt;0,"Negative-review","Valid")</f>
        <v>Valid</v>
      </c>
      <c r="T561">
        <v>639.20000000000005</v>
      </c>
      <c r="U56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639.20000000000005</v>
      </c>
      <c r="V561">
        <v>980</v>
      </c>
      <c r="W561">
        <v>2940</v>
      </c>
      <c r="X56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2940</v>
      </c>
      <c r="Y561">
        <f>IF(Transaction[[#This Row],[GrossRevenue_Check]]="Invalid",Transaction[[#This Row],[ListPrice]]*Transaction[[#This Row],[Quantity]],Transaction[[#This Row],[GrossRevenue_Clean]])</f>
        <v>2940</v>
      </c>
      <c r="Z561" t="str">
        <f>IF(Transaction[[#This Row],[GrossRevenue_Clean]]=Transaction[[#This Row],[ListPrice]]*Transaction[[#This Row],[Quantity]],"Valid","Invalid")</f>
        <v>Valid</v>
      </c>
      <c r="AA561">
        <v>1022.4</v>
      </c>
      <c r="AB56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1022.4</v>
      </c>
      <c r="AC561">
        <f>IF(Transaction[[#This Row],[DiscountAmount_Check2]]="Invalid",Transaction[[#This Row],[GrossRevenue_Analytical]]-Transaction[[#This Row],[NetRevenue_Analytical]],Transaction[[#This Row],[DiscountAmount_Clean]])</f>
        <v>1022.4</v>
      </c>
      <c r="AD561">
        <v>1917.6</v>
      </c>
      <c r="AE561" t="str">
        <f>IF(ROUND(Transaction[[#This Row],[GrossRevenue_Analytical]]-Transaction[[#This Row],[NetRevenue_Analytical]],2)=ROUND(Transaction[[#This Row],[DiscountAmount_Clean]],2),"Valid","Invalid")</f>
        <v>Valid</v>
      </c>
      <c r="AF56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1917.6</v>
      </c>
      <c r="AG561">
        <f>IF(Transaction[[#This Row],[NetRevenue_Check]]="Invalid",(Transaction[[#This Row],[Quantity]]*Transaction[[#This Row],[UnitPrice_Clean]]),Transaction[[#This Row],[NetRevenue_Clean]])</f>
        <v>1917.6</v>
      </c>
      <c r="AH561" t="str">
        <f>IF(Transaction[[#This Row],[Quantity]]*Transaction[[#This Row],[UnitPrice_Clean]]=Transaction[[#This Row],[NetRevenue_Clean]],"Valid","Invalid")</f>
        <v>Valid</v>
      </c>
      <c r="AI561" t="s">
        <v>23</v>
      </c>
      <c r="AK561" t="str">
        <f>IF(Transaction[[#This Row],[Salesperson]]="","Missing Value",TRIM(PROPER(Transaction[[#This Row],[Salesperson]])))</f>
        <v>Missing Value</v>
      </c>
      <c r="AL561" t="s">
        <v>42</v>
      </c>
      <c r="AM561" t="str">
        <f>IF(Transaction[[#This Row],[ContractType]]="","Missing Value",Transaction[[#This Row],[ContractType]])</f>
        <v>Standard PO</v>
      </c>
      <c r="AN561" t="s">
        <v>26</v>
      </c>
    </row>
    <row r="562" spans="1:40" x14ac:dyDescent="0.25">
      <c r="A562" t="s">
        <v>560</v>
      </c>
      <c r="B562" t="s">
        <v>561</v>
      </c>
      <c r="C56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56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09</v>
      </c>
      <c r="E56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62" s="2">
        <f>IFERROR(DATE(Transaction[[#This Row],[TransactionDateY]],Transaction[[#This Row],[TransactionDateM]],Transaction[[#This Row],[TransactionDateD]]),"Missing Value")</f>
        <v>45697</v>
      </c>
      <c r="G562" t="s">
        <v>562</v>
      </c>
      <c r="H562" t="str">
        <f>IFERROR(VLOOKUP(Transaction[[#This Row],[CustomerID]],Custumer[],1,0),IF(LEN(Transaction[[#This Row],[CustomerID]])=7,LEFT(Transaction[[#This Row],[CustomerID]],6),"Invalid ID"))</f>
        <v>C-1083</v>
      </c>
      <c r="I562" t="s">
        <v>71</v>
      </c>
      <c r="J562" t="str">
        <f>TRIM(UPPER(Transaction[[#This Row],[ProductID]]))</f>
        <v>P-SI-003</v>
      </c>
      <c r="K562" t="str">
        <f>IFERROR(VLOOKUP(Transaction[[#This Row],[ProductID_Clean]],Product[],1,FALSE),"Invalid ID")</f>
        <v>P-SI-003</v>
      </c>
      <c r="L562" t="str">
        <f>TRIM(SUBSTITUTE(SUBSTITUTE(SUBSTITUTE(SUBSTITUTE(UPPER(Transaction[[#This Row],[Region]]),"EMEA REGION","EMEA"),"APAC REGION","APAC"),"NORTH AMERICA","N. AMERICA"),"N .AMERICA","N.AMERICA"))</f>
        <v>LATIN AMERICA</v>
      </c>
      <c r="M562" t="s">
        <v>82</v>
      </c>
      <c r="N562" t="s">
        <v>98</v>
      </c>
      <c r="O56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62" t="s">
        <v>181</v>
      </c>
      <c r="Q562" t="str">
        <f>IF(TRIM(Transaction[[#This Row],[SalesChannel]])="","Missing Value",TRIM(Transaction[[#This Row],[SalesChannel]]))</f>
        <v>Partner Portal</v>
      </c>
      <c r="R562" s="4">
        <v>10</v>
      </c>
      <c r="S562" s="4" t="str">
        <f>IF(Transaction[[#This Row],[Quantity]]&lt;0,"Negative-review","Valid")</f>
        <v>Valid</v>
      </c>
      <c r="T562">
        <v>1644.52</v>
      </c>
      <c r="U56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1644.52</v>
      </c>
      <c r="V562">
        <v>1890</v>
      </c>
      <c r="W562">
        <v>18900</v>
      </c>
      <c r="X56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18900</v>
      </c>
      <c r="Y562">
        <f>IF(Transaction[[#This Row],[GrossRevenue_Check]]="Invalid",Transaction[[#This Row],[ListPrice]]*Transaction[[#This Row],[Quantity]],Transaction[[#This Row],[GrossRevenue_Clean]])</f>
        <v>18900</v>
      </c>
      <c r="Z562" t="str">
        <f>IF(Transaction[[#This Row],[GrossRevenue_Clean]]=Transaction[[#This Row],[ListPrice]]*Transaction[[#This Row],[Quantity]],"Valid","Invalid")</f>
        <v>Valid</v>
      </c>
      <c r="AA562">
        <v>2454.8000000000002</v>
      </c>
      <c r="AB56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2454.8000000000002</v>
      </c>
      <c r="AC562">
        <f>IF(Transaction[[#This Row],[DiscountAmount_Check2]]="Invalid",Transaction[[#This Row],[GrossRevenue_Analytical]]-Transaction[[#This Row],[NetRevenue_Analytical]],Transaction[[#This Row],[DiscountAmount_Clean]])</f>
        <v>2454.8000000000002</v>
      </c>
      <c r="AD562">
        <v>16445.2</v>
      </c>
      <c r="AE562" t="str">
        <f>IF(ROUND(Transaction[[#This Row],[GrossRevenue_Analytical]]-Transaction[[#This Row],[NetRevenue_Analytical]],2)=ROUND(Transaction[[#This Row],[DiscountAmount_Clean]],2),"Valid","Invalid")</f>
        <v>Valid</v>
      </c>
      <c r="AF56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16445.2</v>
      </c>
      <c r="AG562">
        <f>IF(Transaction[[#This Row],[NetRevenue_Check]]="Invalid",(Transaction[[#This Row],[Quantity]]*Transaction[[#This Row],[UnitPrice_Clean]]),Transaction[[#This Row],[NetRevenue_Clean]])</f>
        <v>16445.2</v>
      </c>
      <c r="AH562" t="str">
        <f>IF(Transaction[[#This Row],[Quantity]]*Transaction[[#This Row],[UnitPrice_Clean]]=Transaction[[#This Row],[NetRevenue_Clean]],"Valid","Invalid")</f>
        <v>Valid</v>
      </c>
      <c r="AI562" t="s">
        <v>23</v>
      </c>
      <c r="AJ562" t="s">
        <v>563</v>
      </c>
      <c r="AK562" t="str">
        <f>IF(Transaction[[#This Row],[Salesperson]]="","Missing Value",TRIM(PROPER(Transaction[[#This Row],[Salesperson]])))</f>
        <v>Bryant</v>
      </c>
      <c r="AL562" t="s">
        <v>42</v>
      </c>
      <c r="AM562" t="str">
        <f>IF(Transaction[[#This Row],[ContractType]]="","Missing Value",Transaction[[#This Row],[ContractType]])</f>
        <v>Standard PO</v>
      </c>
      <c r="AN562" t="s">
        <v>49</v>
      </c>
    </row>
    <row r="563" spans="1:40" x14ac:dyDescent="0.25">
      <c r="A563" t="s">
        <v>2351</v>
      </c>
      <c r="B563" t="s">
        <v>2352</v>
      </c>
      <c r="C56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56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56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63" s="2">
        <f>IFERROR(DATE(Transaction[[#This Row],[TransactionDateY]],Transaction[[#This Row],[TransactionDateM]],Transaction[[#This Row],[TransactionDateD]]),"Missing Value")</f>
        <v>45704</v>
      </c>
      <c r="G563" t="s">
        <v>473</v>
      </c>
      <c r="H563" t="str">
        <f>IFERROR(VLOOKUP(Transaction[[#This Row],[CustomerID]],Custumer[],1,0),IF(LEN(Transaction[[#This Row],[CustomerID]])=7,LEFT(Transaction[[#This Row],[CustomerID]],6),"Invalid ID"))</f>
        <v>C-1016</v>
      </c>
      <c r="I563" t="s">
        <v>29</v>
      </c>
      <c r="J563" t="str">
        <f>TRIM(UPPER(Transaction[[#This Row],[ProductID]]))</f>
        <v>P-SA-001</v>
      </c>
      <c r="K563" t="str">
        <f>IFERROR(VLOOKUP(Transaction[[#This Row],[ProductID_Clean]],Product[],1,FALSE),"Invalid ID")</f>
        <v>P-SA-001</v>
      </c>
      <c r="L563" t="str">
        <f>TRIM(SUBSTITUTE(SUBSTITUTE(SUBSTITUTE(SUBSTITUTE(UPPER(Transaction[[#This Row],[Region]]),"EMEA REGION","EMEA"),"APAC REGION","APAC"),"NORTH AMERICA","N. AMERICA"),"N .AMERICA","N.AMERICA"))</f>
        <v>APAC</v>
      </c>
      <c r="M563" t="s">
        <v>30</v>
      </c>
      <c r="N563" t="s">
        <v>205</v>
      </c>
      <c r="O56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63" t="s">
        <v>32</v>
      </c>
      <c r="Q563" t="str">
        <f>IF(TRIM(Transaction[[#This Row],[SalesChannel]])="","Missing Value",TRIM(Transaction[[#This Row],[SalesChannel]]))</f>
        <v>Direct</v>
      </c>
      <c r="R563" s="4">
        <v>1</v>
      </c>
      <c r="S563" s="4" t="str">
        <f>IF(Transaction[[#This Row],[Quantity]]&lt;0,"Negative-review","Valid")</f>
        <v>Valid</v>
      </c>
      <c r="T563">
        <v>3268.78</v>
      </c>
      <c r="U56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3268.78</v>
      </c>
      <c r="V563">
        <v>4200</v>
      </c>
      <c r="W563">
        <v>4200</v>
      </c>
      <c r="X56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563">
        <f>IF(Transaction[[#This Row],[GrossRevenue_Check]]="Invalid",Transaction[[#This Row],[ListPrice]]*Transaction[[#This Row],[Quantity]],Transaction[[#This Row],[GrossRevenue_Clean]])</f>
        <v>4200</v>
      </c>
      <c r="Z563" t="str">
        <f>IF(Transaction[[#This Row],[GrossRevenue_Clean]]=Transaction[[#This Row],[ListPrice]]*Transaction[[#This Row],[Quantity]],"Valid","Invalid")</f>
        <v>Valid</v>
      </c>
      <c r="AA563">
        <v>931.22</v>
      </c>
      <c r="AB56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931.22</v>
      </c>
      <c r="AC563">
        <f>IF(Transaction[[#This Row],[DiscountAmount_Check2]]="Invalid",Transaction[[#This Row],[GrossRevenue_Analytical]]-Transaction[[#This Row],[NetRevenue_Analytical]],Transaction[[#This Row],[DiscountAmount_Clean]])</f>
        <v>931.22</v>
      </c>
      <c r="AD563">
        <v>3268.78</v>
      </c>
      <c r="AE563" t="str">
        <f>IF(ROUND(Transaction[[#This Row],[GrossRevenue_Analytical]]-Transaction[[#This Row],[NetRevenue_Analytical]],2)=ROUND(Transaction[[#This Row],[DiscountAmount_Clean]],2),"Valid","Invalid")</f>
        <v>Valid</v>
      </c>
      <c r="AF56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3268.78</v>
      </c>
      <c r="AG563">
        <f>IF(Transaction[[#This Row],[NetRevenue_Check]]="Invalid",(Transaction[[#This Row],[Quantity]]*Transaction[[#This Row],[UnitPrice_Clean]]),Transaction[[#This Row],[NetRevenue_Clean]])</f>
        <v>3268.78</v>
      </c>
      <c r="AH563" t="str">
        <f>IF(Transaction[[#This Row],[Quantity]]*Transaction[[#This Row],[UnitPrice_Clean]]=Transaction[[#This Row],[NetRevenue_Clean]],"Valid","Invalid")</f>
        <v>Valid</v>
      </c>
      <c r="AI563" t="s">
        <v>23</v>
      </c>
      <c r="AJ563" t="s">
        <v>818</v>
      </c>
      <c r="AK563" t="str">
        <f>IF(Transaction[[#This Row],[Salesperson]]="","Missing Value",TRIM(PROPER(Transaction[[#This Row],[Salesperson]])))</f>
        <v>Allen-Ap</v>
      </c>
      <c r="AL563" t="s">
        <v>113</v>
      </c>
      <c r="AM563" t="str">
        <f>IF(Transaction[[#This Row],[ContractType]]="","Missing Value",Transaction[[#This Row],[ContractType]])</f>
        <v>Subscription</v>
      </c>
      <c r="AN563" t="s">
        <v>26</v>
      </c>
    </row>
    <row r="564" spans="1:40" x14ac:dyDescent="0.25">
      <c r="A564" t="s">
        <v>1105</v>
      </c>
      <c r="B564" s="1">
        <v>45817</v>
      </c>
      <c r="C56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56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56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64" s="2">
        <f>IFERROR(DATE(Transaction[[#This Row],[TransactionDateY]],Transaction[[#This Row],[TransactionDateM]],Transaction[[#This Row],[TransactionDateD]]),"Missing Value")</f>
        <v>45817</v>
      </c>
      <c r="G564" t="s">
        <v>208</v>
      </c>
      <c r="H564" t="str">
        <f>IFERROR(VLOOKUP(Transaction[[#This Row],[CustomerID]],Custumer[],1,0),IF(LEN(Transaction[[#This Row],[CustomerID]])=7,LEFT(Transaction[[#This Row],[CustomerID]],6),"Invalid ID"))</f>
        <v>C-1076</v>
      </c>
      <c r="I564" t="s">
        <v>117</v>
      </c>
      <c r="J564" t="str">
        <f>TRIM(UPPER(Transaction[[#This Row],[ProductID]]))</f>
        <v>P-SI-007</v>
      </c>
      <c r="K564" t="str">
        <f>IFERROR(VLOOKUP(Transaction[[#This Row],[ProductID_Clean]],Product[],1,FALSE),"Invalid ID")</f>
        <v>P-SI-007</v>
      </c>
      <c r="L564" t="str">
        <f>TRIM(SUBSTITUTE(SUBSTITUTE(SUBSTITUTE(SUBSTITUTE(UPPER(Transaction[[#This Row],[Region]]),"EMEA REGION","EMEA"),"APAC REGION","APAC"),"NORTH AMERICA","N. AMERICA"),"N .AMERICA","N.AMERICA"))</f>
        <v>APAC</v>
      </c>
      <c r="M564" t="s">
        <v>63</v>
      </c>
      <c r="N564" t="s">
        <v>98</v>
      </c>
      <c r="O56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64" t="s">
        <v>40</v>
      </c>
      <c r="Q564" t="str">
        <f>IF(TRIM(Transaction[[#This Row],[SalesChannel]])="","Missing Value",TRIM(Transaction[[#This Row],[SalesChannel]]))</f>
        <v>Distributor</v>
      </c>
      <c r="R564" s="4">
        <v>1</v>
      </c>
      <c r="S564" s="4" t="str">
        <f>IF(Transaction[[#This Row],[Quantity]]&lt;0,"Negative-review","Valid")</f>
        <v>Valid</v>
      </c>
      <c r="T564">
        <v>633.83000000000004</v>
      </c>
      <c r="U56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633.83000000000004</v>
      </c>
      <c r="V564">
        <v>980</v>
      </c>
      <c r="W564">
        <v>980</v>
      </c>
      <c r="X56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564">
        <f>IF(Transaction[[#This Row],[GrossRevenue_Check]]="Invalid",Transaction[[#This Row],[ListPrice]]*Transaction[[#This Row],[Quantity]],Transaction[[#This Row],[GrossRevenue_Clean]])</f>
        <v>980</v>
      </c>
      <c r="Z564" t="str">
        <f>IF(Transaction[[#This Row],[GrossRevenue_Clean]]=Transaction[[#This Row],[ListPrice]]*Transaction[[#This Row],[Quantity]],"Valid","Invalid")</f>
        <v>Valid</v>
      </c>
      <c r="AA564">
        <v>346.17</v>
      </c>
      <c r="AB56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346.17</v>
      </c>
      <c r="AC564">
        <f>IF(Transaction[[#This Row],[DiscountAmount_Check2]]="Invalid",Transaction[[#This Row],[GrossRevenue_Analytical]]-Transaction[[#This Row],[NetRevenue_Analytical]],Transaction[[#This Row],[DiscountAmount_Clean]])</f>
        <v>346.17</v>
      </c>
      <c r="AD564">
        <v>633.83000000000004</v>
      </c>
      <c r="AE564" t="str">
        <f>IF(ROUND(Transaction[[#This Row],[GrossRevenue_Analytical]]-Transaction[[#This Row],[NetRevenue_Analytical]],2)=ROUND(Transaction[[#This Row],[DiscountAmount_Clean]],2),"Valid","Invalid")</f>
        <v>Valid</v>
      </c>
      <c r="AF564">
        <f>VALUE(IF(ISNUMBER(Transaction[[#This Row],[NetRevenue]]),Transaction[[#This Row],[NetRevenue]],IFERROR(IF(FIND("$",Transaction[[#This Row],[NetRevenue]])&gt;0,MID(Transaction[[#This Row],[NetRevenue]],2,10)),Transaction[[#This Row],[NetRevenue]])))</f>
        <v>633.83000000000004</v>
      </c>
      <c r="AG564">
        <f>IF(Transaction[[#This Row],[NetRevenue_Check]]="Invalid",(Transaction[[#This Row],[Quantity]]*Transaction[[#This Row],[UnitPrice_Clean]]),Transaction[[#This Row],[NetRevenue_Clean]])</f>
        <v>633.83000000000004</v>
      </c>
      <c r="AH564" t="str">
        <f>IF(Transaction[[#This Row],[Quantity]]*Transaction[[#This Row],[UnitPrice_Clean]]=Transaction[[#This Row],[NetRevenue_Clean]],"Valid","Invalid")</f>
        <v>Valid</v>
      </c>
      <c r="AI564" t="s">
        <v>23</v>
      </c>
      <c r="AJ564" t="s">
        <v>625</v>
      </c>
      <c r="AK564" t="str">
        <f>IF(Transaction[[#This Row],[Salesperson]]="","Missing Value",TRIM(PROPER(Transaction[[#This Row],[Salesperson]])))</f>
        <v>Aguilar</v>
      </c>
      <c r="AL564" t="s">
        <v>55</v>
      </c>
      <c r="AM564" t="str">
        <f>IF(Transaction[[#This Row],[ContractType]]="","Missing Value",Transaction[[#This Row],[ContractType]])</f>
        <v>Spot</v>
      </c>
      <c r="AN564" t="s">
        <v>49</v>
      </c>
    </row>
    <row r="565" spans="1:40" x14ac:dyDescent="0.25">
      <c r="A565" t="s">
        <v>1163</v>
      </c>
      <c r="B565" t="s">
        <v>1164</v>
      </c>
      <c r="C56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56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56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65" s="2">
        <f>IFERROR(DATE(Transaction[[#This Row],[TransactionDateY]],Transaction[[#This Row],[TransactionDateM]],Transaction[[#This Row],[TransactionDateD]]),"Missing Value")</f>
        <v>45770</v>
      </c>
      <c r="G565" t="s">
        <v>795</v>
      </c>
      <c r="H565" t="str">
        <f>IFERROR(VLOOKUP(Transaction[[#This Row],[CustomerID]],Custumer[],1,0),IF(LEN(Transaction[[#This Row],[CustomerID]])=7,LEFT(Transaction[[#This Row],[CustomerID]],6),"Invalid ID"))</f>
        <v>C-1118</v>
      </c>
      <c r="I565" t="s">
        <v>71</v>
      </c>
      <c r="J565" t="str">
        <f>TRIM(UPPER(Transaction[[#This Row],[ProductID]]))</f>
        <v>P-SI-003</v>
      </c>
      <c r="K565" t="str">
        <f>IFERROR(VLOOKUP(Transaction[[#This Row],[ProductID_Clean]],Product[],1,FALSE),"Invalid ID")</f>
        <v>P-SI-003</v>
      </c>
      <c r="L565" t="str">
        <f>TRIM(SUBSTITUTE(SUBSTITUTE(SUBSTITUTE(SUBSTITUTE(UPPER(Transaction[[#This Row],[Region]]),"EMEA REGION","EMEA"),"APAC REGION","APAC"),"NORTH AMERICA","N. AMERICA"),"N .AMERICA","N.AMERICA"))</f>
        <v>N. AMERICA</v>
      </c>
      <c r="M565" t="s">
        <v>204</v>
      </c>
      <c r="N565" t="s">
        <v>47</v>
      </c>
      <c r="O56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65" t="s">
        <v>40</v>
      </c>
      <c r="Q565" t="str">
        <f>IF(TRIM(Transaction[[#This Row],[SalesChannel]])="","Missing Value",TRIM(Transaction[[#This Row],[SalesChannel]]))</f>
        <v>Distributor</v>
      </c>
      <c r="R565" s="4">
        <v>4</v>
      </c>
      <c r="S565" s="4" t="str">
        <f>IF(Transaction[[#This Row],[Quantity]]&lt;0,"Negative-review","Valid")</f>
        <v>Valid</v>
      </c>
      <c r="T565">
        <v>1496</v>
      </c>
      <c r="U56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1496</v>
      </c>
      <c r="V565">
        <v>1890</v>
      </c>
      <c r="W565">
        <v>7560</v>
      </c>
      <c r="X56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7560</v>
      </c>
      <c r="Y565">
        <f>IF(Transaction[[#This Row],[GrossRevenue_Check]]="Invalid",Transaction[[#This Row],[ListPrice]]*Transaction[[#This Row],[Quantity]],Transaction[[#This Row],[GrossRevenue_Clean]])</f>
        <v>7560</v>
      </c>
      <c r="Z565" t="str">
        <f>IF(Transaction[[#This Row],[GrossRevenue_Clean]]=Transaction[[#This Row],[ListPrice]]*Transaction[[#This Row],[Quantity]],"Valid","Invalid")</f>
        <v>Valid</v>
      </c>
      <c r="AA565">
        <v>1576</v>
      </c>
      <c r="AB56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1576</v>
      </c>
      <c r="AC565">
        <f>IF(Transaction[[#This Row],[DiscountAmount_Check2]]="Invalid",Transaction[[#This Row],[GrossRevenue_Analytical]]-Transaction[[#This Row],[NetRevenue_Analytical]],Transaction[[#This Row],[DiscountAmount_Clean]])</f>
        <v>1576</v>
      </c>
      <c r="AD565">
        <v>5984</v>
      </c>
      <c r="AE565" t="str">
        <f>IF(ROUND(Transaction[[#This Row],[GrossRevenue_Analytical]]-Transaction[[#This Row],[NetRevenue_Analytical]],2)=ROUND(Transaction[[#This Row],[DiscountAmount_Clean]],2),"Valid","Invalid")</f>
        <v>Valid</v>
      </c>
      <c r="AF565">
        <f>VALUE(IF(ISNUMBER(Transaction[[#This Row],[NetRevenue]]),Transaction[[#This Row],[NetRevenue]],IFERROR(IF(FIND("$",Transaction[[#This Row],[NetRevenue]])&gt;0,MID(Transaction[[#This Row],[NetRevenue]],2,10)),Transaction[[#This Row],[NetRevenue]])))</f>
        <v>5984</v>
      </c>
      <c r="AG565">
        <f>IF(Transaction[[#This Row],[NetRevenue_Check]]="Invalid",(Transaction[[#This Row],[Quantity]]*Transaction[[#This Row],[UnitPrice_Clean]]),Transaction[[#This Row],[NetRevenue_Clean]])</f>
        <v>5984</v>
      </c>
      <c r="AH565" t="str">
        <f>IF(Transaction[[#This Row],[Quantity]]*Transaction[[#This Row],[UnitPrice_Clean]]=Transaction[[#This Row],[NetRevenue_Clean]],"Valid","Invalid")</f>
        <v>Valid</v>
      </c>
      <c r="AI565" t="s">
        <v>23</v>
      </c>
      <c r="AJ565" t="s">
        <v>1165</v>
      </c>
      <c r="AK565" t="str">
        <f>IF(Transaction[[#This Row],[Salesperson]]="","Missing Value",TRIM(PROPER(Transaction[[#This Row],[Salesperson]])))</f>
        <v>Williams</v>
      </c>
      <c r="AL565" t="s">
        <v>42</v>
      </c>
      <c r="AM565" t="str">
        <f>IF(Transaction[[#This Row],[ContractType]]="","Missing Value",Transaction[[#This Row],[ContractType]])</f>
        <v>Standard PO</v>
      </c>
      <c r="AN565" t="s">
        <v>49</v>
      </c>
    </row>
    <row r="566" spans="1:40" x14ac:dyDescent="0.25">
      <c r="A566" t="s">
        <v>3029</v>
      </c>
      <c r="B566" s="1">
        <v>45763</v>
      </c>
      <c r="C56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56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56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66" s="2">
        <f>IFERROR(DATE(Transaction[[#This Row],[TransactionDateY]],Transaction[[#This Row],[TransactionDateM]],Transaction[[#This Row],[TransactionDateD]]),"Missing Value")</f>
        <v>45763</v>
      </c>
      <c r="G566" t="s">
        <v>247</v>
      </c>
      <c r="H566" t="str">
        <f>IFERROR(VLOOKUP(Transaction[[#This Row],[CustomerID]],Custumer[],1,0),IF(LEN(Transaction[[#This Row],[CustomerID]])=7,LEFT(Transaction[[#This Row],[CustomerID]],6),"Invalid ID"))</f>
        <v>C-1045</v>
      </c>
      <c r="I566" t="s">
        <v>39</v>
      </c>
      <c r="J566" t="str">
        <f>TRIM(UPPER(Transaction[[#This Row],[ProductID]]))</f>
        <v>P-FS-006</v>
      </c>
      <c r="K566" t="str">
        <f>IFERROR(VLOOKUP(Transaction[[#This Row],[ProductID_Clean]],Product[],1,FALSE),"Invalid ID")</f>
        <v>P-FS-006</v>
      </c>
      <c r="L566" t="str">
        <f>TRIM(SUBSTITUTE(SUBSTITUTE(SUBSTITUTE(SUBSTITUTE(UPPER(Transaction[[#This Row],[Region]]),"EMEA REGION","EMEA"),"APAC REGION","APAC"),"NORTH AMERICA","N. AMERICA"),"N .AMERICA","N.AMERICA"))</f>
        <v>EMEA</v>
      </c>
      <c r="M566" t="s">
        <v>76</v>
      </c>
      <c r="N566" t="s">
        <v>21</v>
      </c>
      <c r="O56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566" t="s">
        <v>40</v>
      </c>
      <c r="Q566" t="str">
        <f>IF(TRIM(Transaction[[#This Row],[SalesChannel]])="","Missing Value",TRIM(Transaction[[#This Row],[SalesChannel]]))</f>
        <v>Distributor</v>
      </c>
      <c r="R566" s="4">
        <v>1</v>
      </c>
      <c r="S566" s="4" t="str">
        <f>IF(Transaction[[#This Row],[Quantity]]&lt;0,"Negative-review","Valid")</f>
        <v>Valid</v>
      </c>
      <c r="T566">
        <v>1079.8599999999999</v>
      </c>
      <c r="U56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1079.8599999999999</v>
      </c>
      <c r="V566">
        <v>1450</v>
      </c>
      <c r="W566">
        <v>1450</v>
      </c>
      <c r="X56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566">
        <f>IF(Transaction[[#This Row],[GrossRevenue_Check]]="Invalid",Transaction[[#This Row],[ListPrice]]*Transaction[[#This Row],[Quantity]],Transaction[[#This Row],[GrossRevenue_Clean]])</f>
        <v>1450</v>
      </c>
      <c r="Z566" t="str">
        <f>IF(Transaction[[#This Row],[GrossRevenue_Clean]]=Transaction[[#This Row],[ListPrice]]*Transaction[[#This Row],[Quantity]],"Valid","Invalid")</f>
        <v>Valid</v>
      </c>
      <c r="AA566">
        <v>370.14</v>
      </c>
      <c r="AB56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370.14</v>
      </c>
      <c r="AC566">
        <f>IF(Transaction[[#This Row],[DiscountAmount_Check2]]="Invalid",Transaction[[#This Row],[GrossRevenue_Analytical]]-Transaction[[#This Row],[NetRevenue_Analytical]],Transaction[[#This Row],[DiscountAmount_Clean]])</f>
        <v>370.14</v>
      </c>
      <c r="AD566">
        <v>1079.8599999999999</v>
      </c>
      <c r="AE566" t="str">
        <f>IF(ROUND(Transaction[[#This Row],[GrossRevenue_Analytical]]-Transaction[[#This Row],[NetRevenue_Analytical]],2)=ROUND(Transaction[[#This Row],[DiscountAmount_Clean]],2),"Valid","Invalid")</f>
        <v>Valid</v>
      </c>
      <c r="AF56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1079.8599999999999</v>
      </c>
      <c r="AG566">
        <f>IF(Transaction[[#This Row],[NetRevenue_Check]]="Invalid",(Transaction[[#This Row],[Quantity]]*Transaction[[#This Row],[UnitPrice_Clean]]),Transaction[[#This Row],[NetRevenue_Clean]])</f>
        <v>1079.8599999999999</v>
      </c>
      <c r="AH566" t="str">
        <f>IF(Transaction[[#This Row],[Quantity]]*Transaction[[#This Row],[UnitPrice_Clean]]=Transaction[[#This Row],[NetRevenue_Clean]],"Valid","Invalid")</f>
        <v>Valid</v>
      </c>
      <c r="AI566" t="s">
        <v>23</v>
      </c>
      <c r="AJ566" t="s">
        <v>2886</v>
      </c>
      <c r="AK566" t="str">
        <f>IF(Transaction[[#This Row],[Salesperson]]="","Missing Value",TRIM(PROPER(Transaction[[#This Row],[Salesperson]])))</f>
        <v>Campbell</v>
      </c>
      <c r="AL566" t="s">
        <v>42</v>
      </c>
      <c r="AM566" t="str">
        <f>IF(Transaction[[#This Row],[ContractType]]="","Missing Value",Transaction[[#This Row],[ContractType]])</f>
        <v>Standard PO</v>
      </c>
      <c r="AN566" t="s">
        <v>35</v>
      </c>
    </row>
    <row r="567" spans="1:40" x14ac:dyDescent="0.25">
      <c r="A567" t="s">
        <v>2849</v>
      </c>
      <c r="B567" s="1">
        <v>45831</v>
      </c>
      <c r="C56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56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56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67" s="2">
        <f>IFERROR(DATE(Transaction[[#This Row],[TransactionDateY]],Transaction[[#This Row],[TransactionDateM]],Transaction[[#This Row],[TransactionDateD]]),"Missing Value")</f>
        <v>45831</v>
      </c>
      <c r="G567" t="s">
        <v>808</v>
      </c>
      <c r="H567" t="str">
        <f>IFERROR(VLOOKUP(Transaction[[#This Row],[CustomerID]],Custumer[],1,0),IF(LEN(Transaction[[#This Row],[CustomerID]])=7,LEFT(Transaction[[#This Row],[CustomerID]],6),"Invalid ID"))</f>
        <v>C-1044</v>
      </c>
      <c r="I567" t="s">
        <v>97</v>
      </c>
      <c r="J567" t="str">
        <f>TRIM(UPPER(Transaction[[#This Row],[ProductID]]))</f>
        <v>P-SI-001</v>
      </c>
      <c r="K567" t="str">
        <f>IFERROR(VLOOKUP(Transaction[[#This Row],[ProductID_Clean]],Product[],1,FALSE),"Invalid ID")</f>
        <v>P-SI-001</v>
      </c>
      <c r="L567" t="str">
        <f>TRIM(SUBSTITUTE(SUBSTITUTE(SUBSTITUTE(SUBSTITUTE(UPPER(Transaction[[#This Row],[Region]]),"EMEA REGION","EMEA"),"APAC REGION","APAC"),"NORTH AMERICA","N. AMERICA"),"N .AMERICA","N.AMERICA"))</f>
        <v>N. AMERICA</v>
      </c>
      <c r="M567" t="s">
        <v>20</v>
      </c>
      <c r="N567" t="s">
        <v>47</v>
      </c>
      <c r="O56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67" t="s">
        <v>22</v>
      </c>
      <c r="Q567" t="str">
        <f>IF(TRIM(Transaction[[#This Row],[SalesChannel]])="","Missing Value",TRIM(Transaction[[#This Row],[SalesChannel]]))</f>
        <v>Direct</v>
      </c>
      <c r="R567" s="4">
        <v>8</v>
      </c>
      <c r="S567" s="4" t="str">
        <f>IF(Transaction[[#This Row],[Quantity]]&lt;0,"Negative-review","Valid")</f>
        <v>Valid</v>
      </c>
      <c r="T567" t="s">
        <v>2850</v>
      </c>
      <c r="U56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444.64</v>
      </c>
      <c r="V567">
        <v>485</v>
      </c>
      <c r="W567">
        <v>3880</v>
      </c>
      <c r="X56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3880</v>
      </c>
      <c r="Y567">
        <f>IF(Transaction[[#This Row],[GrossRevenue_Check]]="Invalid",Transaction[[#This Row],[ListPrice]]*Transaction[[#This Row],[Quantity]],Transaction[[#This Row],[GrossRevenue_Clean]])</f>
        <v>3880</v>
      </c>
      <c r="Z567" t="str">
        <f>IF(Transaction[[#This Row],[GrossRevenue_Clean]]=Transaction[[#This Row],[ListPrice]]*Transaction[[#This Row],[Quantity]],"Valid","Invalid")</f>
        <v>Valid</v>
      </c>
      <c r="AA567">
        <v>322.88</v>
      </c>
      <c r="AB56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322.88</v>
      </c>
      <c r="AC567">
        <f>IF(Transaction[[#This Row],[DiscountAmount_Check2]]="Invalid",Transaction[[#This Row],[GrossRevenue_Analytical]]-Transaction[[#This Row],[NetRevenue_Analytical]],Transaction[[#This Row],[DiscountAmount_Clean]])</f>
        <v>322.88</v>
      </c>
      <c r="AD567">
        <v>3557.12</v>
      </c>
      <c r="AE567" t="str">
        <f>IF(ROUND(Transaction[[#This Row],[GrossRevenue_Analytical]]-Transaction[[#This Row],[NetRevenue_Analytical]],2)=ROUND(Transaction[[#This Row],[DiscountAmount_Clean]],2),"Valid","Invalid")</f>
        <v>Valid</v>
      </c>
      <c r="AF56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3557.12</v>
      </c>
      <c r="AG567">
        <f>IF(Transaction[[#This Row],[NetRevenue_Check]]="Invalid",(Transaction[[#This Row],[Quantity]]*Transaction[[#This Row],[UnitPrice_Clean]]),Transaction[[#This Row],[NetRevenue_Clean]])</f>
        <v>3557.12</v>
      </c>
      <c r="AH567" t="str">
        <f>IF(Transaction[[#This Row],[Quantity]]*Transaction[[#This Row],[UnitPrice_Clean]]=Transaction[[#This Row],[NetRevenue_Clean]],"Valid","Invalid")</f>
        <v>Valid</v>
      </c>
      <c r="AI567" t="s">
        <v>23</v>
      </c>
      <c r="AJ567" t="s">
        <v>2851</v>
      </c>
      <c r="AK567" t="str">
        <f>IF(Transaction[[#This Row],[Salesperson]]="","Missing Value",TRIM(PROPER(Transaction[[#This Row],[Salesperson]])))</f>
        <v>Harper-Ap</v>
      </c>
      <c r="AL567" t="s">
        <v>42</v>
      </c>
      <c r="AM567" t="str">
        <f>IF(Transaction[[#This Row],[ContractType]]="","Missing Value",Transaction[[#This Row],[ContractType]])</f>
        <v>Standard PO</v>
      </c>
      <c r="AN567" t="s">
        <v>49</v>
      </c>
    </row>
    <row r="568" spans="1:40" x14ac:dyDescent="0.25">
      <c r="A568" t="s">
        <v>3002</v>
      </c>
      <c r="B568" s="1">
        <v>45718</v>
      </c>
      <c r="C56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56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56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68" s="2">
        <f>IFERROR(DATE(Transaction[[#This Row],[TransactionDateY]],Transaction[[#This Row],[TransactionDateM]],Transaction[[#This Row],[TransactionDateD]]),"Missing Value")</f>
        <v>45718</v>
      </c>
      <c r="G568" t="s">
        <v>1553</v>
      </c>
      <c r="H568" t="str">
        <f>IFERROR(VLOOKUP(Transaction[[#This Row],[CustomerID]],Custumer[],1,0),IF(LEN(Transaction[[#This Row],[CustomerID]])=7,LEFT(Transaction[[#This Row],[CustomerID]],6),"Invalid ID"))</f>
        <v>C-1150</v>
      </c>
      <c r="I568" t="s">
        <v>52</v>
      </c>
      <c r="J568" t="str">
        <f>TRIM(UPPER(Transaction[[#This Row],[ProductID]]))</f>
        <v>P-SI-002</v>
      </c>
      <c r="K568" t="str">
        <f>IFERROR(VLOOKUP(Transaction[[#This Row],[ProductID_Clean]],Product[],1,FALSE),"Invalid ID")</f>
        <v>P-SI-002</v>
      </c>
      <c r="L568" t="str">
        <f>TRIM(SUBSTITUTE(SUBSTITUTE(SUBSTITUTE(SUBSTITUTE(UPPER(Transaction[[#This Row],[Region]]),"EMEA REGION","EMEA"),"APAC REGION","APAC"),"NORTH AMERICA","N. AMERICA"),"N .AMERICA","N.AMERICA"))</f>
        <v>N. AMERICA</v>
      </c>
      <c r="M568" t="s">
        <v>20</v>
      </c>
      <c r="N568" t="s">
        <v>53</v>
      </c>
      <c r="O56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68" t="s">
        <v>40</v>
      </c>
      <c r="Q568" t="str">
        <f>IF(TRIM(Transaction[[#This Row],[SalesChannel]])="","Missing Value",TRIM(Transaction[[#This Row],[SalesChannel]]))</f>
        <v>Distributor</v>
      </c>
      <c r="R568" s="4">
        <v>1</v>
      </c>
      <c r="S568" s="4" t="str">
        <f>IF(Transaction[[#This Row],[Quantity]]&lt;0,"Negative-review","Valid")</f>
        <v>Valid</v>
      </c>
      <c r="T568">
        <v>643.79</v>
      </c>
      <c r="U56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643.79</v>
      </c>
      <c r="V568">
        <v>725</v>
      </c>
      <c r="W568">
        <v>725</v>
      </c>
      <c r="X56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568">
        <f>IF(Transaction[[#This Row],[GrossRevenue_Check]]="Invalid",Transaction[[#This Row],[ListPrice]]*Transaction[[#This Row],[Quantity]],Transaction[[#This Row],[GrossRevenue_Clean]])</f>
        <v>725</v>
      </c>
      <c r="Z568" t="str">
        <f>IF(Transaction[[#This Row],[GrossRevenue_Clean]]=Transaction[[#This Row],[ListPrice]]*Transaction[[#This Row],[Quantity]],"Valid","Invalid")</f>
        <v>Valid</v>
      </c>
      <c r="AA568">
        <v>81.209999999999994</v>
      </c>
      <c r="AB56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81.209999999999994</v>
      </c>
      <c r="AC568">
        <f>IF(Transaction[[#This Row],[DiscountAmount_Check2]]="Invalid",Transaction[[#This Row],[GrossRevenue_Analytical]]-Transaction[[#This Row],[NetRevenue_Analytical]],Transaction[[#This Row],[DiscountAmount_Clean]])</f>
        <v>81.209999999999994</v>
      </c>
      <c r="AD568">
        <v>643.79</v>
      </c>
      <c r="AE568" t="str">
        <f>IF(ROUND(Transaction[[#This Row],[GrossRevenue_Analytical]]-Transaction[[#This Row],[NetRevenue_Analytical]],2)=ROUND(Transaction[[#This Row],[DiscountAmount_Clean]],2),"Valid","Invalid")</f>
        <v>Valid</v>
      </c>
      <c r="AF568">
        <f>VALUE(IF(ISNUMBER(Transaction[[#This Row],[NetRevenue]]),Transaction[[#This Row],[NetRevenue]],IFERROR(IF(FIND("$",Transaction[[#This Row],[NetRevenue]])&gt;0,MID(Transaction[[#This Row],[NetRevenue]],2,10)),Transaction[[#This Row],[NetRevenue]])))</f>
        <v>643.79</v>
      </c>
      <c r="AG568">
        <f>IF(Transaction[[#This Row],[NetRevenue_Check]]="Invalid",(Transaction[[#This Row],[Quantity]]*Transaction[[#This Row],[UnitPrice_Clean]]),Transaction[[#This Row],[NetRevenue_Clean]])</f>
        <v>643.79</v>
      </c>
      <c r="AH568" t="str">
        <f>IF(Transaction[[#This Row],[Quantity]]*Transaction[[#This Row],[UnitPrice_Clean]]=Transaction[[#This Row],[NetRevenue_Clean]],"Valid","Invalid")</f>
        <v>Valid</v>
      </c>
      <c r="AI568" t="s">
        <v>23</v>
      </c>
      <c r="AJ568" t="s">
        <v>3003</v>
      </c>
      <c r="AK568" t="str">
        <f>IF(Transaction[[#This Row],[Salesperson]]="","Missing Value",TRIM(PROPER(Transaction[[#This Row],[Salesperson]])))</f>
        <v>Cameron-Na</v>
      </c>
      <c r="AL568" t="s">
        <v>42</v>
      </c>
      <c r="AM568" t="str">
        <f>IF(Transaction[[#This Row],[ContractType]]="","Missing Value",Transaction[[#This Row],[ContractType]])</f>
        <v>Standard PO</v>
      </c>
      <c r="AN568" t="s">
        <v>65</v>
      </c>
    </row>
    <row r="569" spans="1:40" x14ac:dyDescent="0.25">
      <c r="A569" t="s">
        <v>2984</v>
      </c>
      <c r="C56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56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56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569" s="2" t="str">
        <f>IFERROR(DATE(Transaction[[#This Row],[TransactionDateY]],Transaction[[#This Row],[TransactionDateM]],Transaction[[#This Row],[TransactionDateD]]),"Missing Value")</f>
        <v>Missing Value</v>
      </c>
      <c r="G569" t="s">
        <v>1518</v>
      </c>
      <c r="H569" t="str">
        <f>IFERROR(VLOOKUP(Transaction[[#This Row],[CustomerID]],Custumer[],1,0),IF(LEN(Transaction[[#This Row],[CustomerID]])=7,LEFT(Transaction[[#This Row],[CustomerID]],6),"Invalid ID"))</f>
        <v>C-1138</v>
      </c>
      <c r="I569" t="s">
        <v>75</v>
      </c>
      <c r="J569" t="str">
        <f>TRIM(UPPER(Transaction[[#This Row],[ProductID]]))</f>
        <v>P-SA-005</v>
      </c>
      <c r="K569" t="str">
        <f>IFERROR(VLOOKUP(Transaction[[#This Row],[ProductID_Clean]],Product[],1,FALSE),"Invalid ID")</f>
        <v>P-SA-005</v>
      </c>
      <c r="L569" t="str">
        <f>TRIM(SUBSTITUTE(SUBSTITUTE(SUBSTITUTE(SUBSTITUTE(UPPER(Transaction[[#This Row],[Region]]),"EMEA REGION","EMEA"),"APAC REGION","APAC"),"NORTH AMERICA","N. AMERICA"),"N .AMERICA","N.AMERICA"))</f>
        <v>EMEA</v>
      </c>
      <c r="M569" t="s">
        <v>76</v>
      </c>
      <c r="N569" t="s">
        <v>31</v>
      </c>
      <c r="O56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69" t="s">
        <v>22</v>
      </c>
      <c r="Q569" t="str">
        <f>IF(TRIM(Transaction[[#This Row],[SalesChannel]])="","Missing Value",TRIM(Transaction[[#This Row],[SalesChannel]]))</f>
        <v>Direct</v>
      </c>
      <c r="R569" s="4">
        <v>1</v>
      </c>
      <c r="S569" s="4" t="str">
        <f>IF(Transaction[[#This Row],[Quantity]]&lt;0,"Negative-review","Valid")</f>
        <v>Valid</v>
      </c>
      <c r="T569">
        <v>2766.67</v>
      </c>
      <c r="U56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2766.67</v>
      </c>
      <c r="V569">
        <v>3200</v>
      </c>
      <c r="W569">
        <v>3200</v>
      </c>
      <c r="X56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569">
        <f>IF(Transaction[[#This Row],[GrossRevenue_Check]]="Invalid",Transaction[[#This Row],[ListPrice]]*Transaction[[#This Row],[Quantity]],Transaction[[#This Row],[GrossRevenue_Clean]])</f>
        <v>3200</v>
      </c>
      <c r="Z569" t="str">
        <f>IF(Transaction[[#This Row],[GrossRevenue_Clean]]=Transaction[[#This Row],[ListPrice]]*Transaction[[#This Row],[Quantity]],"Valid","Invalid")</f>
        <v>Valid</v>
      </c>
      <c r="AA569">
        <v>433.33</v>
      </c>
      <c r="AB56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433.33</v>
      </c>
      <c r="AC569">
        <f>IF(Transaction[[#This Row],[DiscountAmount_Check2]]="Invalid",Transaction[[#This Row],[GrossRevenue_Analytical]]-Transaction[[#This Row],[NetRevenue_Analytical]],Transaction[[#This Row],[DiscountAmount_Clean]])</f>
        <v>433.33</v>
      </c>
      <c r="AD569" t="s">
        <v>2985</v>
      </c>
      <c r="AE569" t="str">
        <f>IF(ROUND(Transaction[[#This Row],[GrossRevenue_Analytical]]-Transaction[[#This Row],[NetRevenue_Analytical]],2)=ROUND(Transaction[[#This Row],[DiscountAmount_Clean]],2),"Valid","Invalid")</f>
        <v>Valid</v>
      </c>
      <c r="AF56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2766.67</v>
      </c>
      <c r="AG569">
        <f>IF(Transaction[[#This Row],[NetRevenue_Check]]="Invalid",(Transaction[[#This Row],[Quantity]]*Transaction[[#This Row],[UnitPrice_Clean]]),Transaction[[#This Row],[NetRevenue_Clean]])</f>
        <v>2766.67</v>
      </c>
      <c r="AH569" t="str">
        <f>IF(Transaction[[#This Row],[Quantity]]*Transaction[[#This Row],[UnitPrice_Clean]]=Transaction[[#This Row],[NetRevenue_Clean]],"Valid","Invalid")</f>
        <v>Valid</v>
      </c>
      <c r="AI569" t="s">
        <v>99</v>
      </c>
      <c r="AJ569" t="s">
        <v>2805</v>
      </c>
      <c r="AK569" t="str">
        <f>IF(Transaction[[#This Row],[Salesperson]]="","Missing Value",TRIM(PROPER(Transaction[[#This Row],[Salesperson]])))</f>
        <v>Chambers</v>
      </c>
      <c r="AL569" t="s">
        <v>34</v>
      </c>
      <c r="AM569" t="str">
        <f>IF(Transaction[[#This Row],[ContractType]]="","Missing Value",Transaction[[#This Row],[ContractType]])</f>
        <v>Annual License</v>
      </c>
      <c r="AN569" t="s">
        <v>35</v>
      </c>
    </row>
    <row r="570" spans="1:40" x14ac:dyDescent="0.25">
      <c r="A570" t="s">
        <v>1197</v>
      </c>
      <c r="B570" t="s">
        <v>1198</v>
      </c>
      <c r="C57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57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57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70" s="2">
        <f>IFERROR(DATE(Transaction[[#This Row],[TransactionDateY]],Transaction[[#This Row],[TransactionDateM]],Transaction[[#This Row],[TransactionDateD]]),"Missing Value")</f>
        <v>45772</v>
      </c>
      <c r="G570" t="s">
        <v>116</v>
      </c>
      <c r="H570" t="str">
        <f>IFERROR(VLOOKUP(Transaction[[#This Row],[CustomerID]],Custumer[],1,0),IF(LEN(Transaction[[#This Row],[CustomerID]])=7,LEFT(Transaction[[#This Row],[CustomerID]],6),"Invalid ID"))</f>
        <v>C-1167</v>
      </c>
      <c r="I570" t="s">
        <v>97</v>
      </c>
      <c r="J570" t="str">
        <f>TRIM(UPPER(Transaction[[#This Row],[ProductID]]))</f>
        <v>P-SI-001</v>
      </c>
      <c r="K570" t="str">
        <f>IFERROR(VLOOKUP(Transaction[[#This Row],[ProductID_Clean]],Product[],1,FALSE),"Invalid ID")</f>
        <v>P-SI-001</v>
      </c>
      <c r="L570" t="str">
        <f>TRIM(SUBSTITUTE(SUBSTITUTE(SUBSTITUTE(SUBSTITUTE(UPPER(Transaction[[#This Row],[Region]]),"EMEA REGION","EMEA"),"APAC REGION","APAC"),"NORTH AMERICA","N. AMERICA"),"N .AMERICA","N.AMERICA"))</f>
        <v>EMEA</v>
      </c>
      <c r="M570" t="s">
        <v>87</v>
      </c>
      <c r="N570" t="s">
        <v>53</v>
      </c>
      <c r="O57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70" t="s">
        <v>40</v>
      </c>
      <c r="Q570" t="str">
        <f>IF(TRIM(Transaction[[#This Row],[SalesChannel]])="","Missing Value",TRIM(Transaction[[#This Row],[SalesChannel]]))</f>
        <v>Distributor</v>
      </c>
      <c r="R570" s="4">
        <v>10</v>
      </c>
      <c r="S570" s="4" t="str">
        <f>IF(Transaction[[#This Row],[Quantity]]&lt;0,"Negative-review","Valid")</f>
        <v>Valid</v>
      </c>
      <c r="T570">
        <v>394.4</v>
      </c>
      <c r="U57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394.4</v>
      </c>
      <c r="V570">
        <v>485</v>
      </c>
      <c r="W570">
        <v>4850</v>
      </c>
      <c r="X57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4850</v>
      </c>
      <c r="Y570">
        <f>IF(Transaction[[#This Row],[GrossRevenue_Check]]="Invalid",Transaction[[#This Row],[ListPrice]]*Transaction[[#This Row],[Quantity]],Transaction[[#This Row],[GrossRevenue_Clean]])</f>
        <v>4850</v>
      </c>
      <c r="Z570" t="str">
        <f>IF(Transaction[[#This Row],[GrossRevenue_Clean]]=Transaction[[#This Row],[ListPrice]]*Transaction[[#This Row],[Quantity]],"Valid","Invalid")</f>
        <v>Valid</v>
      </c>
      <c r="AA570">
        <v>906</v>
      </c>
      <c r="AB57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906</v>
      </c>
      <c r="AC570">
        <f>IF(Transaction[[#This Row],[DiscountAmount_Check2]]="Invalid",Transaction[[#This Row],[GrossRevenue_Analytical]]-Transaction[[#This Row],[NetRevenue_Analytical]],Transaction[[#This Row],[DiscountAmount_Clean]])</f>
        <v>906</v>
      </c>
      <c r="AD570">
        <v>3944</v>
      </c>
      <c r="AE570" t="str">
        <f>IF(ROUND(Transaction[[#This Row],[GrossRevenue_Analytical]]-Transaction[[#This Row],[NetRevenue_Analytical]],2)=ROUND(Transaction[[#This Row],[DiscountAmount_Clean]],2),"Valid","Invalid")</f>
        <v>Valid</v>
      </c>
      <c r="AF570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3944</v>
      </c>
      <c r="AG570">
        <f>IF(Transaction[[#This Row],[NetRevenue_Check]]="Invalid",(Transaction[[#This Row],[Quantity]]*Transaction[[#This Row],[UnitPrice_Clean]]),Transaction[[#This Row],[NetRevenue_Clean]])</f>
        <v>3944</v>
      </c>
      <c r="AH570" t="str">
        <f>IF(Transaction[[#This Row],[Quantity]]*Transaction[[#This Row],[UnitPrice_Clean]]=Transaction[[#This Row],[NetRevenue_Clean]],"Valid","Invalid")</f>
        <v>Valid</v>
      </c>
      <c r="AI570" t="s">
        <v>23</v>
      </c>
      <c r="AJ570" t="s">
        <v>417</v>
      </c>
      <c r="AK570" t="str">
        <f>IF(Transaction[[#This Row],[Salesperson]]="","Missing Value",TRIM(PROPER(Transaction[[#This Row],[Salesperson]])))</f>
        <v>Mitchell</v>
      </c>
      <c r="AL570" t="s">
        <v>55</v>
      </c>
      <c r="AM570" t="str">
        <f>IF(Transaction[[#This Row],[ContractType]]="","Missing Value",Transaction[[#This Row],[ContractType]])</f>
        <v>Spot</v>
      </c>
      <c r="AN570" t="s">
        <v>49</v>
      </c>
    </row>
    <row r="571" spans="1:40" x14ac:dyDescent="0.25">
      <c r="A571" t="s">
        <v>464</v>
      </c>
      <c r="B571" s="1">
        <v>45794</v>
      </c>
      <c r="C57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57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57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71" s="2">
        <f>IFERROR(DATE(Transaction[[#This Row],[TransactionDateY]],Transaction[[#This Row],[TransactionDateM]],Transaction[[#This Row],[TransactionDateD]]),"Missing Value")</f>
        <v>45794</v>
      </c>
      <c r="G571" t="s">
        <v>67</v>
      </c>
      <c r="H571" t="str">
        <f>IFERROR(VLOOKUP(Transaction[[#This Row],[CustomerID]],Custumer[],1,0),IF(LEN(Transaction[[#This Row],[CustomerID]])=7,LEFT(Transaction[[#This Row],[CustomerID]],6),"Invalid ID"))</f>
        <v>C-1175</v>
      </c>
      <c r="I571" t="s">
        <v>97</v>
      </c>
      <c r="J571" t="str">
        <f>TRIM(UPPER(Transaction[[#This Row],[ProductID]]))</f>
        <v>P-SI-001</v>
      </c>
      <c r="K571" t="str">
        <f>IFERROR(VLOOKUP(Transaction[[#This Row],[ProductID_Clean]],Product[],1,FALSE),"Invalid ID")</f>
        <v>P-SI-001</v>
      </c>
      <c r="L571" t="str">
        <f>TRIM(SUBSTITUTE(SUBSTITUTE(SUBSTITUTE(SUBSTITUTE(UPPER(Transaction[[#This Row],[Region]]),"EMEA REGION","EMEA"),"APAC REGION","APAC"),"NORTH AMERICA","N. AMERICA"),"N .AMERICA","N.AMERICA"))</f>
        <v>N. AMERICA</v>
      </c>
      <c r="M571" t="s">
        <v>20</v>
      </c>
      <c r="N571" t="s">
        <v>272</v>
      </c>
      <c r="O57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71" t="s">
        <v>40</v>
      </c>
      <c r="Q571" t="str">
        <f>IF(TRIM(Transaction[[#This Row],[SalesChannel]])="","Missing Value",TRIM(Transaction[[#This Row],[SalesChannel]]))</f>
        <v>Distributor</v>
      </c>
      <c r="R571" s="4">
        <v>1</v>
      </c>
      <c r="S571" s="4" t="str">
        <f>IF(Transaction[[#This Row],[Quantity]]&lt;0,"Negative-review","Valid")</f>
        <v>Valid</v>
      </c>
      <c r="T571">
        <v>385.77</v>
      </c>
      <c r="U57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385.77</v>
      </c>
      <c r="V571">
        <v>485</v>
      </c>
      <c r="W571">
        <v>485</v>
      </c>
      <c r="X57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571">
        <f>IF(Transaction[[#This Row],[GrossRevenue_Check]]="Invalid",Transaction[[#This Row],[ListPrice]]*Transaction[[#This Row],[Quantity]],Transaction[[#This Row],[GrossRevenue_Clean]])</f>
        <v>485</v>
      </c>
      <c r="Z571" t="str">
        <f>IF(Transaction[[#This Row],[GrossRevenue_Clean]]=Transaction[[#This Row],[ListPrice]]*Transaction[[#This Row],[Quantity]],"Valid","Invalid")</f>
        <v>Valid</v>
      </c>
      <c r="AA571">
        <v>99.23</v>
      </c>
      <c r="AB57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99.23</v>
      </c>
      <c r="AC571">
        <f>IF(Transaction[[#This Row],[DiscountAmount_Check2]]="Invalid",Transaction[[#This Row],[GrossRevenue_Analytical]]-Transaction[[#This Row],[NetRevenue_Analytical]],Transaction[[#This Row],[DiscountAmount_Clean]])</f>
        <v>99.23</v>
      </c>
      <c r="AD571">
        <v>385.77</v>
      </c>
      <c r="AE571" t="str">
        <f>IF(ROUND(Transaction[[#This Row],[GrossRevenue_Analytical]]-Transaction[[#This Row],[NetRevenue_Analytical]],2)=ROUND(Transaction[[#This Row],[DiscountAmount_Clean]],2),"Valid","Invalid")</f>
        <v>Valid</v>
      </c>
      <c r="AF571">
        <f>VALUE(IF(ISNUMBER(Transaction[[#This Row],[NetRevenue]]),Transaction[[#This Row],[NetRevenue]],IFERROR(IF(FIND("$",Transaction[[#This Row],[NetRevenue]])&gt;0,MID(Transaction[[#This Row],[NetRevenue]],2,10)),Transaction[[#This Row],[NetRevenue]])))</f>
        <v>385.77</v>
      </c>
      <c r="AG571">
        <f>IF(Transaction[[#This Row],[NetRevenue_Check]]="Invalid",(Transaction[[#This Row],[Quantity]]*Transaction[[#This Row],[UnitPrice_Clean]]),Transaction[[#This Row],[NetRevenue_Clean]])</f>
        <v>385.77</v>
      </c>
      <c r="AH571" t="str">
        <f>IF(Transaction[[#This Row],[Quantity]]*Transaction[[#This Row],[UnitPrice_Clean]]=Transaction[[#This Row],[NetRevenue_Clean]],"Valid","Invalid")</f>
        <v>Valid</v>
      </c>
      <c r="AI571" t="s">
        <v>23</v>
      </c>
      <c r="AJ571" t="s">
        <v>465</v>
      </c>
      <c r="AK571" t="str">
        <f>IF(Transaction[[#This Row],[Salesperson]]="","Missing Value",TRIM(PROPER(Transaction[[#This Row],[Salesperson]])))</f>
        <v>Smith</v>
      </c>
      <c r="AL571" t="s">
        <v>55</v>
      </c>
      <c r="AM571" t="str">
        <f>IF(Transaction[[#This Row],[ContractType]]="","Missing Value",Transaction[[#This Row],[ContractType]])</f>
        <v>Spot</v>
      </c>
      <c r="AN571" t="s">
        <v>43</v>
      </c>
    </row>
    <row r="572" spans="1:40" x14ac:dyDescent="0.25">
      <c r="A572" t="s">
        <v>2012</v>
      </c>
      <c r="B572" s="1">
        <v>45737</v>
      </c>
      <c r="C57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57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57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72" s="2">
        <f>IFERROR(DATE(Transaction[[#This Row],[TransactionDateY]],Transaction[[#This Row],[TransactionDateM]],Transaction[[#This Row],[TransactionDateD]]),"Missing Value")</f>
        <v>45737</v>
      </c>
      <c r="G572" t="s">
        <v>367</v>
      </c>
      <c r="H572" t="str">
        <f>IFERROR(VLOOKUP(Transaction[[#This Row],[CustomerID]],Custumer[],1,0),IF(LEN(Transaction[[#This Row],[CustomerID]])=7,LEFT(Transaction[[#This Row],[CustomerID]],6),"Invalid ID"))</f>
        <v>C-1024</v>
      </c>
      <c r="I572" t="s">
        <v>97</v>
      </c>
      <c r="J572" t="str">
        <f>TRIM(UPPER(Transaction[[#This Row],[ProductID]]))</f>
        <v>P-SI-001</v>
      </c>
      <c r="K572" t="str">
        <f>IFERROR(VLOOKUP(Transaction[[#This Row],[ProductID_Clean]],Product[],1,FALSE),"Invalid ID")</f>
        <v>P-SI-001</v>
      </c>
      <c r="L572" t="str">
        <f>TRIM(SUBSTITUTE(SUBSTITUTE(SUBSTITUTE(SUBSTITUTE(UPPER(Transaction[[#This Row],[Region]]),"EMEA REGION","EMEA"),"APAC REGION","APAC"),"NORTH AMERICA","N. AMERICA"),"N .AMERICA","N.AMERICA"))</f>
        <v>APAC</v>
      </c>
      <c r="M572" t="s">
        <v>30</v>
      </c>
      <c r="N572" t="s">
        <v>47</v>
      </c>
      <c r="O57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72" t="s">
        <v>40</v>
      </c>
      <c r="Q572" t="str">
        <f>IF(TRIM(Transaction[[#This Row],[SalesChannel]])="","Missing Value",TRIM(Transaction[[#This Row],[SalesChannel]]))</f>
        <v>Distributor</v>
      </c>
      <c r="R572" s="4">
        <v>3</v>
      </c>
      <c r="S572" s="4" t="str">
        <f>IF(Transaction[[#This Row],[Quantity]]&lt;0,"Negative-review","Valid")</f>
        <v>Valid</v>
      </c>
      <c r="T572" t="s">
        <v>2013</v>
      </c>
      <c r="U57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353.86</v>
      </c>
      <c r="V572">
        <v>485</v>
      </c>
      <c r="W572">
        <v>1455</v>
      </c>
      <c r="X57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572">
        <f>IF(Transaction[[#This Row],[GrossRevenue_Check]]="Invalid",Transaction[[#This Row],[ListPrice]]*Transaction[[#This Row],[Quantity]],Transaction[[#This Row],[GrossRevenue_Clean]])</f>
        <v>1455</v>
      </c>
      <c r="Z572" t="str">
        <f>IF(Transaction[[#This Row],[GrossRevenue_Clean]]=Transaction[[#This Row],[ListPrice]]*Transaction[[#This Row],[Quantity]],"Valid","Invalid")</f>
        <v>Valid</v>
      </c>
      <c r="AA572">
        <v>393.42</v>
      </c>
      <c r="AB57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393.42</v>
      </c>
      <c r="AC572">
        <f>IF(Transaction[[#This Row],[DiscountAmount_Check2]]="Invalid",Transaction[[#This Row],[GrossRevenue_Analytical]]-Transaction[[#This Row],[NetRevenue_Analytical]],Transaction[[#This Row],[DiscountAmount_Clean]])</f>
        <v>393.42</v>
      </c>
      <c r="AD572">
        <v>1061.58</v>
      </c>
      <c r="AE572" t="str">
        <f>IF(ROUND(Transaction[[#This Row],[GrossRevenue_Analytical]]-Transaction[[#This Row],[NetRevenue_Analytical]],2)=ROUND(Transaction[[#This Row],[DiscountAmount_Clean]],2),"Valid","Invalid")</f>
        <v>Valid</v>
      </c>
      <c r="AF57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1061.58</v>
      </c>
      <c r="AG572">
        <f>IF(Transaction[[#This Row],[NetRevenue_Check]]="Invalid",(Transaction[[#This Row],[Quantity]]*Transaction[[#This Row],[UnitPrice_Clean]]),Transaction[[#This Row],[NetRevenue_Clean]])</f>
        <v>1061.58</v>
      </c>
      <c r="AH572" t="str">
        <f>IF(Transaction[[#This Row],[Quantity]]*Transaction[[#This Row],[UnitPrice_Clean]]=Transaction[[#This Row],[NetRevenue_Clean]],"Valid","Invalid")</f>
        <v>Valid</v>
      </c>
      <c r="AI572" t="s">
        <v>23</v>
      </c>
      <c r="AJ572" t="s">
        <v>281</v>
      </c>
      <c r="AK572" t="str">
        <f>IF(Transaction[[#This Row],[Salesperson]]="","Missing Value",TRIM(PROPER(Transaction[[#This Row],[Salesperson]])))</f>
        <v>Rodriguez-Na</v>
      </c>
      <c r="AL572" t="s">
        <v>42</v>
      </c>
      <c r="AM572" t="str">
        <f>IF(Transaction[[#This Row],[ContractType]]="","Missing Value",Transaction[[#This Row],[ContractType]])</f>
        <v>Standard PO</v>
      </c>
      <c r="AN572" t="s">
        <v>65</v>
      </c>
    </row>
    <row r="573" spans="1:40" x14ac:dyDescent="0.25">
      <c r="A573" t="s">
        <v>2563</v>
      </c>
      <c r="B573" s="1">
        <v>45707</v>
      </c>
      <c r="C57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57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57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73" s="2">
        <f>IFERROR(DATE(Transaction[[#This Row],[TransactionDateY]],Transaction[[#This Row],[TransactionDateM]],Transaction[[#This Row],[TransactionDateD]]),"Missing Value")</f>
        <v>45707</v>
      </c>
      <c r="G573" t="s">
        <v>1015</v>
      </c>
      <c r="H573" t="str">
        <f>IFERROR(VLOOKUP(Transaction[[#This Row],[CustomerID]],Custumer[],1,0),IF(LEN(Transaction[[#This Row],[CustomerID]])=7,LEFT(Transaction[[#This Row],[CustomerID]],6),"Invalid ID"))</f>
        <v>C-1012</v>
      </c>
      <c r="I573" t="s">
        <v>226</v>
      </c>
      <c r="J573" t="str">
        <f>TRIM(UPPER(Transaction[[#This Row],[ProductID]]))</f>
        <v>P-SA-002</v>
      </c>
      <c r="K573" t="str">
        <f>IFERROR(VLOOKUP(Transaction[[#This Row],[ProductID_Clean]],Product[],1,FALSE),"Invalid ID")</f>
        <v>P-SA-002</v>
      </c>
      <c r="L573" t="str">
        <f>TRIM(SUBSTITUTE(SUBSTITUTE(SUBSTITUTE(SUBSTITUTE(UPPER(Transaction[[#This Row],[Region]]),"EMEA REGION","EMEA"),"APAC REGION","APAC"),"NORTH AMERICA","N. AMERICA"),"N .AMERICA","N.AMERICA"))</f>
        <v>N. AMERICA</v>
      </c>
      <c r="M573" t="s">
        <v>20</v>
      </c>
      <c r="N573" t="s">
        <v>31</v>
      </c>
      <c r="O57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73" t="s">
        <v>22</v>
      </c>
      <c r="Q573" t="str">
        <f>IF(TRIM(Transaction[[#This Row],[SalesChannel]])="","Missing Value",TRIM(Transaction[[#This Row],[SalesChannel]]))</f>
        <v>Direct</v>
      </c>
      <c r="R573" s="4">
        <v>1</v>
      </c>
      <c r="S573" s="4" t="str">
        <f>IF(Transaction[[#This Row],[Quantity]]&lt;0,"Negative-review","Valid")</f>
        <v>Valid</v>
      </c>
      <c r="T573">
        <v>8440.1</v>
      </c>
      <c r="U57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8440.1</v>
      </c>
      <c r="V573">
        <v>9800</v>
      </c>
      <c r="W573">
        <v>9800</v>
      </c>
      <c r="X57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573">
        <f>IF(Transaction[[#This Row],[GrossRevenue_Check]]="Invalid",Transaction[[#This Row],[ListPrice]]*Transaction[[#This Row],[Quantity]],Transaction[[#This Row],[GrossRevenue_Clean]])</f>
        <v>9800</v>
      </c>
      <c r="Z573" t="str">
        <f>IF(Transaction[[#This Row],[GrossRevenue_Clean]]=Transaction[[#This Row],[ListPrice]]*Transaction[[#This Row],[Quantity]],"Valid","Invalid")</f>
        <v>Valid</v>
      </c>
      <c r="AA573">
        <v>1359.9</v>
      </c>
      <c r="AB57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1359.9</v>
      </c>
      <c r="AC573">
        <f>IF(Transaction[[#This Row],[DiscountAmount_Check2]]="Invalid",Transaction[[#This Row],[GrossRevenue_Analytical]]-Transaction[[#This Row],[NetRevenue_Analytical]],Transaction[[#This Row],[DiscountAmount_Clean]])</f>
        <v>1359.9</v>
      </c>
      <c r="AD573">
        <v>8440.1</v>
      </c>
      <c r="AE573" t="str">
        <f>IF(ROUND(Transaction[[#This Row],[GrossRevenue_Analytical]]-Transaction[[#This Row],[NetRevenue_Analytical]],2)=ROUND(Transaction[[#This Row],[DiscountAmount_Clean]],2),"Valid","Invalid")</f>
        <v>Valid</v>
      </c>
      <c r="AF573">
        <f>VALUE(IF(ISNUMBER(Transaction[[#This Row],[NetRevenue]]),Transaction[[#This Row],[NetRevenue]],IFERROR(IF(FIND("$",Transaction[[#This Row],[NetRevenue]])&gt;0,MID(Transaction[[#This Row],[NetRevenue]],2,10)),Transaction[[#This Row],[NetRevenue]])))</f>
        <v>8440.1</v>
      </c>
      <c r="AG573">
        <f>IF(Transaction[[#This Row],[NetRevenue_Check]]="Invalid",(Transaction[[#This Row],[Quantity]]*Transaction[[#This Row],[UnitPrice_Clean]]),Transaction[[#This Row],[NetRevenue_Clean]])</f>
        <v>8440.1</v>
      </c>
      <c r="AH573" t="str">
        <f>IF(Transaction[[#This Row],[Quantity]]*Transaction[[#This Row],[UnitPrice_Clean]]=Transaction[[#This Row],[NetRevenue_Clean]],"Valid","Invalid")</f>
        <v>Valid</v>
      </c>
      <c r="AI573" t="s">
        <v>23</v>
      </c>
      <c r="AJ573" t="s">
        <v>430</v>
      </c>
      <c r="AK573" t="str">
        <f>IF(Transaction[[#This Row],[Salesperson]]="","Missing Value",TRIM(PROPER(Transaction[[#This Row],[Salesperson]])))</f>
        <v>Anderson</v>
      </c>
      <c r="AL573" t="s">
        <v>210</v>
      </c>
      <c r="AM573" t="str">
        <f>IF(Transaction[[#This Row],[ContractType]]="","Missing Value",Transaction[[#This Row],[ContractType]])</f>
        <v>Perpetual</v>
      </c>
      <c r="AN573" t="s">
        <v>65</v>
      </c>
    </row>
    <row r="574" spans="1:40" x14ac:dyDescent="0.25">
      <c r="A574" t="s">
        <v>959</v>
      </c>
      <c r="B574" s="1">
        <v>45831</v>
      </c>
      <c r="C57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57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57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74" s="2">
        <f>IFERROR(DATE(Transaction[[#This Row],[TransactionDateY]],Transaction[[#This Row],[TransactionDateM]],Transaction[[#This Row],[TransactionDateD]]),"Missing Value")</f>
        <v>45831</v>
      </c>
      <c r="G574" t="s">
        <v>960</v>
      </c>
      <c r="H574" t="str">
        <f>IFERROR(VLOOKUP(Transaction[[#This Row],[CustomerID]],Custumer[],1,0),IF(LEN(Transaction[[#This Row],[CustomerID]])=7,LEFT(Transaction[[#This Row],[CustomerID]],6),"Invalid ID"))</f>
        <v>C-1160</v>
      </c>
      <c r="I574" t="s">
        <v>29</v>
      </c>
      <c r="J574" t="str">
        <f>TRIM(UPPER(Transaction[[#This Row],[ProductID]]))</f>
        <v>P-SA-001</v>
      </c>
      <c r="K574" t="str">
        <f>IFERROR(VLOOKUP(Transaction[[#This Row],[ProductID_Clean]],Product[],1,FALSE),"Invalid ID")</f>
        <v>P-SA-001</v>
      </c>
      <c r="L574" t="str">
        <f>TRIM(SUBSTITUTE(SUBSTITUTE(SUBSTITUTE(SUBSTITUTE(UPPER(Transaction[[#This Row],[Region]]),"EMEA REGION","EMEA"),"APAC REGION","APAC"),"NORTH AMERICA","N. AMERICA"),"N .AMERICA","N.AMERICA"))</f>
        <v>LATIN AMERICA</v>
      </c>
      <c r="M574" t="s">
        <v>82</v>
      </c>
      <c r="N574" t="s">
        <v>31</v>
      </c>
      <c r="O57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74" t="s">
        <v>22</v>
      </c>
      <c r="Q574" t="str">
        <f>IF(TRIM(Transaction[[#This Row],[SalesChannel]])="","Missing Value",TRIM(Transaction[[#This Row],[SalesChannel]]))</f>
        <v>Direct</v>
      </c>
      <c r="R574" s="4">
        <v>1</v>
      </c>
      <c r="S574" s="4" t="str">
        <f>IF(Transaction[[#This Row],[Quantity]]&lt;0,"Negative-review","Valid")</f>
        <v>Valid</v>
      </c>
      <c r="T574">
        <v>3793.43</v>
      </c>
      <c r="U57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3793.43</v>
      </c>
      <c r="V574">
        <v>4200</v>
      </c>
      <c r="W574">
        <v>4200</v>
      </c>
      <c r="X57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574">
        <f>IF(Transaction[[#This Row],[GrossRevenue_Check]]="Invalid",Transaction[[#This Row],[ListPrice]]*Transaction[[#This Row],[Quantity]],Transaction[[#This Row],[GrossRevenue_Clean]])</f>
        <v>4200</v>
      </c>
      <c r="Z574" t="str">
        <f>IF(Transaction[[#This Row],[GrossRevenue_Clean]]=Transaction[[#This Row],[ListPrice]]*Transaction[[#This Row],[Quantity]],"Valid","Invalid")</f>
        <v>Valid</v>
      </c>
      <c r="AA574">
        <v>406.57</v>
      </c>
      <c r="AB57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406.57</v>
      </c>
      <c r="AC574">
        <f>IF(Transaction[[#This Row],[DiscountAmount_Check2]]="Invalid",Transaction[[#This Row],[GrossRevenue_Analytical]]-Transaction[[#This Row],[NetRevenue_Analytical]],Transaction[[#This Row],[DiscountAmount_Clean]])</f>
        <v>406.57</v>
      </c>
      <c r="AD574">
        <v>3793.43</v>
      </c>
      <c r="AE574" t="str">
        <f>IF(ROUND(Transaction[[#This Row],[GrossRevenue_Analytical]]-Transaction[[#This Row],[NetRevenue_Analytical]],2)=ROUND(Transaction[[#This Row],[DiscountAmount_Clean]],2),"Valid","Invalid")</f>
        <v>Valid</v>
      </c>
      <c r="AF574">
        <f>VALUE(IF(ISNUMBER(Transaction[[#This Row],[NetRevenue]]),Transaction[[#This Row],[NetRevenue]],IFERROR(IF(FIND("$",Transaction[[#This Row],[NetRevenue]])&gt;0,MID(Transaction[[#This Row],[NetRevenue]],2,10)),Transaction[[#This Row],[NetRevenue]])))</f>
        <v>3793.43</v>
      </c>
      <c r="AG574">
        <f>IF(Transaction[[#This Row],[NetRevenue_Check]]="Invalid",(Transaction[[#This Row],[Quantity]]*Transaction[[#This Row],[UnitPrice_Clean]]),Transaction[[#This Row],[NetRevenue_Clean]])</f>
        <v>3793.43</v>
      </c>
      <c r="AH574" t="str">
        <f>IF(Transaction[[#This Row],[Quantity]]*Transaction[[#This Row],[UnitPrice_Clean]]=Transaction[[#This Row],[NetRevenue_Clean]],"Valid","Invalid")</f>
        <v>Valid</v>
      </c>
      <c r="AI574" t="s">
        <v>23</v>
      </c>
      <c r="AJ574" t="s">
        <v>814</v>
      </c>
      <c r="AK574" t="str">
        <f>IF(Transaction[[#This Row],[Salesperson]]="","Missing Value",TRIM(PROPER(Transaction[[#This Row],[Salesperson]])))</f>
        <v>Baker-Em</v>
      </c>
      <c r="AL574" t="s">
        <v>34</v>
      </c>
      <c r="AM574" t="str">
        <f>IF(Transaction[[#This Row],[ContractType]]="","Missing Value",Transaction[[#This Row],[ContractType]])</f>
        <v>Annual License</v>
      </c>
      <c r="AN574" t="s">
        <v>65</v>
      </c>
    </row>
    <row r="575" spans="1:40" x14ac:dyDescent="0.25">
      <c r="A575" t="s">
        <v>2442</v>
      </c>
      <c r="B575" s="1">
        <v>45770</v>
      </c>
      <c r="C57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57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57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75" s="2">
        <f>IFERROR(DATE(Transaction[[#This Row],[TransactionDateY]],Transaction[[#This Row],[TransactionDateM]],Transaction[[#This Row],[TransactionDateD]]),"Missing Value")</f>
        <v>45770</v>
      </c>
      <c r="G575" t="s">
        <v>262</v>
      </c>
      <c r="H575" t="str">
        <f>IFERROR(VLOOKUP(Transaction[[#This Row],[CustomerID]],Custumer[],1,0),IF(LEN(Transaction[[#This Row],[CustomerID]])=7,LEFT(Transaction[[#This Row],[CustomerID]],6),"Invalid ID"))</f>
        <v>C-1148</v>
      </c>
      <c r="I575" t="s">
        <v>304</v>
      </c>
      <c r="J575" t="str">
        <f>TRIM(UPPER(Transaction[[#This Row],[ProductID]]))</f>
        <v>P-XX-999</v>
      </c>
      <c r="K575" t="str">
        <f>IFERROR(VLOOKUP(Transaction[[#This Row],[ProductID_Clean]],Product[],1,FALSE),"Invalid ID")</f>
        <v>Invalid ID</v>
      </c>
      <c r="L575" t="str">
        <f>TRIM(SUBSTITUTE(SUBSTITUTE(SUBSTITUTE(SUBSTITUTE(UPPER(Transaction[[#This Row],[Region]]),"EMEA REGION","EMEA"),"APAC REGION","APAC"),"NORTH AMERICA","N. AMERICA"),"N .AMERICA","N.AMERICA"))</f>
        <v>N. AMERICA</v>
      </c>
      <c r="M575" t="s">
        <v>20</v>
      </c>
      <c r="N575" t="s">
        <v>21</v>
      </c>
      <c r="O57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575" t="s">
        <v>40</v>
      </c>
      <c r="Q575" t="str">
        <f>IF(TRIM(Transaction[[#This Row],[SalesChannel]])="","Missing Value",TRIM(Transaction[[#This Row],[SalesChannel]]))</f>
        <v>Distributor</v>
      </c>
      <c r="R575" s="4">
        <v>1</v>
      </c>
      <c r="S575" s="4" t="str">
        <f>IF(Transaction[[#This Row],[Quantity]]&lt;0,"Negative-review","Valid")</f>
        <v>Valid</v>
      </c>
      <c r="T575">
        <v>1313.74</v>
      </c>
      <c r="U57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1313.74</v>
      </c>
      <c r="V575">
        <v>1450</v>
      </c>
      <c r="W575">
        <v>1450</v>
      </c>
      <c r="X57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575">
        <f>IF(Transaction[[#This Row],[GrossRevenue_Check]]="Invalid",Transaction[[#This Row],[ListPrice]]*Transaction[[#This Row],[Quantity]],Transaction[[#This Row],[GrossRevenue_Clean]])</f>
        <v>1450</v>
      </c>
      <c r="Z575" t="str">
        <f>IF(Transaction[[#This Row],[GrossRevenue_Clean]]=Transaction[[#This Row],[ListPrice]]*Transaction[[#This Row],[Quantity]],"Valid","Invalid")</f>
        <v>Valid</v>
      </c>
      <c r="AA575">
        <v>136.26</v>
      </c>
      <c r="AB57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136.26</v>
      </c>
      <c r="AC575">
        <f>IF(Transaction[[#This Row],[DiscountAmount_Check2]]="Invalid",Transaction[[#This Row],[GrossRevenue_Analytical]]-Transaction[[#This Row],[NetRevenue_Analytical]],Transaction[[#This Row],[DiscountAmount_Clean]])</f>
        <v>136.26</v>
      </c>
      <c r="AD575">
        <v>1313.74</v>
      </c>
      <c r="AE575" t="str">
        <f>IF(ROUND(Transaction[[#This Row],[GrossRevenue_Analytical]]-Transaction[[#This Row],[NetRevenue_Analytical]],2)=ROUND(Transaction[[#This Row],[DiscountAmount_Clean]],2),"Valid","Invalid")</f>
        <v>Valid</v>
      </c>
      <c r="AF57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1313.74</v>
      </c>
      <c r="AG575">
        <f>IF(Transaction[[#This Row],[NetRevenue_Check]]="Invalid",(Transaction[[#This Row],[Quantity]]*Transaction[[#This Row],[UnitPrice_Clean]]),Transaction[[#This Row],[NetRevenue_Clean]])</f>
        <v>1313.74</v>
      </c>
      <c r="AH575" t="str">
        <f>IF(Transaction[[#This Row],[Quantity]]*Transaction[[#This Row],[UnitPrice_Clean]]=Transaction[[#This Row],[NetRevenue_Clean]],"Valid","Invalid")</f>
        <v>Valid</v>
      </c>
      <c r="AI575" t="s">
        <v>23</v>
      </c>
      <c r="AJ575" t="s">
        <v>1600</v>
      </c>
      <c r="AK575" t="str">
        <f>IF(Transaction[[#This Row],[Salesperson]]="","Missing Value",TRIM(PROPER(Transaction[[#This Row],[Salesperson]])))</f>
        <v>Diaz-Na</v>
      </c>
      <c r="AL575" t="s">
        <v>42</v>
      </c>
      <c r="AM575" t="str">
        <f>IF(Transaction[[#This Row],[ContractType]]="","Missing Value",Transaction[[#This Row],[ContractType]])</f>
        <v>Standard PO</v>
      </c>
      <c r="AN575" t="s">
        <v>65</v>
      </c>
    </row>
    <row r="576" spans="1:40" x14ac:dyDescent="0.25">
      <c r="A576" t="s">
        <v>1219</v>
      </c>
      <c r="C57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57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57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576" s="2" t="str">
        <f>IFERROR(DATE(Transaction[[#This Row],[TransactionDateY]],Transaction[[#This Row],[TransactionDateM]],Transaction[[#This Row],[TransactionDateD]]),"Missing Value")</f>
        <v>Missing Value</v>
      </c>
      <c r="G576" t="s">
        <v>208</v>
      </c>
      <c r="H576" t="str">
        <f>IFERROR(VLOOKUP(Transaction[[#This Row],[CustomerID]],Custumer[],1,0),IF(LEN(Transaction[[#This Row],[CustomerID]])=7,LEFT(Transaction[[#This Row],[CustomerID]],6),"Invalid ID"))</f>
        <v>C-1076</v>
      </c>
      <c r="I576" t="s">
        <v>121</v>
      </c>
      <c r="J576" t="str">
        <f>TRIM(UPPER(Transaction[[#This Row],[ProductID]]))</f>
        <v>P-FS-001</v>
      </c>
      <c r="K576" t="str">
        <f>IFERROR(VLOOKUP(Transaction[[#This Row],[ProductID_Clean]],Product[],1,FALSE),"Invalid ID")</f>
        <v>P-FS-001</v>
      </c>
      <c r="L576" t="str">
        <f>TRIM(SUBSTITUTE(SUBSTITUTE(SUBSTITUTE(SUBSTITUTE(UPPER(Transaction[[#This Row],[Region]]),"EMEA REGION","EMEA"),"APAC REGION","APAC"),"NORTH AMERICA","N. AMERICA"),"N .AMERICA","N.AMERICA"))</f>
        <v>APAC</v>
      </c>
      <c r="M576" t="s">
        <v>63</v>
      </c>
      <c r="N576" t="s">
        <v>21</v>
      </c>
      <c r="O57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576" t="s">
        <v>22</v>
      </c>
      <c r="Q576" t="str">
        <f>IF(TRIM(Transaction[[#This Row],[SalesChannel]])="","Missing Value",TRIM(Transaction[[#This Row],[SalesChannel]]))</f>
        <v>Direct</v>
      </c>
      <c r="R576" s="4">
        <v>1</v>
      </c>
      <c r="S576" s="4" t="str">
        <f>IF(Transaction[[#This Row],[Quantity]]&lt;0,"Negative-review","Valid")</f>
        <v>Valid</v>
      </c>
      <c r="T576">
        <v>1419.96</v>
      </c>
      <c r="U57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1419.96</v>
      </c>
      <c r="V576">
        <v>1850</v>
      </c>
      <c r="W576">
        <v>1850</v>
      </c>
      <c r="X57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576">
        <f>IF(Transaction[[#This Row],[GrossRevenue_Check]]="Invalid",Transaction[[#This Row],[ListPrice]]*Transaction[[#This Row],[Quantity]],Transaction[[#This Row],[GrossRevenue_Clean]])</f>
        <v>1850</v>
      </c>
      <c r="Z576" t="str">
        <f>IF(Transaction[[#This Row],[GrossRevenue_Clean]]=Transaction[[#This Row],[ListPrice]]*Transaction[[#This Row],[Quantity]],"Valid","Invalid")</f>
        <v>Valid</v>
      </c>
      <c r="AA576">
        <v>430.04</v>
      </c>
      <c r="AB57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430.04</v>
      </c>
      <c r="AC576">
        <f>IF(Transaction[[#This Row],[DiscountAmount_Check2]]="Invalid",Transaction[[#This Row],[GrossRevenue_Analytical]]-Transaction[[#This Row],[NetRevenue_Analytical]],Transaction[[#This Row],[DiscountAmount_Clean]])</f>
        <v>430.04</v>
      </c>
      <c r="AD576">
        <v>1419.96</v>
      </c>
      <c r="AE576" t="str">
        <f>IF(ROUND(Transaction[[#This Row],[GrossRevenue_Analytical]]-Transaction[[#This Row],[NetRevenue_Analytical]],2)=ROUND(Transaction[[#This Row],[DiscountAmount_Clean]],2),"Valid","Invalid")</f>
        <v>Valid</v>
      </c>
      <c r="AF57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1419.96</v>
      </c>
      <c r="AG576">
        <f>IF(Transaction[[#This Row],[NetRevenue_Check]]="Invalid",(Transaction[[#This Row],[Quantity]]*Transaction[[#This Row],[UnitPrice_Clean]]),Transaction[[#This Row],[NetRevenue_Clean]])</f>
        <v>1419.96</v>
      </c>
      <c r="AH576" t="str">
        <f>IF(Transaction[[#This Row],[Quantity]]*Transaction[[#This Row],[UnitPrice_Clean]]=Transaction[[#This Row],[NetRevenue_Clean]],"Valid","Invalid")</f>
        <v>Valid</v>
      </c>
      <c r="AI576" t="s">
        <v>23</v>
      </c>
      <c r="AJ576" t="s">
        <v>1220</v>
      </c>
      <c r="AK576" t="str">
        <f>IF(Transaction[[#This Row],[Salesperson]]="","Missing Value",TRIM(PROPER(Transaction[[#This Row],[Salesperson]])))</f>
        <v>Powell-Na</v>
      </c>
      <c r="AL576" t="s">
        <v>25</v>
      </c>
      <c r="AM576" t="str">
        <f>IF(Transaction[[#This Row],[ContractType]]="","Missing Value",Transaction[[#This Row],[ContractType]])</f>
        <v>Frame Agreement</v>
      </c>
      <c r="AN576" t="s">
        <v>49</v>
      </c>
    </row>
    <row r="577" spans="1:40" x14ac:dyDescent="0.25">
      <c r="A577" t="s">
        <v>1581</v>
      </c>
      <c r="C57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57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57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577" s="2" t="str">
        <f>IFERROR(DATE(Transaction[[#This Row],[TransactionDateY]],Transaction[[#This Row],[TransactionDateM]],Transaction[[#This Row],[TransactionDateD]]),"Missing Value")</f>
        <v>Missing Value</v>
      </c>
      <c r="G577" t="s">
        <v>135</v>
      </c>
      <c r="H577" t="str">
        <f>IFERROR(VLOOKUP(Transaction[[#This Row],[CustomerID]],Custumer[],1,0),IF(LEN(Transaction[[#This Row],[CustomerID]])=7,LEFT(Transaction[[#This Row],[CustomerID]],6),"Invalid ID"))</f>
        <v>C-1112</v>
      </c>
      <c r="I577" t="s">
        <v>58</v>
      </c>
      <c r="J577" t="str">
        <f>TRIM(UPPER(Transaction[[#This Row],[ProductID]]))</f>
        <v>P-SI-005</v>
      </c>
      <c r="K577" t="str">
        <f>IFERROR(VLOOKUP(Transaction[[#This Row],[ProductID_Clean]],Product[],1,FALSE),"Invalid ID")</f>
        <v>P-SI-005</v>
      </c>
      <c r="L577" t="str">
        <f>TRIM(SUBSTITUTE(SUBSTITUTE(SUBSTITUTE(SUBSTITUTE(UPPER(Transaction[[#This Row],[Region]]),"EMEA REGION","EMEA"),"APAC REGION","APAC"),"NORTH AMERICA","N. AMERICA"),"N .AMERICA","N.AMERICA"))</f>
        <v>N. AMERICA</v>
      </c>
      <c r="M577" t="s">
        <v>204</v>
      </c>
      <c r="N577" t="s">
        <v>53</v>
      </c>
      <c r="O57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77" t="s">
        <v>40</v>
      </c>
      <c r="Q577" t="str">
        <f>IF(TRIM(Transaction[[#This Row],[SalesChannel]])="","Missing Value",TRIM(Transaction[[#This Row],[SalesChannel]]))</f>
        <v>Distributor</v>
      </c>
      <c r="R577" s="4">
        <v>5</v>
      </c>
      <c r="S577" s="4" t="str">
        <f>IF(Transaction[[#This Row],[Quantity]]&lt;0,"Negative-review","Valid")</f>
        <v>Valid</v>
      </c>
      <c r="T577">
        <v>927.14</v>
      </c>
      <c r="U57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927.14</v>
      </c>
      <c r="V577">
        <v>1120</v>
      </c>
      <c r="W577">
        <v>5600</v>
      </c>
      <c r="X57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5600</v>
      </c>
      <c r="Y577">
        <f>IF(Transaction[[#This Row],[GrossRevenue_Check]]="Invalid",Transaction[[#This Row],[ListPrice]]*Transaction[[#This Row],[Quantity]],Transaction[[#This Row],[GrossRevenue_Clean]])</f>
        <v>5600</v>
      </c>
      <c r="Z577" t="str">
        <f>IF(Transaction[[#This Row],[GrossRevenue_Clean]]=Transaction[[#This Row],[ListPrice]]*Transaction[[#This Row],[Quantity]],"Valid","Invalid")</f>
        <v>Valid</v>
      </c>
      <c r="AA577">
        <v>964.3</v>
      </c>
      <c r="AB57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964.3</v>
      </c>
      <c r="AC577">
        <f>IF(Transaction[[#This Row],[DiscountAmount_Check2]]="Invalid",Transaction[[#This Row],[GrossRevenue_Analytical]]-Transaction[[#This Row],[NetRevenue_Analytical]],Transaction[[#This Row],[DiscountAmount_Clean]])</f>
        <v>964.3</v>
      </c>
      <c r="AD577">
        <v>4635.7</v>
      </c>
      <c r="AE577" t="str">
        <f>IF(ROUND(Transaction[[#This Row],[GrossRevenue_Analytical]]-Transaction[[#This Row],[NetRevenue_Analytical]],2)=ROUND(Transaction[[#This Row],[DiscountAmount_Clean]],2),"Valid","Invalid")</f>
        <v>Valid</v>
      </c>
      <c r="AF577">
        <f>VALUE(IF(ISNUMBER(Transaction[[#This Row],[NetRevenue]]),Transaction[[#This Row],[NetRevenue]],IFERROR(IF(FIND("$",Transaction[[#This Row],[NetRevenue]])&gt;0,MID(Transaction[[#This Row],[NetRevenue]],2,10)),Transaction[[#This Row],[NetRevenue]])))</f>
        <v>4635.7</v>
      </c>
      <c r="AG577">
        <f>IF(Transaction[[#This Row],[NetRevenue_Check]]="Invalid",(Transaction[[#This Row],[Quantity]]*Transaction[[#This Row],[UnitPrice_Clean]]),Transaction[[#This Row],[NetRevenue_Clean]])</f>
        <v>4635.7</v>
      </c>
      <c r="AH577" t="str">
        <f>IF(Transaction[[#This Row],[Quantity]]*Transaction[[#This Row],[UnitPrice_Clean]]=Transaction[[#This Row],[NetRevenue_Clean]],"Valid","Invalid")</f>
        <v>Valid</v>
      </c>
      <c r="AI577" t="s">
        <v>23</v>
      </c>
      <c r="AJ577" t="s">
        <v>94</v>
      </c>
      <c r="AK577" t="str">
        <f>IF(Transaction[[#This Row],[Salesperson]]="","Missing Value",TRIM(PROPER(Transaction[[#This Row],[Salesperson]])))</f>
        <v>Williams-Em</v>
      </c>
      <c r="AL577" t="s">
        <v>55</v>
      </c>
      <c r="AM577" t="str">
        <f>IF(Transaction[[#This Row],[ContractType]]="","Missing Value",Transaction[[#This Row],[ContractType]])</f>
        <v>Spot</v>
      </c>
      <c r="AN577" t="s">
        <v>43</v>
      </c>
    </row>
    <row r="578" spans="1:40" x14ac:dyDescent="0.25">
      <c r="A578" t="s">
        <v>2476</v>
      </c>
      <c r="C57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57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57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578" s="2" t="str">
        <f>IFERROR(DATE(Transaction[[#This Row],[TransactionDateY]],Transaction[[#This Row],[TransactionDateM]],Transaction[[#This Row],[TransactionDateD]]),"Missing Value")</f>
        <v>Missing Value</v>
      </c>
      <c r="G578" t="s">
        <v>180</v>
      </c>
      <c r="H578" t="str">
        <f>IFERROR(VLOOKUP(Transaction[[#This Row],[CustomerID]],Custumer[],1,0),IF(LEN(Transaction[[#This Row],[CustomerID]])=7,LEFT(Transaction[[#This Row],[CustomerID]],6),"Invalid ID"))</f>
        <v>C-1158</v>
      </c>
      <c r="I578" t="s">
        <v>92</v>
      </c>
      <c r="J578" t="str">
        <f>TRIM(UPPER(Transaction[[#This Row],[ProductID]]))</f>
        <v>P-SI-008</v>
      </c>
      <c r="K578" t="str">
        <f>IFERROR(VLOOKUP(Transaction[[#This Row],[ProductID_Clean]],Product[],1,FALSE),"Invalid ID")</f>
        <v>P-SI-008</v>
      </c>
      <c r="L578" t="str">
        <f>TRIM(SUBSTITUTE(SUBSTITUTE(SUBSTITUTE(SUBSTITUTE(UPPER(Transaction[[#This Row],[Region]]),"EMEA REGION","EMEA"),"APAC REGION","APAC"),"NORTH AMERICA","N. AMERICA"),"N .AMERICA","N.AMERICA"))</f>
        <v>EMEA</v>
      </c>
      <c r="M578" t="s">
        <v>76</v>
      </c>
      <c r="N578" t="s">
        <v>53</v>
      </c>
      <c r="O57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78" t="s">
        <v>22</v>
      </c>
      <c r="Q578" t="str">
        <f>IF(TRIM(Transaction[[#This Row],[SalesChannel]])="","Missing Value",TRIM(Transaction[[#This Row],[SalesChannel]]))</f>
        <v>Direct</v>
      </c>
      <c r="R578" s="4">
        <v>1</v>
      </c>
      <c r="S578" s="4" t="str">
        <f>IF(Transaction[[#This Row],[Quantity]]&lt;0,"Negative-review","Valid")</f>
        <v>Valid</v>
      </c>
      <c r="T578">
        <v>924.86</v>
      </c>
      <c r="U57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924.86</v>
      </c>
      <c r="V578">
        <v>950</v>
      </c>
      <c r="W578">
        <v>950</v>
      </c>
      <c r="X57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578">
        <f>IF(Transaction[[#This Row],[GrossRevenue_Check]]="Invalid",Transaction[[#This Row],[ListPrice]]*Transaction[[#This Row],[Quantity]],Transaction[[#This Row],[GrossRevenue_Clean]])</f>
        <v>950</v>
      </c>
      <c r="Z578" t="str">
        <f>IF(Transaction[[#This Row],[GrossRevenue_Clean]]=Transaction[[#This Row],[ListPrice]]*Transaction[[#This Row],[Quantity]],"Valid","Invalid")</f>
        <v>Valid</v>
      </c>
      <c r="AA578">
        <v>25.14</v>
      </c>
      <c r="AB57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25.14</v>
      </c>
      <c r="AC578">
        <f>IF(Transaction[[#This Row],[DiscountAmount_Check2]]="Invalid",Transaction[[#This Row],[GrossRevenue_Analytical]]-Transaction[[#This Row],[NetRevenue_Analytical]],Transaction[[#This Row],[DiscountAmount_Clean]])</f>
        <v>25.14</v>
      </c>
      <c r="AD578">
        <v>924.86</v>
      </c>
      <c r="AE578" t="str">
        <f>IF(ROUND(Transaction[[#This Row],[GrossRevenue_Analytical]]-Transaction[[#This Row],[NetRevenue_Analytical]],2)=ROUND(Transaction[[#This Row],[DiscountAmount_Clean]],2),"Valid","Invalid")</f>
        <v>Valid</v>
      </c>
      <c r="AF578">
        <f>VALUE(IF(ISNUMBER(Transaction[[#This Row],[NetRevenue]]),Transaction[[#This Row],[NetRevenue]],IFERROR(IF(FIND("$",Transaction[[#This Row],[NetRevenue]])&gt;0,MID(Transaction[[#This Row],[NetRevenue]],2,10)),Transaction[[#This Row],[NetRevenue]])))</f>
        <v>924.86</v>
      </c>
      <c r="AG578">
        <f>IF(Transaction[[#This Row],[NetRevenue_Check]]="Invalid",(Transaction[[#This Row],[Quantity]]*Transaction[[#This Row],[UnitPrice_Clean]]),Transaction[[#This Row],[NetRevenue_Clean]])</f>
        <v>924.86</v>
      </c>
      <c r="AH578" t="str">
        <f>IF(Transaction[[#This Row],[Quantity]]*Transaction[[#This Row],[UnitPrice_Clean]]=Transaction[[#This Row],[NetRevenue_Clean]],"Valid","Invalid")</f>
        <v>Valid</v>
      </c>
      <c r="AI578" t="s">
        <v>23</v>
      </c>
      <c r="AJ578" t="s">
        <v>1165</v>
      </c>
      <c r="AK578" t="str">
        <f>IF(Transaction[[#This Row],[Salesperson]]="","Missing Value",TRIM(PROPER(Transaction[[#This Row],[Salesperson]])))</f>
        <v>Williams</v>
      </c>
      <c r="AL578" t="s">
        <v>25</v>
      </c>
      <c r="AM578" t="str">
        <f>IF(Transaction[[#This Row],[ContractType]]="","Missing Value",Transaction[[#This Row],[ContractType]])</f>
        <v>Frame Agreement</v>
      </c>
      <c r="AN578" t="s">
        <v>65</v>
      </c>
    </row>
    <row r="579" spans="1:40" x14ac:dyDescent="0.25">
      <c r="A579" t="s">
        <v>238</v>
      </c>
      <c r="B579" s="1">
        <v>45709</v>
      </c>
      <c r="C57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57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57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79" s="2">
        <f>IFERROR(DATE(Transaction[[#This Row],[TransactionDateY]],Transaction[[#This Row],[TransactionDateM]],Transaction[[#This Row],[TransactionDateD]]),"Missing Value")</f>
        <v>45709</v>
      </c>
      <c r="G579" t="s">
        <v>239</v>
      </c>
      <c r="H579" t="str">
        <f>IFERROR(VLOOKUP(Transaction[[#This Row],[CustomerID]],Custumer[],1,0),IF(LEN(Transaction[[#This Row],[CustomerID]])=7,LEFT(Transaction[[#This Row],[CustomerID]],6),"Invalid ID"))</f>
        <v>C-1092</v>
      </c>
      <c r="I579" t="s">
        <v>75</v>
      </c>
      <c r="J579" t="str">
        <f>TRIM(UPPER(Transaction[[#This Row],[ProductID]]))</f>
        <v>P-SA-005</v>
      </c>
      <c r="K579" t="str">
        <f>IFERROR(VLOOKUP(Transaction[[#This Row],[ProductID_Clean]],Product[],1,FALSE),"Invalid ID")</f>
        <v>P-SA-005</v>
      </c>
      <c r="L579" t="str">
        <f>TRIM(SUBSTITUTE(SUBSTITUTE(SUBSTITUTE(SUBSTITUTE(UPPER(Transaction[[#This Row],[Region]]),"EMEA REGION","EMEA"),"APAC REGION","APAC"),"NORTH AMERICA","N. AMERICA"),"N .AMERICA","N.AMERICA"))</f>
        <v>N. AMERICA</v>
      </c>
      <c r="M579" t="s">
        <v>20</v>
      </c>
      <c r="N579" t="s">
        <v>31</v>
      </c>
      <c r="O57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79" t="s">
        <v>181</v>
      </c>
      <c r="Q579" t="str">
        <f>IF(TRIM(Transaction[[#This Row],[SalesChannel]])="","Missing Value",TRIM(Transaction[[#This Row],[SalesChannel]]))</f>
        <v>Partner Portal</v>
      </c>
      <c r="R579" s="4">
        <v>3</v>
      </c>
      <c r="S579" s="4" t="str">
        <f>IF(Transaction[[#This Row],[Quantity]]&lt;0,"Negative-review","Valid")</f>
        <v>Valid</v>
      </c>
      <c r="T579">
        <v>2746.29</v>
      </c>
      <c r="U57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2746.29</v>
      </c>
      <c r="V579">
        <v>3200</v>
      </c>
      <c r="W579">
        <v>9600</v>
      </c>
      <c r="X57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9600</v>
      </c>
      <c r="Y579">
        <f>IF(Transaction[[#This Row],[GrossRevenue_Check]]="Invalid",Transaction[[#This Row],[ListPrice]]*Transaction[[#This Row],[Quantity]],Transaction[[#This Row],[GrossRevenue_Clean]])</f>
        <v>9600</v>
      </c>
      <c r="Z579" t="str">
        <f>IF(Transaction[[#This Row],[GrossRevenue_Clean]]=Transaction[[#This Row],[ListPrice]]*Transaction[[#This Row],[Quantity]],"Valid","Invalid")</f>
        <v>Valid</v>
      </c>
      <c r="AA579" t="s">
        <v>240</v>
      </c>
      <c r="AB57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1361.13</v>
      </c>
      <c r="AC579">
        <f>IF(Transaction[[#This Row],[DiscountAmount_Check2]]="Invalid",Transaction[[#This Row],[GrossRevenue_Analytical]]-Transaction[[#This Row],[NetRevenue_Analytical]],Transaction[[#This Row],[DiscountAmount_Clean]])</f>
        <v>1361.13</v>
      </c>
      <c r="AD579">
        <v>8238.8700000000008</v>
      </c>
      <c r="AE579" t="str">
        <f>IF(ROUND(Transaction[[#This Row],[GrossRevenue_Analytical]]-Transaction[[#This Row],[NetRevenue_Analytical]],2)=ROUND(Transaction[[#This Row],[DiscountAmount_Clean]],2),"Valid","Invalid")</f>
        <v>Valid</v>
      </c>
      <c r="AF579">
        <f>VALUE(IF(ISNUMBER(Transaction[[#This Row],[NetRevenue]]),Transaction[[#This Row],[NetRevenue]],IFERROR(IF(FIND("$",Transaction[[#This Row],[NetRevenue]])&gt;0,MID(Transaction[[#This Row],[NetRevenue]],2,10)),Transaction[[#This Row],[NetRevenue]])))</f>
        <v>8238.8700000000008</v>
      </c>
      <c r="AG579">
        <f>IF(Transaction[[#This Row],[NetRevenue_Check]]="Invalid",(Transaction[[#This Row],[Quantity]]*Transaction[[#This Row],[UnitPrice_Clean]]),Transaction[[#This Row],[NetRevenue_Clean]])</f>
        <v>8238.8700000000008</v>
      </c>
      <c r="AH579" t="str">
        <f>IF(Transaction[[#This Row],[Quantity]]*Transaction[[#This Row],[UnitPrice_Clean]]=Transaction[[#This Row],[NetRevenue_Clean]],"Valid","Invalid")</f>
        <v>Valid</v>
      </c>
      <c r="AI579" t="s">
        <v>23</v>
      </c>
      <c r="AJ579" t="s">
        <v>241</v>
      </c>
      <c r="AK579" t="str">
        <f>IF(Transaction[[#This Row],[Salesperson]]="","Missing Value",TRIM(PROPER(Transaction[[#This Row],[Salesperson]])))</f>
        <v>Hoffman-Em</v>
      </c>
      <c r="AM579" t="str">
        <f>IF(Transaction[[#This Row],[ContractType]]="","Missing Value",Transaction[[#This Row],[ContractType]])</f>
        <v>Missing Value</v>
      </c>
      <c r="AN579" t="s">
        <v>43</v>
      </c>
    </row>
    <row r="580" spans="1:40" x14ac:dyDescent="0.25">
      <c r="A580" t="s">
        <v>2194</v>
      </c>
      <c r="B580" s="1">
        <v>45693</v>
      </c>
      <c r="C58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58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58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80" s="2">
        <f>IFERROR(DATE(Transaction[[#This Row],[TransactionDateY]],Transaction[[#This Row],[TransactionDateM]],Transaction[[#This Row],[TransactionDateD]]),"Missing Value")</f>
        <v>45693</v>
      </c>
      <c r="G580" t="s">
        <v>385</v>
      </c>
      <c r="H580" t="str">
        <f>IFERROR(VLOOKUP(Transaction[[#This Row],[CustomerID]],Custumer[],1,0),IF(LEN(Transaction[[#This Row],[CustomerID]])=7,LEFT(Transaction[[#This Row],[CustomerID]],6),"Invalid ID"))</f>
        <v>C-1084</v>
      </c>
      <c r="I580" t="s">
        <v>117</v>
      </c>
      <c r="J580" t="str">
        <f>TRIM(UPPER(Transaction[[#This Row],[ProductID]]))</f>
        <v>P-SI-007</v>
      </c>
      <c r="K580" t="str">
        <f>IFERROR(VLOOKUP(Transaction[[#This Row],[ProductID_Clean]],Product[],1,FALSE),"Invalid ID")</f>
        <v>P-SI-007</v>
      </c>
      <c r="L580" t="str">
        <f>TRIM(SUBSTITUTE(SUBSTITUTE(SUBSTITUTE(SUBSTITUTE(UPPER(Transaction[[#This Row],[Region]]),"EMEA REGION","EMEA"),"APAC REGION","APAC"),"NORTH AMERICA","N. AMERICA"),"N .AMERICA","N.AMERICA"))</f>
        <v>N. AMERICA</v>
      </c>
      <c r="M580" t="s">
        <v>20</v>
      </c>
      <c r="N580" t="s">
        <v>53</v>
      </c>
      <c r="O58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80" t="s">
        <v>22</v>
      </c>
      <c r="Q580" t="str">
        <f>IF(TRIM(Transaction[[#This Row],[SalesChannel]])="","Missing Value",TRIM(Transaction[[#This Row],[SalesChannel]]))</f>
        <v>Direct</v>
      </c>
      <c r="R580" s="4">
        <v>8</v>
      </c>
      <c r="S580" s="4" t="str">
        <f>IF(Transaction[[#This Row],[Quantity]]&lt;0,"Negative-review","Valid")</f>
        <v>Valid</v>
      </c>
      <c r="T580">
        <v>843.81</v>
      </c>
      <c r="U58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843.81</v>
      </c>
      <c r="V580">
        <v>980</v>
      </c>
      <c r="W580">
        <v>7840</v>
      </c>
      <c r="X58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7840</v>
      </c>
      <c r="Y580">
        <f>IF(Transaction[[#This Row],[GrossRevenue_Check]]="Invalid",Transaction[[#This Row],[ListPrice]]*Transaction[[#This Row],[Quantity]],Transaction[[#This Row],[GrossRevenue_Clean]])</f>
        <v>7840</v>
      </c>
      <c r="Z580" t="str">
        <f>IF(Transaction[[#This Row],[GrossRevenue_Clean]]=Transaction[[#This Row],[ListPrice]]*Transaction[[#This Row],[Quantity]],"Valid","Invalid")</f>
        <v>Valid</v>
      </c>
      <c r="AA580">
        <v>1089.52</v>
      </c>
      <c r="AB58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1089.52</v>
      </c>
      <c r="AC580">
        <f>IF(Transaction[[#This Row],[DiscountAmount_Check2]]="Invalid",Transaction[[#This Row],[GrossRevenue_Analytical]]-Transaction[[#This Row],[NetRevenue_Analytical]],Transaction[[#This Row],[DiscountAmount_Clean]])</f>
        <v>1089.52</v>
      </c>
      <c r="AD580">
        <v>6750.48</v>
      </c>
      <c r="AE580" t="str">
        <f>IF(ROUND(Transaction[[#This Row],[GrossRevenue_Analytical]]-Transaction[[#This Row],[NetRevenue_Analytical]],2)=ROUND(Transaction[[#This Row],[DiscountAmount_Clean]],2),"Valid","Invalid")</f>
        <v>Valid</v>
      </c>
      <c r="AF580">
        <f>VALUE(IF(ISNUMBER(Transaction[[#This Row],[NetRevenue]]),Transaction[[#This Row],[NetRevenue]],IFERROR(IF(FIND("$",Transaction[[#This Row],[NetRevenue]])&gt;0,MID(Transaction[[#This Row],[NetRevenue]],2,10)),Transaction[[#This Row],[NetRevenue]])))</f>
        <v>6750.48</v>
      </c>
      <c r="AG580">
        <f>IF(Transaction[[#This Row],[NetRevenue_Check]]="Invalid",(Transaction[[#This Row],[Quantity]]*Transaction[[#This Row],[UnitPrice_Clean]]),Transaction[[#This Row],[NetRevenue_Clean]])</f>
        <v>6750.48</v>
      </c>
      <c r="AH580" t="str">
        <f>IF(Transaction[[#This Row],[Quantity]]*Transaction[[#This Row],[UnitPrice_Clean]]=Transaction[[#This Row],[NetRevenue_Clean]],"Valid","Invalid")</f>
        <v>Valid</v>
      </c>
      <c r="AI580" t="s">
        <v>23</v>
      </c>
      <c r="AJ580" t="s">
        <v>1597</v>
      </c>
      <c r="AK580" t="str">
        <f>IF(Transaction[[#This Row],[Salesperson]]="","Missing Value",TRIM(PROPER(Transaction[[#This Row],[Salesperson]])))</f>
        <v>Cox</v>
      </c>
      <c r="AL580" t="s">
        <v>42</v>
      </c>
      <c r="AM580" t="str">
        <f>IF(Transaction[[#This Row],[ContractType]]="","Missing Value",Transaction[[#This Row],[ContractType]])</f>
        <v>Standard PO</v>
      </c>
      <c r="AN580" t="s">
        <v>43</v>
      </c>
    </row>
    <row r="581" spans="1:40" x14ac:dyDescent="0.25">
      <c r="A581" t="s">
        <v>2830</v>
      </c>
      <c r="B581" s="1">
        <v>45671</v>
      </c>
      <c r="C58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58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58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81" s="2">
        <f>IFERROR(DATE(Transaction[[#This Row],[TransactionDateY]],Transaction[[#This Row],[TransactionDateM]],Transaction[[#This Row],[TransactionDateD]]),"Missing Value")</f>
        <v>45671</v>
      </c>
      <c r="G581" t="s">
        <v>247</v>
      </c>
      <c r="H581" t="str">
        <f>IFERROR(VLOOKUP(Transaction[[#This Row],[CustomerID]],Custumer[],1,0),IF(LEN(Transaction[[#This Row],[CustomerID]])=7,LEFT(Transaction[[#This Row],[CustomerID]],6),"Invalid ID"))</f>
        <v>C-1045</v>
      </c>
      <c r="I581" t="s">
        <v>111</v>
      </c>
      <c r="J581" t="str">
        <f>TRIM(UPPER(Transaction[[#This Row],[ProductID]]))</f>
        <v>P-SA-004</v>
      </c>
      <c r="K581" t="str">
        <f>IFERROR(VLOOKUP(Transaction[[#This Row],[ProductID_Clean]],Product[],1,FALSE),"Invalid ID")</f>
        <v>P-SA-004</v>
      </c>
      <c r="L581" t="str">
        <f>TRIM(SUBSTITUTE(SUBSTITUTE(SUBSTITUTE(SUBSTITUTE(UPPER(Transaction[[#This Row],[Region]]),"EMEA REGION","EMEA"),"APAC REGION","APAC"),"NORTH AMERICA","N. AMERICA"),"N .AMERICA","N.AMERICA"))</f>
        <v>EMEA</v>
      </c>
      <c r="M581" t="s">
        <v>76</v>
      </c>
      <c r="N581" t="s">
        <v>205</v>
      </c>
      <c r="O58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Q581" t="str">
        <f>IF(TRIM(Transaction[[#This Row],[SalesChannel]])="","Missing Value",TRIM(Transaction[[#This Row],[SalesChannel]]))</f>
        <v>Missing Value</v>
      </c>
      <c r="R581" s="4">
        <v>1</v>
      </c>
      <c r="S581" s="4" t="str">
        <f>IF(Transaction[[#This Row],[Quantity]]&lt;0,"Negative-review","Valid")</f>
        <v>Valid</v>
      </c>
      <c r="T581">
        <v>1425.78</v>
      </c>
      <c r="U58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1425.78</v>
      </c>
      <c r="V581">
        <v>1650</v>
      </c>
      <c r="W581">
        <v>1650</v>
      </c>
      <c r="X58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581">
        <f>IF(Transaction[[#This Row],[GrossRevenue_Check]]="Invalid",Transaction[[#This Row],[ListPrice]]*Transaction[[#This Row],[Quantity]],Transaction[[#This Row],[GrossRevenue_Clean]])</f>
        <v>1650</v>
      </c>
      <c r="Z581" t="str">
        <f>IF(Transaction[[#This Row],[GrossRevenue_Clean]]=Transaction[[#This Row],[ListPrice]]*Transaction[[#This Row],[Quantity]],"Valid","Invalid")</f>
        <v>Valid</v>
      </c>
      <c r="AA581">
        <v>224.22</v>
      </c>
      <c r="AB58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224.22</v>
      </c>
      <c r="AC581">
        <f>IF(Transaction[[#This Row],[DiscountAmount_Check2]]="Invalid",Transaction[[#This Row],[GrossRevenue_Analytical]]-Transaction[[#This Row],[NetRevenue_Analytical]],Transaction[[#This Row],[DiscountAmount_Clean]])</f>
        <v>224.22</v>
      </c>
      <c r="AD581">
        <v>1425.78</v>
      </c>
      <c r="AE581" t="str">
        <f>IF(ROUND(Transaction[[#This Row],[GrossRevenue_Analytical]]-Transaction[[#This Row],[NetRevenue_Analytical]],2)=ROUND(Transaction[[#This Row],[DiscountAmount_Clean]],2),"Valid","Invalid")</f>
        <v>Valid</v>
      </c>
      <c r="AF58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1425.78</v>
      </c>
      <c r="AG581">
        <f>IF(Transaction[[#This Row],[NetRevenue_Check]]="Invalid",(Transaction[[#This Row],[Quantity]]*Transaction[[#This Row],[UnitPrice_Clean]]),Transaction[[#This Row],[NetRevenue_Clean]])</f>
        <v>1425.78</v>
      </c>
      <c r="AH581" t="str">
        <f>IF(Transaction[[#This Row],[Quantity]]*Transaction[[#This Row],[UnitPrice_Clean]]=Transaction[[#This Row],[NetRevenue_Clean]],"Valid","Invalid")</f>
        <v>Valid</v>
      </c>
      <c r="AI581" t="s">
        <v>23</v>
      </c>
      <c r="AJ581" t="s">
        <v>2831</v>
      </c>
      <c r="AK581" t="str">
        <f>IF(Transaction[[#This Row],[Salesperson]]="","Missing Value",TRIM(PROPER(Transaction[[#This Row],[Salesperson]])))</f>
        <v>Roberts-Ap</v>
      </c>
      <c r="AL581" t="s">
        <v>113</v>
      </c>
      <c r="AM581" t="str">
        <f>IF(Transaction[[#This Row],[ContractType]]="","Missing Value",Transaction[[#This Row],[ContractType]])</f>
        <v>Subscription</v>
      </c>
      <c r="AN581" t="s">
        <v>35</v>
      </c>
    </row>
    <row r="582" spans="1:40" x14ac:dyDescent="0.25">
      <c r="A582" t="s">
        <v>1591</v>
      </c>
      <c r="B582" t="s">
        <v>1384</v>
      </c>
      <c r="C58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58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04</v>
      </c>
      <c r="E58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82" s="2">
        <f>IFERROR(DATE(Transaction[[#This Row],[TransactionDateY]],Transaction[[#This Row],[TransactionDateM]],Transaction[[#This Row],[TransactionDateD]]),"Missing Value")</f>
        <v>45781</v>
      </c>
      <c r="G582" t="s">
        <v>1592</v>
      </c>
      <c r="H582" t="str">
        <f>IFERROR(VLOOKUP(Transaction[[#This Row],[CustomerID]],Custumer[],1,0),IF(LEN(Transaction[[#This Row],[CustomerID]])=7,LEFT(Transaction[[#This Row],[CustomerID]],6),"Invalid ID"))</f>
        <v>C-1028</v>
      </c>
      <c r="I582" t="s">
        <v>46</v>
      </c>
      <c r="J582" t="str">
        <f>TRIM(UPPER(Transaction[[#This Row],[ProductID]]))</f>
        <v>P-SI-006</v>
      </c>
      <c r="K582" t="str">
        <f>IFERROR(VLOOKUP(Transaction[[#This Row],[ProductID_Clean]],Product[],1,FALSE),"Invalid ID")</f>
        <v>P-SI-006</v>
      </c>
      <c r="L582" t="str">
        <f>TRIM(SUBSTITUTE(SUBSTITUTE(SUBSTITUTE(SUBSTITUTE(UPPER(Transaction[[#This Row],[Region]]),"EMEA REGION","EMEA"),"APAC REGION","APAC"),"NORTH AMERICA","N. AMERICA"),"N .AMERICA","N.AMERICA"))</f>
        <v>EMEA</v>
      </c>
      <c r="M582" t="s">
        <v>76</v>
      </c>
      <c r="N582" t="s">
        <v>98</v>
      </c>
      <c r="O58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82" t="s">
        <v>22</v>
      </c>
      <c r="Q582" t="str">
        <f>IF(TRIM(Transaction[[#This Row],[SalesChannel]])="","Missing Value",TRIM(Transaction[[#This Row],[SalesChannel]]))</f>
        <v>Direct</v>
      </c>
      <c r="R582" s="4">
        <v>2</v>
      </c>
      <c r="S582" s="4" t="str">
        <f>IF(Transaction[[#This Row],[Quantity]]&lt;0,"Negative-review","Valid")</f>
        <v>Valid</v>
      </c>
      <c r="T582" t="s">
        <v>1593</v>
      </c>
      <c r="U58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191.4</v>
      </c>
      <c r="V582">
        <v>215</v>
      </c>
      <c r="W582">
        <v>430</v>
      </c>
      <c r="X58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582">
        <f>IF(Transaction[[#This Row],[GrossRevenue_Check]]="Invalid",Transaction[[#This Row],[ListPrice]]*Transaction[[#This Row],[Quantity]],Transaction[[#This Row],[GrossRevenue_Clean]])</f>
        <v>430</v>
      </c>
      <c r="Z582" t="str">
        <f>IF(Transaction[[#This Row],[GrossRevenue_Clean]]=Transaction[[#This Row],[ListPrice]]*Transaction[[#This Row],[Quantity]],"Valid","Invalid")</f>
        <v>Valid</v>
      </c>
      <c r="AA582">
        <v>47.2</v>
      </c>
      <c r="AB58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47.2</v>
      </c>
      <c r="AC582">
        <f>IF(Transaction[[#This Row],[DiscountAmount_Check2]]="Invalid",Transaction[[#This Row],[GrossRevenue_Analytical]]-Transaction[[#This Row],[NetRevenue_Analytical]],Transaction[[#This Row],[DiscountAmount_Clean]])</f>
        <v>47.2</v>
      </c>
      <c r="AD582">
        <v>382.8</v>
      </c>
      <c r="AE582" t="str">
        <f>IF(ROUND(Transaction[[#This Row],[GrossRevenue_Analytical]]-Transaction[[#This Row],[NetRevenue_Analytical]],2)=ROUND(Transaction[[#This Row],[DiscountAmount_Clean]],2),"Valid","Invalid")</f>
        <v>Valid</v>
      </c>
      <c r="AF582">
        <f>VALUE(IF(ISNUMBER(Transaction[[#This Row],[NetRevenue]]),Transaction[[#This Row],[NetRevenue]],IFERROR(IF(FIND("$",Transaction[[#This Row],[NetRevenue]])&gt;0,MID(Transaction[[#This Row],[NetRevenue]],2,10)),Transaction[[#This Row],[NetRevenue]])))</f>
        <v>382.8</v>
      </c>
      <c r="AG582">
        <f>IF(Transaction[[#This Row],[NetRevenue_Check]]="Invalid",(Transaction[[#This Row],[Quantity]]*Transaction[[#This Row],[UnitPrice_Clean]]),Transaction[[#This Row],[NetRevenue_Clean]])</f>
        <v>382.8</v>
      </c>
      <c r="AH582" t="str">
        <f>IF(Transaction[[#This Row],[Quantity]]*Transaction[[#This Row],[UnitPrice_Clean]]=Transaction[[#This Row],[NetRevenue_Clean]],"Valid","Invalid")</f>
        <v>Valid</v>
      </c>
      <c r="AI582" t="s">
        <v>23</v>
      </c>
      <c r="AJ582" t="s">
        <v>519</v>
      </c>
      <c r="AK582" t="str">
        <f>IF(Transaction[[#This Row],[Salesperson]]="","Missing Value",TRIM(PROPER(Transaction[[#This Row],[Salesperson]])))</f>
        <v>Hughes</v>
      </c>
      <c r="AL582" t="s">
        <v>42</v>
      </c>
      <c r="AM582" t="str">
        <f>IF(Transaction[[#This Row],[ContractType]]="","Missing Value",Transaction[[#This Row],[ContractType]])</f>
        <v>Standard PO</v>
      </c>
      <c r="AN582" t="s">
        <v>43</v>
      </c>
    </row>
    <row r="583" spans="1:40" x14ac:dyDescent="0.25">
      <c r="A583" t="s">
        <v>1202</v>
      </c>
      <c r="B583" t="s">
        <v>1203</v>
      </c>
      <c r="C58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58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58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83" s="2">
        <f>IFERROR(DATE(Transaction[[#This Row],[TransactionDateY]],Transaction[[#This Row],[TransactionDateM]],Transaction[[#This Row],[TransactionDateD]]),"Missing Value")</f>
        <v>45799</v>
      </c>
      <c r="G583" t="s">
        <v>86</v>
      </c>
      <c r="H583" t="str">
        <f>IFERROR(VLOOKUP(Transaction[[#This Row],[CustomerID]],Custumer[],1,0),IF(LEN(Transaction[[#This Row],[CustomerID]])=7,LEFT(Transaction[[#This Row],[CustomerID]],6),"Invalid ID"))</f>
        <v>C-1177</v>
      </c>
      <c r="I583" t="s">
        <v>46</v>
      </c>
      <c r="J583" t="str">
        <f>TRIM(UPPER(Transaction[[#This Row],[ProductID]]))</f>
        <v>P-SI-006</v>
      </c>
      <c r="K583" t="str">
        <f>IFERROR(VLOOKUP(Transaction[[#This Row],[ProductID_Clean]],Product[],1,FALSE),"Invalid ID")</f>
        <v>P-SI-006</v>
      </c>
      <c r="L583" t="str">
        <f>TRIM(SUBSTITUTE(SUBSTITUTE(SUBSTITUTE(SUBSTITUTE(UPPER(Transaction[[#This Row],[Region]]),"EMEA REGION","EMEA"),"APAC REGION","APAC"),"NORTH AMERICA","N. AMERICA"),"N .AMERICA","N.AMERICA"))</f>
        <v>EMEA</v>
      </c>
      <c r="M583" t="s">
        <v>76</v>
      </c>
      <c r="N583" t="s">
        <v>53</v>
      </c>
      <c r="O58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83" t="s">
        <v>22</v>
      </c>
      <c r="Q583" t="str">
        <f>IF(TRIM(Transaction[[#This Row],[SalesChannel]])="","Missing Value",TRIM(Transaction[[#This Row],[SalesChannel]]))</f>
        <v>Direct</v>
      </c>
      <c r="R583" s="4">
        <v>2</v>
      </c>
      <c r="S583" s="4" t="str">
        <f>IF(Transaction[[#This Row],[Quantity]]&lt;0,"Negative-review","Valid")</f>
        <v>Valid</v>
      </c>
      <c r="T583">
        <v>170.56</v>
      </c>
      <c r="U58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170.56</v>
      </c>
      <c r="V583">
        <v>215</v>
      </c>
      <c r="W583">
        <v>430</v>
      </c>
      <c r="X58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583">
        <f>IF(Transaction[[#This Row],[GrossRevenue_Check]]="Invalid",Transaction[[#This Row],[ListPrice]]*Transaction[[#This Row],[Quantity]],Transaction[[#This Row],[GrossRevenue_Clean]])</f>
        <v>430</v>
      </c>
      <c r="Z583" t="str">
        <f>IF(Transaction[[#This Row],[GrossRevenue_Clean]]=Transaction[[#This Row],[ListPrice]]*Transaction[[#This Row],[Quantity]],"Valid","Invalid")</f>
        <v>Valid</v>
      </c>
      <c r="AA583">
        <v>88.88</v>
      </c>
      <c r="AB58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88.88</v>
      </c>
      <c r="AC583">
        <f>IF(Transaction[[#This Row],[DiscountAmount_Check2]]="Invalid",Transaction[[#This Row],[GrossRevenue_Analytical]]-Transaction[[#This Row],[NetRevenue_Analytical]],Transaction[[#This Row],[DiscountAmount_Clean]])</f>
        <v>88.88</v>
      </c>
      <c r="AD583">
        <v>341.12</v>
      </c>
      <c r="AE583" t="str">
        <f>IF(ROUND(Transaction[[#This Row],[GrossRevenue_Analytical]]-Transaction[[#This Row],[NetRevenue_Analytical]],2)=ROUND(Transaction[[#This Row],[DiscountAmount_Clean]],2),"Valid","Invalid")</f>
        <v>Valid</v>
      </c>
      <c r="AF58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341.12</v>
      </c>
      <c r="AG583">
        <f>IF(Transaction[[#This Row],[NetRevenue_Check]]="Invalid",(Transaction[[#This Row],[Quantity]]*Transaction[[#This Row],[UnitPrice_Clean]]),Transaction[[#This Row],[NetRevenue_Clean]])</f>
        <v>341.12</v>
      </c>
      <c r="AH583" t="str">
        <f>IF(Transaction[[#This Row],[Quantity]]*Transaction[[#This Row],[UnitPrice_Clean]]=Transaction[[#This Row],[NetRevenue_Clean]],"Valid","Invalid")</f>
        <v>Valid</v>
      </c>
      <c r="AI583" t="s">
        <v>23</v>
      </c>
      <c r="AJ583" t="s">
        <v>368</v>
      </c>
      <c r="AK583" t="str">
        <f>IF(Transaction[[#This Row],[Salesperson]]="","Missing Value",TRIM(PROPER(Transaction[[#This Row],[Salesperson]])))</f>
        <v>Cole</v>
      </c>
      <c r="AL583" t="s">
        <v>25</v>
      </c>
      <c r="AM583" t="str">
        <f>IF(Transaction[[#This Row],[ContractType]]="","Missing Value",Transaction[[#This Row],[ContractType]])</f>
        <v>Frame Agreement</v>
      </c>
      <c r="AN583" t="s">
        <v>49</v>
      </c>
    </row>
    <row r="584" spans="1:40" x14ac:dyDescent="0.25">
      <c r="A584" t="s">
        <v>2331</v>
      </c>
      <c r="B584" s="1">
        <v>45790</v>
      </c>
      <c r="C58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58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58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84" s="2">
        <f>IFERROR(DATE(Transaction[[#This Row],[TransactionDateY]],Transaction[[#This Row],[TransactionDateM]],Transaction[[#This Row],[TransactionDateD]]),"Missing Value")</f>
        <v>45790</v>
      </c>
      <c r="G584" t="s">
        <v>208</v>
      </c>
      <c r="H584" t="str">
        <f>IFERROR(VLOOKUP(Transaction[[#This Row],[CustomerID]],Custumer[],1,0),IF(LEN(Transaction[[#This Row],[CustomerID]])=7,LEFT(Transaction[[#This Row],[CustomerID]],6),"Invalid ID"))</f>
        <v>C-1076</v>
      </c>
      <c r="I584" t="s">
        <v>111</v>
      </c>
      <c r="J584" t="str">
        <f>TRIM(UPPER(Transaction[[#This Row],[ProductID]]))</f>
        <v>P-SA-004</v>
      </c>
      <c r="K584" t="str">
        <f>IFERROR(VLOOKUP(Transaction[[#This Row],[ProductID_Clean]],Product[],1,FALSE),"Invalid ID")</f>
        <v>P-SA-004</v>
      </c>
      <c r="L584" t="str">
        <f>TRIM(SUBSTITUTE(SUBSTITUTE(SUBSTITUTE(SUBSTITUTE(UPPER(Transaction[[#This Row],[Region]]),"EMEA REGION","EMEA"),"APAC REGION","APAC"),"NORTH AMERICA","N. AMERICA"),"N .AMERICA","N.AMERICA"))</f>
        <v>APAC</v>
      </c>
      <c r="M584" t="s">
        <v>122</v>
      </c>
      <c r="N584" t="s">
        <v>31</v>
      </c>
      <c r="O58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84" t="s">
        <v>93</v>
      </c>
      <c r="Q584" t="str">
        <f>IF(TRIM(Transaction[[#This Row],[SalesChannel]])="","Missing Value",TRIM(Transaction[[#This Row],[SalesChannel]]))</f>
        <v>direct</v>
      </c>
      <c r="R584" s="4">
        <v>1</v>
      </c>
      <c r="S584" s="4" t="str">
        <f>IF(Transaction[[#This Row],[Quantity]]&lt;0,"Negative-review","Valid")</f>
        <v>Valid</v>
      </c>
      <c r="T584">
        <v>1258.3699999999999</v>
      </c>
      <c r="U58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1258.3699999999999</v>
      </c>
      <c r="V584">
        <v>1650</v>
      </c>
      <c r="W584">
        <v>1650</v>
      </c>
      <c r="X58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584">
        <f>IF(Transaction[[#This Row],[GrossRevenue_Check]]="Invalid",Transaction[[#This Row],[ListPrice]]*Transaction[[#This Row],[Quantity]],Transaction[[#This Row],[GrossRevenue_Clean]])</f>
        <v>1650</v>
      </c>
      <c r="Z584" t="str">
        <f>IF(Transaction[[#This Row],[GrossRevenue_Clean]]=Transaction[[#This Row],[ListPrice]]*Transaction[[#This Row],[Quantity]],"Valid","Invalid")</f>
        <v>Valid</v>
      </c>
      <c r="AA584">
        <v>391.63</v>
      </c>
      <c r="AB58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391.63</v>
      </c>
      <c r="AC584">
        <f>IF(Transaction[[#This Row],[DiscountAmount_Check2]]="Invalid",Transaction[[#This Row],[GrossRevenue_Analytical]]-Transaction[[#This Row],[NetRevenue_Analytical]],Transaction[[#This Row],[DiscountAmount_Clean]])</f>
        <v>391.63</v>
      </c>
      <c r="AD584">
        <v>1258.3699999999999</v>
      </c>
      <c r="AE584" t="str">
        <f>IF(ROUND(Transaction[[#This Row],[GrossRevenue_Analytical]]-Transaction[[#This Row],[NetRevenue_Analytical]],2)=ROUND(Transaction[[#This Row],[DiscountAmount_Clean]],2),"Valid","Invalid")</f>
        <v>Valid</v>
      </c>
      <c r="AF58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1258.3699999999999</v>
      </c>
      <c r="AG584">
        <f>IF(Transaction[[#This Row],[NetRevenue_Check]]="Invalid",(Transaction[[#This Row],[Quantity]]*Transaction[[#This Row],[UnitPrice_Clean]]),Transaction[[#This Row],[NetRevenue_Clean]])</f>
        <v>1258.3699999999999</v>
      </c>
      <c r="AH584" t="str">
        <f>IF(Transaction[[#This Row],[Quantity]]*Transaction[[#This Row],[UnitPrice_Clean]]=Transaction[[#This Row],[NetRevenue_Clean]],"Valid","Invalid")</f>
        <v>Valid</v>
      </c>
      <c r="AI584" t="s">
        <v>23</v>
      </c>
      <c r="AJ584" t="s">
        <v>2332</v>
      </c>
      <c r="AK584" t="str">
        <f>IF(Transaction[[#This Row],[Salesperson]]="","Missing Value",TRIM(PROPER(Transaction[[#This Row],[Salesperson]])))</f>
        <v>Pierce</v>
      </c>
      <c r="AL584" t="s">
        <v>113</v>
      </c>
      <c r="AM584" t="str">
        <f>IF(Transaction[[#This Row],[ContractType]]="","Missing Value",Transaction[[#This Row],[ContractType]])</f>
        <v>Subscription</v>
      </c>
      <c r="AN584" t="s">
        <v>49</v>
      </c>
    </row>
    <row r="585" spans="1:40" x14ac:dyDescent="0.25">
      <c r="A585" t="s">
        <v>1267</v>
      </c>
      <c r="B585" s="1">
        <v>45730</v>
      </c>
      <c r="C58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58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58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85" s="2">
        <f>IFERROR(DATE(Transaction[[#This Row],[TransactionDateY]],Transaction[[#This Row],[TransactionDateM]],Transaction[[#This Row],[TransactionDateD]]),"Missing Value")</f>
        <v>45730</v>
      </c>
      <c r="G585" t="s">
        <v>960</v>
      </c>
      <c r="H585" t="str">
        <f>IFERROR(VLOOKUP(Transaction[[#This Row],[CustomerID]],Custumer[],1,0),IF(LEN(Transaction[[#This Row],[CustomerID]])=7,LEFT(Transaction[[#This Row],[CustomerID]],6),"Invalid ID"))</f>
        <v>C-1160</v>
      </c>
      <c r="I585" t="s">
        <v>58</v>
      </c>
      <c r="J585" t="str">
        <f>TRIM(UPPER(Transaction[[#This Row],[ProductID]]))</f>
        <v>P-SI-005</v>
      </c>
      <c r="K585" t="str">
        <f>IFERROR(VLOOKUP(Transaction[[#This Row],[ProductID_Clean]],Product[],1,FALSE),"Invalid ID")</f>
        <v>P-SI-005</v>
      </c>
      <c r="L585" t="str">
        <f>TRIM(SUBSTITUTE(SUBSTITUTE(SUBSTITUTE(SUBSTITUTE(UPPER(Transaction[[#This Row],[Region]]),"EMEA REGION","EMEA"),"APAC REGION","APAC"),"NORTH AMERICA","N. AMERICA"),"N .AMERICA","N.AMERICA"))</f>
        <v>LATIN AMERICA</v>
      </c>
      <c r="M585" t="s">
        <v>82</v>
      </c>
      <c r="N585" t="s">
        <v>53</v>
      </c>
      <c r="O58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85" t="s">
        <v>181</v>
      </c>
      <c r="Q585" t="str">
        <f>IF(TRIM(Transaction[[#This Row],[SalesChannel]])="","Missing Value",TRIM(Transaction[[#This Row],[SalesChannel]]))</f>
        <v>Partner Portal</v>
      </c>
      <c r="R585" s="4">
        <v>5</v>
      </c>
      <c r="S585" s="4" t="str">
        <f>IF(Transaction[[#This Row],[Quantity]]&lt;0,"Negative-review","Valid")</f>
        <v>Valid</v>
      </c>
      <c r="T585">
        <v>1027.22</v>
      </c>
      <c r="U58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1027.22</v>
      </c>
      <c r="V585">
        <v>1120</v>
      </c>
      <c r="W585">
        <v>5600</v>
      </c>
      <c r="X58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5600</v>
      </c>
      <c r="Y585">
        <f>IF(Transaction[[#This Row],[GrossRevenue_Check]]="Invalid",Transaction[[#This Row],[ListPrice]]*Transaction[[#This Row],[Quantity]],Transaction[[#This Row],[GrossRevenue_Clean]])</f>
        <v>5600</v>
      </c>
      <c r="Z585" t="str">
        <f>IF(Transaction[[#This Row],[GrossRevenue_Clean]]=Transaction[[#This Row],[ListPrice]]*Transaction[[#This Row],[Quantity]],"Valid","Invalid")</f>
        <v>Valid</v>
      </c>
      <c r="AA585">
        <v>463.9</v>
      </c>
      <c r="AB58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463.9</v>
      </c>
      <c r="AC585">
        <f>IF(Transaction[[#This Row],[DiscountAmount_Check2]]="Invalid",Transaction[[#This Row],[GrossRevenue_Analytical]]-Transaction[[#This Row],[NetRevenue_Analytical]],Transaction[[#This Row],[DiscountAmount_Clean]])</f>
        <v>463.9</v>
      </c>
      <c r="AD585">
        <v>5136.1000000000004</v>
      </c>
      <c r="AE585" t="str">
        <f>IF(ROUND(Transaction[[#This Row],[GrossRevenue_Analytical]]-Transaction[[#This Row],[NetRevenue_Analytical]],2)=ROUND(Transaction[[#This Row],[DiscountAmount_Clean]],2),"Valid","Invalid")</f>
        <v>Valid</v>
      </c>
      <c r="AF585">
        <f>VALUE(IF(ISNUMBER(Transaction[[#This Row],[NetRevenue]]),Transaction[[#This Row],[NetRevenue]],IFERROR(IF(FIND("$",Transaction[[#This Row],[NetRevenue]])&gt;0,MID(Transaction[[#This Row],[NetRevenue]],2,10)),Transaction[[#This Row],[NetRevenue]])))</f>
        <v>5136.1000000000004</v>
      </c>
      <c r="AG585">
        <f>IF(Transaction[[#This Row],[NetRevenue_Check]]="Invalid",(Transaction[[#This Row],[Quantity]]*Transaction[[#This Row],[UnitPrice_Clean]]),Transaction[[#This Row],[NetRevenue_Clean]])</f>
        <v>5136.1000000000004</v>
      </c>
      <c r="AH585" t="str">
        <f>IF(Transaction[[#This Row],[Quantity]]*Transaction[[#This Row],[UnitPrice_Clean]]=Transaction[[#This Row],[NetRevenue_Clean]],"Valid","Invalid")</f>
        <v>Valid</v>
      </c>
      <c r="AI585" t="s">
        <v>23</v>
      </c>
      <c r="AJ585" t="s">
        <v>1268</v>
      </c>
      <c r="AK585" t="str">
        <f>IF(Transaction[[#This Row],[Salesperson]]="","Missing Value",TRIM(PROPER(Transaction[[#This Row],[Salesperson]])))</f>
        <v>Bryan</v>
      </c>
      <c r="AL585" t="s">
        <v>42</v>
      </c>
      <c r="AM585" t="str">
        <f>IF(Transaction[[#This Row],[ContractType]]="","Missing Value",Transaction[[#This Row],[ContractType]])</f>
        <v>Standard PO</v>
      </c>
      <c r="AN585" t="s">
        <v>65</v>
      </c>
    </row>
    <row r="586" spans="1:40" x14ac:dyDescent="0.25">
      <c r="A586" t="s">
        <v>1447</v>
      </c>
      <c r="B586" s="1">
        <v>45699</v>
      </c>
      <c r="C58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58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58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86" s="2">
        <f>IFERROR(DATE(Transaction[[#This Row],[TransactionDateY]],Transaction[[#This Row],[TransactionDateM]],Transaction[[#This Row],[TransactionDateD]]),"Missing Value")</f>
        <v>45699</v>
      </c>
      <c r="G586" t="s">
        <v>476</v>
      </c>
      <c r="H586" t="str">
        <f>IFERROR(VLOOKUP(Transaction[[#This Row],[CustomerID]],Custumer[],1,0),IF(LEN(Transaction[[#This Row],[CustomerID]])=7,LEFT(Transaction[[#This Row],[CustomerID]],6),"Invalid ID"))</f>
        <v>C-1174</v>
      </c>
      <c r="I586" t="s">
        <v>39</v>
      </c>
      <c r="J586" t="str">
        <f>TRIM(UPPER(Transaction[[#This Row],[ProductID]]))</f>
        <v>P-FS-006</v>
      </c>
      <c r="K586" t="str">
        <f>IFERROR(VLOOKUP(Transaction[[#This Row],[ProductID_Clean]],Product[],1,FALSE),"Invalid ID")</f>
        <v>P-FS-006</v>
      </c>
      <c r="L586" t="str">
        <f>TRIM(SUBSTITUTE(SUBSTITUTE(SUBSTITUTE(SUBSTITUTE(UPPER(Transaction[[#This Row],[Region]]),"EMEA REGION","EMEA"),"APAC REGION","APAC"),"NORTH AMERICA","N. AMERICA"),"N .AMERICA","N.AMERICA"))</f>
        <v>N. AMERICA</v>
      </c>
      <c r="M586" t="s">
        <v>20</v>
      </c>
      <c r="N586" t="s">
        <v>21</v>
      </c>
      <c r="O58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586" t="s">
        <v>22</v>
      </c>
      <c r="Q586" t="str">
        <f>IF(TRIM(Transaction[[#This Row],[SalesChannel]])="","Missing Value",TRIM(Transaction[[#This Row],[SalesChannel]]))</f>
        <v>Direct</v>
      </c>
      <c r="R586" s="4">
        <v>1</v>
      </c>
      <c r="S586" s="4" t="str">
        <f>IF(Transaction[[#This Row],[Quantity]]&lt;0,"Negative-review","Valid")</f>
        <v>Valid</v>
      </c>
      <c r="T586">
        <v>1232.17</v>
      </c>
      <c r="U58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1232.17</v>
      </c>
      <c r="V586">
        <v>1450</v>
      </c>
      <c r="W586">
        <v>1450</v>
      </c>
      <c r="X58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586">
        <f>IF(Transaction[[#This Row],[GrossRevenue_Check]]="Invalid",Transaction[[#This Row],[ListPrice]]*Transaction[[#This Row],[Quantity]],Transaction[[#This Row],[GrossRevenue_Clean]])</f>
        <v>1450</v>
      </c>
      <c r="Z586" t="str">
        <f>IF(Transaction[[#This Row],[GrossRevenue_Clean]]=Transaction[[#This Row],[ListPrice]]*Transaction[[#This Row],[Quantity]],"Valid","Invalid")</f>
        <v>Valid</v>
      </c>
      <c r="AA586">
        <v>217.83</v>
      </c>
      <c r="AB58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217.83</v>
      </c>
      <c r="AC586">
        <f>IF(Transaction[[#This Row],[DiscountAmount_Check2]]="Invalid",Transaction[[#This Row],[GrossRevenue_Analytical]]-Transaction[[#This Row],[NetRevenue_Analytical]],Transaction[[#This Row],[DiscountAmount_Clean]])</f>
        <v>217.83</v>
      </c>
      <c r="AD586">
        <v>1232.17</v>
      </c>
      <c r="AE586" t="str">
        <f>IF(ROUND(Transaction[[#This Row],[GrossRevenue_Analytical]]-Transaction[[#This Row],[NetRevenue_Analytical]],2)=ROUND(Transaction[[#This Row],[DiscountAmount_Clean]],2),"Valid","Invalid")</f>
        <v>Valid</v>
      </c>
      <c r="AF58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1232.17</v>
      </c>
      <c r="AG586">
        <f>IF(Transaction[[#This Row],[NetRevenue_Check]]="Invalid",(Transaction[[#This Row],[Quantity]]*Transaction[[#This Row],[UnitPrice_Clean]]),Transaction[[#This Row],[NetRevenue_Clean]])</f>
        <v>1232.17</v>
      </c>
      <c r="AH586" t="str">
        <f>IF(Transaction[[#This Row],[Quantity]]*Transaction[[#This Row],[UnitPrice_Clean]]=Transaction[[#This Row],[NetRevenue_Clean]],"Valid","Invalid")</f>
        <v>Valid</v>
      </c>
      <c r="AI586" t="s">
        <v>23</v>
      </c>
      <c r="AJ586" t="s">
        <v>1448</v>
      </c>
      <c r="AK586" t="str">
        <f>IF(Transaction[[#This Row],[Salesperson]]="","Missing Value",TRIM(PROPER(Transaction[[#This Row],[Salesperson]])))</f>
        <v>Hanson</v>
      </c>
      <c r="AL586" t="s">
        <v>25</v>
      </c>
      <c r="AM586" t="str">
        <f>IF(Transaction[[#This Row],[ContractType]]="","Missing Value",Transaction[[#This Row],[ContractType]])</f>
        <v>Frame Agreement</v>
      </c>
      <c r="AN586" t="s">
        <v>35</v>
      </c>
    </row>
    <row r="587" spans="1:40" x14ac:dyDescent="0.25">
      <c r="A587" t="s">
        <v>1445</v>
      </c>
      <c r="B587" s="1">
        <v>45773</v>
      </c>
      <c r="C58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58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58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87" s="2">
        <f>IFERROR(DATE(Transaction[[#This Row],[TransactionDateY]],Transaction[[#This Row],[TransactionDateM]],Transaction[[#This Row],[TransactionDateD]]),"Missing Value")</f>
        <v>45773</v>
      </c>
      <c r="G587" t="s">
        <v>826</v>
      </c>
      <c r="H587" t="str">
        <f>IFERROR(VLOOKUP(Transaction[[#This Row],[CustomerID]],Custumer[],1,0),IF(LEN(Transaction[[#This Row],[CustomerID]])=7,LEFT(Transaction[[#This Row],[CustomerID]],6),"Invalid ID"))</f>
        <v>C-1182</v>
      </c>
      <c r="I587" t="s">
        <v>62</v>
      </c>
      <c r="J587" t="str">
        <f>TRIM(UPPER(Transaction[[#This Row],[ProductID]]))</f>
        <v>P-SI-004</v>
      </c>
      <c r="K587" t="str">
        <f>IFERROR(VLOOKUP(Transaction[[#This Row],[ProductID_Clean]],Product[],1,FALSE),"Invalid ID")</f>
        <v>P-SI-004</v>
      </c>
      <c r="L587" t="str">
        <f>TRIM(SUBSTITUTE(SUBSTITUTE(SUBSTITUTE(SUBSTITUTE(UPPER(Transaction[[#This Row],[Region]]),"EMEA REGION","EMEA"),"APAC REGION","APAC"),"NORTH AMERICA","N. AMERICA"),"N .AMERICA","N.AMERICA"))</f>
        <v>APAC</v>
      </c>
      <c r="M587" t="s">
        <v>127</v>
      </c>
      <c r="N587" t="s">
        <v>47</v>
      </c>
      <c r="O58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87" t="s">
        <v>22</v>
      </c>
      <c r="Q587" t="str">
        <f>IF(TRIM(Transaction[[#This Row],[SalesChannel]])="","Missing Value",TRIM(Transaction[[#This Row],[SalesChannel]]))</f>
        <v>Direct</v>
      </c>
      <c r="R587" s="4">
        <v>4</v>
      </c>
      <c r="S587" s="4" t="str">
        <f>IF(Transaction[[#This Row],[Quantity]]&lt;0,"Negative-review","Valid")</f>
        <v>Valid</v>
      </c>
      <c r="T587" t="s">
        <v>1446</v>
      </c>
      <c r="U58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2437.98</v>
      </c>
      <c r="V587">
        <v>2450</v>
      </c>
      <c r="W587">
        <v>9800</v>
      </c>
      <c r="X58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587">
        <f>IF(Transaction[[#This Row],[GrossRevenue_Check]]="Invalid",Transaction[[#This Row],[ListPrice]]*Transaction[[#This Row],[Quantity]],Transaction[[#This Row],[GrossRevenue_Clean]])</f>
        <v>9800</v>
      </c>
      <c r="Z587" t="str">
        <f>IF(Transaction[[#This Row],[GrossRevenue_Clean]]=Transaction[[#This Row],[ListPrice]]*Transaction[[#This Row],[Quantity]],"Valid","Invalid")</f>
        <v>Valid</v>
      </c>
      <c r="AA587">
        <v>48.08</v>
      </c>
      <c r="AB58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48.08</v>
      </c>
      <c r="AC587">
        <f>IF(Transaction[[#This Row],[DiscountAmount_Check2]]="Invalid",Transaction[[#This Row],[GrossRevenue_Analytical]]-Transaction[[#This Row],[NetRevenue_Analytical]],Transaction[[#This Row],[DiscountAmount_Clean]])</f>
        <v>48.08</v>
      </c>
      <c r="AD587">
        <v>9751.92</v>
      </c>
      <c r="AE587" t="str">
        <f>IF(ROUND(Transaction[[#This Row],[GrossRevenue_Analytical]]-Transaction[[#This Row],[NetRevenue_Analytical]],2)=ROUND(Transaction[[#This Row],[DiscountAmount_Clean]],2),"Valid","Invalid")</f>
        <v>Valid</v>
      </c>
      <c r="AF587">
        <f>VALUE(IF(ISNUMBER(Transaction[[#This Row],[NetRevenue]]),Transaction[[#This Row],[NetRevenue]],IFERROR(IF(FIND("$",Transaction[[#This Row],[NetRevenue]])&gt;0,MID(Transaction[[#This Row],[NetRevenue]],2,10)),Transaction[[#This Row],[NetRevenue]])))</f>
        <v>9751.92</v>
      </c>
      <c r="AG587">
        <f>IF(Transaction[[#This Row],[NetRevenue_Check]]="Invalid",(Transaction[[#This Row],[Quantity]]*Transaction[[#This Row],[UnitPrice_Clean]]),Transaction[[#This Row],[NetRevenue_Clean]])</f>
        <v>9751.92</v>
      </c>
      <c r="AH587" t="str">
        <f>IF(Transaction[[#This Row],[Quantity]]*Transaction[[#This Row],[UnitPrice_Clean]]=Transaction[[#This Row],[NetRevenue_Clean]],"Valid","Invalid")</f>
        <v>Valid</v>
      </c>
      <c r="AI587" t="s">
        <v>23</v>
      </c>
      <c r="AJ587" t="s">
        <v>259</v>
      </c>
      <c r="AK587" t="str">
        <f>IF(Transaction[[#This Row],[Salesperson]]="","Missing Value",TRIM(PROPER(Transaction[[#This Row],[Salesperson]])))</f>
        <v>Carr</v>
      </c>
      <c r="AL587" t="s">
        <v>25</v>
      </c>
      <c r="AM587" t="str">
        <f>IF(Transaction[[#This Row],[ContractType]]="","Missing Value",Transaction[[#This Row],[ContractType]])</f>
        <v>Frame Agreement</v>
      </c>
      <c r="AN587" t="s">
        <v>65</v>
      </c>
    </row>
    <row r="588" spans="1:40" x14ac:dyDescent="0.25">
      <c r="A588" t="s">
        <v>1564</v>
      </c>
      <c r="B588" s="1">
        <v>45769</v>
      </c>
      <c r="C58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58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58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88" s="2">
        <f>IFERROR(DATE(Transaction[[#This Row],[TransactionDateY]],Transaction[[#This Row],[TransactionDateM]],Transaction[[#This Row],[TransactionDateD]]),"Missing Value")</f>
        <v>45769</v>
      </c>
      <c r="G588" t="s">
        <v>408</v>
      </c>
      <c r="H588" t="str">
        <f>IFERROR(VLOOKUP(Transaction[[#This Row],[CustomerID]],Custumer[],1,0),IF(LEN(Transaction[[#This Row],[CustomerID]])=7,LEFT(Transaction[[#This Row],[CustomerID]],6),"Invalid ID"))</f>
        <v>C-1093</v>
      </c>
      <c r="I588" t="s">
        <v>62</v>
      </c>
      <c r="J588" t="str">
        <f>TRIM(UPPER(Transaction[[#This Row],[ProductID]]))</f>
        <v>P-SI-004</v>
      </c>
      <c r="K588" t="str">
        <f>IFERROR(VLOOKUP(Transaction[[#This Row],[ProductID_Clean]],Product[],1,FALSE),"Invalid ID")</f>
        <v>P-SI-004</v>
      </c>
      <c r="L588" t="str">
        <f>TRIM(SUBSTITUTE(SUBSTITUTE(SUBSTITUTE(SUBSTITUTE(UPPER(Transaction[[#This Row],[Region]]),"EMEA REGION","EMEA"),"APAC REGION","APAC"),"NORTH AMERICA","N. AMERICA"),"N .AMERICA","N.AMERICA"))</f>
        <v>EMEA</v>
      </c>
      <c r="M588" t="s">
        <v>87</v>
      </c>
      <c r="N588" t="s">
        <v>53</v>
      </c>
      <c r="O58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88" t="s">
        <v>22</v>
      </c>
      <c r="Q588" t="str">
        <f>IF(TRIM(Transaction[[#This Row],[SalesChannel]])="","Missing Value",TRIM(Transaction[[#This Row],[SalesChannel]]))</f>
        <v>Direct</v>
      </c>
      <c r="R588" s="4">
        <v>1</v>
      </c>
      <c r="S588" s="4" t="str">
        <f>IF(Transaction[[#This Row],[Quantity]]&lt;0,"Negative-review","Valid")</f>
        <v>Valid</v>
      </c>
      <c r="T588">
        <v>2418.75</v>
      </c>
      <c r="U58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2418.75</v>
      </c>
      <c r="V588">
        <v>2450</v>
      </c>
      <c r="W588">
        <v>2450</v>
      </c>
      <c r="X58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588">
        <f>IF(Transaction[[#This Row],[GrossRevenue_Check]]="Invalid",Transaction[[#This Row],[ListPrice]]*Transaction[[#This Row],[Quantity]],Transaction[[#This Row],[GrossRevenue_Clean]])</f>
        <v>2450</v>
      </c>
      <c r="Z588" t="str">
        <f>IF(Transaction[[#This Row],[GrossRevenue_Clean]]=Transaction[[#This Row],[ListPrice]]*Transaction[[#This Row],[Quantity]],"Valid","Invalid")</f>
        <v>Valid</v>
      </c>
      <c r="AA588">
        <v>31.25</v>
      </c>
      <c r="AB58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31.25</v>
      </c>
      <c r="AC588">
        <f>IF(Transaction[[#This Row],[DiscountAmount_Check2]]="Invalid",Transaction[[#This Row],[GrossRevenue_Analytical]]-Transaction[[#This Row],[NetRevenue_Analytical]],Transaction[[#This Row],[DiscountAmount_Clean]])</f>
        <v>31.25</v>
      </c>
      <c r="AD588">
        <v>2418.75</v>
      </c>
      <c r="AE588" t="str">
        <f>IF(ROUND(Transaction[[#This Row],[GrossRevenue_Analytical]]-Transaction[[#This Row],[NetRevenue_Analytical]],2)=ROUND(Transaction[[#This Row],[DiscountAmount_Clean]],2),"Valid","Invalid")</f>
        <v>Valid</v>
      </c>
      <c r="AF58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2418.75</v>
      </c>
      <c r="AG588">
        <f>IF(Transaction[[#This Row],[NetRevenue_Check]]="Invalid",(Transaction[[#This Row],[Quantity]]*Transaction[[#This Row],[UnitPrice_Clean]]),Transaction[[#This Row],[NetRevenue_Clean]])</f>
        <v>2418.75</v>
      </c>
      <c r="AH588" t="str">
        <f>IF(Transaction[[#This Row],[Quantity]]*Transaction[[#This Row],[UnitPrice_Clean]]=Transaction[[#This Row],[NetRevenue_Clean]],"Valid","Invalid")</f>
        <v>Valid</v>
      </c>
      <c r="AI588" t="s">
        <v>23</v>
      </c>
      <c r="AJ588" t="s">
        <v>430</v>
      </c>
      <c r="AK588" t="str">
        <f>IF(Transaction[[#This Row],[Salesperson]]="","Missing Value",TRIM(PROPER(Transaction[[#This Row],[Salesperson]])))</f>
        <v>Anderson</v>
      </c>
      <c r="AL588" t="s">
        <v>42</v>
      </c>
      <c r="AM588" t="str">
        <f>IF(Transaction[[#This Row],[ContractType]]="","Missing Value",Transaction[[#This Row],[ContractType]])</f>
        <v>Standard PO</v>
      </c>
      <c r="AN588" t="s">
        <v>49</v>
      </c>
    </row>
    <row r="589" spans="1:40" x14ac:dyDescent="0.25">
      <c r="A589" t="s">
        <v>902</v>
      </c>
      <c r="B589" t="s">
        <v>903</v>
      </c>
      <c r="C58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58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58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89" s="2">
        <f>IFERROR(DATE(Transaction[[#This Row],[TransactionDateY]],Transaction[[#This Row],[TransactionDateM]],Transaction[[#This Row],[TransactionDateD]]),"Missing Value")</f>
        <v>45714</v>
      </c>
      <c r="G589" t="s">
        <v>203</v>
      </c>
      <c r="H589" t="str">
        <f>IFERROR(VLOOKUP(Transaction[[#This Row],[CustomerID]],Custumer[],1,0),IF(LEN(Transaction[[#This Row],[CustomerID]])=7,LEFT(Transaction[[#This Row],[CustomerID]],6),"Invalid ID"))</f>
        <v>C-1005</v>
      </c>
      <c r="I589" t="s">
        <v>97</v>
      </c>
      <c r="J589" t="str">
        <f>TRIM(UPPER(Transaction[[#This Row],[ProductID]]))</f>
        <v>P-SI-001</v>
      </c>
      <c r="K589" t="str">
        <f>IFERROR(VLOOKUP(Transaction[[#This Row],[ProductID_Clean]],Product[],1,FALSE),"Invalid ID")</f>
        <v>P-SI-001</v>
      </c>
      <c r="L589" t="str">
        <f>TRIM(SUBSTITUTE(SUBSTITUTE(SUBSTITUTE(SUBSTITUTE(UPPER(Transaction[[#This Row],[Region]]),"EMEA REGION","EMEA"),"APAC REGION","APAC"),"NORTH AMERICA","N. AMERICA"),"N .AMERICA","N.AMERICA"))</f>
        <v>N. AMERICA</v>
      </c>
      <c r="M589" t="s">
        <v>20</v>
      </c>
      <c r="N589" t="s">
        <v>53</v>
      </c>
      <c r="O58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89" t="s">
        <v>40</v>
      </c>
      <c r="Q589" t="str">
        <f>IF(TRIM(Transaction[[#This Row],[SalesChannel]])="","Missing Value",TRIM(Transaction[[#This Row],[SalesChannel]]))</f>
        <v>Distributor</v>
      </c>
      <c r="R589" s="4">
        <v>2</v>
      </c>
      <c r="S589" s="4" t="str">
        <f>IF(Transaction[[#This Row],[Quantity]]&lt;0,"Negative-review","Valid")</f>
        <v>Valid</v>
      </c>
      <c r="T589">
        <v>363.53</v>
      </c>
      <c r="U58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363.53</v>
      </c>
      <c r="V589">
        <v>485</v>
      </c>
      <c r="W589">
        <v>970</v>
      </c>
      <c r="X58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589">
        <f>IF(Transaction[[#This Row],[GrossRevenue_Check]]="Invalid",Transaction[[#This Row],[ListPrice]]*Transaction[[#This Row],[Quantity]],Transaction[[#This Row],[GrossRevenue_Clean]])</f>
        <v>970</v>
      </c>
      <c r="Z589" t="str">
        <f>IF(Transaction[[#This Row],[GrossRevenue_Clean]]=Transaction[[#This Row],[ListPrice]]*Transaction[[#This Row],[Quantity]],"Valid","Invalid")</f>
        <v>Valid</v>
      </c>
      <c r="AA589">
        <v>242.94</v>
      </c>
      <c r="AB58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242.94</v>
      </c>
      <c r="AC589">
        <f>IF(Transaction[[#This Row],[DiscountAmount_Check2]]="Invalid",Transaction[[#This Row],[GrossRevenue_Analytical]]-Transaction[[#This Row],[NetRevenue_Analytical]],Transaction[[#This Row],[DiscountAmount_Clean]])</f>
        <v>242.94</v>
      </c>
      <c r="AD589">
        <v>727.06</v>
      </c>
      <c r="AE589" t="str">
        <f>IF(ROUND(Transaction[[#This Row],[GrossRevenue_Analytical]]-Transaction[[#This Row],[NetRevenue_Analytical]],2)=ROUND(Transaction[[#This Row],[DiscountAmount_Clean]],2),"Valid","Invalid")</f>
        <v>Valid</v>
      </c>
      <c r="AF589">
        <f>VALUE(IF(ISNUMBER(Transaction[[#This Row],[NetRevenue]]),Transaction[[#This Row],[NetRevenue]],IFERROR(IF(FIND("$",Transaction[[#This Row],[NetRevenue]])&gt;0,MID(Transaction[[#This Row],[NetRevenue]],2,10)),Transaction[[#This Row],[NetRevenue]])))</f>
        <v>727.06</v>
      </c>
      <c r="AG589">
        <f>IF(Transaction[[#This Row],[NetRevenue_Check]]="Invalid",(Transaction[[#This Row],[Quantity]]*Transaction[[#This Row],[UnitPrice_Clean]]),Transaction[[#This Row],[NetRevenue_Clean]])</f>
        <v>727.06</v>
      </c>
      <c r="AH589" t="str">
        <f>IF(Transaction[[#This Row],[Quantity]]*Transaction[[#This Row],[UnitPrice_Clean]]=Transaction[[#This Row],[NetRevenue_Clean]],"Valid","Invalid")</f>
        <v>Valid</v>
      </c>
      <c r="AI589" t="s">
        <v>23</v>
      </c>
      <c r="AJ589" t="s">
        <v>781</v>
      </c>
      <c r="AK589" t="str">
        <f>IF(Transaction[[#This Row],[Salesperson]]="","Missing Value",TRIM(PROPER(Transaction[[#This Row],[Salesperson]])))</f>
        <v>Davis</v>
      </c>
      <c r="AL589" t="s">
        <v>42</v>
      </c>
      <c r="AM589" t="str">
        <f>IF(Transaction[[#This Row],[ContractType]]="","Missing Value",Transaction[[#This Row],[ContractType]])</f>
        <v>Standard PO</v>
      </c>
      <c r="AN589" t="s">
        <v>35</v>
      </c>
    </row>
    <row r="590" spans="1:40" x14ac:dyDescent="0.25">
      <c r="A590" t="s">
        <v>2677</v>
      </c>
      <c r="B590" s="1">
        <v>45664</v>
      </c>
      <c r="C59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59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59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90" s="2">
        <f>IFERROR(DATE(Transaction[[#This Row],[TransactionDateY]],Transaction[[#This Row],[TransactionDateM]],Transaction[[#This Row],[TransactionDateD]]),"Missing Value")</f>
        <v>45664</v>
      </c>
      <c r="G590" t="s">
        <v>153</v>
      </c>
      <c r="H590" t="str">
        <f>IFERROR(VLOOKUP(Transaction[[#This Row],[CustomerID]],Custumer[],1,0),IF(LEN(Transaction[[#This Row],[CustomerID]])=7,LEFT(Transaction[[#This Row],[CustomerID]],6),"Invalid ID"))</f>
        <v>C-1161</v>
      </c>
      <c r="I590" t="s">
        <v>111</v>
      </c>
      <c r="J590" t="str">
        <f>TRIM(UPPER(Transaction[[#This Row],[ProductID]]))</f>
        <v>P-SA-004</v>
      </c>
      <c r="K590" t="str">
        <f>IFERROR(VLOOKUP(Transaction[[#This Row],[ProductID_Clean]],Product[],1,FALSE),"Invalid ID")</f>
        <v>P-SA-004</v>
      </c>
      <c r="L590" t="str">
        <f>TRIM(SUBSTITUTE(SUBSTITUTE(SUBSTITUTE(SUBSTITUTE(UPPER(Transaction[[#This Row],[Region]]),"EMEA REGION","EMEA"),"APAC REGION","APAC"),"NORTH AMERICA","N. AMERICA"),"N .AMERICA","N.AMERICA"))</f>
        <v>N. AMERICA</v>
      </c>
      <c r="M590" t="s">
        <v>20</v>
      </c>
      <c r="N590" t="s">
        <v>31</v>
      </c>
      <c r="O590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90" t="s">
        <v>22</v>
      </c>
      <c r="Q590" t="str">
        <f>IF(TRIM(Transaction[[#This Row],[SalesChannel]])="","Missing Value",TRIM(Transaction[[#This Row],[SalesChannel]]))</f>
        <v>Direct</v>
      </c>
      <c r="R590" s="4">
        <v>1</v>
      </c>
      <c r="S590" s="4" t="str">
        <f>IF(Transaction[[#This Row],[Quantity]]&lt;0,"Negative-review","Valid")</f>
        <v>Valid</v>
      </c>
      <c r="T590">
        <v>1590.3</v>
      </c>
      <c r="U59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1590.3</v>
      </c>
      <c r="V590">
        <v>1650</v>
      </c>
      <c r="W590">
        <v>1650</v>
      </c>
      <c r="X59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590">
        <f>IF(Transaction[[#This Row],[GrossRevenue_Check]]="Invalid",Transaction[[#This Row],[ListPrice]]*Transaction[[#This Row],[Quantity]],Transaction[[#This Row],[GrossRevenue_Clean]])</f>
        <v>1650</v>
      </c>
      <c r="Z590" t="str">
        <f>IF(Transaction[[#This Row],[GrossRevenue_Clean]]=Transaction[[#This Row],[ListPrice]]*Transaction[[#This Row],[Quantity]],"Valid","Invalid")</f>
        <v>Valid</v>
      </c>
      <c r="AA590">
        <v>59.7</v>
      </c>
      <c r="AB59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59.7</v>
      </c>
      <c r="AC590">
        <f>IF(Transaction[[#This Row],[DiscountAmount_Check2]]="Invalid",Transaction[[#This Row],[GrossRevenue_Analytical]]-Transaction[[#This Row],[NetRevenue_Analytical]],Transaction[[#This Row],[DiscountAmount_Clean]])</f>
        <v>59.7</v>
      </c>
      <c r="AD590">
        <v>1590.3</v>
      </c>
      <c r="AE590" t="str">
        <f>IF(ROUND(Transaction[[#This Row],[GrossRevenue_Analytical]]-Transaction[[#This Row],[NetRevenue_Analytical]],2)=ROUND(Transaction[[#This Row],[DiscountAmount_Clean]],2),"Valid","Invalid")</f>
        <v>Valid</v>
      </c>
      <c r="AF59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1590.3</v>
      </c>
      <c r="AG590">
        <f>IF(Transaction[[#This Row],[NetRevenue_Check]]="Invalid",(Transaction[[#This Row],[Quantity]]*Transaction[[#This Row],[UnitPrice_Clean]]),Transaction[[#This Row],[NetRevenue_Clean]])</f>
        <v>1590.3</v>
      </c>
      <c r="AH590" t="str">
        <f>IF(Transaction[[#This Row],[Quantity]]*Transaction[[#This Row],[UnitPrice_Clean]]=Transaction[[#This Row],[NetRevenue_Clean]],"Valid","Invalid")</f>
        <v>Valid</v>
      </c>
      <c r="AI590" t="s">
        <v>23</v>
      </c>
      <c r="AJ590" t="s">
        <v>1155</v>
      </c>
      <c r="AK590" t="str">
        <f>IF(Transaction[[#This Row],[Salesperson]]="","Missing Value",TRIM(PROPER(Transaction[[#This Row],[Salesperson]])))</f>
        <v>Brooks-Na</v>
      </c>
      <c r="AL590" t="s">
        <v>113</v>
      </c>
      <c r="AM590" t="str">
        <f>IF(Transaction[[#This Row],[ContractType]]="","Missing Value",Transaction[[#This Row],[ContractType]])</f>
        <v>Subscription</v>
      </c>
      <c r="AN590" t="s">
        <v>35</v>
      </c>
    </row>
    <row r="591" spans="1:40" x14ac:dyDescent="0.25">
      <c r="A591" t="s">
        <v>1982</v>
      </c>
      <c r="B591" s="1">
        <v>45671</v>
      </c>
      <c r="C59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59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59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91" s="2">
        <f>IFERROR(DATE(Transaction[[#This Row],[TransactionDateY]],Transaction[[#This Row],[TransactionDateM]],Transaction[[#This Row],[TransactionDateD]]),"Missing Value")</f>
        <v>45671</v>
      </c>
      <c r="G591" t="s">
        <v>1572</v>
      </c>
      <c r="H591" t="str">
        <f>IFERROR(VLOOKUP(Transaction[[#This Row],[CustomerID]],Custumer[],1,0),IF(LEN(Transaction[[#This Row],[CustomerID]])=7,LEFT(Transaction[[#This Row],[CustomerID]],6),"Invalid ID"))</f>
        <v>C-1098</v>
      </c>
      <c r="I591" t="s">
        <v>285</v>
      </c>
      <c r="J591" t="str">
        <f>TRIM(UPPER(Transaction[[#This Row],[ProductID]]))</f>
        <v>P-SI-001</v>
      </c>
      <c r="K591" t="str">
        <f>IFERROR(VLOOKUP(Transaction[[#This Row],[ProductID_Clean]],Product[],1,FALSE),"Invalid ID")</f>
        <v>P-SI-001</v>
      </c>
      <c r="L591" t="str">
        <f>TRIM(SUBSTITUTE(SUBSTITUTE(SUBSTITUTE(SUBSTITUTE(UPPER(Transaction[[#This Row],[Region]]),"EMEA REGION","EMEA"),"APAC REGION","APAC"),"NORTH AMERICA","N. AMERICA"),"N .AMERICA","N.AMERICA"))</f>
        <v>N. AMERICA</v>
      </c>
      <c r="M591" t="s">
        <v>20</v>
      </c>
      <c r="N591" t="s">
        <v>53</v>
      </c>
      <c r="O59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91" t="s">
        <v>22</v>
      </c>
      <c r="Q591" t="str">
        <f>IF(TRIM(Transaction[[#This Row],[SalesChannel]])="","Missing Value",TRIM(Transaction[[#This Row],[SalesChannel]]))</f>
        <v>Direct</v>
      </c>
      <c r="R591" s="4">
        <v>1</v>
      </c>
      <c r="S591" s="4" t="str">
        <f>IF(Transaction[[#This Row],[Quantity]]&lt;0,"Negative-review","Valid")</f>
        <v>Valid</v>
      </c>
      <c r="T591">
        <v>456.06</v>
      </c>
      <c r="U59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456.06</v>
      </c>
      <c r="V591">
        <v>485</v>
      </c>
      <c r="W591">
        <v>485</v>
      </c>
      <c r="X59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591">
        <f>IF(Transaction[[#This Row],[GrossRevenue_Check]]="Invalid",Transaction[[#This Row],[ListPrice]]*Transaction[[#This Row],[Quantity]],Transaction[[#This Row],[GrossRevenue_Clean]])</f>
        <v>485</v>
      </c>
      <c r="Z591" t="str">
        <f>IF(Transaction[[#This Row],[GrossRevenue_Clean]]=Transaction[[#This Row],[ListPrice]]*Transaction[[#This Row],[Quantity]],"Valid","Invalid")</f>
        <v>Valid</v>
      </c>
      <c r="AA591">
        <v>28.94</v>
      </c>
      <c r="AB59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28.94</v>
      </c>
      <c r="AC591">
        <f>IF(Transaction[[#This Row],[DiscountAmount_Check2]]="Invalid",Transaction[[#This Row],[GrossRevenue_Analytical]]-Transaction[[#This Row],[NetRevenue_Analytical]],Transaction[[#This Row],[DiscountAmount_Clean]])</f>
        <v>28.94</v>
      </c>
      <c r="AD591">
        <v>456.06</v>
      </c>
      <c r="AE591" t="str">
        <f>IF(ROUND(Transaction[[#This Row],[GrossRevenue_Analytical]]-Transaction[[#This Row],[NetRevenue_Analytical]],2)=ROUND(Transaction[[#This Row],[DiscountAmount_Clean]],2),"Valid","Invalid")</f>
        <v>Valid</v>
      </c>
      <c r="AF591">
        <f>VALUE(IF(ISNUMBER(Transaction[[#This Row],[NetRevenue]]),Transaction[[#This Row],[NetRevenue]],IFERROR(IF(FIND("$",Transaction[[#This Row],[NetRevenue]])&gt;0,MID(Transaction[[#This Row],[NetRevenue]],2,10)),Transaction[[#This Row],[NetRevenue]])))</f>
        <v>456.06</v>
      </c>
      <c r="AG591">
        <f>IF(Transaction[[#This Row],[NetRevenue_Check]]="Invalid",(Transaction[[#This Row],[Quantity]]*Transaction[[#This Row],[UnitPrice_Clean]]),Transaction[[#This Row],[NetRevenue_Clean]])</f>
        <v>456.06</v>
      </c>
      <c r="AH591" t="str">
        <f>IF(Transaction[[#This Row],[Quantity]]*Transaction[[#This Row],[UnitPrice_Clean]]=Transaction[[#This Row],[NetRevenue_Clean]],"Valid","Invalid")</f>
        <v>Valid</v>
      </c>
      <c r="AI591" t="s">
        <v>23</v>
      </c>
      <c r="AJ591" t="s">
        <v>1983</v>
      </c>
      <c r="AK591" t="str">
        <f>IF(Transaction[[#This Row],[Salesperson]]="","Missing Value",TRIM(PROPER(Transaction[[#This Row],[Salesperson]])))</f>
        <v>Hatfield-Na</v>
      </c>
      <c r="AL591" t="s">
        <v>25</v>
      </c>
      <c r="AM591" t="str">
        <f>IF(Transaction[[#This Row],[ContractType]]="","Missing Value",Transaction[[#This Row],[ContractType]])</f>
        <v>Frame Agreement</v>
      </c>
      <c r="AN591" t="s">
        <v>65</v>
      </c>
    </row>
    <row r="592" spans="1:40" x14ac:dyDescent="0.25">
      <c r="A592" t="s">
        <v>600</v>
      </c>
      <c r="B592" s="1">
        <v>45786</v>
      </c>
      <c r="C59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59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59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92" s="2">
        <f>IFERROR(DATE(Transaction[[#This Row],[TransactionDateY]],Transaction[[#This Row],[TransactionDateM]],Transaction[[#This Row],[TransactionDateD]]),"Missing Value")</f>
        <v>45786</v>
      </c>
      <c r="G592" t="s">
        <v>460</v>
      </c>
      <c r="H592" t="str">
        <f>IFERROR(VLOOKUP(Transaction[[#This Row],[CustomerID]],Custumer[],1,0),IF(LEN(Transaction[[#This Row],[CustomerID]])=7,LEFT(Transaction[[#This Row],[CustomerID]],6),"Invalid ID"))</f>
        <v>C-1153</v>
      </c>
      <c r="I592" t="s">
        <v>52</v>
      </c>
      <c r="J592" t="str">
        <f>TRIM(UPPER(Transaction[[#This Row],[ProductID]]))</f>
        <v>P-SI-002</v>
      </c>
      <c r="K592" t="str">
        <f>IFERROR(VLOOKUP(Transaction[[#This Row],[ProductID_Clean]],Product[],1,FALSE),"Invalid ID")</f>
        <v>P-SI-002</v>
      </c>
      <c r="L592" t="str">
        <f>TRIM(SUBSTITUTE(SUBSTITUTE(SUBSTITUTE(SUBSTITUTE(UPPER(Transaction[[#This Row],[Region]]),"EMEA REGION","EMEA"),"APAC REGION","APAC"),"NORTH AMERICA","N. AMERICA"),"N .AMERICA","N.AMERICA"))</f>
        <v>N. AMERICA</v>
      </c>
      <c r="M592" t="s">
        <v>20</v>
      </c>
      <c r="N592" t="s">
        <v>53</v>
      </c>
      <c r="O59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Q592" t="str">
        <f>IF(TRIM(Transaction[[#This Row],[SalesChannel]])="","Missing Value",TRIM(Transaction[[#This Row],[SalesChannel]]))</f>
        <v>Missing Value</v>
      </c>
      <c r="R592" s="4">
        <v>2</v>
      </c>
      <c r="S592" s="4" t="str">
        <f>IF(Transaction[[#This Row],[Quantity]]&lt;0,"Negative-review","Valid")</f>
        <v>Valid</v>
      </c>
      <c r="T592">
        <v>664.12</v>
      </c>
      <c r="U59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664.12</v>
      </c>
      <c r="V592">
        <v>725</v>
      </c>
      <c r="W592">
        <v>1450</v>
      </c>
      <c r="X59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592">
        <f>IF(Transaction[[#This Row],[GrossRevenue_Check]]="Invalid",Transaction[[#This Row],[ListPrice]]*Transaction[[#This Row],[Quantity]],Transaction[[#This Row],[GrossRevenue_Clean]])</f>
        <v>1450</v>
      </c>
      <c r="Z592" t="str">
        <f>IF(Transaction[[#This Row],[GrossRevenue_Clean]]=Transaction[[#This Row],[ListPrice]]*Transaction[[#This Row],[Quantity]],"Valid","Invalid")</f>
        <v>Valid</v>
      </c>
      <c r="AA592">
        <v>121.76</v>
      </c>
      <c r="AB59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121.76</v>
      </c>
      <c r="AC592">
        <f>IF(Transaction[[#This Row],[DiscountAmount_Check2]]="Invalid",Transaction[[#This Row],[GrossRevenue_Analytical]]-Transaction[[#This Row],[NetRevenue_Analytical]],Transaction[[#This Row],[DiscountAmount_Clean]])</f>
        <v>121.76</v>
      </c>
      <c r="AD592">
        <v>1328.24</v>
      </c>
      <c r="AE592" t="str">
        <f>IF(ROUND(Transaction[[#This Row],[GrossRevenue_Analytical]]-Transaction[[#This Row],[NetRevenue_Analytical]],2)=ROUND(Transaction[[#This Row],[DiscountAmount_Clean]],2),"Valid","Invalid")</f>
        <v>Valid</v>
      </c>
      <c r="AF59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1328.24</v>
      </c>
      <c r="AG592">
        <f>IF(Transaction[[#This Row],[NetRevenue_Check]]="Invalid",(Transaction[[#This Row],[Quantity]]*Transaction[[#This Row],[UnitPrice_Clean]]),Transaction[[#This Row],[NetRevenue_Clean]])</f>
        <v>1328.24</v>
      </c>
      <c r="AH592" t="str">
        <f>IF(Transaction[[#This Row],[Quantity]]*Transaction[[#This Row],[UnitPrice_Clean]]=Transaction[[#This Row],[NetRevenue_Clean]],"Valid","Invalid")</f>
        <v>Valid</v>
      </c>
      <c r="AI592" t="s">
        <v>23</v>
      </c>
      <c r="AJ592" t="s">
        <v>601</v>
      </c>
      <c r="AK592" t="str">
        <f>IF(Transaction[[#This Row],[Salesperson]]="","Missing Value",TRIM(PROPER(Transaction[[#This Row],[Salesperson]])))</f>
        <v>Grant</v>
      </c>
      <c r="AL592" t="s">
        <v>42</v>
      </c>
      <c r="AM592" t="str">
        <f>IF(Transaction[[#This Row],[ContractType]]="","Missing Value",Transaction[[#This Row],[ContractType]])</f>
        <v>Standard PO</v>
      </c>
      <c r="AN592" t="s">
        <v>49</v>
      </c>
    </row>
    <row r="593" spans="1:40" x14ac:dyDescent="0.25">
      <c r="A593" t="s">
        <v>1598</v>
      </c>
      <c r="B593" s="1">
        <v>45718</v>
      </c>
      <c r="C59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59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59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93" s="2">
        <f>IFERROR(DATE(Transaction[[#This Row],[TransactionDateY]],Transaction[[#This Row],[TransactionDateM]],Transaction[[#This Row],[TransactionDateD]]),"Missing Value")</f>
        <v>45718</v>
      </c>
      <c r="G593" t="s">
        <v>297</v>
      </c>
      <c r="H593" t="str">
        <f>IFERROR(VLOOKUP(Transaction[[#This Row],[CustomerID]],Custumer[],1,0),IF(LEN(Transaction[[#This Row],[CustomerID]])=7,LEFT(Transaction[[#This Row],[CustomerID]],6),"Invalid ID"))</f>
        <v>C-1181</v>
      </c>
      <c r="I593" t="s">
        <v>97</v>
      </c>
      <c r="J593" t="str">
        <f>TRIM(UPPER(Transaction[[#This Row],[ProductID]]))</f>
        <v>P-SI-001</v>
      </c>
      <c r="K593" t="str">
        <f>IFERROR(VLOOKUP(Transaction[[#This Row],[ProductID_Clean]],Product[],1,FALSE),"Invalid ID")</f>
        <v>P-SI-001</v>
      </c>
      <c r="L593" t="str">
        <f>TRIM(SUBSTITUTE(SUBSTITUTE(SUBSTITUTE(SUBSTITUTE(UPPER(Transaction[[#This Row],[Region]]),"EMEA REGION","EMEA"),"APAC REGION","APAC"),"NORTH AMERICA","N. AMERICA"),"N .AMERICA","N.AMERICA"))</f>
        <v>N. AMERICA</v>
      </c>
      <c r="M593" t="s">
        <v>20</v>
      </c>
      <c r="N593" t="s">
        <v>53</v>
      </c>
      <c r="O59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93" t="s">
        <v>40</v>
      </c>
      <c r="Q593" t="str">
        <f>IF(TRIM(Transaction[[#This Row],[SalesChannel]])="","Missing Value",TRIM(Transaction[[#This Row],[SalesChannel]]))</f>
        <v>Distributor</v>
      </c>
      <c r="R593" s="4">
        <v>1</v>
      </c>
      <c r="S593" s="4" t="str">
        <f>IF(Transaction[[#This Row],[Quantity]]&lt;0,"Negative-review","Valid")</f>
        <v>Valid</v>
      </c>
      <c r="T593" t="s">
        <v>1599</v>
      </c>
      <c r="U59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437.9</v>
      </c>
      <c r="V593">
        <v>485</v>
      </c>
      <c r="W593">
        <v>485</v>
      </c>
      <c r="X59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593">
        <f>IF(Transaction[[#This Row],[GrossRevenue_Check]]="Invalid",Transaction[[#This Row],[ListPrice]]*Transaction[[#This Row],[Quantity]],Transaction[[#This Row],[GrossRevenue_Clean]])</f>
        <v>485</v>
      </c>
      <c r="Z593" t="str">
        <f>IF(Transaction[[#This Row],[GrossRevenue_Clean]]=Transaction[[#This Row],[ListPrice]]*Transaction[[#This Row],[Quantity]],"Valid","Invalid")</f>
        <v>Valid</v>
      </c>
      <c r="AA593">
        <v>47.1</v>
      </c>
      <c r="AB59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47.1</v>
      </c>
      <c r="AC593">
        <f>IF(Transaction[[#This Row],[DiscountAmount_Check2]]="Invalid",Transaction[[#This Row],[GrossRevenue_Analytical]]-Transaction[[#This Row],[NetRevenue_Analytical]],Transaction[[#This Row],[DiscountAmount_Clean]])</f>
        <v>47.1</v>
      </c>
      <c r="AD593">
        <v>437.9</v>
      </c>
      <c r="AE593" t="str">
        <f>IF(ROUND(Transaction[[#This Row],[GrossRevenue_Analytical]]-Transaction[[#This Row],[NetRevenue_Analytical]],2)=ROUND(Transaction[[#This Row],[DiscountAmount_Clean]],2),"Valid","Invalid")</f>
        <v>Valid</v>
      </c>
      <c r="AF593">
        <f>VALUE(IF(ISNUMBER(Transaction[[#This Row],[NetRevenue]]),Transaction[[#This Row],[NetRevenue]],IFERROR(IF(FIND("$",Transaction[[#This Row],[NetRevenue]])&gt;0,MID(Transaction[[#This Row],[NetRevenue]],2,10)),Transaction[[#This Row],[NetRevenue]])))</f>
        <v>437.9</v>
      </c>
      <c r="AG593">
        <f>IF(Transaction[[#This Row],[NetRevenue_Check]]="Invalid",(Transaction[[#This Row],[Quantity]]*Transaction[[#This Row],[UnitPrice_Clean]]),Transaction[[#This Row],[NetRevenue_Clean]])</f>
        <v>437.9</v>
      </c>
      <c r="AH593" t="str">
        <f>IF(Transaction[[#This Row],[Quantity]]*Transaction[[#This Row],[UnitPrice_Clean]]=Transaction[[#This Row],[NetRevenue_Clean]],"Valid","Invalid")</f>
        <v>Valid</v>
      </c>
      <c r="AI593" t="s">
        <v>23</v>
      </c>
      <c r="AJ593" t="s">
        <v>1600</v>
      </c>
      <c r="AK593" t="str">
        <f>IF(Transaction[[#This Row],[Salesperson]]="","Missing Value",TRIM(PROPER(Transaction[[#This Row],[Salesperson]])))</f>
        <v>Diaz-Na</v>
      </c>
      <c r="AL593" t="s">
        <v>42</v>
      </c>
      <c r="AM593" t="str">
        <f>IF(Transaction[[#This Row],[ContractType]]="","Missing Value",Transaction[[#This Row],[ContractType]])</f>
        <v>Standard PO</v>
      </c>
      <c r="AN593" t="s">
        <v>49</v>
      </c>
    </row>
    <row r="594" spans="1:40" x14ac:dyDescent="0.25">
      <c r="A594" t="s">
        <v>1192</v>
      </c>
      <c r="B594" s="1">
        <v>45678</v>
      </c>
      <c r="C59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59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59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94" s="2">
        <f>IFERROR(DATE(Transaction[[#This Row],[TransactionDateY]],Transaction[[#This Row],[TransactionDateM]],Transaction[[#This Row],[TransactionDateD]]),"Missing Value")</f>
        <v>45678</v>
      </c>
      <c r="G594" t="s">
        <v>284</v>
      </c>
      <c r="H594" t="str">
        <f>IFERROR(VLOOKUP(Transaction[[#This Row],[CustomerID]],Custumer[],1,0),IF(LEN(Transaction[[#This Row],[CustomerID]])=7,LEFT(Transaction[[#This Row],[CustomerID]],6),"Invalid ID"))</f>
        <v>C-1101</v>
      </c>
      <c r="I594" t="s">
        <v>52</v>
      </c>
      <c r="J594" t="str">
        <f>TRIM(UPPER(Transaction[[#This Row],[ProductID]]))</f>
        <v>P-SI-002</v>
      </c>
      <c r="K594" t="str">
        <f>IFERROR(VLOOKUP(Transaction[[#This Row],[ProductID_Clean]],Product[],1,FALSE),"Invalid ID")</f>
        <v>P-SI-002</v>
      </c>
      <c r="L594" t="str">
        <f>TRIM(SUBSTITUTE(SUBSTITUTE(SUBSTITUTE(SUBSTITUTE(UPPER(Transaction[[#This Row],[Region]]),"EMEA REGION","EMEA"),"APAC REGION","APAC"),"NORTH AMERICA","N. AMERICA"),"N .AMERICA","N.AMERICA"))</f>
        <v>EMEA</v>
      </c>
      <c r="M594" t="s">
        <v>76</v>
      </c>
      <c r="N594" t="s">
        <v>53</v>
      </c>
      <c r="O59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94" t="s">
        <v>40</v>
      </c>
      <c r="Q594" t="str">
        <f>IF(TRIM(Transaction[[#This Row],[SalesChannel]])="","Missing Value",TRIM(Transaction[[#This Row],[SalesChannel]]))</f>
        <v>Distributor</v>
      </c>
      <c r="R594" s="4">
        <v>1</v>
      </c>
      <c r="S594" s="4" t="str">
        <f>IF(Transaction[[#This Row],[Quantity]]&lt;0,"Negative-review","Valid")</f>
        <v>Valid</v>
      </c>
      <c r="T594" t="s">
        <v>1193</v>
      </c>
      <c r="U59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609.23</v>
      </c>
      <c r="V594">
        <v>725</v>
      </c>
      <c r="W594">
        <v>725</v>
      </c>
      <c r="X59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594">
        <f>IF(Transaction[[#This Row],[GrossRevenue_Check]]="Invalid",Transaction[[#This Row],[ListPrice]]*Transaction[[#This Row],[Quantity]],Transaction[[#This Row],[GrossRevenue_Clean]])</f>
        <v>725</v>
      </c>
      <c r="Z594" t="str">
        <f>IF(Transaction[[#This Row],[GrossRevenue_Clean]]=Transaction[[#This Row],[ListPrice]]*Transaction[[#This Row],[Quantity]],"Valid","Invalid")</f>
        <v>Valid</v>
      </c>
      <c r="AA594">
        <v>115.77</v>
      </c>
      <c r="AB59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115.77</v>
      </c>
      <c r="AC594">
        <f>IF(Transaction[[#This Row],[DiscountAmount_Check2]]="Invalid",Transaction[[#This Row],[GrossRevenue_Analytical]]-Transaction[[#This Row],[NetRevenue_Analytical]],Transaction[[#This Row],[DiscountAmount_Clean]])</f>
        <v>115.77</v>
      </c>
      <c r="AD594">
        <v>609.23</v>
      </c>
      <c r="AE594" t="str">
        <f>IF(ROUND(Transaction[[#This Row],[GrossRevenue_Analytical]]-Transaction[[#This Row],[NetRevenue_Analytical]],2)=ROUND(Transaction[[#This Row],[DiscountAmount_Clean]],2),"Valid","Invalid")</f>
        <v>Valid</v>
      </c>
      <c r="AF594">
        <f>VALUE(IF(ISNUMBER(Transaction[[#This Row],[NetRevenue]]),Transaction[[#This Row],[NetRevenue]],IFERROR(IF(FIND("$",Transaction[[#This Row],[NetRevenue]])&gt;0,MID(Transaction[[#This Row],[NetRevenue]],2,10)),Transaction[[#This Row],[NetRevenue]])))</f>
        <v>609.23</v>
      </c>
      <c r="AG594">
        <f>IF(Transaction[[#This Row],[NetRevenue_Check]]="Invalid",(Transaction[[#This Row],[Quantity]]*Transaction[[#This Row],[UnitPrice_Clean]]),Transaction[[#This Row],[NetRevenue_Clean]])</f>
        <v>609.23</v>
      </c>
      <c r="AH594" t="str">
        <f>IF(Transaction[[#This Row],[Quantity]]*Transaction[[#This Row],[UnitPrice_Clean]]=Transaction[[#This Row],[NetRevenue_Clean]],"Valid","Invalid")</f>
        <v>Valid</v>
      </c>
      <c r="AI594" t="s">
        <v>23</v>
      </c>
      <c r="AJ594" t="s">
        <v>1194</v>
      </c>
      <c r="AK594" t="str">
        <f>IF(Transaction[[#This Row],[Salesperson]]="","Missing Value",TRIM(PROPER(Transaction[[#This Row],[Salesperson]])))</f>
        <v>Thomas</v>
      </c>
      <c r="AM594" t="str">
        <f>IF(Transaction[[#This Row],[ContractType]]="","Missing Value",Transaction[[#This Row],[ContractType]])</f>
        <v>Missing Value</v>
      </c>
      <c r="AN594" t="s">
        <v>35</v>
      </c>
    </row>
    <row r="595" spans="1:40" x14ac:dyDescent="0.25">
      <c r="A595" t="s">
        <v>721</v>
      </c>
      <c r="B595" s="1">
        <v>45715</v>
      </c>
      <c r="C59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59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59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95" s="2">
        <f>IFERROR(DATE(Transaction[[#This Row],[TransactionDateY]],Transaction[[#This Row],[TransactionDateM]],Transaction[[#This Row],[TransactionDateD]]),"Missing Value")</f>
        <v>45715</v>
      </c>
      <c r="G595" t="s">
        <v>329</v>
      </c>
      <c r="H595" t="str">
        <f>IFERROR(VLOOKUP(Transaction[[#This Row],[CustomerID]],Custumer[],1,0),IF(LEN(Transaction[[#This Row],[CustomerID]])=7,LEFT(Transaction[[#This Row],[CustomerID]],6),"Invalid ID"))</f>
        <v>C-1145</v>
      </c>
      <c r="I595" t="s">
        <v>111</v>
      </c>
      <c r="J595" t="str">
        <f>TRIM(UPPER(Transaction[[#This Row],[ProductID]]))</f>
        <v>P-SA-004</v>
      </c>
      <c r="K595" t="str">
        <f>IFERROR(VLOOKUP(Transaction[[#This Row],[ProductID_Clean]],Product[],1,FALSE),"Invalid ID")</f>
        <v>P-SA-004</v>
      </c>
      <c r="L595" t="str">
        <f>TRIM(SUBSTITUTE(SUBSTITUTE(SUBSTITUTE(SUBSTITUTE(UPPER(Transaction[[#This Row],[Region]]),"EMEA REGION","EMEA"),"APAC REGION","APAC"),"NORTH AMERICA","N. AMERICA"),"N .AMERICA","N.AMERICA"))</f>
        <v>N. AMERICA</v>
      </c>
      <c r="M595" t="s">
        <v>20</v>
      </c>
      <c r="N595" t="s">
        <v>572</v>
      </c>
      <c r="O59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95" t="s">
        <v>22</v>
      </c>
      <c r="Q595" t="str">
        <f>IF(TRIM(Transaction[[#This Row],[SalesChannel]])="","Missing Value",TRIM(Transaction[[#This Row],[SalesChannel]]))</f>
        <v>Direct</v>
      </c>
      <c r="R595" s="4">
        <v>1</v>
      </c>
      <c r="S595" s="4" t="str">
        <f>IF(Transaction[[#This Row],[Quantity]]&lt;0,"Negative-review","Valid")</f>
        <v>Valid</v>
      </c>
      <c r="T595">
        <v>1498.41</v>
      </c>
      <c r="U59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1498.41</v>
      </c>
      <c r="V595">
        <v>1650</v>
      </c>
      <c r="W595">
        <v>1650</v>
      </c>
      <c r="X59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595">
        <f>IF(Transaction[[#This Row],[GrossRevenue_Check]]="Invalid",Transaction[[#This Row],[ListPrice]]*Transaction[[#This Row],[Quantity]],Transaction[[#This Row],[GrossRevenue_Clean]])</f>
        <v>1650</v>
      </c>
      <c r="Z595" t="str">
        <f>IF(Transaction[[#This Row],[GrossRevenue_Clean]]=Transaction[[#This Row],[ListPrice]]*Transaction[[#This Row],[Quantity]],"Valid","Invalid")</f>
        <v>Valid</v>
      </c>
      <c r="AA595">
        <v>151.59</v>
      </c>
      <c r="AB59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151.59</v>
      </c>
      <c r="AC595">
        <f>IF(Transaction[[#This Row],[DiscountAmount_Check2]]="Invalid",Transaction[[#This Row],[GrossRevenue_Analytical]]-Transaction[[#This Row],[NetRevenue_Analytical]],Transaction[[#This Row],[DiscountAmount_Clean]])</f>
        <v>151.59</v>
      </c>
      <c r="AD595">
        <v>1498.41</v>
      </c>
      <c r="AE595" t="str">
        <f>IF(ROUND(Transaction[[#This Row],[GrossRevenue_Analytical]]-Transaction[[#This Row],[NetRevenue_Analytical]],2)=ROUND(Transaction[[#This Row],[DiscountAmount_Clean]],2),"Valid","Invalid")</f>
        <v>Valid</v>
      </c>
      <c r="AF59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1498.41</v>
      </c>
      <c r="AG595">
        <f>IF(Transaction[[#This Row],[NetRevenue_Check]]="Invalid",(Transaction[[#This Row],[Quantity]]*Transaction[[#This Row],[UnitPrice_Clean]]),Transaction[[#This Row],[NetRevenue_Clean]])</f>
        <v>1498.41</v>
      </c>
      <c r="AH595" t="str">
        <f>IF(Transaction[[#This Row],[Quantity]]*Transaction[[#This Row],[UnitPrice_Clean]]=Transaction[[#This Row],[NetRevenue_Clean]],"Valid","Invalid")</f>
        <v>Valid</v>
      </c>
      <c r="AI595" t="s">
        <v>23</v>
      </c>
      <c r="AJ595" t="s">
        <v>722</v>
      </c>
      <c r="AK595" t="str">
        <f>IF(Transaction[[#This Row],[Salesperson]]="","Missing Value",TRIM(PROPER(Transaction[[#This Row],[Salesperson]])))</f>
        <v>Morrison</v>
      </c>
      <c r="AL595" t="s">
        <v>210</v>
      </c>
      <c r="AM595" t="str">
        <f>IF(Transaction[[#This Row],[ContractType]]="","Missing Value",Transaction[[#This Row],[ContractType]])</f>
        <v>Perpetual</v>
      </c>
      <c r="AN595" t="s">
        <v>65</v>
      </c>
    </row>
    <row r="596" spans="1:40" x14ac:dyDescent="0.25">
      <c r="A596" t="s">
        <v>2922</v>
      </c>
      <c r="C59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59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59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596" s="2" t="str">
        <f>IFERROR(DATE(Transaction[[#This Row],[TransactionDateY]],Transaction[[#This Row],[TransactionDateM]],Transaction[[#This Row],[TransactionDateD]]),"Missing Value")</f>
        <v>Missing Value</v>
      </c>
      <c r="G596" t="s">
        <v>518</v>
      </c>
      <c r="H596" t="str">
        <f>IFERROR(VLOOKUP(Transaction[[#This Row],[CustomerID]],Custumer[],1,0),IF(LEN(Transaction[[#This Row],[CustomerID]])=7,LEFT(Transaction[[#This Row],[CustomerID]],6),"Invalid ID"))</f>
        <v>C-1173</v>
      </c>
      <c r="I596" t="s">
        <v>226</v>
      </c>
      <c r="J596" t="str">
        <f>TRIM(UPPER(Transaction[[#This Row],[ProductID]]))</f>
        <v>P-SA-002</v>
      </c>
      <c r="K596" t="str">
        <f>IFERROR(VLOOKUP(Transaction[[#This Row],[ProductID_Clean]],Product[],1,FALSE),"Invalid ID")</f>
        <v>P-SA-002</v>
      </c>
      <c r="L596" t="str">
        <f>TRIM(SUBSTITUTE(SUBSTITUTE(SUBSTITUTE(SUBSTITUTE(UPPER(Transaction[[#This Row],[Region]]),"EMEA REGION","EMEA"),"APAC REGION","APAC"),"NORTH AMERICA","N. AMERICA"),"N .AMERICA","N.AMERICA"))</f>
        <v>EMEA</v>
      </c>
      <c r="M596" t="s">
        <v>76</v>
      </c>
      <c r="N596" t="s">
        <v>31</v>
      </c>
      <c r="O59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Q596" t="str">
        <f>IF(TRIM(Transaction[[#This Row],[SalesChannel]])="","Missing Value",TRIM(Transaction[[#This Row],[SalesChannel]]))</f>
        <v>Missing Value</v>
      </c>
      <c r="R596" s="4">
        <v>1</v>
      </c>
      <c r="S596" s="4" t="str">
        <f>IF(Transaction[[#This Row],[Quantity]]&lt;0,"Negative-review","Valid")</f>
        <v>Valid</v>
      </c>
      <c r="T596">
        <v>8389.89</v>
      </c>
      <c r="U59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8389.89</v>
      </c>
      <c r="V596">
        <v>9800</v>
      </c>
      <c r="W596">
        <v>9800</v>
      </c>
      <c r="X59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596">
        <f>IF(Transaction[[#This Row],[GrossRevenue_Check]]="Invalid",Transaction[[#This Row],[ListPrice]]*Transaction[[#This Row],[Quantity]],Transaction[[#This Row],[GrossRevenue_Clean]])</f>
        <v>9800</v>
      </c>
      <c r="Z596" t="str">
        <f>IF(Transaction[[#This Row],[GrossRevenue_Clean]]=Transaction[[#This Row],[ListPrice]]*Transaction[[#This Row],[Quantity]],"Valid","Invalid")</f>
        <v>Valid</v>
      </c>
      <c r="AA596">
        <v>1410.11</v>
      </c>
      <c r="AB59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1410.11</v>
      </c>
      <c r="AC596">
        <f>IF(Transaction[[#This Row],[DiscountAmount_Check2]]="Invalid",Transaction[[#This Row],[GrossRevenue_Analytical]]-Transaction[[#This Row],[NetRevenue_Analytical]],Transaction[[#This Row],[DiscountAmount_Clean]])</f>
        <v>1410.11</v>
      </c>
      <c r="AD596">
        <v>8389.89</v>
      </c>
      <c r="AE596" t="str">
        <f>IF(ROUND(Transaction[[#This Row],[GrossRevenue_Analytical]]-Transaction[[#This Row],[NetRevenue_Analytical]],2)=ROUND(Transaction[[#This Row],[DiscountAmount_Clean]],2),"Valid","Invalid")</f>
        <v>Valid</v>
      </c>
      <c r="AF596">
        <f>VALUE(IF(ISNUMBER(Transaction[[#This Row],[NetRevenue]]),Transaction[[#This Row],[NetRevenue]],IFERROR(IF(FIND("$",Transaction[[#This Row],[NetRevenue]])&gt;0,MID(Transaction[[#This Row],[NetRevenue]],2,10)),Transaction[[#This Row],[NetRevenue]])))</f>
        <v>8389.89</v>
      </c>
      <c r="AG596">
        <f>IF(Transaction[[#This Row],[NetRevenue_Check]]="Invalid",(Transaction[[#This Row],[Quantity]]*Transaction[[#This Row],[UnitPrice_Clean]]),Transaction[[#This Row],[NetRevenue_Clean]])</f>
        <v>8389.89</v>
      </c>
      <c r="AH596" t="str">
        <f>IF(Transaction[[#This Row],[Quantity]]*Transaction[[#This Row],[UnitPrice_Clean]]=Transaction[[#This Row],[NetRevenue_Clean]],"Valid","Invalid")</f>
        <v>Valid</v>
      </c>
      <c r="AI596" t="s">
        <v>23</v>
      </c>
      <c r="AJ596" t="s">
        <v>136</v>
      </c>
      <c r="AK596" t="str">
        <f>IF(Transaction[[#This Row],[Salesperson]]="","Missing Value",TRIM(PROPER(Transaction[[#This Row],[Salesperson]])))</f>
        <v>Morales</v>
      </c>
      <c r="AL596" t="s">
        <v>113</v>
      </c>
      <c r="AM596" t="str">
        <f>IF(Transaction[[#This Row],[ContractType]]="","Missing Value",Transaction[[#This Row],[ContractType]])</f>
        <v>Subscription</v>
      </c>
      <c r="AN596" t="s">
        <v>26</v>
      </c>
    </row>
    <row r="597" spans="1:40" x14ac:dyDescent="0.25">
      <c r="A597" t="s">
        <v>1743</v>
      </c>
      <c r="B597" s="1">
        <v>45695</v>
      </c>
      <c r="C59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59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59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97" s="2">
        <f>IFERROR(DATE(Transaction[[#This Row],[TransactionDateY]],Transaction[[#This Row],[TransactionDateM]],Transaction[[#This Row],[TransactionDateD]]),"Missing Value")</f>
        <v>45695</v>
      </c>
      <c r="G597" t="s">
        <v>214</v>
      </c>
      <c r="H597" t="str">
        <f>IFERROR(VLOOKUP(Transaction[[#This Row],[CustomerID]],Custumer[],1,0),IF(LEN(Transaction[[#This Row],[CustomerID]])=7,LEFT(Transaction[[#This Row],[CustomerID]],6),"Invalid ID"))</f>
        <v>C-1169</v>
      </c>
      <c r="I597" t="s">
        <v>29</v>
      </c>
      <c r="J597" t="str">
        <f>TRIM(UPPER(Transaction[[#This Row],[ProductID]]))</f>
        <v>P-SA-001</v>
      </c>
      <c r="K597" t="str">
        <f>IFERROR(VLOOKUP(Transaction[[#This Row],[ProductID_Clean]],Product[],1,FALSE),"Invalid ID")</f>
        <v>P-SA-001</v>
      </c>
      <c r="L597" t="str">
        <f>TRIM(SUBSTITUTE(SUBSTITUTE(SUBSTITUTE(SUBSTITUTE(UPPER(Transaction[[#This Row],[Region]]),"EMEA REGION","EMEA"),"APAC REGION","APAC"),"NORTH AMERICA","N. AMERICA"),"N .AMERICA","N.AMERICA"))</f>
        <v>EMEA</v>
      </c>
      <c r="M597" t="s">
        <v>76</v>
      </c>
      <c r="N597" t="s">
        <v>31</v>
      </c>
      <c r="O59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97" t="s">
        <v>22</v>
      </c>
      <c r="Q597" t="str">
        <f>IF(TRIM(Transaction[[#This Row],[SalesChannel]])="","Missing Value",TRIM(Transaction[[#This Row],[SalesChannel]]))</f>
        <v>Direct</v>
      </c>
      <c r="R597" s="4">
        <v>1</v>
      </c>
      <c r="S597" s="4" t="str">
        <f>IF(Transaction[[#This Row],[Quantity]]&lt;0,"Negative-review","Valid")</f>
        <v>Valid</v>
      </c>
      <c r="T597">
        <v>3568.51</v>
      </c>
      <c r="U59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3568.51</v>
      </c>
      <c r="V597">
        <v>4200</v>
      </c>
      <c r="W597">
        <v>4200</v>
      </c>
      <c r="X59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597">
        <f>IF(Transaction[[#This Row],[GrossRevenue_Check]]="Invalid",Transaction[[#This Row],[ListPrice]]*Transaction[[#This Row],[Quantity]],Transaction[[#This Row],[GrossRevenue_Clean]])</f>
        <v>4200</v>
      </c>
      <c r="Z597" t="str">
        <f>IF(Transaction[[#This Row],[GrossRevenue_Clean]]=Transaction[[#This Row],[ListPrice]]*Transaction[[#This Row],[Quantity]],"Valid","Invalid")</f>
        <v>Valid</v>
      </c>
      <c r="AA597">
        <v>631.49</v>
      </c>
      <c r="AB59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631.49</v>
      </c>
      <c r="AC597">
        <f>IF(Transaction[[#This Row],[DiscountAmount_Check2]]="Invalid",Transaction[[#This Row],[GrossRevenue_Analytical]]-Transaction[[#This Row],[NetRevenue_Analytical]],Transaction[[#This Row],[DiscountAmount_Clean]])</f>
        <v>631.49</v>
      </c>
      <c r="AD597">
        <v>3568.51</v>
      </c>
      <c r="AE597" t="str">
        <f>IF(ROUND(Transaction[[#This Row],[GrossRevenue_Analytical]]-Transaction[[#This Row],[NetRevenue_Analytical]],2)=ROUND(Transaction[[#This Row],[DiscountAmount_Clean]],2),"Valid","Invalid")</f>
        <v>Valid</v>
      </c>
      <c r="AF59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3568.51</v>
      </c>
      <c r="AG597">
        <f>IF(Transaction[[#This Row],[NetRevenue_Check]]="Invalid",(Transaction[[#This Row],[Quantity]]*Transaction[[#This Row],[UnitPrice_Clean]]),Transaction[[#This Row],[NetRevenue_Clean]])</f>
        <v>3568.51</v>
      </c>
      <c r="AH597" t="str">
        <f>IF(Transaction[[#This Row],[Quantity]]*Transaction[[#This Row],[UnitPrice_Clean]]=Transaction[[#This Row],[NetRevenue_Clean]],"Valid","Invalid")</f>
        <v>Valid</v>
      </c>
      <c r="AI597" t="s">
        <v>23</v>
      </c>
      <c r="AJ597" t="s">
        <v>1165</v>
      </c>
      <c r="AK597" t="str">
        <f>IF(Transaction[[#This Row],[Salesperson]]="","Missing Value",TRIM(PROPER(Transaction[[#This Row],[Salesperson]])))</f>
        <v>Williams</v>
      </c>
      <c r="AL597" t="s">
        <v>34</v>
      </c>
      <c r="AM597" t="str">
        <f>IF(Transaction[[#This Row],[ContractType]]="","Missing Value",Transaction[[#This Row],[ContractType]])</f>
        <v>Annual License</v>
      </c>
      <c r="AN597" t="s">
        <v>49</v>
      </c>
    </row>
    <row r="598" spans="1:40" x14ac:dyDescent="0.25">
      <c r="A598" t="s">
        <v>1344</v>
      </c>
      <c r="B598" t="s">
        <v>1345</v>
      </c>
      <c r="C59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59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59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98" s="2">
        <f>IFERROR(DATE(Transaction[[#This Row],[TransactionDateY]],Transaction[[#This Row],[TransactionDateM]],Transaction[[#This Row],[TransactionDateD]]),"Missing Value")</f>
        <v>45667</v>
      </c>
      <c r="G598" t="s">
        <v>300</v>
      </c>
      <c r="H598" t="str">
        <f>IFERROR(VLOOKUP(Transaction[[#This Row],[CustomerID]],Custumer[],1,0),IF(LEN(Transaction[[#This Row],[CustomerID]])=7,LEFT(Transaction[[#This Row],[CustomerID]],6),"Invalid ID"))</f>
        <v>C-1089</v>
      </c>
      <c r="I598" t="s">
        <v>52</v>
      </c>
      <c r="J598" t="str">
        <f>TRIM(UPPER(Transaction[[#This Row],[ProductID]]))</f>
        <v>P-SI-002</v>
      </c>
      <c r="K598" t="str">
        <f>IFERROR(VLOOKUP(Transaction[[#This Row],[ProductID_Clean]],Product[],1,FALSE),"Invalid ID")</f>
        <v>P-SI-002</v>
      </c>
      <c r="L598" t="str">
        <f>TRIM(SUBSTITUTE(SUBSTITUTE(SUBSTITUTE(SUBSTITUTE(UPPER(Transaction[[#This Row],[Region]]),"EMEA REGION","EMEA"),"APAC REGION","APAC"),"NORTH AMERICA","N. AMERICA"),"N .AMERICA","N.AMERICA"))</f>
        <v>LATIN AMERICA</v>
      </c>
      <c r="M598" t="s">
        <v>82</v>
      </c>
      <c r="N598" t="s">
        <v>98</v>
      </c>
      <c r="O59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598" t="s">
        <v>40</v>
      </c>
      <c r="Q598" t="str">
        <f>IF(TRIM(Transaction[[#This Row],[SalesChannel]])="","Missing Value",TRIM(Transaction[[#This Row],[SalesChannel]]))</f>
        <v>Distributor</v>
      </c>
      <c r="R598" s="4">
        <v>2</v>
      </c>
      <c r="S598" s="4" t="str">
        <f>IF(Transaction[[#This Row],[Quantity]]&lt;0,"Negative-review","Valid")</f>
        <v>Valid</v>
      </c>
      <c r="T598">
        <v>603.24</v>
      </c>
      <c r="U59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603.24</v>
      </c>
      <c r="V598">
        <v>725</v>
      </c>
      <c r="W598">
        <v>1450</v>
      </c>
      <c r="X59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598">
        <f>IF(Transaction[[#This Row],[GrossRevenue_Check]]="Invalid",Transaction[[#This Row],[ListPrice]]*Transaction[[#This Row],[Quantity]],Transaction[[#This Row],[GrossRevenue_Clean]])</f>
        <v>1450</v>
      </c>
      <c r="Z598" t="str">
        <f>IF(Transaction[[#This Row],[GrossRevenue_Clean]]=Transaction[[#This Row],[ListPrice]]*Transaction[[#This Row],[Quantity]],"Valid","Invalid")</f>
        <v>Valid</v>
      </c>
      <c r="AA598" t="s">
        <v>1346</v>
      </c>
      <c r="AB59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243.52</v>
      </c>
      <c r="AC598">
        <f>IF(Transaction[[#This Row],[DiscountAmount_Check2]]="Invalid",Transaction[[#This Row],[GrossRevenue_Analytical]]-Transaction[[#This Row],[NetRevenue_Analytical]],Transaction[[#This Row],[DiscountAmount_Clean]])</f>
        <v>243.52</v>
      </c>
      <c r="AD598" t="s">
        <v>1347</v>
      </c>
      <c r="AE598" t="str">
        <f>IF(ROUND(Transaction[[#This Row],[GrossRevenue_Analytical]]-Transaction[[#This Row],[NetRevenue_Analytical]],2)=ROUND(Transaction[[#This Row],[DiscountAmount_Clean]],2),"Valid","Invalid")</f>
        <v>Valid</v>
      </c>
      <c r="AF59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1206.48</v>
      </c>
      <c r="AG598">
        <f>IF(Transaction[[#This Row],[NetRevenue_Check]]="Invalid",(Transaction[[#This Row],[Quantity]]*Transaction[[#This Row],[UnitPrice_Clean]]),Transaction[[#This Row],[NetRevenue_Clean]])</f>
        <v>1206.48</v>
      </c>
      <c r="AH598" t="str">
        <f>IF(Transaction[[#This Row],[Quantity]]*Transaction[[#This Row],[UnitPrice_Clean]]=Transaction[[#This Row],[NetRevenue_Clean]],"Valid","Invalid")</f>
        <v>Valid</v>
      </c>
      <c r="AI598" t="s">
        <v>23</v>
      </c>
      <c r="AJ598" t="s">
        <v>1165</v>
      </c>
      <c r="AK598" t="str">
        <f>IF(Transaction[[#This Row],[Salesperson]]="","Missing Value",TRIM(PROPER(Transaction[[#This Row],[Salesperson]])))</f>
        <v>Williams</v>
      </c>
      <c r="AL598" t="s">
        <v>42</v>
      </c>
      <c r="AM598" t="str">
        <f>IF(Transaction[[#This Row],[ContractType]]="","Missing Value",Transaction[[#This Row],[ContractType]])</f>
        <v>Standard PO</v>
      </c>
      <c r="AN598" t="s">
        <v>49</v>
      </c>
    </row>
    <row r="599" spans="1:40" x14ac:dyDescent="0.25">
      <c r="A599" t="s">
        <v>2080</v>
      </c>
      <c r="B599" s="1">
        <v>45778</v>
      </c>
      <c r="C59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59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59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599" s="2">
        <f>IFERROR(DATE(Transaction[[#This Row],[TransactionDateY]],Transaction[[#This Row],[TransactionDateM]],Transaction[[#This Row],[TransactionDateD]]),"Missing Value")</f>
        <v>45778</v>
      </c>
      <c r="G599" t="s">
        <v>329</v>
      </c>
      <c r="H599" t="str">
        <f>IFERROR(VLOOKUP(Transaction[[#This Row],[CustomerID]],Custumer[],1,0),IF(LEN(Transaction[[#This Row],[CustomerID]])=7,LEFT(Transaction[[#This Row],[CustomerID]],6),"Invalid ID"))</f>
        <v>C-1145</v>
      </c>
      <c r="I599" t="s">
        <v>226</v>
      </c>
      <c r="J599" t="str">
        <f>TRIM(UPPER(Transaction[[#This Row],[ProductID]]))</f>
        <v>P-SA-002</v>
      </c>
      <c r="K599" t="str">
        <f>IFERROR(VLOOKUP(Transaction[[#This Row],[ProductID_Clean]],Product[],1,FALSE),"Invalid ID")</f>
        <v>P-SA-002</v>
      </c>
      <c r="L599" t="str">
        <f>TRIM(SUBSTITUTE(SUBSTITUTE(SUBSTITUTE(SUBSTITUTE(UPPER(Transaction[[#This Row],[Region]]),"EMEA REGION","EMEA"),"APAC REGION","APAC"),"NORTH AMERICA","N. AMERICA"),"N .AMERICA","N.AMERICA"))</f>
        <v>N. AMERICA</v>
      </c>
      <c r="M599" t="s">
        <v>204</v>
      </c>
      <c r="N599" t="s">
        <v>31</v>
      </c>
      <c r="O59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599" t="s">
        <v>22</v>
      </c>
      <c r="Q599" t="str">
        <f>IF(TRIM(Transaction[[#This Row],[SalesChannel]])="","Missing Value",TRIM(Transaction[[#This Row],[SalesChannel]]))</f>
        <v>Direct</v>
      </c>
      <c r="R599" s="4">
        <v>1</v>
      </c>
      <c r="S599" s="4" t="str">
        <f>IF(Transaction[[#This Row],[Quantity]]&lt;0,"Negative-review","Valid")</f>
        <v>Valid</v>
      </c>
      <c r="T599">
        <v>8556.51</v>
      </c>
      <c r="U59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8556.51</v>
      </c>
      <c r="V599">
        <v>9800</v>
      </c>
      <c r="W599">
        <v>9800</v>
      </c>
      <c r="X59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599">
        <f>IF(Transaction[[#This Row],[GrossRevenue_Check]]="Invalid",Transaction[[#This Row],[ListPrice]]*Transaction[[#This Row],[Quantity]],Transaction[[#This Row],[GrossRevenue_Clean]])</f>
        <v>9800</v>
      </c>
      <c r="Z599" t="str">
        <f>IF(Transaction[[#This Row],[GrossRevenue_Clean]]=Transaction[[#This Row],[ListPrice]]*Transaction[[#This Row],[Quantity]],"Valid","Invalid")</f>
        <v>Valid</v>
      </c>
      <c r="AA599">
        <v>1243.49</v>
      </c>
      <c r="AB59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1243.49</v>
      </c>
      <c r="AC599">
        <f>IF(Transaction[[#This Row],[DiscountAmount_Check2]]="Invalid",Transaction[[#This Row],[GrossRevenue_Analytical]]-Transaction[[#This Row],[NetRevenue_Analytical]],Transaction[[#This Row],[DiscountAmount_Clean]])</f>
        <v>1243.49</v>
      </c>
      <c r="AD599">
        <v>8556.51</v>
      </c>
      <c r="AE599" t="str">
        <f>IF(ROUND(Transaction[[#This Row],[GrossRevenue_Analytical]]-Transaction[[#This Row],[NetRevenue_Analytical]],2)=ROUND(Transaction[[#This Row],[DiscountAmount_Clean]],2),"Valid","Invalid")</f>
        <v>Valid</v>
      </c>
      <c r="AF599">
        <f>VALUE(IF(ISNUMBER(Transaction[[#This Row],[NetRevenue]]),Transaction[[#This Row],[NetRevenue]],IFERROR(IF(FIND("$",Transaction[[#This Row],[NetRevenue]])&gt;0,MID(Transaction[[#This Row],[NetRevenue]],2,10)),Transaction[[#This Row],[NetRevenue]])))</f>
        <v>8556.51</v>
      </c>
      <c r="AG599">
        <f>IF(Transaction[[#This Row],[NetRevenue_Check]]="Invalid",(Transaction[[#This Row],[Quantity]]*Transaction[[#This Row],[UnitPrice_Clean]]),Transaction[[#This Row],[NetRevenue_Clean]])</f>
        <v>8556.51</v>
      </c>
      <c r="AH599" t="str">
        <f>IF(Transaction[[#This Row],[Quantity]]*Transaction[[#This Row],[UnitPrice_Clean]]=Transaction[[#This Row],[NetRevenue_Clean]],"Valid","Invalid")</f>
        <v>Valid</v>
      </c>
      <c r="AI599" t="s">
        <v>23</v>
      </c>
      <c r="AJ599" t="s">
        <v>2081</v>
      </c>
      <c r="AK599" t="str">
        <f>IF(Transaction[[#This Row],[Salesperson]]="","Missing Value",TRIM(PROPER(Transaction[[#This Row],[Salesperson]])))</f>
        <v>Reeves-Ap</v>
      </c>
      <c r="AL599" t="s">
        <v>34</v>
      </c>
      <c r="AM599" t="str">
        <f>IF(Transaction[[#This Row],[ContractType]]="","Missing Value",Transaction[[#This Row],[ContractType]])</f>
        <v>Annual License</v>
      </c>
      <c r="AN599" t="s">
        <v>65</v>
      </c>
    </row>
    <row r="600" spans="1:40" x14ac:dyDescent="0.25">
      <c r="A600" t="s">
        <v>1533</v>
      </c>
      <c r="B600" t="s">
        <v>1534</v>
      </c>
      <c r="C60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60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05</v>
      </c>
      <c r="E60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00" s="2">
        <f>IFERROR(DATE(Transaction[[#This Row],[TransactionDateY]],Transaction[[#This Row],[TransactionDateM]],Transaction[[#This Row],[TransactionDateD]]),"Missing Value")</f>
        <v>45693</v>
      </c>
      <c r="G600" t="s">
        <v>1535</v>
      </c>
      <c r="H600" t="str">
        <f>IFERROR(VLOOKUP(Transaction[[#This Row],[CustomerID]],Custumer[],1,0),IF(LEN(Transaction[[#This Row],[CustomerID]])=7,LEFT(Transaction[[#This Row],[CustomerID]],6),"Invalid ID"))</f>
        <v>C-1141</v>
      </c>
      <c r="I600" t="s">
        <v>46</v>
      </c>
      <c r="J600" t="str">
        <f>TRIM(UPPER(Transaction[[#This Row],[ProductID]]))</f>
        <v>P-SI-006</v>
      </c>
      <c r="K600" t="str">
        <f>IFERROR(VLOOKUP(Transaction[[#This Row],[ProductID_Clean]],Product[],1,FALSE),"Invalid ID")</f>
        <v>P-SI-006</v>
      </c>
      <c r="L600" t="str">
        <f>TRIM(SUBSTITUTE(SUBSTITUTE(SUBSTITUTE(SUBSTITUTE(UPPER(Transaction[[#This Row],[Region]]),"EMEA REGION","EMEA"),"APAC REGION","APAC"),"NORTH AMERICA","N. AMERICA"),"N .AMERICA","N.AMERICA"))</f>
        <v>N. AMERICA</v>
      </c>
      <c r="M600" t="s">
        <v>204</v>
      </c>
      <c r="N600" t="s">
        <v>53</v>
      </c>
      <c r="O60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00" t="s">
        <v>40</v>
      </c>
      <c r="Q600" t="str">
        <f>IF(TRIM(Transaction[[#This Row],[SalesChannel]])="","Missing Value",TRIM(Transaction[[#This Row],[SalesChannel]]))</f>
        <v>Distributor</v>
      </c>
      <c r="R600" s="4">
        <v>3</v>
      </c>
      <c r="S600" s="4" t="str">
        <f>IF(Transaction[[#This Row],[Quantity]]&lt;0,"Negative-review","Valid")</f>
        <v>Valid</v>
      </c>
      <c r="T600">
        <v>161.31</v>
      </c>
      <c r="U60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161.31</v>
      </c>
      <c r="V600">
        <v>215</v>
      </c>
      <c r="W600">
        <v>645</v>
      </c>
      <c r="X60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600">
        <f>IF(Transaction[[#This Row],[GrossRevenue_Check]]="Invalid",Transaction[[#This Row],[ListPrice]]*Transaction[[#This Row],[Quantity]],Transaction[[#This Row],[GrossRevenue_Clean]])</f>
        <v>645</v>
      </c>
      <c r="Z600" t="str">
        <f>IF(Transaction[[#This Row],[GrossRevenue_Clean]]=Transaction[[#This Row],[ListPrice]]*Transaction[[#This Row],[Quantity]],"Valid","Invalid")</f>
        <v>Valid</v>
      </c>
      <c r="AA600">
        <v>161.07</v>
      </c>
      <c r="AB60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161.07</v>
      </c>
      <c r="AC600">
        <f>IF(Transaction[[#This Row],[DiscountAmount_Check2]]="Invalid",Transaction[[#This Row],[GrossRevenue_Analytical]]-Transaction[[#This Row],[NetRevenue_Analytical]],Transaction[[#This Row],[DiscountAmount_Clean]])</f>
        <v>161.07</v>
      </c>
      <c r="AD600">
        <v>483.93</v>
      </c>
      <c r="AE600" t="str">
        <f>IF(ROUND(Transaction[[#This Row],[GrossRevenue_Analytical]]-Transaction[[#This Row],[NetRevenue_Analytical]],2)=ROUND(Transaction[[#This Row],[DiscountAmount_Clean]],2),"Valid","Invalid")</f>
        <v>Valid</v>
      </c>
      <c r="AF600">
        <f>VALUE(IF(ISNUMBER(Transaction[[#This Row],[NetRevenue]]),Transaction[[#This Row],[NetRevenue]],IFERROR(IF(FIND("$",Transaction[[#This Row],[NetRevenue]])&gt;0,MID(Transaction[[#This Row],[NetRevenue]],2,10)),Transaction[[#This Row],[NetRevenue]])))</f>
        <v>483.93</v>
      </c>
      <c r="AG600">
        <f>IF(Transaction[[#This Row],[NetRevenue_Check]]="Invalid",(Transaction[[#This Row],[Quantity]]*Transaction[[#This Row],[UnitPrice_Clean]]),Transaction[[#This Row],[NetRevenue_Clean]])</f>
        <v>483.93</v>
      </c>
      <c r="AH600" t="str">
        <f>IF(Transaction[[#This Row],[Quantity]]*Transaction[[#This Row],[UnitPrice_Clean]]=Transaction[[#This Row],[NetRevenue_Clean]],"Valid","Invalid")</f>
        <v>Valid</v>
      </c>
      <c r="AI600" t="s">
        <v>23</v>
      </c>
      <c r="AJ600" t="s">
        <v>1536</v>
      </c>
      <c r="AK600" t="str">
        <f>IF(Transaction[[#This Row],[Salesperson]]="","Missing Value",TRIM(PROPER(Transaction[[#This Row],[Salesperson]])))</f>
        <v>Brock-Ap</v>
      </c>
      <c r="AL600" t="s">
        <v>25</v>
      </c>
      <c r="AM600" t="str">
        <f>IF(Transaction[[#This Row],[ContractType]]="","Missing Value",Transaction[[#This Row],[ContractType]])</f>
        <v>Frame Agreement</v>
      </c>
      <c r="AN600" t="s">
        <v>43</v>
      </c>
    </row>
    <row r="601" spans="1:40" x14ac:dyDescent="0.25">
      <c r="A601" t="s">
        <v>822</v>
      </c>
      <c r="B601" s="1">
        <v>45778</v>
      </c>
      <c r="C60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60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60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01" s="2">
        <f>IFERROR(DATE(Transaction[[#This Row],[TransactionDateY]],Transaction[[#This Row],[TransactionDateM]],Transaction[[#This Row],[TransactionDateD]]),"Missing Value")</f>
        <v>45778</v>
      </c>
      <c r="G601" t="s">
        <v>180</v>
      </c>
      <c r="H601" t="str">
        <f>IFERROR(VLOOKUP(Transaction[[#This Row],[CustomerID]],Custumer[],1,0),IF(LEN(Transaction[[#This Row],[CustomerID]])=7,LEFT(Transaction[[#This Row],[CustomerID]],6),"Invalid ID"))</f>
        <v>C-1158</v>
      </c>
      <c r="I601" t="s">
        <v>391</v>
      </c>
      <c r="J601" t="str">
        <f>TRIM(UPPER(Transaction[[#This Row],[ProductID]]))</f>
        <v>P-FS-002</v>
      </c>
      <c r="K601" t="str">
        <f>IFERROR(VLOOKUP(Transaction[[#This Row],[ProductID_Clean]],Product[],1,FALSE),"Invalid ID")</f>
        <v>P-FS-002</v>
      </c>
      <c r="L601" t="str">
        <f>TRIM(SUBSTITUTE(SUBSTITUTE(SUBSTITUTE(SUBSTITUTE(UPPER(Transaction[[#This Row],[Region]]),"EMEA REGION","EMEA"),"APAC REGION","APAC"),"NORTH AMERICA","N. AMERICA"),"N .AMERICA","N.AMERICA"))</f>
        <v>EMEA</v>
      </c>
      <c r="M601" t="s">
        <v>76</v>
      </c>
      <c r="N601" t="s">
        <v>244</v>
      </c>
      <c r="O601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601" t="s">
        <v>32</v>
      </c>
      <c r="Q601" t="str">
        <f>IF(TRIM(Transaction[[#This Row],[SalesChannel]])="","Missing Value",TRIM(Transaction[[#This Row],[SalesChannel]]))</f>
        <v>Direct</v>
      </c>
      <c r="R601" s="4">
        <v>1</v>
      </c>
      <c r="S601" s="4" t="str">
        <f>IF(Transaction[[#This Row],[Quantity]]&lt;0,"Negative-review","Valid")</f>
        <v>Valid</v>
      </c>
      <c r="T601">
        <v>2404.6999999999998</v>
      </c>
      <c r="U60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2404.6999999999998</v>
      </c>
      <c r="V601">
        <v>2400</v>
      </c>
      <c r="W601">
        <v>2400</v>
      </c>
      <c r="X60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601">
        <f>IF(Transaction[[#This Row],[GrossRevenue_Check]]="Invalid",Transaction[[#This Row],[ListPrice]]*Transaction[[#This Row],[Quantity]],Transaction[[#This Row],[GrossRevenue_Clean]])</f>
        <v>2400</v>
      </c>
      <c r="Z601" t="str">
        <f>IF(Transaction[[#This Row],[GrossRevenue_Clean]]=Transaction[[#This Row],[ListPrice]]*Transaction[[#This Row],[Quantity]],"Valid","Invalid")</f>
        <v>Valid</v>
      </c>
      <c r="AA601">
        <v>-4.7</v>
      </c>
      <c r="AB60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-4.7</v>
      </c>
      <c r="AC601">
        <f>IF(Transaction[[#This Row],[DiscountAmount_Check2]]="Invalid",Transaction[[#This Row],[GrossRevenue_Analytical]]-Transaction[[#This Row],[NetRevenue_Analytical]],Transaction[[#This Row],[DiscountAmount_Clean]])</f>
        <v>-4.7</v>
      </c>
      <c r="AD601" t="s">
        <v>823</v>
      </c>
      <c r="AE601" t="str">
        <f>IF(ROUND(Transaction[[#This Row],[GrossRevenue_Analytical]]-Transaction[[#This Row],[NetRevenue_Analytical]],2)=ROUND(Transaction[[#This Row],[DiscountAmount_Clean]],2),"Valid","Invalid")</f>
        <v>Valid</v>
      </c>
      <c r="AF60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2404.6999999999998</v>
      </c>
      <c r="AG601">
        <f>IF(Transaction[[#This Row],[NetRevenue_Check]]="Invalid",(Transaction[[#This Row],[Quantity]]*Transaction[[#This Row],[UnitPrice_Clean]]),Transaction[[#This Row],[NetRevenue_Clean]])</f>
        <v>2404.6999999999998</v>
      </c>
      <c r="AH601" t="str">
        <f>IF(Transaction[[#This Row],[Quantity]]*Transaction[[#This Row],[UnitPrice_Clean]]=Transaction[[#This Row],[NetRevenue_Clean]],"Valid","Invalid")</f>
        <v>Valid</v>
      </c>
      <c r="AI601" t="s">
        <v>23</v>
      </c>
      <c r="AJ601" t="s">
        <v>824</v>
      </c>
      <c r="AK601" t="str">
        <f>IF(Transaction[[#This Row],[Salesperson]]="","Missing Value",TRIM(PROPER(Transaction[[#This Row],[Salesperson]])))</f>
        <v>Stone-Na</v>
      </c>
      <c r="AL601" t="s">
        <v>295</v>
      </c>
      <c r="AM601" t="str">
        <f>IF(Transaction[[#This Row],[ContractType]]="","Missing Value",Transaction[[#This Row],[ContractType]])</f>
        <v>Multi-Year</v>
      </c>
      <c r="AN601" t="s">
        <v>65</v>
      </c>
    </row>
    <row r="602" spans="1:40" x14ac:dyDescent="0.25">
      <c r="A602" t="s">
        <v>1306</v>
      </c>
      <c r="B602" t="s">
        <v>1307</v>
      </c>
      <c r="C60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60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07</v>
      </c>
      <c r="E60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02" s="2">
        <f>IFERROR(DATE(Transaction[[#This Row],[TransactionDateY]],Transaction[[#This Row],[TransactionDateM]],Transaction[[#This Row],[TransactionDateD]]),"Missing Value")</f>
        <v>45815</v>
      </c>
      <c r="G602" t="s">
        <v>38</v>
      </c>
      <c r="H602" t="str">
        <f>IFERROR(VLOOKUP(Transaction[[#This Row],[CustomerID]],Custumer[],1,0),IF(LEN(Transaction[[#This Row],[CustomerID]])=7,LEFT(Transaction[[#This Row],[CustomerID]],6),"Invalid ID"))</f>
        <v>C-1027</v>
      </c>
      <c r="I602" t="s">
        <v>1308</v>
      </c>
      <c r="J602" t="str">
        <f>TRIM(UPPER(Transaction[[#This Row],[ProductID]]))</f>
        <v>P-FS-000</v>
      </c>
      <c r="K602" t="str">
        <f>IFERROR(VLOOKUP(Transaction[[#This Row],[ProductID_Clean]],Product[],1,FALSE),"Invalid ID")</f>
        <v>Invalid ID</v>
      </c>
      <c r="L602" t="str">
        <f>TRIM(SUBSTITUTE(SUBSTITUTE(SUBSTITUTE(SUBSTITUTE(UPPER(Transaction[[#This Row],[Region]]),"EMEA REGION","EMEA"),"APAC REGION","APAC"),"NORTH AMERICA","N. AMERICA"),"N .AMERICA","N.AMERICA"))</f>
        <v>N. AMERICA</v>
      </c>
      <c r="M602" t="s">
        <v>20</v>
      </c>
      <c r="N602" t="s">
        <v>205</v>
      </c>
      <c r="O60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602" t="s">
        <v>22</v>
      </c>
      <c r="Q602" t="str">
        <f>IF(TRIM(Transaction[[#This Row],[SalesChannel]])="","Missing Value",TRIM(Transaction[[#This Row],[SalesChannel]]))</f>
        <v>Direct</v>
      </c>
      <c r="R602" s="4">
        <v>1</v>
      </c>
      <c r="S602" s="4" t="str">
        <f>IF(Transaction[[#This Row],[Quantity]]&lt;0,"Negative-review","Valid")</f>
        <v>Valid</v>
      </c>
      <c r="T602">
        <v>1478.57</v>
      </c>
      <c r="U60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1478.57</v>
      </c>
      <c r="V602">
        <v>1650</v>
      </c>
      <c r="W602">
        <v>1650</v>
      </c>
      <c r="X60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602">
        <f>IF(Transaction[[#This Row],[GrossRevenue_Check]]="Invalid",Transaction[[#This Row],[ListPrice]]*Transaction[[#This Row],[Quantity]],Transaction[[#This Row],[GrossRevenue_Clean]])</f>
        <v>1650</v>
      </c>
      <c r="Z602" t="str">
        <f>IF(Transaction[[#This Row],[GrossRevenue_Clean]]=Transaction[[#This Row],[ListPrice]]*Transaction[[#This Row],[Quantity]],"Valid","Invalid")</f>
        <v>Valid</v>
      </c>
      <c r="AA602">
        <v>171.43</v>
      </c>
      <c r="AB60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171.43</v>
      </c>
      <c r="AC602">
        <f>IF(Transaction[[#This Row],[DiscountAmount_Check2]]="Invalid",Transaction[[#This Row],[GrossRevenue_Analytical]]-Transaction[[#This Row],[NetRevenue_Analytical]],Transaction[[#This Row],[DiscountAmount_Clean]])</f>
        <v>171.43</v>
      </c>
      <c r="AD602">
        <v>1478.57</v>
      </c>
      <c r="AE602" t="str">
        <f>IF(ROUND(Transaction[[#This Row],[GrossRevenue_Analytical]]-Transaction[[#This Row],[NetRevenue_Analytical]],2)=ROUND(Transaction[[#This Row],[DiscountAmount_Clean]],2),"Valid","Invalid")</f>
        <v>Valid</v>
      </c>
      <c r="AF60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1478.57</v>
      </c>
      <c r="AG602">
        <f>IF(Transaction[[#This Row],[NetRevenue_Check]]="Invalid",(Transaction[[#This Row],[Quantity]]*Transaction[[#This Row],[UnitPrice_Clean]]),Transaction[[#This Row],[NetRevenue_Clean]])</f>
        <v>1478.57</v>
      </c>
      <c r="AH602" t="str">
        <f>IF(Transaction[[#This Row],[Quantity]]*Transaction[[#This Row],[UnitPrice_Clean]]=Transaction[[#This Row],[NetRevenue_Clean]],"Valid","Invalid")</f>
        <v>Valid</v>
      </c>
      <c r="AI602" t="s">
        <v>23</v>
      </c>
      <c r="AJ602" t="s">
        <v>371</v>
      </c>
      <c r="AK602" t="str">
        <f>IF(Transaction[[#This Row],[Salesperson]]="","Missing Value",TRIM(PROPER(Transaction[[#This Row],[Salesperson]])))</f>
        <v>Hernandez</v>
      </c>
      <c r="AL602" t="s">
        <v>34</v>
      </c>
      <c r="AM602" t="str">
        <f>IF(Transaction[[#This Row],[ContractType]]="","Missing Value",Transaction[[#This Row],[ContractType]])</f>
        <v>Annual License</v>
      </c>
      <c r="AN602" t="s">
        <v>43</v>
      </c>
    </row>
    <row r="603" spans="1:40" x14ac:dyDescent="0.25">
      <c r="A603" t="s">
        <v>1314</v>
      </c>
      <c r="B603" s="1">
        <v>45678</v>
      </c>
      <c r="C60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60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60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03" s="2">
        <f>IFERROR(DATE(Transaction[[#This Row],[TransactionDateY]],Transaction[[#This Row],[TransactionDateM]],Transaction[[#This Row],[TransactionDateD]]),"Missing Value")</f>
        <v>45678</v>
      </c>
      <c r="G603" t="s">
        <v>913</v>
      </c>
      <c r="H603" t="str">
        <f>IFERROR(VLOOKUP(Transaction[[#This Row],[CustomerID]],Custumer[],1,0),IF(LEN(Transaction[[#This Row],[CustomerID]])=7,LEFT(Transaction[[#This Row],[CustomerID]],6),"Invalid ID"))</f>
        <v>C-1073</v>
      </c>
      <c r="I603" t="s">
        <v>92</v>
      </c>
      <c r="J603" t="str">
        <f>TRIM(UPPER(Transaction[[#This Row],[ProductID]]))</f>
        <v>P-SI-008</v>
      </c>
      <c r="K603" t="str">
        <f>IFERROR(VLOOKUP(Transaction[[#This Row],[ProductID_Clean]],Product[],1,FALSE),"Invalid ID")</f>
        <v>P-SI-008</v>
      </c>
      <c r="L603" t="str">
        <f>TRIM(SUBSTITUTE(SUBSTITUTE(SUBSTITUTE(SUBSTITUTE(UPPER(Transaction[[#This Row],[Region]]),"EMEA REGION","EMEA"),"APAC REGION","APAC"),"NORTH AMERICA","N. AMERICA"),"N .AMERICA","N.AMERICA"))</f>
        <v>EMEA</v>
      </c>
      <c r="M603" t="s">
        <v>177</v>
      </c>
      <c r="N603" t="s">
        <v>47</v>
      </c>
      <c r="O60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03" t="s">
        <v>40</v>
      </c>
      <c r="Q603" t="str">
        <f>IF(TRIM(Transaction[[#This Row],[SalesChannel]])="","Missing Value",TRIM(Transaction[[#This Row],[SalesChannel]]))</f>
        <v>Distributor</v>
      </c>
      <c r="R603" s="4">
        <v>4</v>
      </c>
      <c r="S603" s="4" t="str">
        <f>IF(Transaction[[#This Row],[Quantity]]&lt;0,"Negative-review","Valid")</f>
        <v>Valid</v>
      </c>
      <c r="T603">
        <v>775.19</v>
      </c>
      <c r="U60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775.19</v>
      </c>
      <c r="V603">
        <v>950</v>
      </c>
      <c r="W603">
        <v>3800</v>
      </c>
      <c r="X60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3800</v>
      </c>
      <c r="Y603">
        <f>IF(Transaction[[#This Row],[GrossRevenue_Check]]="Invalid",Transaction[[#This Row],[ListPrice]]*Transaction[[#This Row],[Quantity]],Transaction[[#This Row],[GrossRevenue_Clean]])</f>
        <v>3800</v>
      </c>
      <c r="Z603" t="str">
        <f>IF(Transaction[[#This Row],[GrossRevenue_Clean]]=Transaction[[#This Row],[ListPrice]]*Transaction[[#This Row],[Quantity]],"Valid","Invalid")</f>
        <v>Valid</v>
      </c>
      <c r="AA603">
        <v>699.24</v>
      </c>
      <c r="AB60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699.24</v>
      </c>
      <c r="AC603">
        <f>IF(Transaction[[#This Row],[DiscountAmount_Check2]]="Invalid",Transaction[[#This Row],[GrossRevenue_Analytical]]-Transaction[[#This Row],[NetRevenue_Analytical]],Transaction[[#This Row],[DiscountAmount_Clean]])</f>
        <v>699.24</v>
      </c>
      <c r="AD603">
        <v>3100.76</v>
      </c>
      <c r="AE603" t="str">
        <f>IF(ROUND(Transaction[[#This Row],[GrossRevenue_Analytical]]-Transaction[[#This Row],[NetRevenue_Analytical]],2)=ROUND(Transaction[[#This Row],[DiscountAmount_Clean]],2),"Valid","Invalid")</f>
        <v>Valid</v>
      </c>
      <c r="AF60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3100.76</v>
      </c>
      <c r="AG603">
        <f>IF(Transaction[[#This Row],[NetRevenue_Check]]="Invalid",(Transaction[[#This Row],[Quantity]]*Transaction[[#This Row],[UnitPrice_Clean]]),Transaction[[#This Row],[NetRevenue_Clean]])</f>
        <v>3100.76</v>
      </c>
      <c r="AH603" t="str">
        <f>IF(Transaction[[#This Row],[Quantity]]*Transaction[[#This Row],[UnitPrice_Clean]]=Transaction[[#This Row],[NetRevenue_Clean]],"Valid","Invalid")</f>
        <v>Valid</v>
      </c>
      <c r="AI603" t="s">
        <v>23</v>
      </c>
      <c r="AJ603" t="s">
        <v>1315</v>
      </c>
      <c r="AK603" t="str">
        <f>IF(Transaction[[#This Row],[Salesperson]]="","Missing Value",TRIM(PROPER(Transaction[[#This Row],[Salesperson]])))</f>
        <v>Barry</v>
      </c>
      <c r="AL603" t="s">
        <v>55</v>
      </c>
      <c r="AM603" t="str">
        <f>IF(Transaction[[#This Row],[ContractType]]="","Missing Value",Transaction[[#This Row],[ContractType]])</f>
        <v>Spot</v>
      </c>
      <c r="AN603" t="s">
        <v>43</v>
      </c>
    </row>
    <row r="604" spans="1:40" x14ac:dyDescent="0.25">
      <c r="A604" t="s">
        <v>3013</v>
      </c>
      <c r="B604" t="s">
        <v>850</v>
      </c>
      <c r="C60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60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07</v>
      </c>
      <c r="E60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04" s="2">
        <f>IFERROR(DATE(Transaction[[#This Row],[TransactionDateY]],Transaction[[#This Row],[TransactionDateM]],Transaction[[#This Row],[TransactionDateD]]),"Missing Value")</f>
        <v>45723</v>
      </c>
      <c r="G604" t="s">
        <v>1152</v>
      </c>
      <c r="H604" t="str">
        <f>IFERROR(VLOOKUP(Transaction[[#This Row],[CustomerID]],Custumer[],1,0),IF(LEN(Transaction[[#This Row],[CustomerID]])=7,LEFT(Transaction[[#This Row],[CustomerID]],6),"Invalid ID"))</f>
        <v>C-1178</v>
      </c>
      <c r="I604" t="s">
        <v>121</v>
      </c>
      <c r="J604" t="str">
        <f>TRIM(UPPER(Transaction[[#This Row],[ProductID]]))</f>
        <v>P-FS-001</v>
      </c>
      <c r="K604" t="str">
        <f>IFERROR(VLOOKUP(Transaction[[#This Row],[ProductID_Clean]],Product[],1,FALSE),"Invalid ID")</f>
        <v>P-FS-001</v>
      </c>
      <c r="L604" t="str">
        <f>TRIM(SUBSTITUTE(SUBSTITUTE(SUBSTITUTE(SUBSTITUTE(UPPER(Transaction[[#This Row],[Region]]),"EMEA REGION","EMEA"),"APAC REGION","APAC"),"NORTH AMERICA","N. AMERICA"),"N .AMERICA","N.AMERICA"))</f>
        <v>EMEA</v>
      </c>
      <c r="M604" t="s">
        <v>76</v>
      </c>
      <c r="N604" t="s">
        <v>21</v>
      </c>
      <c r="O60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604" t="s">
        <v>22</v>
      </c>
      <c r="Q604" t="str">
        <f>IF(TRIM(Transaction[[#This Row],[SalesChannel]])="","Missing Value",TRIM(Transaction[[#This Row],[SalesChannel]]))</f>
        <v>Direct</v>
      </c>
      <c r="R604" s="4">
        <v>1</v>
      </c>
      <c r="S604" s="4" t="str">
        <f>IF(Transaction[[#This Row],[Quantity]]&lt;0,"Negative-review","Valid")</f>
        <v>Valid</v>
      </c>
      <c r="T604">
        <v>1489.38</v>
      </c>
      <c r="U60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1489.38</v>
      </c>
      <c r="V604">
        <v>1850</v>
      </c>
      <c r="W604">
        <v>1850</v>
      </c>
      <c r="X60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604">
        <f>IF(Transaction[[#This Row],[GrossRevenue_Check]]="Invalid",Transaction[[#This Row],[ListPrice]]*Transaction[[#This Row],[Quantity]],Transaction[[#This Row],[GrossRevenue_Clean]])</f>
        <v>1850</v>
      </c>
      <c r="Z604" t="str">
        <f>IF(Transaction[[#This Row],[GrossRevenue_Clean]]=Transaction[[#This Row],[ListPrice]]*Transaction[[#This Row],[Quantity]],"Valid","Invalid")</f>
        <v>Valid</v>
      </c>
      <c r="AA604">
        <v>360.62</v>
      </c>
      <c r="AB60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360.62</v>
      </c>
      <c r="AC604">
        <f>IF(Transaction[[#This Row],[DiscountAmount_Check2]]="Invalid",Transaction[[#This Row],[GrossRevenue_Analytical]]-Transaction[[#This Row],[NetRevenue_Analytical]],Transaction[[#This Row],[DiscountAmount_Clean]])</f>
        <v>360.62</v>
      </c>
      <c r="AD604" t="s">
        <v>3014</v>
      </c>
      <c r="AE604" t="str">
        <f>IF(ROUND(Transaction[[#This Row],[GrossRevenue_Analytical]]-Transaction[[#This Row],[NetRevenue_Analytical]],2)=ROUND(Transaction[[#This Row],[DiscountAmount_Clean]],2),"Valid","Invalid")</f>
        <v>Valid</v>
      </c>
      <c r="AF60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1489.38</v>
      </c>
      <c r="AG604">
        <f>IF(Transaction[[#This Row],[NetRevenue_Check]]="Invalid",(Transaction[[#This Row],[Quantity]]*Transaction[[#This Row],[UnitPrice_Clean]]),Transaction[[#This Row],[NetRevenue_Clean]])</f>
        <v>1489.38</v>
      </c>
      <c r="AH604" t="str">
        <f>IF(Transaction[[#This Row],[Quantity]]*Transaction[[#This Row],[UnitPrice_Clean]]=Transaction[[#This Row],[NetRevenue_Clean]],"Valid","Invalid")</f>
        <v>Valid</v>
      </c>
      <c r="AI604" t="s">
        <v>99</v>
      </c>
      <c r="AJ604" t="s">
        <v>588</v>
      </c>
      <c r="AK604" t="str">
        <f>IF(Transaction[[#This Row],[Salesperson]]="","Missing Value",TRIM(PROPER(Transaction[[#This Row],[Salesperson]])))</f>
        <v>Taylor</v>
      </c>
      <c r="AM604" t="str">
        <f>IF(Transaction[[#This Row],[ContractType]]="","Missing Value",Transaction[[#This Row],[ContractType]])</f>
        <v>Missing Value</v>
      </c>
      <c r="AN604" t="s">
        <v>49</v>
      </c>
    </row>
    <row r="605" spans="1:40" x14ac:dyDescent="0.25">
      <c r="A605" t="s">
        <v>2155</v>
      </c>
      <c r="B605" s="1">
        <v>45696</v>
      </c>
      <c r="C60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60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60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05" s="2">
        <f>IFERROR(DATE(Transaction[[#This Row],[TransactionDateY]],Transaction[[#This Row],[TransactionDateM]],Transaction[[#This Row],[TransactionDateD]]),"Missing Value")</f>
        <v>45696</v>
      </c>
      <c r="G605" t="s">
        <v>617</v>
      </c>
      <c r="H605" t="str">
        <f>IFERROR(VLOOKUP(Transaction[[#This Row],[CustomerID]],Custumer[],1,0),IF(LEN(Transaction[[#This Row],[CustomerID]])=7,LEFT(Transaction[[#This Row],[CustomerID]],6),"Invalid ID"))</f>
        <v>C-1011</v>
      </c>
      <c r="I605" t="s">
        <v>92</v>
      </c>
      <c r="J605" t="str">
        <f>TRIM(UPPER(Transaction[[#This Row],[ProductID]]))</f>
        <v>P-SI-008</v>
      </c>
      <c r="K605" t="str">
        <f>IFERROR(VLOOKUP(Transaction[[#This Row],[ProductID_Clean]],Product[],1,FALSE),"Invalid ID")</f>
        <v>P-SI-008</v>
      </c>
      <c r="L605" t="str">
        <f>TRIM(SUBSTITUTE(SUBSTITUTE(SUBSTITUTE(SUBSTITUTE(UPPER(Transaction[[#This Row],[Region]]),"EMEA REGION","EMEA"),"APAC REGION","APAC"),"NORTH AMERICA","N. AMERICA"),"N .AMERICA","N.AMERICA"))</f>
        <v>APAC</v>
      </c>
      <c r="M605" t="s">
        <v>30</v>
      </c>
      <c r="N605" t="s">
        <v>47</v>
      </c>
      <c r="O60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05" t="s">
        <v>22</v>
      </c>
      <c r="Q605" t="str">
        <f>IF(TRIM(Transaction[[#This Row],[SalesChannel]])="","Missing Value",TRIM(Transaction[[#This Row],[SalesChannel]]))</f>
        <v>Direct</v>
      </c>
      <c r="R605" s="4">
        <v>3</v>
      </c>
      <c r="S605" s="4" t="str">
        <f>IF(Transaction[[#This Row],[Quantity]]&lt;0,"Negative-review","Valid")</f>
        <v>Valid</v>
      </c>
      <c r="T605">
        <v>872.44</v>
      </c>
      <c r="U60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872.44</v>
      </c>
      <c r="V605">
        <v>950</v>
      </c>
      <c r="W605">
        <v>2850</v>
      </c>
      <c r="X60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2850</v>
      </c>
      <c r="Y605">
        <f>IF(Transaction[[#This Row],[GrossRevenue_Check]]="Invalid",Transaction[[#This Row],[ListPrice]]*Transaction[[#This Row],[Quantity]],Transaction[[#This Row],[GrossRevenue_Clean]])</f>
        <v>2850</v>
      </c>
      <c r="Z605" t="str">
        <f>IF(Transaction[[#This Row],[GrossRevenue_Clean]]=Transaction[[#This Row],[ListPrice]]*Transaction[[#This Row],[Quantity]],"Valid","Invalid")</f>
        <v>Valid</v>
      </c>
      <c r="AA605">
        <v>232.68</v>
      </c>
      <c r="AB60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232.68</v>
      </c>
      <c r="AC605">
        <f>IF(Transaction[[#This Row],[DiscountAmount_Check2]]="Invalid",Transaction[[#This Row],[GrossRevenue_Analytical]]-Transaction[[#This Row],[NetRevenue_Analytical]],Transaction[[#This Row],[DiscountAmount_Clean]])</f>
        <v>232.68</v>
      </c>
      <c r="AD605">
        <v>2617.3200000000002</v>
      </c>
      <c r="AE605" t="str">
        <f>IF(ROUND(Transaction[[#This Row],[GrossRevenue_Analytical]]-Transaction[[#This Row],[NetRevenue_Analytical]],2)=ROUND(Transaction[[#This Row],[DiscountAmount_Clean]],2),"Valid","Invalid")</f>
        <v>Valid</v>
      </c>
      <c r="AF605">
        <f>VALUE(IF(ISNUMBER(Transaction[[#This Row],[NetRevenue]]),Transaction[[#This Row],[NetRevenue]],IFERROR(IF(FIND("$",Transaction[[#This Row],[NetRevenue]])&gt;0,MID(Transaction[[#This Row],[NetRevenue]],2,10)),Transaction[[#This Row],[NetRevenue]])))</f>
        <v>2617.3200000000002</v>
      </c>
      <c r="AG605">
        <f>IF(Transaction[[#This Row],[NetRevenue_Check]]="Invalid",(Transaction[[#This Row],[Quantity]]*Transaction[[#This Row],[UnitPrice_Clean]]),Transaction[[#This Row],[NetRevenue_Clean]])</f>
        <v>2617.3200000000002</v>
      </c>
      <c r="AH605" t="str">
        <f>IF(Transaction[[#This Row],[Quantity]]*Transaction[[#This Row],[UnitPrice_Clean]]=Transaction[[#This Row],[NetRevenue_Clean]],"Valid","Invalid")</f>
        <v>Valid</v>
      </c>
      <c r="AI605" t="s">
        <v>23</v>
      </c>
      <c r="AJ605" t="s">
        <v>2156</v>
      </c>
      <c r="AK605" t="str">
        <f>IF(Transaction[[#This Row],[Salesperson]]="","Missing Value",TRIM(PROPER(Transaction[[#This Row],[Salesperson]])))</f>
        <v>Velazquez-Em</v>
      </c>
      <c r="AL605" t="s">
        <v>42</v>
      </c>
      <c r="AM605" t="str">
        <f>IF(Transaction[[#This Row],[ContractType]]="","Missing Value",Transaction[[#This Row],[ContractType]])</f>
        <v>Standard PO</v>
      </c>
      <c r="AN605" t="s">
        <v>65</v>
      </c>
    </row>
    <row r="606" spans="1:40" x14ac:dyDescent="0.25">
      <c r="A606" t="s">
        <v>1512</v>
      </c>
      <c r="B606" t="s">
        <v>1513</v>
      </c>
      <c r="C60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60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60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06" s="2">
        <f>IFERROR(DATE(Transaction[[#This Row],[TransactionDateY]],Transaction[[#This Row],[TransactionDateM]],Transaction[[#This Row],[TransactionDateD]]),"Missing Value")</f>
        <v>45813</v>
      </c>
      <c r="G606" t="s">
        <v>284</v>
      </c>
      <c r="H606" t="str">
        <f>IFERROR(VLOOKUP(Transaction[[#This Row],[CustomerID]],Custumer[],1,0),IF(LEN(Transaction[[#This Row],[CustomerID]])=7,LEFT(Transaction[[#This Row],[CustomerID]],6),"Invalid ID"))</f>
        <v>C-1101</v>
      </c>
      <c r="I606" t="s">
        <v>111</v>
      </c>
      <c r="J606" t="str">
        <f>TRIM(UPPER(Transaction[[#This Row],[ProductID]]))</f>
        <v>P-SA-004</v>
      </c>
      <c r="K606" t="str">
        <f>IFERROR(VLOOKUP(Transaction[[#This Row],[ProductID_Clean]],Product[],1,FALSE),"Invalid ID")</f>
        <v>P-SA-004</v>
      </c>
      <c r="L606" t="str">
        <f>TRIM(SUBSTITUTE(SUBSTITUTE(SUBSTITUTE(SUBSTITUTE(UPPER(Transaction[[#This Row],[Region]]),"EMEA REGION","EMEA"),"APAC REGION","APAC"),"NORTH AMERICA","N. AMERICA"),"N .AMERICA","N.AMERICA"))</f>
        <v>EMEA</v>
      </c>
      <c r="M606" t="s">
        <v>87</v>
      </c>
      <c r="N606" t="s">
        <v>205</v>
      </c>
      <c r="O60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606" t="s">
        <v>40</v>
      </c>
      <c r="Q606" t="str">
        <f>IF(TRIM(Transaction[[#This Row],[SalesChannel]])="","Missing Value",TRIM(Transaction[[#This Row],[SalesChannel]]))</f>
        <v>Distributor</v>
      </c>
      <c r="R606" s="4">
        <v>1</v>
      </c>
      <c r="S606" s="4" t="str">
        <f>IF(Transaction[[#This Row],[Quantity]]&lt;0,"Negative-review","Valid")</f>
        <v>Valid</v>
      </c>
      <c r="T606">
        <v>1346.87</v>
      </c>
      <c r="U60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1346.87</v>
      </c>
      <c r="V606">
        <v>1650</v>
      </c>
      <c r="W606">
        <v>1650</v>
      </c>
      <c r="X60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606">
        <f>IF(Transaction[[#This Row],[GrossRevenue_Check]]="Invalid",Transaction[[#This Row],[ListPrice]]*Transaction[[#This Row],[Quantity]],Transaction[[#This Row],[GrossRevenue_Clean]])</f>
        <v>1650</v>
      </c>
      <c r="Z606" t="str">
        <f>IF(Transaction[[#This Row],[GrossRevenue_Clean]]=Transaction[[#This Row],[ListPrice]]*Transaction[[#This Row],[Quantity]],"Valid","Invalid")</f>
        <v>Valid</v>
      </c>
      <c r="AA606">
        <v>303.13</v>
      </c>
      <c r="AB60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303.13</v>
      </c>
      <c r="AC606">
        <f>IF(Transaction[[#This Row],[DiscountAmount_Check2]]="Invalid",Transaction[[#This Row],[GrossRevenue_Analytical]]-Transaction[[#This Row],[NetRevenue_Analytical]],Transaction[[#This Row],[DiscountAmount_Clean]])</f>
        <v>303.13</v>
      </c>
      <c r="AD606">
        <v>1346.87</v>
      </c>
      <c r="AE606" t="str">
        <f>IF(ROUND(Transaction[[#This Row],[GrossRevenue_Analytical]]-Transaction[[#This Row],[NetRevenue_Analytical]],2)=ROUND(Transaction[[#This Row],[DiscountAmount_Clean]],2),"Valid","Invalid")</f>
        <v>Valid</v>
      </c>
      <c r="AF60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1346.87</v>
      </c>
      <c r="AG606">
        <f>IF(Transaction[[#This Row],[NetRevenue_Check]]="Invalid",(Transaction[[#This Row],[Quantity]]*Transaction[[#This Row],[UnitPrice_Clean]]),Transaction[[#This Row],[NetRevenue_Clean]])</f>
        <v>1346.87</v>
      </c>
      <c r="AH606" t="str">
        <f>IF(Transaction[[#This Row],[Quantity]]*Transaction[[#This Row],[UnitPrice_Clean]]=Transaction[[#This Row],[NetRevenue_Clean]],"Valid","Invalid")</f>
        <v>Valid</v>
      </c>
      <c r="AI606" t="s">
        <v>23</v>
      </c>
      <c r="AJ606" t="s">
        <v>449</v>
      </c>
      <c r="AK606" t="str">
        <f>IF(Transaction[[#This Row],[Salesperson]]="","Missing Value",TRIM(PROPER(Transaction[[#This Row],[Salesperson]])))</f>
        <v>Flores-Em</v>
      </c>
      <c r="AL606" t="s">
        <v>113</v>
      </c>
      <c r="AM606" t="str">
        <f>IF(Transaction[[#This Row],[ContractType]]="","Missing Value",Transaction[[#This Row],[ContractType]])</f>
        <v>Subscription</v>
      </c>
      <c r="AN606" t="s">
        <v>35</v>
      </c>
    </row>
    <row r="607" spans="1:40" x14ac:dyDescent="0.25">
      <c r="A607" t="s">
        <v>2395</v>
      </c>
      <c r="B607" s="1">
        <v>45766</v>
      </c>
      <c r="C60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60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60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07" s="2">
        <f>IFERROR(DATE(Transaction[[#This Row],[TransactionDateY]],Transaction[[#This Row],[TransactionDateM]],Transaction[[#This Row],[TransactionDateD]]),"Missing Value")</f>
        <v>45766</v>
      </c>
      <c r="G607" t="s">
        <v>367</v>
      </c>
      <c r="H607" t="str">
        <f>IFERROR(VLOOKUP(Transaction[[#This Row],[CustomerID]],Custumer[],1,0),IF(LEN(Transaction[[#This Row],[CustomerID]])=7,LEFT(Transaction[[#This Row],[CustomerID]],6),"Invalid ID"))</f>
        <v>C-1024</v>
      </c>
      <c r="I607" t="s">
        <v>46</v>
      </c>
      <c r="J607" t="str">
        <f>TRIM(UPPER(Transaction[[#This Row],[ProductID]]))</f>
        <v>P-SI-006</v>
      </c>
      <c r="K607" t="str">
        <f>IFERROR(VLOOKUP(Transaction[[#This Row],[ProductID_Clean]],Product[],1,FALSE),"Invalid ID")</f>
        <v>P-SI-006</v>
      </c>
      <c r="L607" t="str">
        <f>TRIM(SUBSTITUTE(SUBSTITUTE(SUBSTITUTE(SUBSTITUTE(UPPER(Transaction[[#This Row],[Region]]),"EMEA REGION","EMEA"),"APAC REGION","APAC"),"NORTH AMERICA","N. AMERICA"),"N .AMERICA","N.AMERICA"))</f>
        <v>APAC</v>
      </c>
      <c r="M607" t="s">
        <v>30</v>
      </c>
      <c r="N607" t="s">
        <v>53</v>
      </c>
      <c r="O60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07" t="s">
        <v>181</v>
      </c>
      <c r="Q607" t="str">
        <f>IF(TRIM(Transaction[[#This Row],[SalesChannel]])="","Missing Value",TRIM(Transaction[[#This Row],[SalesChannel]]))</f>
        <v>Partner Portal</v>
      </c>
      <c r="R607" s="4">
        <v>12</v>
      </c>
      <c r="S607" s="4" t="str">
        <f>IF(Transaction[[#This Row],[Quantity]]&lt;0,"Negative-review","Valid")</f>
        <v>Valid</v>
      </c>
      <c r="T607">
        <v>168.58</v>
      </c>
      <c r="U60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168.58</v>
      </c>
      <c r="V607">
        <v>215</v>
      </c>
      <c r="W607" t="s">
        <v>2396</v>
      </c>
      <c r="X60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2580</v>
      </c>
      <c r="Y607">
        <f>IF(Transaction[[#This Row],[GrossRevenue_Check]]="Invalid",Transaction[[#This Row],[ListPrice]]*Transaction[[#This Row],[Quantity]],Transaction[[#This Row],[GrossRevenue_Clean]])</f>
        <v>2580</v>
      </c>
      <c r="Z607" t="str">
        <f>IF(Transaction[[#This Row],[GrossRevenue_Clean]]=Transaction[[#This Row],[ListPrice]]*Transaction[[#This Row],[Quantity]],"Valid","Invalid")</f>
        <v>Valid</v>
      </c>
      <c r="AA607">
        <v>557.04</v>
      </c>
      <c r="AB60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557.04</v>
      </c>
      <c r="AC607">
        <f>IF(Transaction[[#This Row],[DiscountAmount_Check2]]="Invalid",Transaction[[#This Row],[GrossRevenue_Analytical]]-Transaction[[#This Row],[NetRevenue_Analytical]],Transaction[[#This Row],[DiscountAmount_Clean]])</f>
        <v>557.04</v>
      </c>
      <c r="AD607">
        <v>2022.96</v>
      </c>
      <c r="AE607" t="str">
        <f>IF(ROUND(Transaction[[#This Row],[GrossRevenue_Analytical]]-Transaction[[#This Row],[NetRevenue_Analytical]],2)=ROUND(Transaction[[#This Row],[DiscountAmount_Clean]],2),"Valid","Invalid")</f>
        <v>Valid</v>
      </c>
      <c r="AF607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2022.96</v>
      </c>
      <c r="AG607">
        <f>IF(Transaction[[#This Row],[NetRevenue_Check]]="Invalid",(Transaction[[#This Row],[Quantity]]*Transaction[[#This Row],[UnitPrice_Clean]]),Transaction[[#This Row],[NetRevenue_Clean]])</f>
        <v>2022.96</v>
      </c>
      <c r="AH607" t="str">
        <f>IF(Transaction[[#This Row],[Quantity]]*Transaction[[#This Row],[UnitPrice_Clean]]=Transaction[[#This Row],[NetRevenue_Clean]],"Valid","Invalid")</f>
        <v>Valid</v>
      </c>
      <c r="AI607" t="s">
        <v>23</v>
      </c>
      <c r="AJ607" t="s">
        <v>2397</v>
      </c>
      <c r="AK607" t="str">
        <f>IF(Transaction[[#This Row],[Salesperson]]="","Missing Value",TRIM(PROPER(Transaction[[#This Row],[Salesperson]])))</f>
        <v>Long</v>
      </c>
      <c r="AL607" t="s">
        <v>42</v>
      </c>
      <c r="AM607" t="str">
        <f>IF(Transaction[[#This Row],[ContractType]]="","Missing Value",Transaction[[#This Row],[ContractType]])</f>
        <v>Standard PO</v>
      </c>
      <c r="AN607" t="s">
        <v>65</v>
      </c>
    </row>
    <row r="608" spans="1:40" x14ac:dyDescent="0.25">
      <c r="A608" t="s">
        <v>2157</v>
      </c>
      <c r="B608" t="s">
        <v>2158</v>
      </c>
      <c r="C60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60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60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08" s="2">
        <f>IFERROR(DATE(Transaction[[#This Row],[TransactionDateY]],Transaction[[#This Row],[TransactionDateM]],Transaction[[#This Row],[TransactionDateD]]),"Missing Value")</f>
        <v>45731</v>
      </c>
      <c r="G608" t="s">
        <v>2159</v>
      </c>
      <c r="H608" t="str">
        <f>IFERROR(VLOOKUP(Transaction[[#This Row],[CustomerID]],Custumer[],1,0),IF(LEN(Transaction[[#This Row],[CustomerID]])=7,LEFT(Transaction[[#This Row],[CustomerID]],6),"Invalid ID"))</f>
        <v>C-1079</v>
      </c>
      <c r="I608" t="s">
        <v>117</v>
      </c>
      <c r="J608" t="str">
        <f>TRIM(UPPER(Transaction[[#This Row],[ProductID]]))</f>
        <v>P-SI-007</v>
      </c>
      <c r="K608" t="str">
        <f>IFERROR(VLOOKUP(Transaction[[#This Row],[ProductID_Clean]],Product[],1,FALSE),"Invalid ID")</f>
        <v>P-SI-007</v>
      </c>
      <c r="L608" t="str">
        <f>TRIM(SUBSTITUTE(SUBSTITUTE(SUBSTITUTE(SUBSTITUTE(UPPER(Transaction[[#This Row],[Region]]),"EMEA REGION","EMEA"),"APAC REGION","APAC"),"NORTH AMERICA","N. AMERICA"),"N .AMERICA","N.AMERICA"))</f>
        <v>N. AMERICA</v>
      </c>
      <c r="M608" t="s">
        <v>20</v>
      </c>
      <c r="N608" t="s">
        <v>47</v>
      </c>
      <c r="O60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08" t="s">
        <v>854</v>
      </c>
      <c r="Q608" t="str">
        <f>IF(TRIM(Transaction[[#This Row],[SalesChannel]])="","Missing Value",TRIM(Transaction[[#This Row],[SalesChannel]]))</f>
        <v>direct</v>
      </c>
      <c r="R608" s="4">
        <v>5</v>
      </c>
      <c r="S608" s="4" t="str">
        <f>IF(Transaction[[#This Row],[Quantity]]&lt;0,"Negative-review","Valid")</f>
        <v>Valid</v>
      </c>
      <c r="T608">
        <v>945.32</v>
      </c>
      <c r="U60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945.32</v>
      </c>
      <c r="V608">
        <v>980</v>
      </c>
      <c r="W608">
        <v>4900</v>
      </c>
      <c r="X60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</v>
      </c>
      <c r="Y608">
        <f>IF(Transaction[[#This Row],[GrossRevenue_Check]]="Invalid",Transaction[[#This Row],[ListPrice]]*Transaction[[#This Row],[Quantity]],Transaction[[#This Row],[GrossRevenue_Clean]])</f>
        <v>4900</v>
      </c>
      <c r="Z608" t="str">
        <f>IF(Transaction[[#This Row],[GrossRevenue_Clean]]=Transaction[[#This Row],[ListPrice]]*Transaction[[#This Row],[Quantity]],"Valid","Invalid")</f>
        <v>Valid</v>
      </c>
      <c r="AA608">
        <v>173.4</v>
      </c>
      <c r="AB60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173.4</v>
      </c>
      <c r="AC608">
        <f>IF(Transaction[[#This Row],[DiscountAmount_Check2]]="Invalid",Transaction[[#This Row],[GrossRevenue_Analytical]]-Transaction[[#This Row],[NetRevenue_Analytical]],Transaction[[#This Row],[DiscountAmount_Clean]])</f>
        <v>173.4</v>
      </c>
      <c r="AD608">
        <v>4726.6000000000004</v>
      </c>
      <c r="AE608" t="str">
        <f>IF(ROUND(Transaction[[#This Row],[GrossRevenue_Analytical]]-Transaction[[#This Row],[NetRevenue_Analytical]],2)=ROUND(Transaction[[#This Row],[DiscountAmount_Clean]],2),"Valid","Invalid")</f>
        <v>Valid</v>
      </c>
      <c r="AF608">
        <f>VALUE(IF(ISNUMBER(Transaction[[#This Row],[NetRevenue]]),Transaction[[#This Row],[NetRevenue]],IFERROR(IF(FIND("$",Transaction[[#This Row],[NetRevenue]])&gt;0,MID(Transaction[[#This Row],[NetRevenue]],2,10)),Transaction[[#This Row],[NetRevenue]])))</f>
        <v>4726.6000000000004</v>
      </c>
      <c r="AG608">
        <f>IF(Transaction[[#This Row],[NetRevenue_Check]]="Invalid",(Transaction[[#This Row],[Quantity]]*Transaction[[#This Row],[UnitPrice_Clean]]),Transaction[[#This Row],[NetRevenue_Clean]])</f>
        <v>4726.6000000000004</v>
      </c>
      <c r="AH608" t="str">
        <f>IF(Transaction[[#This Row],[Quantity]]*Transaction[[#This Row],[UnitPrice_Clean]]=Transaction[[#This Row],[NetRevenue_Clean]],"Valid","Invalid")</f>
        <v>Valid</v>
      </c>
      <c r="AI608" t="s">
        <v>23</v>
      </c>
      <c r="AJ608" t="s">
        <v>2160</v>
      </c>
      <c r="AK608" t="str">
        <f>IF(Transaction[[#This Row],[Salesperson]]="","Missing Value",TRIM(PROPER(Transaction[[#This Row],[Salesperson]])))</f>
        <v>Jensen</v>
      </c>
      <c r="AL608" t="s">
        <v>42</v>
      </c>
      <c r="AM608" t="str">
        <f>IF(Transaction[[#This Row],[ContractType]]="","Missing Value",Transaction[[#This Row],[ContractType]])</f>
        <v>Standard PO</v>
      </c>
      <c r="AN608" t="s">
        <v>65</v>
      </c>
    </row>
    <row r="609" spans="1:40" x14ac:dyDescent="0.25">
      <c r="A609" t="s">
        <v>1489</v>
      </c>
      <c r="B609" s="1">
        <v>45735</v>
      </c>
      <c r="C60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60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60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09" s="2">
        <f>IFERROR(DATE(Transaction[[#This Row],[TransactionDateY]],Transaction[[#This Row],[TransactionDateM]],Transaction[[#This Row],[TransactionDateD]]),"Missing Value")</f>
        <v>45735</v>
      </c>
      <c r="G609" t="s">
        <v>329</v>
      </c>
      <c r="H609" t="str">
        <f>IFERROR(VLOOKUP(Transaction[[#This Row],[CustomerID]],Custumer[],1,0),IF(LEN(Transaction[[#This Row],[CustomerID]])=7,LEFT(Transaction[[#This Row],[CustomerID]],6),"Invalid ID"))</f>
        <v>C-1145</v>
      </c>
      <c r="I609" t="s">
        <v>58</v>
      </c>
      <c r="J609" t="str">
        <f>TRIM(UPPER(Transaction[[#This Row],[ProductID]]))</f>
        <v>P-SI-005</v>
      </c>
      <c r="K609" t="str">
        <f>IFERROR(VLOOKUP(Transaction[[#This Row],[ProductID_Clean]],Product[],1,FALSE),"Invalid ID")</f>
        <v>P-SI-005</v>
      </c>
      <c r="L609" t="str">
        <f>TRIM(SUBSTITUTE(SUBSTITUTE(SUBSTITUTE(SUBSTITUTE(UPPER(Transaction[[#This Row],[Region]]),"EMEA REGION","EMEA"),"APAC REGION","APAC"),"NORTH AMERICA","N. AMERICA"),"N .AMERICA","N.AMERICA"))</f>
        <v>N. AMERICA</v>
      </c>
      <c r="M609" t="s">
        <v>20</v>
      </c>
      <c r="N609" t="s">
        <v>53</v>
      </c>
      <c r="O60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09" t="s">
        <v>22</v>
      </c>
      <c r="Q609" t="str">
        <f>IF(TRIM(Transaction[[#This Row],[SalesChannel]])="","Missing Value",TRIM(Transaction[[#This Row],[SalesChannel]]))</f>
        <v>Direct</v>
      </c>
      <c r="R609" s="4">
        <v>3</v>
      </c>
      <c r="S609" s="4" t="str">
        <f>IF(Transaction[[#This Row],[Quantity]]&lt;0,"Negative-review","Valid")</f>
        <v>Valid</v>
      </c>
      <c r="T609">
        <v>917</v>
      </c>
      <c r="U60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917</v>
      </c>
      <c r="V609">
        <v>1120</v>
      </c>
      <c r="W609">
        <v>3360</v>
      </c>
      <c r="X60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3360</v>
      </c>
      <c r="Y609">
        <f>IF(Transaction[[#This Row],[GrossRevenue_Check]]="Invalid",Transaction[[#This Row],[ListPrice]]*Transaction[[#This Row],[Quantity]],Transaction[[#This Row],[GrossRevenue_Clean]])</f>
        <v>3360</v>
      </c>
      <c r="Z609" t="str">
        <f>IF(Transaction[[#This Row],[GrossRevenue_Clean]]=Transaction[[#This Row],[ListPrice]]*Transaction[[#This Row],[Quantity]],"Valid","Invalid")</f>
        <v>Valid</v>
      </c>
      <c r="AA609">
        <v>609</v>
      </c>
      <c r="AB60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609</v>
      </c>
      <c r="AC609">
        <f>IF(Transaction[[#This Row],[DiscountAmount_Check2]]="Invalid",Transaction[[#This Row],[GrossRevenue_Analytical]]-Transaction[[#This Row],[NetRevenue_Analytical]],Transaction[[#This Row],[DiscountAmount_Clean]])</f>
        <v>609</v>
      </c>
      <c r="AD609">
        <v>2751</v>
      </c>
      <c r="AE609" t="str">
        <f>IF(ROUND(Transaction[[#This Row],[GrossRevenue_Analytical]]-Transaction[[#This Row],[NetRevenue_Analytical]],2)=ROUND(Transaction[[#This Row],[DiscountAmount_Clean]],2),"Valid","Invalid")</f>
        <v>Valid</v>
      </c>
      <c r="AF60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2751</v>
      </c>
      <c r="AG609">
        <f>IF(Transaction[[#This Row],[NetRevenue_Check]]="Invalid",(Transaction[[#This Row],[Quantity]]*Transaction[[#This Row],[UnitPrice_Clean]]),Transaction[[#This Row],[NetRevenue_Clean]])</f>
        <v>2751</v>
      </c>
      <c r="AH609" t="str">
        <f>IF(Transaction[[#This Row],[Quantity]]*Transaction[[#This Row],[UnitPrice_Clean]]=Transaction[[#This Row],[NetRevenue_Clean]],"Valid","Invalid")</f>
        <v>Valid</v>
      </c>
      <c r="AI609" t="s">
        <v>23</v>
      </c>
      <c r="AJ609" t="s">
        <v>1490</v>
      </c>
      <c r="AK609" t="str">
        <f>IF(Transaction[[#This Row],[Salesperson]]="","Missing Value",TRIM(PROPER(Transaction[[#This Row],[Salesperson]])))</f>
        <v>Kirby</v>
      </c>
      <c r="AL609" t="s">
        <v>55</v>
      </c>
      <c r="AM609" t="str">
        <f>IF(Transaction[[#This Row],[ContractType]]="","Missing Value",Transaction[[#This Row],[ContractType]])</f>
        <v>Spot</v>
      </c>
      <c r="AN609" t="s">
        <v>65</v>
      </c>
    </row>
    <row r="610" spans="1:40" x14ac:dyDescent="0.25">
      <c r="A610" t="s">
        <v>2581</v>
      </c>
      <c r="B610" s="1">
        <v>45670</v>
      </c>
      <c r="C61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61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61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10" s="2">
        <f>IFERROR(DATE(Transaction[[#This Row],[TransactionDateY]],Transaction[[#This Row],[TransactionDateM]],Transaction[[#This Row],[TransactionDateD]]),"Missing Value")</f>
        <v>45670</v>
      </c>
      <c r="G610" t="s">
        <v>484</v>
      </c>
      <c r="H610" t="str">
        <f>IFERROR(VLOOKUP(Transaction[[#This Row],[CustomerID]],Custumer[],1,0),IF(LEN(Transaction[[#This Row],[CustomerID]])=7,LEFT(Transaction[[#This Row],[CustomerID]],6),"Invalid ID"))</f>
        <v>C-1104</v>
      </c>
      <c r="I610" t="s">
        <v>29</v>
      </c>
      <c r="J610" t="str">
        <f>TRIM(UPPER(Transaction[[#This Row],[ProductID]]))</f>
        <v>P-SA-001</v>
      </c>
      <c r="K610" t="str">
        <f>IFERROR(VLOOKUP(Transaction[[#This Row],[ProductID_Clean]],Product[],1,FALSE),"Invalid ID")</f>
        <v>P-SA-001</v>
      </c>
      <c r="L610" t="str">
        <f>TRIM(SUBSTITUTE(SUBSTITUTE(SUBSTITUTE(SUBSTITUTE(UPPER(Transaction[[#This Row],[Region]]),"EMEA REGION","EMEA"),"APAC REGION","APAC"),"NORTH AMERICA","N. AMERICA"),"N .AMERICA","N.AMERICA"))</f>
        <v>N. AMERICA</v>
      </c>
      <c r="M610" t="s">
        <v>20</v>
      </c>
      <c r="N610" t="s">
        <v>31</v>
      </c>
      <c r="O610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610" t="s">
        <v>22</v>
      </c>
      <c r="Q610" t="str">
        <f>IF(TRIM(Transaction[[#This Row],[SalesChannel]])="","Missing Value",TRIM(Transaction[[#This Row],[SalesChannel]]))</f>
        <v>Direct</v>
      </c>
      <c r="R610" s="4">
        <v>1</v>
      </c>
      <c r="S610" s="4" t="str">
        <f>IF(Transaction[[#This Row],[Quantity]]&lt;0,"Negative-review","Valid")</f>
        <v>Valid</v>
      </c>
      <c r="T610">
        <v>3999.62</v>
      </c>
      <c r="U61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3999.62</v>
      </c>
      <c r="V610">
        <v>4200</v>
      </c>
      <c r="W610">
        <v>4200</v>
      </c>
      <c r="X61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610">
        <f>IF(Transaction[[#This Row],[GrossRevenue_Check]]="Invalid",Transaction[[#This Row],[ListPrice]]*Transaction[[#This Row],[Quantity]],Transaction[[#This Row],[GrossRevenue_Clean]])</f>
        <v>4200</v>
      </c>
      <c r="Z610" t="str">
        <f>IF(Transaction[[#This Row],[GrossRevenue_Clean]]=Transaction[[#This Row],[ListPrice]]*Transaction[[#This Row],[Quantity]],"Valid","Invalid")</f>
        <v>Valid</v>
      </c>
      <c r="AA610">
        <v>200.38</v>
      </c>
      <c r="AB61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200.38</v>
      </c>
      <c r="AC610">
        <f>IF(Transaction[[#This Row],[DiscountAmount_Check2]]="Invalid",Transaction[[#This Row],[GrossRevenue_Analytical]]-Transaction[[#This Row],[NetRevenue_Analytical]],Transaction[[#This Row],[DiscountAmount_Clean]])</f>
        <v>200.38</v>
      </c>
      <c r="AD610">
        <v>3999.62</v>
      </c>
      <c r="AE610" t="str">
        <f>IF(ROUND(Transaction[[#This Row],[GrossRevenue_Analytical]]-Transaction[[#This Row],[NetRevenue_Analytical]],2)=ROUND(Transaction[[#This Row],[DiscountAmount_Clean]],2),"Valid","Invalid")</f>
        <v>Valid</v>
      </c>
      <c r="AF610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3999.62</v>
      </c>
      <c r="AG610">
        <f>IF(Transaction[[#This Row],[NetRevenue_Check]]="Invalid",(Transaction[[#This Row],[Quantity]]*Transaction[[#This Row],[UnitPrice_Clean]]),Transaction[[#This Row],[NetRevenue_Clean]])</f>
        <v>3999.62</v>
      </c>
      <c r="AH610" t="str">
        <f>IF(Transaction[[#This Row],[Quantity]]*Transaction[[#This Row],[UnitPrice_Clean]]=Transaction[[#This Row],[NetRevenue_Clean]],"Valid","Invalid")</f>
        <v>Valid</v>
      </c>
      <c r="AI610" t="s">
        <v>23</v>
      </c>
      <c r="AJ610" t="s">
        <v>1450</v>
      </c>
      <c r="AK610" t="str">
        <f>IF(Transaction[[#This Row],[Salesperson]]="","Missing Value",TRIM(PROPER(Transaction[[#This Row],[Salesperson]])))</f>
        <v>Wheeler</v>
      </c>
      <c r="AL610" t="s">
        <v>34</v>
      </c>
      <c r="AM610" t="str">
        <f>IF(Transaction[[#This Row],[ContractType]]="","Missing Value",Transaction[[#This Row],[ContractType]])</f>
        <v>Annual License</v>
      </c>
      <c r="AN610" t="s">
        <v>49</v>
      </c>
    </row>
    <row r="611" spans="1:40" x14ac:dyDescent="0.25">
      <c r="A611" t="s">
        <v>2242</v>
      </c>
      <c r="B611" t="s">
        <v>2243</v>
      </c>
      <c r="C61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61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61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11" s="2">
        <f>IFERROR(DATE(Transaction[[#This Row],[TransactionDateY]],Transaction[[#This Row],[TransactionDateM]],Transaction[[#This Row],[TransactionDateD]]),"Missing Value")</f>
        <v>45765</v>
      </c>
      <c r="G611" t="s">
        <v>333</v>
      </c>
      <c r="H611" t="str">
        <f>IFERROR(VLOOKUP(Transaction[[#This Row],[CustomerID]],Custumer[],1,0),IF(LEN(Transaction[[#This Row],[CustomerID]])=7,LEFT(Transaction[[#This Row],[CustomerID]],6),"Invalid ID"))</f>
        <v>C-1033</v>
      </c>
      <c r="I611" t="s">
        <v>103</v>
      </c>
      <c r="J611" t="str">
        <f>TRIM(UPPER(Transaction[[#This Row],[ProductID]]))</f>
        <v>P-FS-005</v>
      </c>
      <c r="K611" t="str">
        <f>IFERROR(VLOOKUP(Transaction[[#This Row],[ProductID_Clean]],Product[],1,FALSE),"Invalid ID")</f>
        <v>P-FS-005</v>
      </c>
      <c r="L611" t="str">
        <f>TRIM(SUBSTITUTE(SUBSTITUTE(SUBSTITUTE(SUBSTITUTE(UPPER(Transaction[[#This Row],[Region]]),"EMEA REGION","EMEA"),"APAC REGION","APAC"),"NORTH AMERICA","N. AMERICA"),"N .AMERICA","N.AMERICA"))</f>
        <v>EMEA</v>
      </c>
      <c r="M611" t="s">
        <v>76</v>
      </c>
      <c r="N611" t="s">
        <v>21</v>
      </c>
      <c r="O611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611" t="s">
        <v>32</v>
      </c>
      <c r="Q611" t="str">
        <f>IF(TRIM(Transaction[[#This Row],[SalesChannel]])="","Missing Value",TRIM(Transaction[[#This Row],[SalesChannel]]))</f>
        <v>Direct</v>
      </c>
      <c r="R611" s="4">
        <v>1</v>
      </c>
      <c r="S611" s="4" t="str">
        <f>IF(Transaction[[#This Row],[Quantity]]&lt;0,"Negative-review","Valid")</f>
        <v>Valid</v>
      </c>
      <c r="T611">
        <v>843.94</v>
      </c>
      <c r="U61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843.94</v>
      </c>
      <c r="V611">
        <v>950</v>
      </c>
      <c r="W611">
        <v>950</v>
      </c>
      <c r="X61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611">
        <f>IF(Transaction[[#This Row],[GrossRevenue_Check]]="Invalid",Transaction[[#This Row],[ListPrice]]*Transaction[[#This Row],[Quantity]],Transaction[[#This Row],[GrossRevenue_Clean]])</f>
        <v>950</v>
      </c>
      <c r="Z611" t="str">
        <f>IF(Transaction[[#This Row],[GrossRevenue_Clean]]=Transaction[[#This Row],[ListPrice]]*Transaction[[#This Row],[Quantity]],"Valid","Invalid")</f>
        <v>Valid</v>
      </c>
      <c r="AA611">
        <v>106.06</v>
      </c>
      <c r="AB61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106.06</v>
      </c>
      <c r="AC611">
        <f>IF(Transaction[[#This Row],[DiscountAmount_Check2]]="Invalid",Transaction[[#This Row],[GrossRevenue_Analytical]]-Transaction[[#This Row],[NetRevenue_Analytical]],Transaction[[#This Row],[DiscountAmount_Clean]])</f>
        <v>106.06</v>
      </c>
      <c r="AD611">
        <v>843.94</v>
      </c>
      <c r="AE611" t="str">
        <f>IF(ROUND(Transaction[[#This Row],[GrossRevenue_Analytical]]-Transaction[[#This Row],[NetRevenue_Analytical]],2)=ROUND(Transaction[[#This Row],[DiscountAmount_Clean]],2),"Valid","Invalid")</f>
        <v>Valid</v>
      </c>
      <c r="AF611">
        <f>VALUE(IF(ISNUMBER(Transaction[[#This Row],[NetRevenue]]),Transaction[[#This Row],[NetRevenue]],IFERROR(IF(FIND("$",Transaction[[#This Row],[NetRevenue]])&gt;0,MID(Transaction[[#This Row],[NetRevenue]],2,10)),Transaction[[#This Row],[NetRevenue]])))</f>
        <v>843.94</v>
      </c>
      <c r="AG611">
        <f>IF(Transaction[[#This Row],[NetRevenue_Check]]="Invalid",(Transaction[[#This Row],[Quantity]]*Transaction[[#This Row],[UnitPrice_Clean]]),Transaction[[#This Row],[NetRevenue_Clean]])</f>
        <v>843.94</v>
      </c>
      <c r="AH611" t="str">
        <f>IF(Transaction[[#This Row],[Quantity]]*Transaction[[#This Row],[UnitPrice_Clean]]=Transaction[[#This Row],[NetRevenue_Clean]],"Valid","Invalid")</f>
        <v>Valid</v>
      </c>
      <c r="AI611" t="s">
        <v>23</v>
      </c>
      <c r="AJ611" t="s">
        <v>2244</v>
      </c>
      <c r="AK611" t="str">
        <f>IF(Transaction[[#This Row],[Salesperson]]="","Missing Value",TRIM(PROPER(Transaction[[#This Row],[Salesperson]])))</f>
        <v>Romero-Ap</v>
      </c>
      <c r="AL611" t="s">
        <v>42</v>
      </c>
      <c r="AM611" t="str">
        <f>IF(Transaction[[#This Row],[ContractType]]="","Missing Value",Transaction[[#This Row],[ContractType]])</f>
        <v>Standard PO</v>
      </c>
      <c r="AN611" t="s">
        <v>43</v>
      </c>
    </row>
    <row r="612" spans="1:40" x14ac:dyDescent="0.25">
      <c r="A612" t="s">
        <v>2744</v>
      </c>
      <c r="B612" t="s">
        <v>2745</v>
      </c>
      <c r="C61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61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09</v>
      </c>
      <c r="E61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12" s="2">
        <f>IFERROR(DATE(Transaction[[#This Row],[TransactionDateY]],Transaction[[#This Row],[TransactionDateM]],Transaction[[#This Row],[TransactionDateD]]),"Missing Value")</f>
        <v>45817</v>
      </c>
      <c r="G612" t="s">
        <v>247</v>
      </c>
      <c r="H612" t="str">
        <f>IFERROR(VLOOKUP(Transaction[[#This Row],[CustomerID]],Custumer[],1,0),IF(LEN(Transaction[[#This Row],[CustomerID]])=7,LEFT(Transaction[[#This Row],[CustomerID]],6),"Invalid ID"))</f>
        <v>C-1045</v>
      </c>
      <c r="I612" t="s">
        <v>258</v>
      </c>
      <c r="J612" t="str">
        <f>TRIM(UPPER(Transaction[[#This Row],[ProductID]]))</f>
        <v>P-SA-003</v>
      </c>
      <c r="K612" t="str">
        <f>IFERROR(VLOOKUP(Transaction[[#This Row],[ProductID_Clean]],Product[],1,FALSE),"Invalid ID")</f>
        <v>P-SA-003</v>
      </c>
      <c r="L612" t="str">
        <f>TRIM(SUBSTITUTE(SUBSTITUTE(SUBSTITUTE(SUBSTITUTE(UPPER(Transaction[[#This Row],[Region]]),"EMEA REGION","EMEA"),"APAC REGION","APAC"),"NORTH AMERICA","N. AMERICA"),"N .AMERICA","N.AMERICA"))</f>
        <v>EMEA</v>
      </c>
      <c r="M612" t="s">
        <v>76</v>
      </c>
      <c r="N612" t="s">
        <v>572</v>
      </c>
      <c r="O61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612" t="s">
        <v>22</v>
      </c>
      <c r="Q612" t="str">
        <f>IF(TRIM(Transaction[[#This Row],[SalesChannel]])="","Missing Value",TRIM(Transaction[[#This Row],[SalesChannel]]))</f>
        <v>Direct</v>
      </c>
      <c r="R612" s="4">
        <v>1</v>
      </c>
      <c r="S612" s="4" t="str">
        <f>IF(Transaction[[#This Row],[Quantity]]&lt;0,"Negative-review","Valid")</f>
        <v>Valid</v>
      </c>
      <c r="T612">
        <v>2435.87</v>
      </c>
      <c r="U61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2435.87</v>
      </c>
      <c r="V612">
        <v>2750</v>
      </c>
      <c r="W612">
        <v>2750</v>
      </c>
      <c r="X61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612">
        <f>IF(Transaction[[#This Row],[GrossRevenue_Check]]="Invalid",Transaction[[#This Row],[ListPrice]]*Transaction[[#This Row],[Quantity]],Transaction[[#This Row],[GrossRevenue_Clean]])</f>
        <v>2750</v>
      </c>
      <c r="Z612" t="str">
        <f>IF(Transaction[[#This Row],[GrossRevenue_Clean]]=Transaction[[#This Row],[ListPrice]]*Transaction[[#This Row],[Quantity]],"Valid","Invalid")</f>
        <v>Valid</v>
      </c>
      <c r="AA612" t="s">
        <v>2746</v>
      </c>
      <c r="AB61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314.13</v>
      </c>
      <c r="AC612">
        <f>IF(Transaction[[#This Row],[DiscountAmount_Check2]]="Invalid",Transaction[[#This Row],[GrossRevenue_Analytical]]-Transaction[[#This Row],[NetRevenue_Analytical]],Transaction[[#This Row],[DiscountAmount_Clean]])</f>
        <v>314.13</v>
      </c>
      <c r="AD612">
        <v>2435.87</v>
      </c>
      <c r="AE612" t="str">
        <f>IF(ROUND(Transaction[[#This Row],[GrossRevenue_Analytical]]-Transaction[[#This Row],[NetRevenue_Analytical]],2)=ROUND(Transaction[[#This Row],[DiscountAmount_Clean]],2),"Valid","Invalid")</f>
        <v>Valid</v>
      </c>
      <c r="AF61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2435.87</v>
      </c>
      <c r="AG612">
        <f>IF(Transaction[[#This Row],[NetRevenue_Check]]="Invalid",(Transaction[[#This Row],[Quantity]]*Transaction[[#This Row],[UnitPrice_Clean]]),Transaction[[#This Row],[NetRevenue_Clean]])</f>
        <v>2435.87</v>
      </c>
      <c r="AH612" t="str">
        <f>IF(Transaction[[#This Row],[Quantity]]*Transaction[[#This Row],[UnitPrice_Clean]]=Transaction[[#This Row],[NetRevenue_Clean]],"Valid","Invalid")</f>
        <v>Valid</v>
      </c>
      <c r="AI612" t="s">
        <v>23</v>
      </c>
      <c r="AK612" t="str">
        <f>IF(Transaction[[#This Row],[Salesperson]]="","Missing Value",TRIM(PROPER(Transaction[[#This Row],[Salesperson]])))</f>
        <v>Missing Value</v>
      </c>
      <c r="AL612" t="s">
        <v>34</v>
      </c>
      <c r="AM612" t="str">
        <f>IF(Transaction[[#This Row],[ContractType]]="","Missing Value",Transaction[[#This Row],[ContractType]])</f>
        <v>Annual License</v>
      </c>
      <c r="AN612" t="s">
        <v>35</v>
      </c>
    </row>
    <row r="613" spans="1:40" x14ac:dyDescent="0.25">
      <c r="A613" t="s">
        <v>1704</v>
      </c>
      <c r="C61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61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61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613" s="2" t="str">
        <f>IFERROR(DATE(Transaction[[#This Row],[TransactionDateY]],Transaction[[#This Row],[TransactionDateM]],Transaction[[#This Row],[TransactionDateD]]),"Missing Value")</f>
        <v>Missing Value</v>
      </c>
      <c r="G613" t="s">
        <v>795</v>
      </c>
      <c r="H613" t="str">
        <f>IFERROR(VLOOKUP(Transaction[[#This Row],[CustomerID]],Custumer[],1,0),IF(LEN(Transaction[[#This Row],[CustomerID]])=7,LEFT(Transaction[[#This Row],[CustomerID]],6),"Invalid ID"))</f>
        <v>C-1118</v>
      </c>
      <c r="I613" t="s">
        <v>75</v>
      </c>
      <c r="J613" t="str">
        <f>TRIM(UPPER(Transaction[[#This Row],[ProductID]]))</f>
        <v>P-SA-005</v>
      </c>
      <c r="K613" t="str">
        <f>IFERROR(VLOOKUP(Transaction[[#This Row],[ProductID_Clean]],Product[],1,FALSE),"Invalid ID")</f>
        <v>P-SA-005</v>
      </c>
      <c r="L613" t="str">
        <f>TRIM(SUBSTITUTE(SUBSTITUTE(SUBSTITUTE(SUBSTITUTE(UPPER(Transaction[[#This Row],[Region]]),"EMEA REGION","EMEA"),"APAC REGION","APAC"),"NORTH AMERICA","N. AMERICA"),"N .AMERICA","N.AMERICA"))</f>
        <v>N. AMERICA</v>
      </c>
      <c r="M613" t="s">
        <v>20</v>
      </c>
      <c r="N613" t="s">
        <v>31</v>
      </c>
      <c r="O61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613" t="s">
        <v>93</v>
      </c>
      <c r="Q613" t="str">
        <f>IF(TRIM(Transaction[[#This Row],[SalesChannel]])="","Missing Value",TRIM(Transaction[[#This Row],[SalesChannel]]))</f>
        <v>direct</v>
      </c>
      <c r="R613" s="4">
        <v>1</v>
      </c>
      <c r="S613" s="4" t="str">
        <f>IF(Transaction[[#This Row],[Quantity]]&lt;0,"Negative-review","Valid")</f>
        <v>Valid</v>
      </c>
      <c r="T613" t="s">
        <v>1705</v>
      </c>
      <c r="U61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3074.53</v>
      </c>
      <c r="V613">
        <v>3200</v>
      </c>
      <c r="W613">
        <v>3200</v>
      </c>
      <c r="X61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613">
        <f>IF(Transaction[[#This Row],[GrossRevenue_Check]]="Invalid",Transaction[[#This Row],[ListPrice]]*Transaction[[#This Row],[Quantity]],Transaction[[#This Row],[GrossRevenue_Clean]])</f>
        <v>3200</v>
      </c>
      <c r="Z613" t="str">
        <f>IF(Transaction[[#This Row],[GrossRevenue_Clean]]=Transaction[[#This Row],[ListPrice]]*Transaction[[#This Row],[Quantity]],"Valid","Invalid")</f>
        <v>Valid</v>
      </c>
      <c r="AA613">
        <v>125.47</v>
      </c>
      <c r="AB61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125.47</v>
      </c>
      <c r="AC613">
        <f>IF(Transaction[[#This Row],[DiscountAmount_Check2]]="Invalid",Transaction[[#This Row],[GrossRevenue_Analytical]]-Transaction[[#This Row],[NetRevenue_Analytical]],Transaction[[#This Row],[DiscountAmount_Clean]])</f>
        <v>125.47</v>
      </c>
      <c r="AD613">
        <v>3074.53</v>
      </c>
      <c r="AE613" t="str">
        <f>IF(ROUND(Transaction[[#This Row],[GrossRevenue_Analytical]]-Transaction[[#This Row],[NetRevenue_Analytical]],2)=ROUND(Transaction[[#This Row],[DiscountAmount_Clean]],2),"Valid","Invalid")</f>
        <v>Valid</v>
      </c>
      <c r="AF61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3074.53</v>
      </c>
      <c r="AG613">
        <f>IF(Transaction[[#This Row],[NetRevenue_Check]]="Invalid",(Transaction[[#This Row],[Quantity]]*Transaction[[#This Row],[UnitPrice_Clean]]),Transaction[[#This Row],[NetRevenue_Clean]])</f>
        <v>3074.53</v>
      </c>
      <c r="AH613" t="str">
        <f>IF(Transaction[[#This Row],[Quantity]]*Transaction[[#This Row],[UnitPrice_Clean]]=Transaction[[#This Row],[NetRevenue_Clean]],"Valid","Invalid")</f>
        <v>Valid</v>
      </c>
      <c r="AI613" t="s">
        <v>23</v>
      </c>
      <c r="AJ613" t="s">
        <v>1706</v>
      </c>
      <c r="AK613" t="str">
        <f>IF(Transaction[[#This Row],[Salesperson]]="","Missing Value",TRIM(PROPER(Transaction[[#This Row],[Salesperson]])))</f>
        <v>Burns</v>
      </c>
      <c r="AL613" t="s">
        <v>210</v>
      </c>
      <c r="AM613" t="str">
        <f>IF(Transaction[[#This Row],[ContractType]]="","Missing Value",Transaction[[#This Row],[ContractType]])</f>
        <v>Perpetual</v>
      </c>
      <c r="AN613" t="s">
        <v>49</v>
      </c>
    </row>
    <row r="614" spans="1:40" x14ac:dyDescent="0.25">
      <c r="A614" t="s">
        <v>797</v>
      </c>
      <c r="B614" t="s">
        <v>798</v>
      </c>
      <c r="C61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61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08</v>
      </c>
      <c r="E61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14" s="2">
        <f>IFERROR(DATE(Transaction[[#This Row],[TransactionDateY]],Transaction[[#This Row],[TransactionDateM]],Transaction[[#This Row],[TransactionDateD]]),"Missing Value")</f>
        <v>45785</v>
      </c>
      <c r="G614" t="s">
        <v>799</v>
      </c>
      <c r="H614" t="str">
        <f>IFERROR(VLOOKUP(Transaction[[#This Row],[CustomerID]],Custumer[],1,0),IF(LEN(Transaction[[#This Row],[CustomerID]])=7,LEFT(Transaction[[#This Row],[CustomerID]],6),"Invalid ID"))</f>
        <v>C-1003</v>
      </c>
      <c r="I614" t="s">
        <v>117</v>
      </c>
      <c r="J614" t="str">
        <f>TRIM(UPPER(Transaction[[#This Row],[ProductID]]))</f>
        <v>P-SI-007</v>
      </c>
      <c r="K614" t="str">
        <f>IFERROR(VLOOKUP(Transaction[[#This Row],[ProductID_Clean]],Product[],1,FALSE),"Invalid ID")</f>
        <v>P-SI-007</v>
      </c>
      <c r="L614" t="str">
        <f>TRIM(SUBSTITUTE(SUBSTITUTE(SUBSTITUTE(SUBSTITUTE(UPPER(Transaction[[#This Row],[Region]]),"EMEA REGION","EMEA"),"APAC REGION","APAC"),"NORTH AMERICA","N. AMERICA"),"N .AMERICA","N.AMERICA"))</f>
        <v>LATIN AMERICA</v>
      </c>
      <c r="M614" t="s">
        <v>82</v>
      </c>
      <c r="N614" t="s">
        <v>53</v>
      </c>
      <c r="O61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14" t="s">
        <v>181</v>
      </c>
      <c r="Q614" t="str">
        <f>IF(TRIM(Transaction[[#This Row],[SalesChannel]])="","Missing Value",TRIM(Transaction[[#This Row],[SalesChannel]]))</f>
        <v>Partner Portal</v>
      </c>
      <c r="R614" s="4">
        <v>1</v>
      </c>
      <c r="S614" s="4" t="str">
        <f>IF(Transaction[[#This Row],[Quantity]]&lt;0,"Negative-review","Valid")</f>
        <v>Valid</v>
      </c>
      <c r="T614">
        <v>815.57</v>
      </c>
      <c r="U61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815.57</v>
      </c>
      <c r="V614">
        <v>980</v>
      </c>
      <c r="W614" t="s">
        <v>800</v>
      </c>
      <c r="X61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614">
        <f>IF(Transaction[[#This Row],[GrossRevenue_Check]]="Invalid",Transaction[[#This Row],[ListPrice]]*Transaction[[#This Row],[Quantity]],Transaction[[#This Row],[GrossRevenue_Clean]])</f>
        <v>980</v>
      </c>
      <c r="Z614" t="str">
        <f>IF(Transaction[[#This Row],[GrossRevenue_Clean]]=Transaction[[#This Row],[ListPrice]]*Transaction[[#This Row],[Quantity]],"Valid","Invalid")</f>
        <v>Valid</v>
      </c>
      <c r="AA614">
        <v>164.43</v>
      </c>
      <c r="AB61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164.43</v>
      </c>
      <c r="AC614">
        <f>IF(Transaction[[#This Row],[DiscountAmount_Check2]]="Invalid",Transaction[[#This Row],[GrossRevenue_Analytical]]-Transaction[[#This Row],[NetRevenue_Analytical]],Transaction[[#This Row],[DiscountAmount_Clean]])</f>
        <v>164.43</v>
      </c>
      <c r="AD614">
        <v>815.57</v>
      </c>
      <c r="AE614" t="str">
        <f>IF(ROUND(Transaction[[#This Row],[GrossRevenue_Analytical]]-Transaction[[#This Row],[NetRevenue_Analytical]],2)=ROUND(Transaction[[#This Row],[DiscountAmount_Clean]],2),"Valid","Invalid")</f>
        <v>Valid</v>
      </c>
      <c r="AF614">
        <f>VALUE(IF(ISNUMBER(Transaction[[#This Row],[NetRevenue]]),Transaction[[#This Row],[NetRevenue]],IFERROR(IF(FIND("$",Transaction[[#This Row],[NetRevenue]])&gt;0,MID(Transaction[[#This Row],[NetRevenue]],2,10)),Transaction[[#This Row],[NetRevenue]])))</f>
        <v>815.57</v>
      </c>
      <c r="AG614">
        <f>IF(Transaction[[#This Row],[NetRevenue_Check]]="Invalid",(Transaction[[#This Row],[Quantity]]*Transaction[[#This Row],[UnitPrice_Clean]]),Transaction[[#This Row],[NetRevenue_Clean]])</f>
        <v>815.57</v>
      </c>
      <c r="AH614" t="str">
        <f>IF(Transaction[[#This Row],[Quantity]]*Transaction[[#This Row],[UnitPrice_Clean]]=Transaction[[#This Row],[NetRevenue_Clean]],"Valid","Invalid")</f>
        <v>Valid</v>
      </c>
      <c r="AI614" t="s">
        <v>23</v>
      </c>
      <c r="AJ614" t="s">
        <v>801</v>
      </c>
      <c r="AK614" t="str">
        <f>IF(Transaction[[#This Row],[Salesperson]]="","Missing Value",TRIM(PROPER(Transaction[[#This Row],[Salesperson]])))</f>
        <v>Hart-Em</v>
      </c>
      <c r="AL614" t="s">
        <v>55</v>
      </c>
      <c r="AM614" t="str">
        <f>IF(Transaction[[#This Row],[ContractType]]="","Missing Value",Transaction[[#This Row],[ContractType]])</f>
        <v>Spot</v>
      </c>
      <c r="AN614" t="s">
        <v>49</v>
      </c>
    </row>
    <row r="615" spans="1:40" x14ac:dyDescent="0.25">
      <c r="A615" t="s">
        <v>2281</v>
      </c>
      <c r="B615" t="s">
        <v>2282</v>
      </c>
      <c r="C61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61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61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15" s="2">
        <f>IFERROR(DATE(Transaction[[#This Row],[TransactionDateY]],Transaction[[#This Row],[TransactionDateM]],Transaction[[#This Row],[TransactionDateD]]),"Missing Value")</f>
        <v>45795</v>
      </c>
      <c r="G615" t="s">
        <v>617</v>
      </c>
      <c r="H615" t="str">
        <f>IFERROR(VLOOKUP(Transaction[[#This Row],[CustomerID]],Custumer[],1,0),IF(LEN(Transaction[[#This Row],[CustomerID]])=7,LEFT(Transaction[[#This Row],[CustomerID]],6),"Invalid ID"))</f>
        <v>C-1011</v>
      </c>
      <c r="I615" t="s">
        <v>46</v>
      </c>
      <c r="J615" t="str">
        <f>TRIM(UPPER(Transaction[[#This Row],[ProductID]]))</f>
        <v>P-SI-006</v>
      </c>
      <c r="K615" t="str">
        <f>IFERROR(VLOOKUP(Transaction[[#This Row],[ProductID_Clean]],Product[],1,FALSE),"Invalid ID")</f>
        <v>P-SI-006</v>
      </c>
      <c r="L615" t="str">
        <f>TRIM(SUBSTITUTE(SUBSTITUTE(SUBSTITUTE(SUBSTITUTE(UPPER(Transaction[[#This Row],[Region]]),"EMEA REGION","EMEA"),"APAC REGION","APAC"),"NORTH AMERICA","N. AMERICA"),"N .AMERICA","N.AMERICA"))</f>
        <v>APAC</v>
      </c>
      <c r="M615" t="s">
        <v>30</v>
      </c>
      <c r="N615" t="s">
        <v>53</v>
      </c>
      <c r="O61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15" t="s">
        <v>22</v>
      </c>
      <c r="Q615" t="str">
        <f>IF(TRIM(Transaction[[#This Row],[SalesChannel]])="","Missing Value",TRIM(Transaction[[#This Row],[SalesChannel]]))</f>
        <v>Direct</v>
      </c>
      <c r="R615" s="4">
        <v>1</v>
      </c>
      <c r="S615" s="4" t="str">
        <f>IF(Transaction[[#This Row],[Quantity]]&lt;0,"Negative-review","Valid")</f>
        <v>Valid</v>
      </c>
      <c r="T615">
        <v>180.83</v>
      </c>
      <c r="U61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180.83</v>
      </c>
      <c r="V615">
        <v>215</v>
      </c>
      <c r="W615">
        <v>215</v>
      </c>
      <c r="X61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615">
        <f>IF(Transaction[[#This Row],[GrossRevenue_Check]]="Invalid",Transaction[[#This Row],[ListPrice]]*Transaction[[#This Row],[Quantity]],Transaction[[#This Row],[GrossRevenue_Clean]])</f>
        <v>215</v>
      </c>
      <c r="Z615" t="str">
        <f>IF(Transaction[[#This Row],[GrossRevenue_Clean]]=Transaction[[#This Row],[ListPrice]]*Transaction[[#This Row],[Quantity]],"Valid","Invalid")</f>
        <v>Valid</v>
      </c>
      <c r="AA615">
        <v>34.17</v>
      </c>
      <c r="AB61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34.17</v>
      </c>
      <c r="AC615">
        <f>IF(Transaction[[#This Row],[DiscountAmount_Check2]]="Invalid",Transaction[[#This Row],[GrossRevenue_Analytical]]-Transaction[[#This Row],[NetRevenue_Analytical]],Transaction[[#This Row],[DiscountAmount_Clean]])</f>
        <v>34.17</v>
      </c>
      <c r="AD615">
        <v>180.83</v>
      </c>
      <c r="AE615" t="str">
        <f>IF(ROUND(Transaction[[#This Row],[GrossRevenue_Analytical]]-Transaction[[#This Row],[NetRevenue_Analytical]],2)=ROUND(Transaction[[#This Row],[DiscountAmount_Clean]],2),"Valid","Invalid")</f>
        <v>Valid</v>
      </c>
      <c r="AF61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180.83</v>
      </c>
      <c r="AG615">
        <f>IF(Transaction[[#This Row],[NetRevenue_Check]]="Invalid",(Transaction[[#This Row],[Quantity]]*Transaction[[#This Row],[UnitPrice_Clean]]),Transaction[[#This Row],[NetRevenue_Clean]])</f>
        <v>180.83</v>
      </c>
      <c r="AH615" t="str">
        <f>IF(Transaction[[#This Row],[Quantity]]*Transaction[[#This Row],[UnitPrice_Clean]]=Transaction[[#This Row],[NetRevenue_Clean]],"Valid","Invalid")</f>
        <v>Valid</v>
      </c>
      <c r="AI615" t="s">
        <v>23</v>
      </c>
      <c r="AJ615" t="s">
        <v>2283</v>
      </c>
      <c r="AK615" t="str">
        <f>IF(Transaction[[#This Row],[Salesperson]]="","Missing Value",TRIM(PROPER(Transaction[[#This Row],[Salesperson]])))</f>
        <v>Wells</v>
      </c>
      <c r="AL615" t="s">
        <v>42</v>
      </c>
      <c r="AM615" t="str">
        <f>IF(Transaction[[#This Row],[ContractType]]="","Missing Value",Transaction[[#This Row],[ContractType]])</f>
        <v>Standard PO</v>
      </c>
      <c r="AN615" t="s">
        <v>65</v>
      </c>
    </row>
    <row r="616" spans="1:40" x14ac:dyDescent="0.25">
      <c r="A616" t="s">
        <v>2883</v>
      </c>
      <c r="B616" s="1">
        <v>45819</v>
      </c>
      <c r="C61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61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61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16" s="2">
        <f>IFERROR(DATE(Transaction[[#This Row],[TransactionDateY]],Transaction[[#This Row],[TransactionDateM]],Transaction[[#This Row],[TransactionDateD]]),"Missing Value")</f>
        <v>45819</v>
      </c>
      <c r="G616" t="s">
        <v>102</v>
      </c>
      <c r="H616" t="str">
        <f>IFERROR(VLOOKUP(Transaction[[#This Row],[CustomerID]],Custumer[],1,0),IF(LEN(Transaction[[#This Row],[CustomerID]])=7,LEFT(Transaction[[#This Row],[CustomerID]],6),"Invalid ID"))</f>
        <v>C-1120</v>
      </c>
      <c r="I616" t="s">
        <v>58</v>
      </c>
      <c r="J616" t="str">
        <f>TRIM(UPPER(Transaction[[#This Row],[ProductID]]))</f>
        <v>P-SI-005</v>
      </c>
      <c r="K616" t="str">
        <f>IFERROR(VLOOKUP(Transaction[[#This Row],[ProductID_Clean]],Product[],1,FALSE),"Invalid ID")</f>
        <v>P-SI-005</v>
      </c>
      <c r="L616" t="str">
        <f>TRIM(SUBSTITUTE(SUBSTITUTE(SUBSTITUTE(SUBSTITUTE(UPPER(Transaction[[#This Row],[Region]]),"EMEA REGION","EMEA"),"APAC REGION","APAC"),"NORTH AMERICA","N. AMERICA"),"N .AMERICA","N.AMERICA"))</f>
        <v>EMEA</v>
      </c>
      <c r="M616" t="s">
        <v>76</v>
      </c>
      <c r="N616" t="s">
        <v>53</v>
      </c>
      <c r="O61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16" t="s">
        <v>22</v>
      </c>
      <c r="Q616" t="str">
        <f>IF(TRIM(Transaction[[#This Row],[SalesChannel]])="","Missing Value",TRIM(Transaction[[#This Row],[SalesChannel]]))</f>
        <v>Direct</v>
      </c>
      <c r="R616" s="4">
        <v>10</v>
      </c>
      <c r="S616" s="4" t="str">
        <f>IF(Transaction[[#This Row],[Quantity]]&lt;0,"Negative-review","Valid")</f>
        <v>Valid</v>
      </c>
      <c r="T616">
        <v>944.11</v>
      </c>
      <c r="U61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944.11</v>
      </c>
      <c r="V616">
        <v>1120</v>
      </c>
      <c r="W616">
        <v>11200</v>
      </c>
      <c r="X61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11200</v>
      </c>
      <c r="Y616">
        <f>IF(Transaction[[#This Row],[GrossRevenue_Check]]="Invalid",Transaction[[#This Row],[ListPrice]]*Transaction[[#This Row],[Quantity]],Transaction[[#This Row],[GrossRevenue_Clean]])</f>
        <v>11200</v>
      </c>
      <c r="Z616" t="str">
        <f>IF(Transaction[[#This Row],[GrossRevenue_Clean]]=Transaction[[#This Row],[ListPrice]]*Transaction[[#This Row],[Quantity]],"Valid","Invalid")</f>
        <v>Valid</v>
      </c>
      <c r="AA616">
        <v>1758.9</v>
      </c>
      <c r="AB61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1758.9</v>
      </c>
      <c r="AC616">
        <f>IF(Transaction[[#This Row],[DiscountAmount_Check2]]="Invalid",Transaction[[#This Row],[GrossRevenue_Analytical]]-Transaction[[#This Row],[NetRevenue_Analytical]],Transaction[[#This Row],[DiscountAmount_Clean]])</f>
        <v>1758.9</v>
      </c>
      <c r="AD616">
        <v>9441.1</v>
      </c>
      <c r="AE616" t="str">
        <f>IF(ROUND(Transaction[[#This Row],[GrossRevenue_Analytical]]-Transaction[[#This Row],[NetRevenue_Analytical]],2)=ROUND(Transaction[[#This Row],[DiscountAmount_Clean]],2),"Valid","Invalid")</f>
        <v>Valid</v>
      </c>
      <c r="AF616">
        <f>VALUE(IF(ISNUMBER(Transaction[[#This Row],[NetRevenue]]),Transaction[[#This Row],[NetRevenue]],IFERROR(IF(FIND("$",Transaction[[#This Row],[NetRevenue]])&gt;0,MID(Transaction[[#This Row],[NetRevenue]],2,10)),Transaction[[#This Row],[NetRevenue]])))</f>
        <v>9441.1</v>
      </c>
      <c r="AG616">
        <f>IF(Transaction[[#This Row],[NetRevenue_Check]]="Invalid",(Transaction[[#This Row],[Quantity]]*Transaction[[#This Row],[UnitPrice_Clean]]),Transaction[[#This Row],[NetRevenue_Clean]])</f>
        <v>9441.1</v>
      </c>
      <c r="AH616" t="str">
        <f>IF(Transaction[[#This Row],[Quantity]]*Transaction[[#This Row],[UnitPrice_Clean]]=Transaction[[#This Row],[NetRevenue_Clean]],"Valid","Invalid")</f>
        <v>Valid</v>
      </c>
      <c r="AI616" t="s">
        <v>23</v>
      </c>
      <c r="AJ616" t="s">
        <v>2884</v>
      </c>
      <c r="AK616" t="str">
        <f>IF(Transaction[[#This Row],[Salesperson]]="","Missing Value",TRIM(PROPER(Transaction[[#This Row],[Salesperson]])))</f>
        <v>Smith-Em</v>
      </c>
      <c r="AL616" t="s">
        <v>25</v>
      </c>
      <c r="AM616" t="str">
        <f>IF(Transaction[[#This Row],[ContractType]]="","Missing Value",Transaction[[#This Row],[ContractType]])</f>
        <v>Frame Agreement</v>
      </c>
      <c r="AN616" t="s">
        <v>43</v>
      </c>
    </row>
    <row r="617" spans="1:40" x14ac:dyDescent="0.25">
      <c r="A617" t="s">
        <v>487</v>
      </c>
      <c r="B617" s="1">
        <v>45805</v>
      </c>
      <c r="C61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61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61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17" s="2">
        <f>IFERROR(DATE(Transaction[[#This Row],[TransactionDateY]],Transaction[[#This Row],[TransactionDateM]],Transaction[[#This Row],[TransactionDateD]]),"Missing Value")</f>
        <v>45805</v>
      </c>
      <c r="G617" t="s">
        <v>86</v>
      </c>
      <c r="H617" t="str">
        <f>IFERROR(VLOOKUP(Transaction[[#This Row],[CustomerID]],Custumer[],1,0),IF(LEN(Transaction[[#This Row],[CustomerID]])=7,LEFT(Transaction[[#This Row],[CustomerID]],6),"Invalid ID"))</f>
        <v>C-1177</v>
      </c>
      <c r="I617" t="s">
        <v>268</v>
      </c>
      <c r="J617" t="str">
        <f>TRIM(UPPER(Transaction[[#This Row],[ProductID]]))</f>
        <v>P-FS-002</v>
      </c>
      <c r="K617" t="str">
        <f>IFERROR(VLOOKUP(Transaction[[#This Row],[ProductID_Clean]],Product[],1,FALSE),"Invalid ID")</f>
        <v>P-FS-002</v>
      </c>
      <c r="L617" t="str">
        <f>TRIM(SUBSTITUTE(SUBSTITUTE(SUBSTITUTE(SUBSTITUTE(UPPER(Transaction[[#This Row],[Region]]),"EMEA REGION","EMEA"),"APAC REGION","APAC"),"NORTH AMERICA","N. AMERICA"),"N .AMERICA","N.AMERICA"))</f>
        <v>EMEA</v>
      </c>
      <c r="M617" t="s">
        <v>76</v>
      </c>
      <c r="N617" t="s">
        <v>21</v>
      </c>
      <c r="O617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617" t="s">
        <v>22</v>
      </c>
      <c r="Q617" t="str">
        <f>IF(TRIM(Transaction[[#This Row],[SalesChannel]])="","Missing Value",TRIM(Transaction[[#This Row],[SalesChannel]]))</f>
        <v>Direct</v>
      </c>
      <c r="R617" s="4">
        <v>1</v>
      </c>
      <c r="S617" s="4" t="str">
        <f>IF(Transaction[[#This Row],[Quantity]]&lt;0,"Negative-review","Valid")</f>
        <v>Valid</v>
      </c>
      <c r="T617">
        <v>2009.33</v>
      </c>
      <c r="U61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2009.33</v>
      </c>
      <c r="V617">
        <v>2400</v>
      </c>
      <c r="W617">
        <v>2400</v>
      </c>
      <c r="X61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617">
        <f>IF(Transaction[[#This Row],[GrossRevenue_Check]]="Invalid",Transaction[[#This Row],[ListPrice]]*Transaction[[#This Row],[Quantity]],Transaction[[#This Row],[GrossRevenue_Clean]])</f>
        <v>2400</v>
      </c>
      <c r="Z617" t="str">
        <f>IF(Transaction[[#This Row],[GrossRevenue_Clean]]=Transaction[[#This Row],[ListPrice]]*Transaction[[#This Row],[Quantity]],"Valid","Invalid")</f>
        <v>Valid</v>
      </c>
      <c r="AA617">
        <v>390.67</v>
      </c>
      <c r="AB61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390.67</v>
      </c>
      <c r="AC617">
        <f>IF(Transaction[[#This Row],[DiscountAmount_Check2]]="Invalid",Transaction[[#This Row],[GrossRevenue_Analytical]]-Transaction[[#This Row],[NetRevenue_Analytical]],Transaction[[#This Row],[DiscountAmount_Clean]])</f>
        <v>390.67</v>
      </c>
      <c r="AD617">
        <v>2009.33</v>
      </c>
      <c r="AE617" t="str">
        <f>IF(ROUND(Transaction[[#This Row],[GrossRevenue_Analytical]]-Transaction[[#This Row],[NetRevenue_Analytical]],2)=ROUND(Transaction[[#This Row],[DiscountAmount_Clean]],2),"Valid","Invalid")</f>
        <v>Valid</v>
      </c>
      <c r="AF617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2009.33</v>
      </c>
      <c r="AG617">
        <f>IF(Transaction[[#This Row],[NetRevenue_Check]]="Invalid",(Transaction[[#This Row],[Quantity]]*Transaction[[#This Row],[UnitPrice_Clean]]),Transaction[[#This Row],[NetRevenue_Clean]])</f>
        <v>2009.33</v>
      </c>
      <c r="AH617" t="str">
        <f>IF(Transaction[[#This Row],[Quantity]]*Transaction[[#This Row],[UnitPrice_Clean]]=Transaction[[#This Row],[NetRevenue_Clean]],"Valid","Invalid")</f>
        <v>Valid</v>
      </c>
      <c r="AI617" t="s">
        <v>23</v>
      </c>
      <c r="AJ617" t="s">
        <v>488</v>
      </c>
      <c r="AK617" t="str">
        <f>IF(Transaction[[#This Row],[Salesperson]]="","Missing Value",TRIM(PROPER(Transaction[[#This Row],[Salesperson]])))</f>
        <v>Rivera</v>
      </c>
      <c r="AL617" t="s">
        <v>224</v>
      </c>
      <c r="AM617" t="str">
        <f>IF(Transaction[[#This Row],[ContractType]]="","Missing Value",Transaction[[#This Row],[ContractType]])</f>
        <v>Annual</v>
      </c>
      <c r="AN617" t="s">
        <v>49</v>
      </c>
    </row>
    <row r="618" spans="1:40" x14ac:dyDescent="0.25">
      <c r="A618" t="s">
        <v>280</v>
      </c>
      <c r="B618" s="1">
        <v>45732</v>
      </c>
      <c r="C61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61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61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18" s="2">
        <f>IFERROR(DATE(Transaction[[#This Row],[TransactionDateY]],Transaction[[#This Row],[TransactionDateM]],Transaction[[#This Row],[TransactionDateD]]),"Missing Value")</f>
        <v>45732</v>
      </c>
      <c r="G618" t="s">
        <v>110</v>
      </c>
      <c r="H618" t="str">
        <f>IFERROR(VLOOKUP(Transaction[[#This Row],[CustomerID]],Custumer[],1,0),IF(LEN(Transaction[[#This Row],[CustomerID]])=7,LEFT(Transaction[[#This Row],[CustomerID]],6),"Invalid ID"))</f>
        <v>C-1100</v>
      </c>
      <c r="I618" t="s">
        <v>258</v>
      </c>
      <c r="J618" t="str">
        <f>TRIM(UPPER(Transaction[[#This Row],[ProductID]]))</f>
        <v>P-SA-003</v>
      </c>
      <c r="K618" t="str">
        <f>IFERROR(VLOOKUP(Transaction[[#This Row],[ProductID_Clean]],Product[],1,FALSE),"Invalid ID")</f>
        <v>P-SA-003</v>
      </c>
      <c r="L618" t="str">
        <f>TRIM(SUBSTITUTE(SUBSTITUTE(SUBSTITUTE(SUBSTITUTE(UPPER(Transaction[[#This Row],[Region]]),"EMEA REGION","EMEA"),"APAC REGION","APAC"),"NORTH AMERICA","N. AMERICA"),"N .AMERICA","N.AMERICA"))</f>
        <v>EMEA</v>
      </c>
      <c r="M618" t="s">
        <v>76</v>
      </c>
      <c r="N618" t="s">
        <v>31</v>
      </c>
      <c r="O61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618" t="s">
        <v>22</v>
      </c>
      <c r="Q618" t="str">
        <f>IF(TRIM(Transaction[[#This Row],[SalesChannel]])="","Missing Value",TRIM(Transaction[[#This Row],[SalesChannel]]))</f>
        <v>Direct</v>
      </c>
      <c r="R618" s="4">
        <v>1</v>
      </c>
      <c r="S618" s="4" t="str">
        <f>IF(Transaction[[#This Row],[Quantity]]&lt;0,"Negative-review","Valid")</f>
        <v>Valid</v>
      </c>
      <c r="T618">
        <v>2304.5100000000002</v>
      </c>
      <c r="U61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2304.5100000000002</v>
      </c>
      <c r="V618">
        <v>2750</v>
      </c>
      <c r="W618">
        <v>2750</v>
      </c>
      <c r="X61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618">
        <f>IF(Transaction[[#This Row],[GrossRevenue_Check]]="Invalid",Transaction[[#This Row],[ListPrice]]*Transaction[[#This Row],[Quantity]],Transaction[[#This Row],[GrossRevenue_Clean]])</f>
        <v>2750</v>
      </c>
      <c r="Z618" t="str">
        <f>IF(Transaction[[#This Row],[GrossRevenue_Clean]]=Transaction[[#This Row],[ListPrice]]*Transaction[[#This Row],[Quantity]],"Valid","Invalid")</f>
        <v>Valid</v>
      </c>
      <c r="AA618">
        <v>445.49</v>
      </c>
      <c r="AB61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445.49</v>
      </c>
      <c r="AC618">
        <f>IF(Transaction[[#This Row],[DiscountAmount_Check2]]="Invalid",Transaction[[#This Row],[GrossRevenue_Analytical]]-Transaction[[#This Row],[NetRevenue_Analytical]],Transaction[[#This Row],[DiscountAmount_Clean]])</f>
        <v>445.49</v>
      </c>
      <c r="AD618">
        <v>2304.5100000000002</v>
      </c>
      <c r="AE618" t="str">
        <f>IF(ROUND(Transaction[[#This Row],[GrossRevenue_Analytical]]-Transaction[[#This Row],[NetRevenue_Analytical]],2)=ROUND(Transaction[[#This Row],[DiscountAmount_Clean]],2),"Valid","Invalid")</f>
        <v>Valid</v>
      </c>
      <c r="AF61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2304.5100000000002</v>
      </c>
      <c r="AG618">
        <f>IF(Transaction[[#This Row],[NetRevenue_Check]]="Invalid",(Transaction[[#This Row],[Quantity]]*Transaction[[#This Row],[UnitPrice_Clean]]),Transaction[[#This Row],[NetRevenue_Clean]])</f>
        <v>2304.5100000000002</v>
      </c>
      <c r="AH618" t="str">
        <f>IF(Transaction[[#This Row],[Quantity]]*Transaction[[#This Row],[UnitPrice_Clean]]=Transaction[[#This Row],[NetRevenue_Clean]],"Valid","Invalid")</f>
        <v>Valid</v>
      </c>
      <c r="AI618" t="s">
        <v>23</v>
      </c>
      <c r="AJ618" t="s">
        <v>281</v>
      </c>
      <c r="AK618" t="str">
        <f>IF(Transaction[[#This Row],[Salesperson]]="","Missing Value",TRIM(PROPER(Transaction[[#This Row],[Salesperson]])))</f>
        <v>Rodriguez-Na</v>
      </c>
      <c r="AL618" t="s">
        <v>113</v>
      </c>
      <c r="AM618" t="str">
        <f>IF(Transaction[[#This Row],[ContractType]]="","Missing Value",Transaction[[#This Row],[ContractType]])</f>
        <v>Subscription</v>
      </c>
      <c r="AN618" t="s">
        <v>43</v>
      </c>
    </row>
    <row r="619" spans="1:40" x14ac:dyDescent="0.25">
      <c r="A619" t="s">
        <v>1504</v>
      </c>
      <c r="B619" s="1">
        <v>45658</v>
      </c>
      <c r="C61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61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61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19" s="2">
        <f>IFERROR(DATE(Transaction[[#This Row],[TransactionDateY]],Transaction[[#This Row],[TransactionDateM]],Transaction[[#This Row],[TransactionDateD]]),"Missing Value")</f>
        <v>45658</v>
      </c>
      <c r="G619" t="s">
        <v>826</v>
      </c>
      <c r="H619" t="str">
        <f>IFERROR(VLOOKUP(Transaction[[#This Row],[CustomerID]],Custumer[],1,0),IF(LEN(Transaction[[#This Row],[CustomerID]])=7,LEFT(Transaction[[#This Row],[CustomerID]],6),"Invalid ID"))</f>
        <v>C-1182</v>
      </c>
      <c r="I619" t="s">
        <v>62</v>
      </c>
      <c r="J619" t="str">
        <f>TRIM(UPPER(Transaction[[#This Row],[ProductID]]))</f>
        <v>P-SI-004</v>
      </c>
      <c r="K619" t="str">
        <f>IFERROR(VLOOKUP(Transaction[[#This Row],[ProductID_Clean]],Product[],1,FALSE),"Invalid ID")</f>
        <v>P-SI-004</v>
      </c>
      <c r="L619" t="str">
        <f>TRIM(SUBSTITUTE(SUBSTITUTE(SUBSTITUTE(SUBSTITUTE(UPPER(Transaction[[#This Row],[Region]]),"EMEA REGION","EMEA"),"APAC REGION","APAC"),"NORTH AMERICA","N. AMERICA"),"N .AMERICA","N.AMERICA"))</f>
        <v>APAC</v>
      </c>
      <c r="M619" t="s">
        <v>30</v>
      </c>
      <c r="N619" t="s">
        <v>53</v>
      </c>
      <c r="O61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19" t="s">
        <v>22</v>
      </c>
      <c r="Q619" t="str">
        <f>IF(TRIM(Transaction[[#This Row],[SalesChannel]])="","Missing Value",TRIM(Transaction[[#This Row],[SalesChannel]]))</f>
        <v>Direct</v>
      </c>
      <c r="R619" s="4">
        <v>3</v>
      </c>
      <c r="S619" s="4" t="str">
        <f>IF(Transaction[[#This Row],[Quantity]]&lt;0,"Negative-review","Valid")</f>
        <v>Valid</v>
      </c>
      <c r="T619" t="s">
        <v>1505</v>
      </c>
      <c r="U61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2226.73</v>
      </c>
      <c r="V619">
        <v>2450</v>
      </c>
      <c r="W619">
        <v>7350</v>
      </c>
      <c r="X61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7350</v>
      </c>
      <c r="Y619">
        <f>IF(Transaction[[#This Row],[GrossRevenue_Check]]="Invalid",Transaction[[#This Row],[ListPrice]]*Transaction[[#This Row],[Quantity]],Transaction[[#This Row],[GrossRevenue_Clean]])</f>
        <v>7350</v>
      </c>
      <c r="Z619" t="str">
        <f>IF(Transaction[[#This Row],[GrossRevenue_Clean]]=Transaction[[#This Row],[ListPrice]]*Transaction[[#This Row],[Quantity]],"Valid","Invalid")</f>
        <v>Valid</v>
      </c>
      <c r="AA619">
        <v>669.81</v>
      </c>
      <c r="AB61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669.81</v>
      </c>
      <c r="AC619">
        <f>IF(Transaction[[#This Row],[DiscountAmount_Check2]]="Invalid",Transaction[[#This Row],[GrossRevenue_Analytical]]-Transaction[[#This Row],[NetRevenue_Analytical]],Transaction[[#This Row],[DiscountAmount_Clean]])</f>
        <v>669.81</v>
      </c>
      <c r="AD619">
        <v>6680.19</v>
      </c>
      <c r="AE619" t="str">
        <f>IF(ROUND(Transaction[[#This Row],[GrossRevenue_Analytical]]-Transaction[[#This Row],[NetRevenue_Analytical]],2)=ROUND(Transaction[[#This Row],[DiscountAmount_Clean]],2),"Valid","Invalid")</f>
        <v>Valid</v>
      </c>
      <c r="AF619">
        <f>VALUE(IF(ISNUMBER(Transaction[[#This Row],[NetRevenue]]),Transaction[[#This Row],[NetRevenue]],IFERROR(IF(FIND("$",Transaction[[#This Row],[NetRevenue]])&gt;0,MID(Transaction[[#This Row],[NetRevenue]],2,10)),Transaction[[#This Row],[NetRevenue]])))</f>
        <v>6680.19</v>
      </c>
      <c r="AG619">
        <f>IF(Transaction[[#This Row],[NetRevenue_Check]]="Invalid",(Transaction[[#This Row],[Quantity]]*Transaction[[#This Row],[UnitPrice_Clean]]),Transaction[[#This Row],[NetRevenue_Clean]])</f>
        <v>6680.19</v>
      </c>
      <c r="AH619" t="str">
        <f>IF(Transaction[[#This Row],[Quantity]]*Transaction[[#This Row],[UnitPrice_Clean]]=Transaction[[#This Row],[NetRevenue_Clean]],"Valid","Invalid")</f>
        <v>Valid</v>
      </c>
      <c r="AI619" t="s">
        <v>23</v>
      </c>
      <c r="AJ619" t="s">
        <v>1506</v>
      </c>
      <c r="AK619" t="str">
        <f>IF(Transaction[[#This Row],[Salesperson]]="","Missing Value",TRIM(PROPER(Transaction[[#This Row],[Salesperson]])))</f>
        <v>Butler-Em</v>
      </c>
      <c r="AL619" t="s">
        <v>55</v>
      </c>
      <c r="AM619" t="str">
        <f>IF(Transaction[[#This Row],[ContractType]]="","Missing Value",Transaction[[#This Row],[ContractType]])</f>
        <v>Spot</v>
      </c>
      <c r="AN619" t="s">
        <v>65</v>
      </c>
    </row>
    <row r="620" spans="1:40" x14ac:dyDescent="0.25">
      <c r="A620" t="s">
        <v>2149</v>
      </c>
      <c r="B620" s="1">
        <v>45748</v>
      </c>
      <c r="C62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62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62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20" s="2">
        <f>IFERROR(DATE(Transaction[[#This Row],[TransactionDateY]],Transaction[[#This Row],[TransactionDateM]],Transaction[[#This Row],[TransactionDateD]]),"Missing Value")</f>
        <v>45748</v>
      </c>
      <c r="G620" t="s">
        <v>960</v>
      </c>
      <c r="H620" t="str">
        <f>IFERROR(VLOOKUP(Transaction[[#This Row],[CustomerID]],Custumer[],1,0),IF(LEN(Transaction[[#This Row],[CustomerID]])=7,LEFT(Transaction[[#This Row],[CustomerID]],6),"Invalid ID"))</f>
        <v>C-1160</v>
      </c>
      <c r="I620" t="s">
        <v>97</v>
      </c>
      <c r="J620" t="str">
        <f>TRIM(UPPER(Transaction[[#This Row],[ProductID]]))</f>
        <v>P-SI-001</v>
      </c>
      <c r="K620" t="str">
        <f>IFERROR(VLOOKUP(Transaction[[#This Row],[ProductID_Clean]],Product[],1,FALSE),"Invalid ID")</f>
        <v>P-SI-001</v>
      </c>
      <c r="L620" t="str">
        <f>TRIM(SUBSTITUTE(SUBSTITUTE(SUBSTITUTE(SUBSTITUTE(UPPER(Transaction[[#This Row],[Region]]),"EMEA REGION","EMEA"),"APAC REGION","APAC"),"NORTH AMERICA","N. AMERICA"),"N .AMERICA","N.AMERICA"))</f>
        <v>LATIN AMERICA</v>
      </c>
      <c r="M620" t="s">
        <v>82</v>
      </c>
      <c r="N620" t="s">
        <v>53</v>
      </c>
      <c r="O62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20" t="s">
        <v>22</v>
      </c>
      <c r="Q620" t="str">
        <f>IF(TRIM(Transaction[[#This Row],[SalesChannel]])="","Missing Value",TRIM(Transaction[[#This Row],[SalesChannel]]))</f>
        <v>Direct</v>
      </c>
      <c r="R620" s="4">
        <v>8</v>
      </c>
      <c r="S620" s="4" t="str">
        <f>IF(Transaction[[#This Row],[Quantity]]&lt;0,"Negative-review","Valid")</f>
        <v>Valid</v>
      </c>
      <c r="T620">
        <v>455.52</v>
      </c>
      <c r="U62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455.52</v>
      </c>
      <c r="V620">
        <v>485</v>
      </c>
      <c r="W620">
        <v>3880</v>
      </c>
      <c r="X62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3880</v>
      </c>
      <c r="Y620">
        <f>IF(Transaction[[#This Row],[GrossRevenue_Check]]="Invalid",Transaction[[#This Row],[ListPrice]]*Transaction[[#This Row],[Quantity]],Transaction[[#This Row],[GrossRevenue_Clean]])</f>
        <v>3880</v>
      </c>
      <c r="Z620" t="str">
        <f>IF(Transaction[[#This Row],[GrossRevenue_Clean]]=Transaction[[#This Row],[ListPrice]]*Transaction[[#This Row],[Quantity]],"Valid","Invalid")</f>
        <v>Valid</v>
      </c>
      <c r="AA620">
        <v>235.84</v>
      </c>
      <c r="AB62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235.84</v>
      </c>
      <c r="AC620">
        <f>IF(Transaction[[#This Row],[DiscountAmount_Check2]]="Invalid",Transaction[[#This Row],[GrossRevenue_Analytical]]-Transaction[[#This Row],[NetRevenue_Analytical]],Transaction[[#This Row],[DiscountAmount_Clean]])</f>
        <v>235.84</v>
      </c>
      <c r="AD620">
        <v>3644.16</v>
      </c>
      <c r="AE620" t="str">
        <f>IF(ROUND(Transaction[[#This Row],[GrossRevenue_Analytical]]-Transaction[[#This Row],[NetRevenue_Analytical]],2)=ROUND(Transaction[[#This Row],[DiscountAmount_Clean]],2),"Valid","Invalid")</f>
        <v>Valid</v>
      </c>
      <c r="AF620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3644.16</v>
      </c>
      <c r="AG620">
        <f>IF(Transaction[[#This Row],[NetRevenue_Check]]="Invalid",(Transaction[[#This Row],[Quantity]]*Transaction[[#This Row],[UnitPrice_Clean]]),Transaction[[#This Row],[NetRevenue_Clean]])</f>
        <v>3644.16</v>
      </c>
      <c r="AH620" t="str">
        <f>IF(Transaction[[#This Row],[Quantity]]*Transaction[[#This Row],[UnitPrice_Clean]]=Transaction[[#This Row],[NetRevenue_Clean]],"Valid","Invalid")</f>
        <v>Valid</v>
      </c>
      <c r="AI620" t="s">
        <v>23</v>
      </c>
      <c r="AJ620" t="s">
        <v>2146</v>
      </c>
      <c r="AK620" t="str">
        <f>IF(Transaction[[#This Row],[Salesperson]]="","Missing Value",TRIM(PROPER(Transaction[[#This Row],[Salesperson]])))</f>
        <v>Parker</v>
      </c>
      <c r="AL620" t="s">
        <v>42</v>
      </c>
      <c r="AM620" t="str">
        <f>IF(Transaction[[#This Row],[ContractType]]="","Missing Value",Transaction[[#This Row],[ContractType]])</f>
        <v>Standard PO</v>
      </c>
      <c r="AN620" t="s">
        <v>65</v>
      </c>
    </row>
    <row r="621" spans="1:40" x14ac:dyDescent="0.25">
      <c r="A621" t="s">
        <v>384</v>
      </c>
      <c r="B621" s="1">
        <v>45829</v>
      </c>
      <c r="C62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62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62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21" s="2">
        <f>IFERROR(DATE(Transaction[[#This Row],[TransactionDateY]],Transaction[[#This Row],[TransactionDateM]],Transaction[[#This Row],[TransactionDateD]]),"Missing Value")</f>
        <v>45829</v>
      </c>
      <c r="G621" t="s">
        <v>385</v>
      </c>
      <c r="H621" t="str">
        <f>IFERROR(VLOOKUP(Transaction[[#This Row],[CustomerID]],Custumer[],1,0),IF(LEN(Transaction[[#This Row],[CustomerID]])=7,LEFT(Transaction[[#This Row],[CustomerID]],6),"Invalid ID"))</f>
        <v>C-1084</v>
      </c>
      <c r="I621" t="s">
        <v>97</v>
      </c>
      <c r="J621" t="str">
        <f>TRIM(UPPER(Transaction[[#This Row],[ProductID]]))</f>
        <v>P-SI-001</v>
      </c>
      <c r="K621" t="str">
        <f>IFERROR(VLOOKUP(Transaction[[#This Row],[ProductID_Clean]],Product[],1,FALSE),"Invalid ID")</f>
        <v>P-SI-001</v>
      </c>
      <c r="L621" t="str">
        <f>TRIM(SUBSTITUTE(SUBSTITUTE(SUBSTITUTE(SUBSTITUTE(UPPER(Transaction[[#This Row],[Region]]),"EMEA REGION","EMEA"),"APAC REGION","APAC"),"NORTH AMERICA","N. AMERICA"),"N .AMERICA","N.AMERICA"))</f>
        <v>N. AMERICA</v>
      </c>
      <c r="M621" t="s">
        <v>168</v>
      </c>
      <c r="N621" t="s">
        <v>98</v>
      </c>
      <c r="O62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21" t="s">
        <v>22</v>
      </c>
      <c r="Q621" t="str">
        <f>IF(TRIM(Transaction[[#This Row],[SalesChannel]])="","Missing Value",TRIM(Transaction[[#This Row],[SalesChannel]]))</f>
        <v>Direct</v>
      </c>
      <c r="R621" s="4">
        <v>2</v>
      </c>
      <c r="S621" s="4" t="str">
        <f>IF(Transaction[[#This Row],[Quantity]]&lt;0,"Negative-review","Valid")</f>
        <v>Valid</v>
      </c>
      <c r="T621">
        <v>447.47</v>
      </c>
      <c r="U62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447.47</v>
      </c>
      <c r="V621">
        <v>485</v>
      </c>
      <c r="W621">
        <v>970</v>
      </c>
      <c r="X62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621">
        <f>IF(Transaction[[#This Row],[GrossRevenue_Check]]="Invalid",Transaction[[#This Row],[ListPrice]]*Transaction[[#This Row],[Quantity]],Transaction[[#This Row],[GrossRevenue_Clean]])</f>
        <v>970</v>
      </c>
      <c r="Z621" t="str">
        <f>IF(Transaction[[#This Row],[GrossRevenue_Clean]]=Transaction[[#This Row],[ListPrice]]*Transaction[[#This Row],[Quantity]],"Valid","Invalid")</f>
        <v>Valid</v>
      </c>
      <c r="AA621">
        <v>75.06</v>
      </c>
      <c r="AB62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75.06</v>
      </c>
      <c r="AC621">
        <f>IF(Transaction[[#This Row],[DiscountAmount_Check2]]="Invalid",Transaction[[#This Row],[GrossRevenue_Analytical]]-Transaction[[#This Row],[NetRevenue_Analytical]],Transaction[[#This Row],[DiscountAmount_Clean]])</f>
        <v>75.06</v>
      </c>
      <c r="AD621">
        <v>894.94</v>
      </c>
      <c r="AE621" t="str">
        <f>IF(ROUND(Transaction[[#This Row],[GrossRevenue_Analytical]]-Transaction[[#This Row],[NetRevenue_Analytical]],2)=ROUND(Transaction[[#This Row],[DiscountAmount_Clean]],2),"Valid","Invalid")</f>
        <v>Valid</v>
      </c>
      <c r="AF621">
        <f>VALUE(IF(ISNUMBER(Transaction[[#This Row],[NetRevenue]]),Transaction[[#This Row],[NetRevenue]],IFERROR(IF(FIND("$",Transaction[[#This Row],[NetRevenue]])&gt;0,MID(Transaction[[#This Row],[NetRevenue]],2,10)),Transaction[[#This Row],[NetRevenue]])))</f>
        <v>894.94</v>
      </c>
      <c r="AG621">
        <f>IF(Transaction[[#This Row],[NetRevenue_Check]]="Invalid",(Transaction[[#This Row],[Quantity]]*Transaction[[#This Row],[UnitPrice_Clean]]),Transaction[[#This Row],[NetRevenue_Clean]])</f>
        <v>894.94</v>
      </c>
      <c r="AH621" t="str">
        <f>IF(Transaction[[#This Row],[Quantity]]*Transaction[[#This Row],[UnitPrice_Clean]]=Transaction[[#This Row],[NetRevenue_Clean]],"Valid","Invalid")</f>
        <v>Valid</v>
      </c>
      <c r="AI621" t="s">
        <v>23</v>
      </c>
      <c r="AJ621" t="s">
        <v>386</v>
      </c>
      <c r="AK621" t="str">
        <f>IF(Transaction[[#This Row],[Salesperson]]="","Missing Value",TRIM(PROPER(Transaction[[#This Row],[Salesperson]])))</f>
        <v>Wiggins</v>
      </c>
      <c r="AL621" t="s">
        <v>25</v>
      </c>
      <c r="AM621" t="str">
        <f>IF(Transaction[[#This Row],[ContractType]]="","Missing Value",Transaction[[#This Row],[ContractType]])</f>
        <v>Frame Agreement</v>
      </c>
      <c r="AN621" t="s">
        <v>43</v>
      </c>
    </row>
    <row r="622" spans="1:40" x14ac:dyDescent="0.25">
      <c r="A622" t="s">
        <v>2439</v>
      </c>
      <c r="B622" t="s">
        <v>2440</v>
      </c>
      <c r="C62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62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62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22" s="2">
        <f>IFERROR(DATE(Transaction[[#This Row],[TransactionDateY]],Transaction[[#This Row],[TransactionDateM]],Transaction[[#This Row],[TransactionDateD]]),"Missing Value")</f>
        <v>45792</v>
      </c>
      <c r="G622" t="s">
        <v>61</v>
      </c>
      <c r="H622" t="str">
        <f>IFERROR(VLOOKUP(Transaction[[#This Row],[CustomerID]],Custumer[],1,0),IF(LEN(Transaction[[#This Row],[CustomerID]])=7,LEFT(Transaction[[#This Row],[CustomerID]],6),"Invalid ID"))</f>
        <v>C-1108</v>
      </c>
      <c r="I622" t="s">
        <v>258</v>
      </c>
      <c r="J622" t="str">
        <f>TRIM(UPPER(Transaction[[#This Row],[ProductID]]))</f>
        <v>P-SA-003</v>
      </c>
      <c r="K622" t="str">
        <f>IFERROR(VLOOKUP(Transaction[[#This Row],[ProductID_Clean]],Product[],1,FALSE),"Invalid ID")</f>
        <v>P-SA-003</v>
      </c>
      <c r="L622" t="str">
        <f>TRIM(SUBSTITUTE(SUBSTITUTE(SUBSTITUTE(SUBSTITUTE(UPPER(Transaction[[#This Row],[Region]]),"EMEA REGION","EMEA"),"APAC REGION","APAC"),"NORTH AMERICA","N. AMERICA"),"N .AMERICA","N.AMERICA"))</f>
        <v>APAC</v>
      </c>
      <c r="M622" t="s">
        <v>30</v>
      </c>
      <c r="N622" t="s">
        <v>572</v>
      </c>
      <c r="O62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622" t="s">
        <v>22</v>
      </c>
      <c r="Q622" t="str">
        <f>IF(TRIM(Transaction[[#This Row],[SalesChannel]])="","Missing Value",TRIM(Transaction[[#This Row],[SalesChannel]]))</f>
        <v>Direct</v>
      </c>
      <c r="R622" s="4">
        <v>3</v>
      </c>
      <c r="S622" s="4" t="str">
        <f>IF(Transaction[[#This Row],[Quantity]]&lt;0,"Negative-review","Valid")</f>
        <v>Valid</v>
      </c>
      <c r="T622">
        <v>2192.67</v>
      </c>
      <c r="U62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2192.67</v>
      </c>
      <c r="V622">
        <v>2750</v>
      </c>
      <c r="W622">
        <v>8250</v>
      </c>
      <c r="X62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8250</v>
      </c>
      <c r="Y622">
        <f>IF(Transaction[[#This Row],[GrossRevenue_Check]]="Invalid",Transaction[[#This Row],[ListPrice]]*Transaction[[#This Row],[Quantity]],Transaction[[#This Row],[GrossRevenue_Clean]])</f>
        <v>8250</v>
      </c>
      <c r="Z622" t="str">
        <f>IF(Transaction[[#This Row],[GrossRevenue_Clean]]=Transaction[[#This Row],[ListPrice]]*Transaction[[#This Row],[Quantity]],"Valid","Invalid")</f>
        <v>Valid</v>
      </c>
      <c r="AA622">
        <v>1671.99</v>
      </c>
      <c r="AB62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1671.99</v>
      </c>
      <c r="AC622">
        <f>IF(Transaction[[#This Row],[DiscountAmount_Check2]]="Invalid",Transaction[[#This Row],[GrossRevenue_Analytical]]-Transaction[[#This Row],[NetRevenue_Analytical]],Transaction[[#This Row],[DiscountAmount_Clean]])</f>
        <v>1671.99</v>
      </c>
      <c r="AD622">
        <v>6578.01</v>
      </c>
      <c r="AE622" t="str">
        <f>IF(ROUND(Transaction[[#This Row],[GrossRevenue_Analytical]]-Transaction[[#This Row],[NetRevenue_Analytical]],2)=ROUND(Transaction[[#This Row],[DiscountAmount_Clean]],2),"Valid","Invalid")</f>
        <v>Valid</v>
      </c>
      <c r="AF622">
        <f>VALUE(IF(ISNUMBER(Transaction[[#This Row],[NetRevenue]]),Transaction[[#This Row],[NetRevenue]],IFERROR(IF(FIND("$",Transaction[[#This Row],[NetRevenue]])&gt;0,MID(Transaction[[#This Row],[NetRevenue]],2,10)),Transaction[[#This Row],[NetRevenue]])))</f>
        <v>6578.01</v>
      </c>
      <c r="AG622">
        <f>IF(Transaction[[#This Row],[NetRevenue_Check]]="Invalid",(Transaction[[#This Row],[Quantity]]*Transaction[[#This Row],[UnitPrice_Clean]]),Transaction[[#This Row],[NetRevenue_Clean]])</f>
        <v>6578.01</v>
      </c>
      <c r="AH622" t="str">
        <f>IF(Transaction[[#This Row],[Quantity]]*Transaction[[#This Row],[UnitPrice_Clean]]=Transaction[[#This Row],[NetRevenue_Clean]],"Valid","Invalid")</f>
        <v>Valid</v>
      </c>
      <c r="AI622" t="s">
        <v>23</v>
      </c>
      <c r="AJ622" t="s">
        <v>2441</v>
      </c>
      <c r="AK622" t="str">
        <f>IF(Transaction[[#This Row],[Salesperson]]="","Missing Value",TRIM(PROPER(Transaction[[#This Row],[Salesperson]])))</f>
        <v>Soto</v>
      </c>
      <c r="AL622" t="s">
        <v>210</v>
      </c>
      <c r="AM622" t="str">
        <f>IF(Transaction[[#This Row],[ContractType]]="","Missing Value",Transaction[[#This Row],[ContractType]])</f>
        <v>Perpetual</v>
      </c>
      <c r="AN622" t="s">
        <v>65</v>
      </c>
    </row>
    <row r="623" spans="1:40" x14ac:dyDescent="0.25">
      <c r="A623" t="s">
        <v>156</v>
      </c>
      <c r="B623" s="1">
        <v>45675</v>
      </c>
      <c r="C62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62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62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23" s="2">
        <f>IFERROR(DATE(Transaction[[#This Row],[TransactionDateY]],Transaction[[#This Row],[TransactionDateM]],Transaction[[#This Row],[TransactionDateD]]),"Missing Value")</f>
        <v>45675</v>
      </c>
      <c r="G623" t="s">
        <v>157</v>
      </c>
      <c r="H623" t="str">
        <f>IFERROR(VLOOKUP(Transaction[[#This Row],[CustomerID]],Custumer[],1,0),IF(LEN(Transaction[[#This Row],[CustomerID]])=7,LEFT(Transaction[[#This Row],[CustomerID]],6),"Invalid ID"))</f>
        <v>C-1021</v>
      </c>
      <c r="I623" t="s">
        <v>117</v>
      </c>
      <c r="J623" t="str">
        <f>TRIM(UPPER(Transaction[[#This Row],[ProductID]]))</f>
        <v>P-SI-007</v>
      </c>
      <c r="K623" t="str">
        <f>IFERROR(VLOOKUP(Transaction[[#This Row],[ProductID_Clean]],Product[],1,FALSE),"Invalid ID")</f>
        <v>P-SI-007</v>
      </c>
      <c r="L623" t="str">
        <f>TRIM(SUBSTITUTE(SUBSTITUTE(SUBSTITUTE(SUBSTITUTE(UPPER(Transaction[[#This Row],[Region]]),"EMEA REGION","EMEA"),"APAC REGION","APAC"),"NORTH AMERICA","N. AMERICA"),"N .AMERICA","N.AMERICA"))</f>
        <v>EMEA</v>
      </c>
      <c r="M623" t="s">
        <v>76</v>
      </c>
      <c r="N623" t="s">
        <v>53</v>
      </c>
      <c r="O62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23" t="s">
        <v>40</v>
      </c>
      <c r="Q623" t="str">
        <f>IF(TRIM(Transaction[[#This Row],[SalesChannel]])="","Missing Value",TRIM(Transaction[[#This Row],[SalesChannel]]))</f>
        <v>Distributor</v>
      </c>
      <c r="R623" s="4">
        <v>2</v>
      </c>
      <c r="S623" s="4" t="str">
        <f>IF(Transaction[[#This Row],[Quantity]]&lt;0,"Negative-review","Valid")</f>
        <v>Valid</v>
      </c>
      <c r="T623">
        <v>881.05</v>
      </c>
      <c r="U62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881.05</v>
      </c>
      <c r="V623">
        <v>980</v>
      </c>
      <c r="W623">
        <v>1960</v>
      </c>
      <c r="X62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</v>
      </c>
      <c r="Y623">
        <f>IF(Transaction[[#This Row],[GrossRevenue_Check]]="Invalid",Transaction[[#This Row],[ListPrice]]*Transaction[[#This Row],[Quantity]],Transaction[[#This Row],[GrossRevenue_Clean]])</f>
        <v>1960</v>
      </c>
      <c r="Z623" t="str">
        <f>IF(Transaction[[#This Row],[GrossRevenue_Clean]]=Transaction[[#This Row],[ListPrice]]*Transaction[[#This Row],[Quantity]],"Valid","Invalid")</f>
        <v>Valid</v>
      </c>
      <c r="AA623" t="s">
        <v>158</v>
      </c>
      <c r="AB62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197.9</v>
      </c>
      <c r="AC623">
        <f>IF(Transaction[[#This Row],[DiscountAmount_Check2]]="Invalid",Transaction[[#This Row],[GrossRevenue_Analytical]]-Transaction[[#This Row],[NetRevenue_Analytical]],Transaction[[#This Row],[DiscountAmount_Clean]])</f>
        <v>197.9</v>
      </c>
      <c r="AD623">
        <v>1762.1</v>
      </c>
      <c r="AE623" t="str">
        <f>IF(ROUND(Transaction[[#This Row],[GrossRevenue_Analytical]]-Transaction[[#This Row],[NetRevenue_Analytical]],2)=ROUND(Transaction[[#This Row],[DiscountAmount_Clean]],2),"Valid","Invalid")</f>
        <v>Valid</v>
      </c>
      <c r="AF62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1762.1</v>
      </c>
      <c r="AG623">
        <f>IF(Transaction[[#This Row],[NetRevenue_Check]]="Invalid",(Transaction[[#This Row],[Quantity]]*Transaction[[#This Row],[UnitPrice_Clean]]),Transaction[[#This Row],[NetRevenue_Clean]])</f>
        <v>1762.1</v>
      </c>
      <c r="AH623" t="str">
        <f>IF(Transaction[[#This Row],[Quantity]]*Transaction[[#This Row],[UnitPrice_Clean]]=Transaction[[#This Row],[NetRevenue_Clean]],"Valid","Invalid")</f>
        <v>Valid</v>
      </c>
      <c r="AI623" t="s">
        <v>128</v>
      </c>
      <c r="AJ623" t="s">
        <v>159</v>
      </c>
      <c r="AK623" t="str">
        <f>IF(Transaction[[#This Row],[Salesperson]]="","Missing Value",TRIM(PROPER(Transaction[[#This Row],[Salesperson]])))</f>
        <v>Carlson-Em</v>
      </c>
      <c r="AL623" t="s">
        <v>42</v>
      </c>
      <c r="AM623" t="str">
        <f>IF(Transaction[[#This Row],[ContractType]]="","Missing Value",Transaction[[#This Row],[ContractType]])</f>
        <v>Standard PO</v>
      </c>
      <c r="AN623" t="s">
        <v>49</v>
      </c>
    </row>
    <row r="624" spans="1:40" x14ac:dyDescent="0.25">
      <c r="A624" t="s">
        <v>813</v>
      </c>
      <c r="B624" s="1">
        <v>45797</v>
      </c>
      <c r="C62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62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62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24" s="2">
        <f>IFERROR(DATE(Transaction[[#This Row],[TransactionDateY]],Transaction[[#This Row],[TransactionDateM]],Transaction[[#This Row],[TransactionDateD]]),"Missing Value")</f>
        <v>45797</v>
      </c>
      <c r="G624" t="s">
        <v>647</v>
      </c>
      <c r="H624" t="str">
        <f>IFERROR(VLOOKUP(Transaction[[#This Row],[CustomerID]],Custumer[],1,0),IF(LEN(Transaction[[#This Row],[CustomerID]])=7,LEFT(Transaction[[#This Row],[CustomerID]],6),"Invalid ID"))</f>
        <v>C-1085</v>
      </c>
      <c r="I624" t="s">
        <v>97</v>
      </c>
      <c r="J624" t="str">
        <f>TRIM(UPPER(Transaction[[#This Row],[ProductID]]))</f>
        <v>P-SI-001</v>
      </c>
      <c r="K624" t="str">
        <f>IFERROR(VLOOKUP(Transaction[[#This Row],[ProductID_Clean]],Product[],1,FALSE),"Invalid ID")</f>
        <v>P-SI-001</v>
      </c>
      <c r="L624" t="str">
        <f>TRIM(SUBSTITUTE(SUBSTITUTE(SUBSTITUTE(SUBSTITUTE(UPPER(Transaction[[#This Row],[Region]]),"EMEA REGION","EMEA"),"APAC REGION","APAC"),"NORTH AMERICA","N. AMERICA"),"N .AMERICA","N.AMERICA"))</f>
        <v>APAC</v>
      </c>
      <c r="M624" t="s">
        <v>30</v>
      </c>
      <c r="N624" t="s">
        <v>53</v>
      </c>
      <c r="O62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24" t="s">
        <v>181</v>
      </c>
      <c r="Q624" t="str">
        <f>IF(TRIM(Transaction[[#This Row],[SalesChannel]])="","Missing Value",TRIM(Transaction[[#This Row],[SalesChannel]]))</f>
        <v>Partner Portal</v>
      </c>
      <c r="R624" s="4">
        <v>3</v>
      </c>
      <c r="S624" s="4" t="str">
        <f>IF(Transaction[[#This Row],[Quantity]]&lt;0,"Negative-review","Valid")</f>
        <v>Valid</v>
      </c>
      <c r="T624">
        <v>355.63</v>
      </c>
      <c r="U62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355.63</v>
      </c>
      <c r="V624">
        <v>485</v>
      </c>
      <c r="W624">
        <v>1455</v>
      </c>
      <c r="X62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624">
        <f>IF(Transaction[[#This Row],[GrossRevenue_Check]]="Invalid",Transaction[[#This Row],[ListPrice]]*Transaction[[#This Row],[Quantity]],Transaction[[#This Row],[GrossRevenue_Clean]])</f>
        <v>1455</v>
      </c>
      <c r="Z624" t="str">
        <f>IF(Transaction[[#This Row],[GrossRevenue_Clean]]=Transaction[[#This Row],[ListPrice]]*Transaction[[#This Row],[Quantity]],"Valid","Invalid")</f>
        <v>Valid</v>
      </c>
      <c r="AA624">
        <v>388.11</v>
      </c>
      <c r="AB62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388.11</v>
      </c>
      <c r="AC624">
        <f>IF(Transaction[[#This Row],[DiscountAmount_Check2]]="Invalid",Transaction[[#This Row],[GrossRevenue_Analytical]]-Transaction[[#This Row],[NetRevenue_Analytical]],Transaction[[#This Row],[DiscountAmount_Clean]])</f>
        <v>388.11</v>
      </c>
      <c r="AD624">
        <v>1066.8900000000001</v>
      </c>
      <c r="AE624" t="str">
        <f>IF(ROUND(Transaction[[#This Row],[GrossRevenue_Analytical]]-Transaction[[#This Row],[NetRevenue_Analytical]],2)=ROUND(Transaction[[#This Row],[DiscountAmount_Clean]],2),"Valid","Invalid")</f>
        <v>Valid</v>
      </c>
      <c r="AF62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1066.8900000000001</v>
      </c>
      <c r="AG624">
        <f>IF(Transaction[[#This Row],[NetRevenue_Check]]="Invalid",(Transaction[[#This Row],[Quantity]]*Transaction[[#This Row],[UnitPrice_Clean]]),Transaction[[#This Row],[NetRevenue_Clean]])</f>
        <v>1066.8900000000001</v>
      </c>
      <c r="AH624" t="str">
        <f>IF(Transaction[[#This Row],[Quantity]]*Transaction[[#This Row],[UnitPrice_Clean]]=Transaction[[#This Row],[NetRevenue_Clean]],"Valid","Invalid")</f>
        <v>Valid</v>
      </c>
      <c r="AI624" t="s">
        <v>23</v>
      </c>
      <c r="AJ624" t="s">
        <v>814</v>
      </c>
      <c r="AK624" t="str">
        <f>IF(Transaction[[#This Row],[Salesperson]]="","Missing Value",TRIM(PROPER(Transaction[[#This Row],[Salesperson]])))</f>
        <v>Baker-Em</v>
      </c>
      <c r="AL624" t="s">
        <v>42</v>
      </c>
      <c r="AM624" t="str">
        <f>IF(Transaction[[#This Row],[ContractType]]="","Missing Value",Transaction[[#This Row],[ContractType]])</f>
        <v>Standard PO</v>
      </c>
      <c r="AN624" t="s">
        <v>26</v>
      </c>
    </row>
    <row r="625" spans="1:40" x14ac:dyDescent="0.25">
      <c r="A625" t="s">
        <v>649</v>
      </c>
      <c r="B625" s="1">
        <v>45787</v>
      </c>
      <c r="C62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62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62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25" s="2">
        <f>IFERROR(DATE(Transaction[[#This Row],[TransactionDateY]],Transaction[[#This Row],[TransactionDateM]],Transaction[[#This Row],[TransactionDateD]]),"Missing Value")</f>
        <v>45787</v>
      </c>
      <c r="G625" t="s">
        <v>541</v>
      </c>
      <c r="H625" t="str">
        <f>IFERROR(VLOOKUP(Transaction[[#This Row],[CustomerID]],Custumer[],1,0),IF(LEN(Transaction[[#This Row],[CustomerID]])=7,LEFT(Transaction[[#This Row],[CustomerID]],6),"Invalid ID"))</f>
        <v>C-1075</v>
      </c>
      <c r="I625" t="s">
        <v>97</v>
      </c>
      <c r="J625" t="str">
        <f>TRIM(UPPER(Transaction[[#This Row],[ProductID]]))</f>
        <v>P-SI-001</v>
      </c>
      <c r="K625" t="str">
        <f>IFERROR(VLOOKUP(Transaction[[#This Row],[ProductID_Clean]],Product[],1,FALSE),"Invalid ID")</f>
        <v>P-SI-001</v>
      </c>
      <c r="L625" t="str">
        <f>TRIM(SUBSTITUTE(SUBSTITUTE(SUBSTITUTE(SUBSTITUTE(UPPER(Transaction[[#This Row],[Region]]),"EMEA REGION","EMEA"),"APAC REGION","APAC"),"NORTH AMERICA","N. AMERICA"),"N .AMERICA","N.AMERICA"))</f>
        <v>N. AMERICA</v>
      </c>
      <c r="M625" t="s">
        <v>20</v>
      </c>
      <c r="N625" t="s">
        <v>53</v>
      </c>
      <c r="O62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25" t="s">
        <v>40</v>
      </c>
      <c r="Q625" t="str">
        <f>IF(TRIM(Transaction[[#This Row],[SalesChannel]])="","Missing Value",TRIM(Transaction[[#This Row],[SalesChannel]]))</f>
        <v>Distributor</v>
      </c>
      <c r="R625" s="4">
        <v>2</v>
      </c>
      <c r="S625" s="4" t="str">
        <f>IF(Transaction[[#This Row],[Quantity]]&lt;0,"Negative-review","Valid")</f>
        <v>Valid</v>
      </c>
      <c r="T625">
        <v>368.28</v>
      </c>
      <c r="U62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368.28</v>
      </c>
      <c r="V625">
        <v>485</v>
      </c>
      <c r="W625">
        <v>970</v>
      </c>
      <c r="X62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625">
        <f>IF(Transaction[[#This Row],[GrossRevenue_Check]]="Invalid",Transaction[[#This Row],[ListPrice]]*Transaction[[#This Row],[Quantity]],Transaction[[#This Row],[GrossRevenue_Clean]])</f>
        <v>970</v>
      </c>
      <c r="Z625" t="str">
        <f>IF(Transaction[[#This Row],[GrossRevenue_Clean]]=Transaction[[#This Row],[ListPrice]]*Transaction[[#This Row],[Quantity]],"Valid","Invalid")</f>
        <v>Valid</v>
      </c>
      <c r="AA625">
        <v>233.44</v>
      </c>
      <c r="AB62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233.44</v>
      </c>
      <c r="AC625">
        <f>IF(Transaction[[#This Row],[DiscountAmount_Check2]]="Invalid",Transaction[[#This Row],[GrossRevenue_Analytical]]-Transaction[[#This Row],[NetRevenue_Analytical]],Transaction[[#This Row],[DiscountAmount_Clean]])</f>
        <v>233.44</v>
      </c>
      <c r="AD625">
        <v>736.56</v>
      </c>
      <c r="AE625" t="str">
        <f>IF(ROUND(Transaction[[#This Row],[GrossRevenue_Analytical]]-Transaction[[#This Row],[NetRevenue_Analytical]],2)=ROUND(Transaction[[#This Row],[DiscountAmount_Clean]],2),"Valid","Invalid")</f>
        <v>Valid</v>
      </c>
      <c r="AF625">
        <f>VALUE(IF(ISNUMBER(Transaction[[#This Row],[NetRevenue]]),Transaction[[#This Row],[NetRevenue]],IFERROR(IF(FIND("$",Transaction[[#This Row],[NetRevenue]])&gt;0,MID(Transaction[[#This Row],[NetRevenue]],2,10)),Transaction[[#This Row],[NetRevenue]])))</f>
        <v>736.56</v>
      </c>
      <c r="AG625">
        <f>IF(Transaction[[#This Row],[NetRevenue_Check]]="Invalid",(Transaction[[#This Row],[Quantity]]*Transaction[[#This Row],[UnitPrice_Clean]]),Transaction[[#This Row],[NetRevenue_Clean]])</f>
        <v>736.56</v>
      </c>
      <c r="AH625" t="str">
        <f>IF(Transaction[[#This Row],[Quantity]]*Transaction[[#This Row],[UnitPrice_Clean]]=Transaction[[#This Row],[NetRevenue_Clean]],"Valid","Invalid")</f>
        <v>Valid</v>
      </c>
      <c r="AI625" t="s">
        <v>23</v>
      </c>
      <c r="AJ625" t="s">
        <v>650</v>
      </c>
      <c r="AK625" t="str">
        <f>IF(Transaction[[#This Row],[Salesperson]]="","Missing Value",TRIM(PROPER(Transaction[[#This Row],[Salesperson]])))</f>
        <v>Rios-Em</v>
      </c>
      <c r="AL625" t="s">
        <v>25</v>
      </c>
      <c r="AM625" t="str">
        <f>IF(Transaction[[#This Row],[ContractType]]="","Missing Value",Transaction[[#This Row],[ContractType]])</f>
        <v>Frame Agreement</v>
      </c>
      <c r="AN625" t="s">
        <v>49</v>
      </c>
    </row>
    <row r="626" spans="1:40" x14ac:dyDescent="0.25">
      <c r="A626" t="s">
        <v>2708</v>
      </c>
      <c r="B626" s="1">
        <v>45663</v>
      </c>
      <c r="C62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62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62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26" s="2">
        <f>IFERROR(DATE(Transaction[[#This Row],[TransactionDateY]],Transaction[[#This Row],[TransactionDateM]],Transaction[[#This Row],[TransactionDateD]]),"Missing Value")</f>
        <v>45663</v>
      </c>
      <c r="G626" t="s">
        <v>218</v>
      </c>
      <c r="H626" t="str">
        <f>IFERROR(VLOOKUP(Transaction[[#This Row],[CustomerID]],Custumer[],1,0),IF(LEN(Transaction[[#This Row],[CustomerID]])=7,LEFT(Transaction[[#This Row],[CustomerID]],6),"Invalid ID"))</f>
        <v>C-1098</v>
      </c>
      <c r="I626" t="s">
        <v>703</v>
      </c>
      <c r="J626" t="str">
        <f>TRIM(UPPER(Transaction[[#This Row],[ProductID]]))</f>
        <v>P-SI-001</v>
      </c>
      <c r="K626" t="str">
        <f>IFERROR(VLOOKUP(Transaction[[#This Row],[ProductID_Clean]],Product[],1,FALSE),"Invalid ID")</f>
        <v>P-SI-001</v>
      </c>
      <c r="L626" t="str">
        <f>TRIM(SUBSTITUTE(SUBSTITUTE(SUBSTITUTE(SUBSTITUTE(UPPER(Transaction[[#This Row],[Region]]),"EMEA REGION","EMEA"),"APAC REGION","APAC"),"NORTH AMERICA","N. AMERICA"),"N .AMERICA","N.AMERICA"))</f>
        <v>N. AMERICA</v>
      </c>
      <c r="M626" t="s">
        <v>168</v>
      </c>
      <c r="N626" t="s">
        <v>47</v>
      </c>
      <c r="O62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26" t="s">
        <v>40</v>
      </c>
      <c r="Q626" t="str">
        <f>IF(TRIM(Transaction[[#This Row],[SalesChannel]])="","Missing Value",TRIM(Transaction[[#This Row],[SalesChannel]]))</f>
        <v>Distributor</v>
      </c>
      <c r="R626" s="4">
        <v>10</v>
      </c>
      <c r="S626" s="4" t="str">
        <f>IF(Transaction[[#This Row],[Quantity]]&lt;0,"Negative-review","Valid")</f>
        <v>Valid</v>
      </c>
      <c r="T626">
        <v>373.55</v>
      </c>
      <c r="U62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373.55</v>
      </c>
      <c r="V626">
        <v>485</v>
      </c>
      <c r="W626">
        <v>4850</v>
      </c>
      <c r="X62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4850</v>
      </c>
      <c r="Y626">
        <f>IF(Transaction[[#This Row],[GrossRevenue_Check]]="Invalid",Transaction[[#This Row],[ListPrice]]*Transaction[[#This Row],[Quantity]],Transaction[[#This Row],[GrossRevenue_Clean]])</f>
        <v>4850</v>
      </c>
      <c r="Z626" t="str">
        <f>IF(Transaction[[#This Row],[GrossRevenue_Clean]]=Transaction[[#This Row],[ListPrice]]*Transaction[[#This Row],[Quantity]],"Valid","Invalid")</f>
        <v>Valid</v>
      </c>
      <c r="AA626">
        <v>1114.5</v>
      </c>
      <c r="AB62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1114.5</v>
      </c>
      <c r="AC626">
        <f>IF(Transaction[[#This Row],[DiscountAmount_Check2]]="Invalid",Transaction[[#This Row],[GrossRevenue_Analytical]]-Transaction[[#This Row],[NetRevenue_Analytical]],Transaction[[#This Row],[DiscountAmount_Clean]])</f>
        <v>1114.5</v>
      </c>
      <c r="AD626">
        <v>3735.5</v>
      </c>
      <c r="AE626" t="str">
        <f>IF(ROUND(Transaction[[#This Row],[GrossRevenue_Analytical]]-Transaction[[#This Row],[NetRevenue_Analytical]],2)=ROUND(Transaction[[#This Row],[DiscountAmount_Clean]],2),"Valid","Invalid")</f>
        <v>Valid</v>
      </c>
      <c r="AF626">
        <f>VALUE(IF(ISNUMBER(Transaction[[#This Row],[NetRevenue]]),Transaction[[#This Row],[NetRevenue]],IFERROR(IF(FIND("$",Transaction[[#This Row],[NetRevenue]])&gt;0,MID(Transaction[[#This Row],[NetRevenue]],2,10)),Transaction[[#This Row],[NetRevenue]])))</f>
        <v>3735.5</v>
      </c>
      <c r="AG626">
        <f>IF(Transaction[[#This Row],[NetRevenue_Check]]="Invalid",(Transaction[[#This Row],[Quantity]]*Transaction[[#This Row],[UnitPrice_Clean]]),Transaction[[#This Row],[NetRevenue_Clean]])</f>
        <v>3735.5</v>
      </c>
      <c r="AH626" t="str">
        <f>IF(Transaction[[#This Row],[Quantity]]*Transaction[[#This Row],[UnitPrice_Clean]]=Transaction[[#This Row],[NetRevenue_Clean]],"Valid","Invalid")</f>
        <v>Valid</v>
      </c>
      <c r="AI626" t="s">
        <v>23</v>
      </c>
      <c r="AJ626" t="s">
        <v>2709</v>
      </c>
      <c r="AK626" t="str">
        <f>IF(Transaction[[#This Row],[Salesperson]]="","Missing Value",TRIM(PROPER(Transaction[[#This Row],[Salesperson]])))</f>
        <v>Stanton-Na</v>
      </c>
      <c r="AL626" t="s">
        <v>55</v>
      </c>
      <c r="AM626" t="str">
        <f>IF(Transaction[[#This Row],[ContractType]]="","Missing Value",Transaction[[#This Row],[ContractType]])</f>
        <v>Spot</v>
      </c>
      <c r="AN626" t="s">
        <v>65</v>
      </c>
    </row>
    <row r="627" spans="1:40" x14ac:dyDescent="0.25">
      <c r="A627" t="s">
        <v>1278</v>
      </c>
      <c r="B627" s="1">
        <v>45778</v>
      </c>
      <c r="C62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62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62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27" s="2">
        <f>IFERROR(DATE(Transaction[[#This Row],[TransactionDateY]],Transaction[[#This Row],[TransactionDateM]],Transaction[[#This Row],[TransactionDateD]]),"Missing Value")</f>
        <v>45778</v>
      </c>
      <c r="G627" t="s">
        <v>627</v>
      </c>
      <c r="H627" t="str">
        <f>IFERROR(VLOOKUP(Transaction[[#This Row],[CustomerID]],Custumer[],1,0),IF(LEN(Transaction[[#This Row],[CustomerID]])=7,LEFT(Transaction[[#This Row],[CustomerID]],6),"Invalid ID"))</f>
        <v>C-1170</v>
      </c>
      <c r="I627" t="s">
        <v>1279</v>
      </c>
      <c r="J627" t="str">
        <f>TRIM(UPPER(Transaction[[#This Row],[ProductID]]))</f>
        <v>P-SI-007</v>
      </c>
      <c r="K627" t="str">
        <f>IFERROR(VLOOKUP(Transaction[[#This Row],[ProductID_Clean]],Product[],1,FALSE),"Invalid ID")</f>
        <v>P-SI-007</v>
      </c>
      <c r="L627" t="str">
        <f>TRIM(SUBSTITUTE(SUBSTITUTE(SUBSTITUTE(SUBSTITUTE(UPPER(Transaction[[#This Row],[Region]]),"EMEA REGION","EMEA"),"APAC REGION","APAC"),"NORTH AMERICA","N. AMERICA"),"N .AMERICA","N.AMERICA"))</f>
        <v>N. AMERICA</v>
      </c>
      <c r="M627" t="s">
        <v>20</v>
      </c>
      <c r="N627" t="s">
        <v>53</v>
      </c>
      <c r="O62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27" t="s">
        <v>22</v>
      </c>
      <c r="Q627" t="str">
        <f>IF(TRIM(Transaction[[#This Row],[SalesChannel]])="","Missing Value",TRIM(Transaction[[#This Row],[SalesChannel]]))</f>
        <v>Direct</v>
      </c>
      <c r="R627" s="4">
        <v>1</v>
      </c>
      <c r="S627" s="4" t="str">
        <f>IF(Transaction[[#This Row],[Quantity]]&lt;0,"Negative-review","Valid")</f>
        <v>Valid</v>
      </c>
      <c r="T627">
        <v>892.33</v>
      </c>
      <c r="U62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892.33</v>
      </c>
      <c r="V627">
        <v>980</v>
      </c>
      <c r="W627" t="s">
        <v>1280</v>
      </c>
      <c r="X62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627">
        <f>IF(Transaction[[#This Row],[GrossRevenue_Check]]="Invalid",Transaction[[#This Row],[ListPrice]]*Transaction[[#This Row],[Quantity]],Transaction[[#This Row],[GrossRevenue_Clean]])</f>
        <v>980</v>
      </c>
      <c r="Z627" t="str">
        <f>IF(Transaction[[#This Row],[GrossRevenue_Clean]]=Transaction[[#This Row],[ListPrice]]*Transaction[[#This Row],[Quantity]],"Valid","Invalid")</f>
        <v>Valid</v>
      </c>
      <c r="AA627" t="s">
        <v>1281</v>
      </c>
      <c r="AB62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87.67</v>
      </c>
      <c r="AC627">
        <f>IF(Transaction[[#This Row],[DiscountAmount_Check2]]="Invalid",Transaction[[#This Row],[GrossRevenue_Analytical]]-Transaction[[#This Row],[NetRevenue_Analytical]],Transaction[[#This Row],[DiscountAmount_Clean]])</f>
        <v>87.67</v>
      </c>
      <c r="AD627">
        <v>892.33</v>
      </c>
      <c r="AE627" t="str">
        <f>IF(ROUND(Transaction[[#This Row],[GrossRevenue_Analytical]]-Transaction[[#This Row],[NetRevenue_Analytical]],2)=ROUND(Transaction[[#This Row],[DiscountAmount_Clean]],2),"Valid","Invalid")</f>
        <v>Valid</v>
      </c>
      <c r="AF627">
        <f>VALUE(IF(ISNUMBER(Transaction[[#This Row],[NetRevenue]]),Transaction[[#This Row],[NetRevenue]],IFERROR(IF(FIND("$",Transaction[[#This Row],[NetRevenue]])&gt;0,MID(Transaction[[#This Row],[NetRevenue]],2,10)),Transaction[[#This Row],[NetRevenue]])))</f>
        <v>892.33</v>
      </c>
      <c r="AG627">
        <f>IF(Transaction[[#This Row],[NetRevenue_Check]]="Invalid",(Transaction[[#This Row],[Quantity]]*Transaction[[#This Row],[UnitPrice_Clean]]),Transaction[[#This Row],[NetRevenue_Clean]])</f>
        <v>892.33</v>
      </c>
      <c r="AH627" t="str">
        <f>IF(Transaction[[#This Row],[Quantity]]*Transaction[[#This Row],[UnitPrice_Clean]]=Transaction[[#This Row],[NetRevenue_Clean]],"Valid","Invalid")</f>
        <v>Valid</v>
      </c>
      <c r="AI627" t="s">
        <v>23</v>
      </c>
      <c r="AJ627" t="s">
        <v>1282</v>
      </c>
      <c r="AK627" t="str">
        <f>IF(Transaction[[#This Row],[Salesperson]]="","Missing Value",TRIM(PROPER(Transaction[[#This Row],[Salesperson]])))</f>
        <v>Lane</v>
      </c>
      <c r="AL627" t="s">
        <v>42</v>
      </c>
      <c r="AM627" t="str">
        <f>IF(Transaction[[#This Row],[ContractType]]="","Missing Value",Transaction[[#This Row],[ContractType]])</f>
        <v>Standard PO</v>
      </c>
      <c r="AN627" t="s">
        <v>43</v>
      </c>
    </row>
    <row r="628" spans="1:40" x14ac:dyDescent="0.25">
      <c r="A628" t="s">
        <v>2558</v>
      </c>
      <c r="B628" t="s">
        <v>2559</v>
      </c>
      <c r="C62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62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62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28" s="2">
        <f>IFERROR(DATE(Transaction[[#This Row],[TransactionDateY]],Transaction[[#This Row],[TransactionDateM]],Transaction[[#This Row],[TransactionDateD]]),"Missing Value")</f>
        <v>45820</v>
      </c>
      <c r="G628" t="s">
        <v>351</v>
      </c>
      <c r="H628" t="str">
        <f>IFERROR(VLOOKUP(Transaction[[#This Row],[CustomerID]],Custumer[],1,0),IF(LEN(Transaction[[#This Row],[CustomerID]])=7,LEFT(Transaction[[#This Row],[CustomerID]],6),"Invalid ID"))</f>
        <v>C-1004</v>
      </c>
      <c r="I628" t="s">
        <v>71</v>
      </c>
      <c r="J628" t="str">
        <f>TRIM(UPPER(Transaction[[#This Row],[ProductID]]))</f>
        <v>P-SI-003</v>
      </c>
      <c r="K628" t="str">
        <f>IFERROR(VLOOKUP(Transaction[[#This Row],[ProductID_Clean]],Product[],1,FALSE),"Invalid ID")</f>
        <v>P-SI-003</v>
      </c>
      <c r="L628" t="str">
        <f>TRIM(SUBSTITUTE(SUBSTITUTE(SUBSTITUTE(SUBSTITUTE(UPPER(Transaction[[#This Row],[Region]]),"EMEA REGION","EMEA"),"APAC REGION","APAC"),"NORTH AMERICA","N. AMERICA"),"N .AMERICA","N.AMERICA"))</f>
        <v>N. AMERICA</v>
      </c>
      <c r="M628" t="s">
        <v>20</v>
      </c>
      <c r="N628" t="s">
        <v>53</v>
      </c>
      <c r="O62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28" t="s">
        <v>22</v>
      </c>
      <c r="Q628" t="str">
        <f>IF(TRIM(Transaction[[#This Row],[SalesChannel]])="","Missing Value",TRIM(Transaction[[#This Row],[SalesChannel]]))</f>
        <v>Direct</v>
      </c>
      <c r="R628" s="4">
        <v>3</v>
      </c>
      <c r="S628" s="4" t="str">
        <f>IF(Transaction[[#This Row],[Quantity]]&lt;0,"Negative-review","Valid")</f>
        <v>Valid</v>
      </c>
      <c r="T628">
        <v>1741</v>
      </c>
      <c r="U62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1741</v>
      </c>
      <c r="V628">
        <v>1890</v>
      </c>
      <c r="W628">
        <v>5670</v>
      </c>
      <c r="X62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5670</v>
      </c>
      <c r="Y628">
        <f>IF(Transaction[[#This Row],[GrossRevenue_Check]]="Invalid",Transaction[[#This Row],[ListPrice]]*Transaction[[#This Row],[Quantity]],Transaction[[#This Row],[GrossRevenue_Clean]])</f>
        <v>5670</v>
      </c>
      <c r="Z628" t="str">
        <f>IF(Transaction[[#This Row],[GrossRevenue_Clean]]=Transaction[[#This Row],[ListPrice]]*Transaction[[#This Row],[Quantity]],"Valid","Invalid")</f>
        <v>Valid</v>
      </c>
      <c r="AA628">
        <v>447</v>
      </c>
      <c r="AB62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447</v>
      </c>
      <c r="AC628">
        <f>IF(Transaction[[#This Row],[DiscountAmount_Check2]]="Invalid",Transaction[[#This Row],[GrossRevenue_Analytical]]-Transaction[[#This Row],[NetRevenue_Analytical]],Transaction[[#This Row],[DiscountAmount_Clean]])</f>
        <v>447</v>
      </c>
      <c r="AD628">
        <v>5223</v>
      </c>
      <c r="AE628" t="str">
        <f>IF(ROUND(Transaction[[#This Row],[GrossRevenue_Analytical]]-Transaction[[#This Row],[NetRevenue_Analytical]],2)=ROUND(Transaction[[#This Row],[DiscountAmount_Clean]],2),"Valid","Invalid")</f>
        <v>Valid</v>
      </c>
      <c r="AF628">
        <f>VALUE(IF(ISNUMBER(Transaction[[#This Row],[NetRevenue]]),Transaction[[#This Row],[NetRevenue]],IFERROR(IF(FIND("$",Transaction[[#This Row],[NetRevenue]])&gt;0,MID(Transaction[[#This Row],[NetRevenue]],2,10)),Transaction[[#This Row],[NetRevenue]])))</f>
        <v>5223</v>
      </c>
      <c r="AG628">
        <f>IF(Transaction[[#This Row],[NetRevenue_Check]]="Invalid",(Transaction[[#This Row],[Quantity]]*Transaction[[#This Row],[UnitPrice_Clean]]),Transaction[[#This Row],[NetRevenue_Clean]])</f>
        <v>5223</v>
      </c>
      <c r="AH628" t="str">
        <f>IF(Transaction[[#This Row],[Quantity]]*Transaction[[#This Row],[UnitPrice_Clean]]=Transaction[[#This Row],[NetRevenue_Clean]],"Valid","Invalid")</f>
        <v>Valid</v>
      </c>
      <c r="AI628" t="s">
        <v>23</v>
      </c>
      <c r="AJ628" t="s">
        <v>2560</v>
      </c>
      <c r="AK628" t="str">
        <f>IF(Transaction[[#This Row],[Salesperson]]="","Missing Value",TRIM(PROPER(Transaction[[#This Row],[Salesperson]])))</f>
        <v>Perez-Na</v>
      </c>
      <c r="AL628" t="s">
        <v>25</v>
      </c>
      <c r="AM628" t="str">
        <f>IF(Transaction[[#This Row],[ContractType]]="","Missing Value",Transaction[[#This Row],[ContractType]])</f>
        <v>Frame Agreement</v>
      </c>
      <c r="AN628" t="s">
        <v>49</v>
      </c>
    </row>
    <row r="629" spans="1:40" x14ac:dyDescent="0.25">
      <c r="A629" t="s">
        <v>1475</v>
      </c>
      <c r="B629" s="1">
        <v>45753</v>
      </c>
      <c r="C62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62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62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29" s="2">
        <f>IFERROR(DATE(Transaction[[#This Row],[TransactionDateY]],Transaction[[#This Row],[TransactionDateM]],Transaction[[#This Row],[TransactionDateD]]),"Missing Value")</f>
        <v>45753</v>
      </c>
      <c r="G629" t="s">
        <v>96</v>
      </c>
      <c r="H629" t="str">
        <f>IFERROR(VLOOKUP(Transaction[[#This Row],[CustomerID]],Custumer[],1,0),IF(LEN(Transaction[[#This Row],[CustomerID]])=7,LEFT(Transaction[[#This Row],[CustomerID]],6),"Invalid ID"))</f>
        <v>C-1057</v>
      </c>
      <c r="I629" t="s">
        <v>46</v>
      </c>
      <c r="J629" t="str">
        <f>TRIM(UPPER(Transaction[[#This Row],[ProductID]]))</f>
        <v>P-SI-006</v>
      </c>
      <c r="K629" t="str">
        <f>IFERROR(VLOOKUP(Transaction[[#This Row],[ProductID_Clean]],Product[],1,FALSE),"Invalid ID")</f>
        <v>P-SI-006</v>
      </c>
      <c r="L629" t="str">
        <f>TRIM(SUBSTITUTE(SUBSTITUTE(SUBSTITUTE(SUBSTITUTE(UPPER(Transaction[[#This Row],[Region]]),"EMEA REGION","EMEA"),"APAC REGION","APAC"),"NORTH AMERICA","N. AMERICA"),"N .AMERICA","N.AMERICA"))</f>
        <v>N. AMERICA</v>
      </c>
      <c r="M629" t="s">
        <v>204</v>
      </c>
      <c r="N629" t="s">
        <v>47</v>
      </c>
      <c r="O62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29" t="s">
        <v>22</v>
      </c>
      <c r="Q629" t="str">
        <f>IF(TRIM(Transaction[[#This Row],[SalesChannel]])="","Missing Value",TRIM(Transaction[[#This Row],[SalesChannel]]))</f>
        <v>Direct</v>
      </c>
      <c r="R629" s="4">
        <v>1</v>
      </c>
      <c r="S629" s="4" t="str">
        <f>IF(Transaction[[#This Row],[Quantity]]&lt;0,"Negative-review","Valid")</f>
        <v>Valid</v>
      </c>
      <c r="T629">
        <v>182.8</v>
      </c>
      <c r="U62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182.8</v>
      </c>
      <c r="V629">
        <v>215</v>
      </c>
      <c r="W629">
        <v>215</v>
      </c>
      <c r="X62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629">
        <f>IF(Transaction[[#This Row],[GrossRevenue_Check]]="Invalid",Transaction[[#This Row],[ListPrice]]*Transaction[[#This Row],[Quantity]],Transaction[[#This Row],[GrossRevenue_Clean]])</f>
        <v>215</v>
      </c>
      <c r="Z629" t="str">
        <f>IF(Transaction[[#This Row],[GrossRevenue_Clean]]=Transaction[[#This Row],[ListPrice]]*Transaction[[#This Row],[Quantity]],"Valid","Invalid")</f>
        <v>Valid</v>
      </c>
      <c r="AA629">
        <v>32.200000000000003</v>
      </c>
      <c r="AB62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32.200000000000003</v>
      </c>
      <c r="AC629">
        <f>IF(Transaction[[#This Row],[DiscountAmount_Check2]]="Invalid",Transaction[[#This Row],[GrossRevenue_Analytical]]-Transaction[[#This Row],[NetRevenue_Analytical]],Transaction[[#This Row],[DiscountAmount_Clean]])</f>
        <v>32.200000000000003</v>
      </c>
      <c r="AD629">
        <v>182.8</v>
      </c>
      <c r="AE629" t="str">
        <f>IF(ROUND(Transaction[[#This Row],[GrossRevenue_Analytical]]-Transaction[[#This Row],[NetRevenue_Analytical]],2)=ROUND(Transaction[[#This Row],[DiscountAmount_Clean]],2),"Valid","Invalid")</f>
        <v>Valid</v>
      </c>
      <c r="AF62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182.8</v>
      </c>
      <c r="AG629">
        <f>IF(Transaction[[#This Row],[NetRevenue_Check]]="Invalid",(Transaction[[#This Row],[Quantity]]*Transaction[[#This Row],[UnitPrice_Clean]]),Transaction[[#This Row],[NetRevenue_Clean]])</f>
        <v>182.8</v>
      </c>
      <c r="AH629" t="str">
        <f>IF(Transaction[[#This Row],[Quantity]]*Transaction[[#This Row],[UnitPrice_Clean]]=Transaction[[#This Row],[NetRevenue_Clean]],"Valid","Invalid")</f>
        <v>Valid</v>
      </c>
      <c r="AI629" t="s">
        <v>23</v>
      </c>
      <c r="AJ629" t="s">
        <v>1165</v>
      </c>
      <c r="AK629" t="str">
        <f>IF(Transaction[[#This Row],[Salesperson]]="","Missing Value",TRIM(PROPER(Transaction[[#This Row],[Salesperson]])))</f>
        <v>Williams</v>
      </c>
      <c r="AL629" t="s">
        <v>42</v>
      </c>
      <c r="AM629" t="str">
        <f>IF(Transaction[[#This Row],[ContractType]]="","Missing Value",Transaction[[#This Row],[ContractType]])</f>
        <v>Standard PO</v>
      </c>
      <c r="AN629" t="s">
        <v>65</v>
      </c>
    </row>
    <row r="630" spans="1:40" x14ac:dyDescent="0.25">
      <c r="A630" t="s">
        <v>2814</v>
      </c>
      <c r="B630" s="1">
        <v>45662</v>
      </c>
      <c r="C63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63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63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30" s="2">
        <f>IFERROR(DATE(Transaction[[#This Row],[TransactionDateY]],Transaction[[#This Row],[TransactionDateM]],Transaction[[#This Row],[TransactionDateD]]),"Missing Value")</f>
        <v>45662</v>
      </c>
      <c r="G630" t="s">
        <v>131</v>
      </c>
      <c r="H630" t="str">
        <f>IFERROR(VLOOKUP(Transaction[[#This Row],[CustomerID]],Custumer[],1,0),IF(LEN(Transaction[[#This Row],[CustomerID]])=7,LEFT(Transaction[[#This Row],[CustomerID]],6),"Invalid ID"))</f>
        <v>C-1034</v>
      </c>
      <c r="I630" t="s">
        <v>97</v>
      </c>
      <c r="J630" t="str">
        <f>TRIM(UPPER(Transaction[[#This Row],[ProductID]]))</f>
        <v>P-SI-001</v>
      </c>
      <c r="K630" t="str">
        <f>IFERROR(VLOOKUP(Transaction[[#This Row],[ProductID_Clean]],Product[],1,FALSE),"Invalid ID")</f>
        <v>P-SI-001</v>
      </c>
      <c r="L630" t="str">
        <f>TRIM(SUBSTITUTE(SUBSTITUTE(SUBSTITUTE(SUBSTITUTE(UPPER(Transaction[[#This Row],[Region]]),"EMEA REGION","EMEA"),"APAC REGION","APAC"),"NORTH AMERICA","N. AMERICA"),"N .AMERICA","N.AMERICA"))</f>
        <v>N. AMERICA</v>
      </c>
      <c r="M630" t="s">
        <v>20</v>
      </c>
      <c r="N630" t="s">
        <v>53</v>
      </c>
      <c r="O63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30" t="s">
        <v>22</v>
      </c>
      <c r="Q630" t="str">
        <f>IF(TRIM(Transaction[[#This Row],[SalesChannel]])="","Missing Value",TRIM(Transaction[[#This Row],[SalesChannel]]))</f>
        <v>Direct</v>
      </c>
      <c r="R630" s="4">
        <v>3</v>
      </c>
      <c r="S630" s="4" t="str">
        <f>IF(Transaction[[#This Row],[Quantity]]&lt;0,"Negative-review","Valid")</f>
        <v>Valid</v>
      </c>
      <c r="T630">
        <v>465.93</v>
      </c>
      <c r="U63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465.93</v>
      </c>
      <c r="V630">
        <v>485</v>
      </c>
      <c r="W630">
        <v>1455</v>
      </c>
      <c r="X63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630">
        <f>IF(Transaction[[#This Row],[GrossRevenue_Check]]="Invalid",Transaction[[#This Row],[ListPrice]]*Transaction[[#This Row],[Quantity]],Transaction[[#This Row],[GrossRevenue_Clean]])</f>
        <v>1455</v>
      </c>
      <c r="Z630" t="str">
        <f>IF(Transaction[[#This Row],[GrossRevenue_Clean]]=Transaction[[#This Row],[ListPrice]]*Transaction[[#This Row],[Quantity]],"Valid","Invalid")</f>
        <v>Valid</v>
      </c>
      <c r="AA630">
        <v>57.21</v>
      </c>
      <c r="AB63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57.21</v>
      </c>
      <c r="AC630">
        <f>IF(Transaction[[#This Row],[DiscountAmount_Check2]]="Invalid",Transaction[[#This Row],[GrossRevenue_Analytical]]-Transaction[[#This Row],[NetRevenue_Analytical]],Transaction[[#This Row],[DiscountAmount_Clean]])</f>
        <v>57.21</v>
      </c>
      <c r="AD630">
        <v>1397.79</v>
      </c>
      <c r="AE630" t="str">
        <f>IF(ROUND(Transaction[[#This Row],[GrossRevenue_Analytical]]-Transaction[[#This Row],[NetRevenue_Analytical]],2)=ROUND(Transaction[[#This Row],[DiscountAmount_Clean]],2),"Valid","Invalid")</f>
        <v>Valid</v>
      </c>
      <c r="AF63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1397.79</v>
      </c>
      <c r="AG630">
        <f>IF(Transaction[[#This Row],[NetRevenue_Check]]="Invalid",(Transaction[[#This Row],[Quantity]]*Transaction[[#This Row],[UnitPrice_Clean]]),Transaction[[#This Row],[NetRevenue_Clean]])</f>
        <v>1397.79</v>
      </c>
      <c r="AH630" t="str">
        <f>IF(Transaction[[#This Row],[Quantity]]*Transaction[[#This Row],[UnitPrice_Clean]]=Transaction[[#This Row],[NetRevenue_Clean]],"Valid","Invalid")</f>
        <v>Valid</v>
      </c>
      <c r="AI630" t="s">
        <v>99</v>
      </c>
      <c r="AJ630" t="s">
        <v>1462</v>
      </c>
      <c r="AK630" t="str">
        <f>IF(Transaction[[#This Row],[Salesperson]]="","Missing Value",TRIM(PROPER(Transaction[[#This Row],[Salesperson]])))</f>
        <v>Castillo</v>
      </c>
      <c r="AL630" t="s">
        <v>25</v>
      </c>
      <c r="AM630" t="str">
        <f>IF(Transaction[[#This Row],[ContractType]]="","Missing Value",Transaction[[#This Row],[ContractType]])</f>
        <v>Frame Agreement</v>
      </c>
      <c r="AN630" t="s">
        <v>26</v>
      </c>
    </row>
    <row r="631" spans="1:40" x14ac:dyDescent="0.25">
      <c r="A631" t="s">
        <v>1151</v>
      </c>
      <c r="B631" s="1">
        <v>45748</v>
      </c>
      <c r="C63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63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63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31" s="2">
        <f>IFERROR(DATE(Transaction[[#This Row],[TransactionDateY]],Transaction[[#This Row],[TransactionDateM]],Transaction[[#This Row],[TransactionDateD]]),"Missing Value")</f>
        <v>45748</v>
      </c>
      <c r="G631" t="s">
        <v>1152</v>
      </c>
      <c r="H631" t="str">
        <f>IFERROR(VLOOKUP(Transaction[[#This Row],[CustomerID]],Custumer[],1,0),IF(LEN(Transaction[[#This Row],[CustomerID]])=7,LEFT(Transaction[[#This Row],[CustomerID]],6),"Invalid ID"))</f>
        <v>C-1178</v>
      </c>
      <c r="I631" t="s">
        <v>258</v>
      </c>
      <c r="J631" t="str">
        <f>TRIM(UPPER(Transaction[[#This Row],[ProductID]]))</f>
        <v>P-SA-003</v>
      </c>
      <c r="K631" t="str">
        <f>IFERROR(VLOOKUP(Transaction[[#This Row],[ProductID_Clean]],Product[],1,FALSE),"Invalid ID")</f>
        <v>P-SA-003</v>
      </c>
      <c r="L631" t="str">
        <f>TRIM(SUBSTITUTE(SUBSTITUTE(SUBSTITUTE(SUBSTITUTE(UPPER(Transaction[[#This Row],[Region]]),"EMEA REGION","EMEA"),"APAC REGION","APAC"),"NORTH AMERICA","N. AMERICA"),"N .AMERICA","N.AMERICA"))</f>
        <v>EMEA</v>
      </c>
      <c r="M631" t="s">
        <v>76</v>
      </c>
      <c r="N631" t="s">
        <v>31</v>
      </c>
      <c r="O63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631" t="s">
        <v>40</v>
      </c>
      <c r="Q631" t="str">
        <f>IF(TRIM(Transaction[[#This Row],[SalesChannel]])="","Missing Value",TRIM(Transaction[[#This Row],[SalesChannel]]))</f>
        <v>Distributor</v>
      </c>
      <c r="R631" s="4">
        <v>3</v>
      </c>
      <c r="S631" s="4" t="str">
        <f>IF(Transaction[[#This Row],[Quantity]]&lt;0,"Negative-review","Valid")</f>
        <v>Valid</v>
      </c>
      <c r="T631">
        <v>2243.29</v>
      </c>
      <c r="U63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2243.29</v>
      </c>
      <c r="V631">
        <v>2750</v>
      </c>
      <c r="W631">
        <v>8250</v>
      </c>
      <c r="X63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8250</v>
      </c>
      <c r="Y631">
        <f>IF(Transaction[[#This Row],[GrossRevenue_Check]]="Invalid",Transaction[[#This Row],[ListPrice]]*Transaction[[#This Row],[Quantity]],Transaction[[#This Row],[GrossRevenue_Clean]])</f>
        <v>8250</v>
      </c>
      <c r="Z631" t="str">
        <f>IF(Transaction[[#This Row],[GrossRevenue_Clean]]=Transaction[[#This Row],[ListPrice]]*Transaction[[#This Row],[Quantity]],"Valid","Invalid")</f>
        <v>Valid</v>
      </c>
      <c r="AB63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631">
        <f>IF(Transaction[[#This Row],[DiscountAmount_Check2]]="Invalid",Transaction[[#This Row],[GrossRevenue_Analytical]]-Transaction[[#This Row],[NetRevenue_Analytical]],Transaction[[#This Row],[DiscountAmount_Clean]])</f>
        <v>1520.13</v>
      </c>
      <c r="AD631">
        <v>6729.87</v>
      </c>
      <c r="AE631" t="str">
        <f>IF(ROUND(Transaction[[#This Row],[GrossRevenue_Analytical]]-Transaction[[#This Row],[NetRevenue_Analytical]],2)=ROUND(Transaction[[#This Row],[DiscountAmount_Clean]],2),"Valid","Invalid")</f>
        <v>Invalid</v>
      </c>
      <c r="AF631">
        <f>VALUE(IF(ISNUMBER(Transaction[[#This Row],[NetRevenue]]),Transaction[[#This Row],[NetRevenue]],IFERROR(IF(FIND("$",Transaction[[#This Row],[NetRevenue]])&gt;0,MID(Transaction[[#This Row],[NetRevenue]],2,10)),Transaction[[#This Row],[NetRevenue]])))</f>
        <v>6729.87</v>
      </c>
      <c r="AG631">
        <f>IF(Transaction[[#This Row],[NetRevenue_Check]]="Invalid",(Transaction[[#This Row],[Quantity]]*Transaction[[#This Row],[UnitPrice_Clean]]),Transaction[[#This Row],[NetRevenue_Clean]])</f>
        <v>6729.87</v>
      </c>
      <c r="AH631" t="str">
        <f>IF(Transaction[[#This Row],[Quantity]]*Transaction[[#This Row],[UnitPrice_Clean]]=Transaction[[#This Row],[NetRevenue_Clean]],"Valid","Invalid")</f>
        <v>Valid</v>
      </c>
      <c r="AI631" t="s">
        <v>23</v>
      </c>
      <c r="AJ631" t="s">
        <v>294</v>
      </c>
      <c r="AK631" t="str">
        <f>IF(Transaction[[#This Row],[Salesperson]]="","Missing Value",TRIM(PROPER(Transaction[[#This Row],[Salesperson]])))</f>
        <v>Sanders</v>
      </c>
      <c r="AL631" t="s">
        <v>210</v>
      </c>
      <c r="AM631" t="str">
        <f>IF(Transaction[[#This Row],[ContractType]]="","Missing Value",Transaction[[#This Row],[ContractType]])</f>
        <v>Perpetual</v>
      </c>
      <c r="AN631" t="s">
        <v>49</v>
      </c>
    </row>
    <row r="632" spans="1:40" x14ac:dyDescent="0.25">
      <c r="A632" t="s">
        <v>492</v>
      </c>
      <c r="B632" t="s">
        <v>493</v>
      </c>
      <c r="C63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63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03</v>
      </c>
      <c r="E63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32" s="2">
        <f>IFERROR(DATE(Transaction[[#This Row],[TransactionDateY]],Transaction[[#This Row],[TransactionDateM]],Transaction[[#This Row],[TransactionDateD]]),"Missing Value")</f>
        <v>45719</v>
      </c>
      <c r="G632" t="s">
        <v>494</v>
      </c>
      <c r="H632" t="str">
        <f>IFERROR(VLOOKUP(Transaction[[#This Row],[CustomerID]],Custumer[],1,0),IF(LEN(Transaction[[#This Row],[CustomerID]])=7,LEFT(Transaction[[#This Row],[CustomerID]],6),"Invalid ID"))</f>
        <v>C-1132</v>
      </c>
      <c r="I632" t="s">
        <v>39</v>
      </c>
      <c r="J632" t="str">
        <f>TRIM(UPPER(Transaction[[#This Row],[ProductID]]))</f>
        <v>P-FS-006</v>
      </c>
      <c r="K632" t="str">
        <f>IFERROR(VLOOKUP(Transaction[[#This Row],[ProductID_Clean]],Product[],1,FALSE),"Invalid ID")</f>
        <v>P-FS-006</v>
      </c>
      <c r="L632" t="str">
        <f>TRIM(SUBSTITUTE(SUBSTITUTE(SUBSTITUTE(SUBSTITUTE(UPPER(Transaction[[#This Row],[Region]]),"EMEA REGION","EMEA"),"APAC REGION","APAC"),"NORTH AMERICA","N. AMERICA"),"N .AMERICA","N.AMERICA"))</f>
        <v>N. AMERICA</v>
      </c>
      <c r="M632" t="s">
        <v>495</v>
      </c>
      <c r="N632" t="s">
        <v>21</v>
      </c>
      <c r="O632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632" t="s">
        <v>22</v>
      </c>
      <c r="Q632" t="str">
        <f>IF(TRIM(Transaction[[#This Row],[SalesChannel]])="","Missing Value",TRIM(Transaction[[#This Row],[SalesChannel]]))</f>
        <v>Direct</v>
      </c>
      <c r="R632" s="4">
        <v>1</v>
      </c>
      <c r="S632" s="4" t="str">
        <f>IF(Transaction[[#This Row],[Quantity]]&lt;0,"Negative-review","Valid")</f>
        <v>Valid</v>
      </c>
      <c r="T632">
        <v>1440.48</v>
      </c>
      <c r="U63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1440.48</v>
      </c>
      <c r="V632">
        <v>1450</v>
      </c>
      <c r="W632">
        <v>1450</v>
      </c>
      <c r="X63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632">
        <f>IF(Transaction[[#This Row],[GrossRevenue_Check]]="Invalid",Transaction[[#This Row],[ListPrice]]*Transaction[[#This Row],[Quantity]],Transaction[[#This Row],[GrossRevenue_Clean]])</f>
        <v>1450</v>
      </c>
      <c r="Z632" t="str">
        <f>IF(Transaction[[#This Row],[GrossRevenue_Clean]]=Transaction[[#This Row],[ListPrice]]*Transaction[[#This Row],[Quantity]],"Valid","Invalid")</f>
        <v>Valid</v>
      </c>
      <c r="AA632">
        <v>9.52</v>
      </c>
      <c r="AB63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9.52</v>
      </c>
      <c r="AC632">
        <f>IF(Transaction[[#This Row],[DiscountAmount_Check2]]="Invalid",Transaction[[#This Row],[GrossRevenue_Analytical]]-Transaction[[#This Row],[NetRevenue_Analytical]],Transaction[[#This Row],[DiscountAmount_Clean]])</f>
        <v>9.52</v>
      </c>
      <c r="AD632">
        <v>1440.48</v>
      </c>
      <c r="AE632" t="str">
        <f>IF(ROUND(Transaction[[#This Row],[GrossRevenue_Analytical]]-Transaction[[#This Row],[NetRevenue_Analytical]],2)=ROUND(Transaction[[#This Row],[DiscountAmount_Clean]],2),"Valid","Invalid")</f>
        <v>Valid</v>
      </c>
      <c r="AF63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1440.48</v>
      </c>
      <c r="AG632">
        <f>IF(Transaction[[#This Row],[NetRevenue_Check]]="Invalid",(Transaction[[#This Row],[Quantity]]*Transaction[[#This Row],[UnitPrice_Clean]]),Transaction[[#This Row],[NetRevenue_Clean]])</f>
        <v>1440.48</v>
      </c>
      <c r="AH632" t="str">
        <f>IF(Transaction[[#This Row],[Quantity]]*Transaction[[#This Row],[UnitPrice_Clean]]=Transaction[[#This Row],[NetRevenue_Clean]],"Valid","Invalid")</f>
        <v>Valid</v>
      </c>
      <c r="AI632" t="s">
        <v>23</v>
      </c>
      <c r="AJ632" t="s">
        <v>496</v>
      </c>
      <c r="AK632" t="str">
        <f>IF(Transaction[[#This Row],[Salesperson]]="","Missing Value",TRIM(PROPER(Transaction[[#This Row],[Salesperson]])))</f>
        <v>Griffith-Ap</v>
      </c>
      <c r="AL632" t="s">
        <v>42</v>
      </c>
      <c r="AM632" t="str">
        <f>IF(Transaction[[#This Row],[ContractType]]="","Missing Value",Transaction[[#This Row],[ContractType]])</f>
        <v>Standard PO</v>
      </c>
      <c r="AN632" t="s">
        <v>49</v>
      </c>
    </row>
    <row r="633" spans="1:40" x14ac:dyDescent="0.25">
      <c r="A633" t="s">
        <v>1531</v>
      </c>
      <c r="B633" s="1">
        <v>45826</v>
      </c>
      <c r="C63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63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63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33" s="2">
        <f>IFERROR(DATE(Transaction[[#This Row],[TransactionDateY]],Transaction[[#This Row],[TransactionDateM]],Transaction[[#This Row],[TransactionDateD]]),"Missing Value")</f>
        <v>45826</v>
      </c>
      <c r="G633" t="s">
        <v>1532</v>
      </c>
      <c r="H633" t="str">
        <f>IFERROR(VLOOKUP(Transaction[[#This Row],[CustomerID]],Custumer[],1,0),IF(LEN(Transaction[[#This Row],[CustomerID]])=7,LEFT(Transaction[[#This Row],[CustomerID]],6),"Invalid ID"))</f>
        <v>C-1185</v>
      </c>
      <c r="I633" t="s">
        <v>97</v>
      </c>
      <c r="J633" t="str">
        <f>TRIM(UPPER(Transaction[[#This Row],[ProductID]]))</f>
        <v>P-SI-001</v>
      </c>
      <c r="K633" t="str">
        <f>IFERROR(VLOOKUP(Transaction[[#This Row],[ProductID_Clean]],Product[],1,FALSE),"Invalid ID")</f>
        <v>P-SI-001</v>
      </c>
      <c r="L633" t="str">
        <f>TRIM(SUBSTITUTE(SUBSTITUTE(SUBSTITUTE(SUBSTITUTE(UPPER(Transaction[[#This Row],[Region]]),"EMEA REGION","EMEA"),"APAC REGION","APAC"),"NORTH AMERICA","N. AMERICA"),"N .AMERICA","N.AMERICA"))</f>
        <v>EMEA</v>
      </c>
      <c r="M633" t="s">
        <v>76</v>
      </c>
      <c r="N633" t="s">
        <v>53</v>
      </c>
      <c r="O63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33" t="s">
        <v>40</v>
      </c>
      <c r="Q633" t="str">
        <f>IF(TRIM(Transaction[[#This Row],[SalesChannel]])="","Missing Value",TRIM(Transaction[[#This Row],[SalesChannel]]))</f>
        <v>Distributor</v>
      </c>
      <c r="R633" s="4">
        <v>8</v>
      </c>
      <c r="S633" s="4" t="str">
        <f>IF(Transaction[[#This Row],[Quantity]]&lt;0,"Negative-review","Valid")</f>
        <v>Valid</v>
      </c>
      <c r="T633">
        <v>411.3</v>
      </c>
      <c r="U63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411.3</v>
      </c>
      <c r="V633">
        <v>485</v>
      </c>
      <c r="W633">
        <v>3880</v>
      </c>
      <c r="X63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3880</v>
      </c>
      <c r="Y633">
        <f>IF(Transaction[[#This Row],[GrossRevenue_Check]]="Invalid",Transaction[[#This Row],[ListPrice]]*Transaction[[#This Row],[Quantity]],Transaction[[#This Row],[GrossRevenue_Clean]])</f>
        <v>3880</v>
      </c>
      <c r="Z633" t="str">
        <f>IF(Transaction[[#This Row],[GrossRevenue_Clean]]=Transaction[[#This Row],[ListPrice]]*Transaction[[#This Row],[Quantity]],"Valid","Invalid")</f>
        <v>Valid</v>
      </c>
      <c r="AA633">
        <v>589.6</v>
      </c>
      <c r="AB63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589.6</v>
      </c>
      <c r="AC633">
        <f>IF(Transaction[[#This Row],[DiscountAmount_Check2]]="Invalid",Transaction[[#This Row],[GrossRevenue_Analytical]]-Transaction[[#This Row],[NetRevenue_Analytical]],Transaction[[#This Row],[DiscountAmount_Clean]])</f>
        <v>589.6</v>
      </c>
      <c r="AD633">
        <v>3290.4</v>
      </c>
      <c r="AE633" t="str">
        <f>IF(ROUND(Transaction[[#This Row],[GrossRevenue_Analytical]]-Transaction[[#This Row],[NetRevenue_Analytical]],2)=ROUND(Transaction[[#This Row],[DiscountAmount_Clean]],2),"Valid","Invalid")</f>
        <v>Valid</v>
      </c>
      <c r="AF63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3290.4</v>
      </c>
      <c r="AG633">
        <f>IF(Transaction[[#This Row],[NetRevenue_Check]]="Invalid",(Transaction[[#This Row],[Quantity]]*Transaction[[#This Row],[UnitPrice_Clean]]),Transaction[[#This Row],[NetRevenue_Clean]])</f>
        <v>3290.4</v>
      </c>
      <c r="AH633" t="str">
        <f>IF(Transaction[[#This Row],[Quantity]]*Transaction[[#This Row],[UnitPrice_Clean]]=Transaction[[#This Row],[NetRevenue_Clean]],"Valid","Invalid")</f>
        <v>Valid</v>
      </c>
      <c r="AI633" t="s">
        <v>23</v>
      </c>
      <c r="AJ633" t="s">
        <v>1244</v>
      </c>
      <c r="AK633" t="str">
        <f>IF(Transaction[[#This Row],[Salesperson]]="","Missing Value",TRIM(PROPER(Transaction[[#This Row],[Salesperson]])))</f>
        <v>Hampton-Ap</v>
      </c>
      <c r="AL633" t="s">
        <v>55</v>
      </c>
      <c r="AM633" t="str">
        <f>IF(Transaction[[#This Row],[ContractType]]="","Missing Value",Transaction[[#This Row],[ContractType]])</f>
        <v>Spot</v>
      </c>
      <c r="AN633" t="s">
        <v>26</v>
      </c>
    </row>
    <row r="634" spans="1:40" x14ac:dyDescent="0.25">
      <c r="A634" t="s">
        <v>1365</v>
      </c>
      <c r="B634" s="1">
        <v>45684</v>
      </c>
      <c r="C63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63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63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34" s="2">
        <f>IFERROR(DATE(Transaction[[#This Row],[TransactionDateY]],Transaction[[#This Row],[TransactionDateM]],Transaction[[#This Row],[TransactionDateD]]),"Missing Value")</f>
        <v>45684</v>
      </c>
      <c r="G634" t="s">
        <v>755</v>
      </c>
      <c r="H634" t="str">
        <f>IFERROR(VLOOKUP(Transaction[[#This Row],[CustomerID]],Custumer[],1,0),IF(LEN(Transaction[[#This Row],[CustomerID]])=7,LEFT(Transaction[[#This Row],[CustomerID]],6),"Invalid ID"))</f>
        <v>C-1013</v>
      </c>
      <c r="I634" t="s">
        <v>979</v>
      </c>
      <c r="J634" t="str">
        <f>TRIM(UPPER(Transaction[[#This Row],[ProductID]]))</f>
        <v>P-SI-003</v>
      </c>
      <c r="K634" t="str">
        <f>IFERROR(VLOOKUP(Transaction[[#This Row],[ProductID_Clean]],Product[],1,FALSE),"Invalid ID")</f>
        <v>P-SI-003</v>
      </c>
      <c r="L634" t="str">
        <f>TRIM(SUBSTITUTE(SUBSTITUTE(SUBSTITUTE(SUBSTITUTE(UPPER(Transaction[[#This Row],[Region]]),"EMEA REGION","EMEA"),"APAC REGION","APAC"),"NORTH AMERICA","N. AMERICA"),"N .AMERICA","N.AMERICA"))</f>
        <v>N. AMERICA</v>
      </c>
      <c r="M634" t="s">
        <v>20</v>
      </c>
      <c r="N634" t="s">
        <v>53</v>
      </c>
      <c r="O63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34" t="s">
        <v>32</v>
      </c>
      <c r="Q634" t="str">
        <f>IF(TRIM(Transaction[[#This Row],[SalesChannel]])="","Missing Value",TRIM(Transaction[[#This Row],[SalesChannel]]))</f>
        <v>Direct</v>
      </c>
      <c r="R634" s="4">
        <v>4</v>
      </c>
      <c r="S634" s="4" t="str">
        <f>IF(Transaction[[#This Row],[Quantity]]&lt;0,"Negative-review","Valid")</f>
        <v>Valid</v>
      </c>
      <c r="T634">
        <v>1653.56</v>
      </c>
      <c r="U63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1653.56</v>
      </c>
      <c r="V634">
        <v>1890</v>
      </c>
      <c r="W634">
        <v>7560</v>
      </c>
      <c r="X63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7560</v>
      </c>
      <c r="Y634">
        <f>IF(Transaction[[#This Row],[GrossRevenue_Check]]="Invalid",Transaction[[#This Row],[ListPrice]]*Transaction[[#This Row],[Quantity]],Transaction[[#This Row],[GrossRevenue_Clean]])</f>
        <v>7560</v>
      </c>
      <c r="Z634" t="str">
        <f>IF(Transaction[[#This Row],[GrossRevenue_Clean]]=Transaction[[#This Row],[ListPrice]]*Transaction[[#This Row],[Quantity]],"Valid","Invalid")</f>
        <v>Valid</v>
      </c>
      <c r="AA634">
        <v>945.76</v>
      </c>
      <c r="AB63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945.76</v>
      </c>
      <c r="AC634">
        <f>IF(Transaction[[#This Row],[DiscountAmount_Check2]]="Invalid",Transaction[[#This Row],[GrossRevenue_Analytical]]-Transaction[[#This Row],[NetRevenue_Analytical]],Transaction[[#This Row],[DiscountAmount_Clean]])</f>
        <v>945.76</v>
      </c>
      <c r="AD634">
        <v>6614.24</v>
      </c>
      <c r="AE634" t="str">
        <f>IF(ROUND(Transaction[[#This Row],[GrossRevenue_Analytical]]-Transaction[[#This Row],[NetRevenue_Analytical]],2)=ROUND(Transaction[[#This Row],[DiscountAmount_Clean]],2),"Valid","Invalid")</f>
        <v>Valid</v>
      </c>
      <c r="AF634">
        <f>VALUE(IF(ISNUMBER(Transaction[[#This Row],[NetRevenue]]),Transaction[[#This Row],[NetRevenue]],IFERROR(IF(FIND("$",Transaction[[#This Row],[NetRevenue]])&gt;0,MID(Transaction[[#This Row],[NetRevenue]],2,10)),Transaction[[#This Row],[NetRevenue]])))</f>
        <v>6614.24</v>
      </c>
      <c r="AG634">
        <f>IF(Transaction[[#This Row],[NetRevenue_Check]]="Invalid",(Transaction[[#This Row],[Quantity]]*Transaction[[#This Row],[UnitPrice_Clean]]),Transaction[[#This Row],[NetRevenue_Clean]])</f>
        <v>6614.24</v>
      </c>
      <c r="AH634" t="str">
        <f>IF(Transaction[[#This Row],[Quantity]]*Transaction[[#This Row],[UnitPrice_Clean]]=Transaction[[#This Row],[NetRevenue_Clean]],"Valid","Invalid")</f>
        <v>Valid</v>
      </c>
      <c r="AI634" t="s">
        <v>23</v>
      </c>
      <c r="AJ634" t="s">
        <v>1196</v>
      </c>
      <c r="AK634" t="str">
        <f>IF(Transaction[[#This Row],[Salesperson]]="","Missing Value",TRIM(PROPER(Transaction[[#This Row],[Salesperson]])))</f>
        <v>James-Ap</v>
      </c>
      <c r="AL634" t="s">
        <v>42</v>
      </c>
      <c r="AM634" t="str">
        <f>IF(Transaction[[#This Row],[ContractType]]="","Missing Value",Transaction[[#This Row],[ContractType]])</f>
        <v>Standard PO</v>
      </c>
      <c r="AN634" t="s">
        <v>43</v>
      </c>
    </row>
    <row r="635" spans="1:40" x14ac:dyDescent="0.25">
      <c r="A635" t="s">
        <v>2815</v>
      </c>
      <c r="B635" s="1">
        <v>45743</v>
      </c>
      <c r="C63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63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63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35" s="2">
        <f>IFERROR(DATE(Transaction[[#This Row],[TransactionDateY]],Transaction[[#This Row],[TransactionDateM]],Transaction[[#This Row],[TransactionDateD]]),"Missing Value")</f>
        <v>45743</v>
      </c>
      <c r="G635" t="s">
        <v>86</v>
      </c>
      <c r="H635" t="str">
        <f>IFERROR(VLOOKUP(Transaction[[#This Row],[CustomerID]],Custumer[],1,0),IF(LEN(Transaction[[#This Row],[CustomerID]])=7,LEFT(Transaction[[#This Row],[CustomerID]],6),"Invalid ID"))</f>
        <v>C-1177</v>
      </c>
      <c r="I635" t="s">
        <v>62</v>
      </c>
      <c r="J635" t="str">
        <f>TRIM(UPPER(Transaction[[#This Row],[ProductID]]))</f>
        <v>P-SI-004</v>
      </c>
      <c r="K635" t="str">
        <f>IFERROR(VLOOKUP(Transaction[[#This Row],[ProductID_Clean]],Product[],1,FALSE),"Invalid ID")</f>
        <v>P-SI-004</v>
      </c>
      <c r="L635" t="str">
        <f>TRIM(SUBSTITUTE(SUBSTITUTE(SUBSTITUTE(SUBSTITUTE(UPPER(Transaction[[#This Row],[Region]]),"EMEA REGION","EMEA"),"APAC REGION","APAC"),"NORTH AMERICA","N. AMERICA"),"N .AMERICA","N.AMERICA"))</f>
        <v>EMEA</v>
      </c>
      <c r="M635" t="s">
        <v>76</v>
      </c>
      <c r="N635" t="s">
        <v>272</v>
      </c>
      <c r="O63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35" t="s">
        <v>40</v>
      </c>
      <c r="Q635" t="str">
        <f>IF(TRIM(Transaction[[#This Row],[SalesChannel]])="","Missing Value",TRIM(Transaction[[#This Row],[SalesChannel]]))</f>
        <v>Distributor</v>
      </c>
      <c r="R635" s="4">
        <v>3</v>
      </c>
      <c r="S635" s="4" t="str">
        <f>IF(Transaction[[#This Row],[Quantity]]&lt;0,"Negative-review","Valid")</f>
        <v>Valid</v>
      </c>
      <c r="T635">
        <v>1987.07</v>
      </c>
      <c r="U63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1987.07</v>
      </c>
      <c r="V635">
        <v>2450</v>
      </c>
      <c r="W635">
        <v>7350</v>
      </c>
      <c r="X63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7350</v>
      </c>
      <c r="Y635">
        <f>IF(Transaction[[#This Row],[GrossRevenue_Check]]="Invalid",Transaction[[#This Row],[ListPrice]]*Transaction[[#This Row],[Quantity]],Transaction[[#This Row],[GrossRevenue_Clean]])</f>
        <v>7350</v>
      </c>
      <c r="Z635" t="str">
        <f>IF(Transaction[[#This Row],[GrossRevenue_Clean]]=Transaction[[#This Row],[ListPrice]]*Transaction[[#This Row],[Quantity]],"Valid","Invalid")</f>
        <v>Valid</v>
      </c>
      <c r="AA635">
        <v>1388.79</v>
      </c>
      <c r="AB63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1388.79</v>
      </c>
      <c r="AC635">
        <f>IF(Transaction[[#This Row],[DiscountAmount_Check2]]="Invalid",Transaction[[#This Row],[GrossRevenue_Analytical]]-Transaction[[#This Row],[NetRevenue_Analytical]],Transaction[[#This Row],[DiscountAmount_Clean]])</f>
        <v>1388.79</v>
      </c>
      <c r="AD635">
        <v>5961.21</v>
      </c>
      <c r="AE635" t="str">
        <f>IF(ROUND(Transaction[[#This Row],[GrossRevenue_Analytical]]-Transaction[[#This Row],[NetRevenue_Analytical]],2)=ROUND(Transaction[[#This Row],[DiscountAmount_Clean]],2),"Valid","Invalid")</f>
        <v>Valid</v>
      </c>
      <c r="AF635">
        <f>VALUE(IF(ISNUMBER(Transaction[[#This Row],[NetRevenue]]),Transaction[[#This Row],[NetRevenue]],IFERROR(IF(FIND("$",Transaction[[#This Row],[NetRevenue]])&gt;0,MID(Transaction[[#This Row],[NetRevenue]],2,10)),Transaction[[#This Row],[NetRevenue]])))</f>
        <v>5961.21</v>
      </c>
      <c r="AG635">
        <f>IF(Transaction[[#This Row],[NetRevenue_Check]]="Invalid",(Transaction[[#This Row],[Quantity]]*Transaction[[#This Row],[UnitPrice_Clean]]),Transaction[[#This Row],[NetRevenue_Clean]])</f>
        <v>5961.21</v>
      </c>
      <c r="AH635" t="str">
        <f>IF(Transaction[[#This Row],[Quantity]]*Transaction[[#This Row],[UnitPrice_Clean]]=Transaction[[#This Row],[NetRevenue_Clean]],"Valid","Invalid")</f>
        <v>Valid</v>
      </c>
      <c r="AI635" t="s">
        <v>23</v>
      </c>
      <c r="AJ635" t="s">
        <v>2816</v>
      </c>
      <c r="AK635" t="str">
        <f>IF(Transaction[[#This Row],[Salesperson]]="","Missing Value",TRIM(PROPER(Transaction[[#This Row],[Salesperson]])))</f>
        <v>Underwood</v>
      </c>
      <c r="AL635" t="s">
        <v>42</v>
      </c>
      <c r="AM635" t="str">
        <f>IF(Transaction[[#This Row],[ContractType]]="","Missing Value",Transaction[[#This Row],[ContractType]])</f>
        <v>Standard PO</v>
      </c>
      <c r="AN635" t="s">
        <v>49</v>
      </c>
    </row>
    <row r="636" spans="1:40" x14ac:dyDescent="0.25">
      <c r="A636" t="s">
        <v>2366</v>
      </c>
      <c r="B636" s="1">
        <v>45797</v>
      </c>
      <c r="C63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63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63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36" s="2">
        <f>IFERROR(DATE(Transaction[[#This Row],[TransactionDateY]],Transaction[[#This Row],[TransactionDateM]],Transaction[[#This Row],[TransactionDateD]]),"Missing Value")</f>
        <v>45797</v>
      </c>
      <c r="G636" t="s">
        <v>146</v>
      </c>
      <c r="H636" t="str">
        <f>IFERROR(VLOOKUP(Transaction[[#This Row],[CustomerID]],Custumer[],1,0),IF(LEN(Transaction[[#This Row],[CustomerID]])=7,LEFT(Transaction[[#This Row],[CustomerID]],6),"Invalid ID"))</f>
        <v>C-1095</v>
      </c>
      <c r="I636" t="s">
        <v>92</v>
      </c>
      <c r="J636" t="str">
        <f>TRIM(UPPER(Transaction[[#This Row],[ProductID]]))</f>
        <v>P-SI-008</v>
      </c>
      <c r="K636" t="str">
        <f>IFERROR(VLOOKUP(Transaction[[#This Row],[ProductID_Clean]],Product[],1,FALSE),"Invalid ID")</f>
        <v>P-SI-008</v>
      </c>
      <c r="L636" t="str">
        <f>TRIM(SUBSTITUTE(SUBSTITUTE(SUBSTITUTE(SUBSTITUTE(UPPER(Transaction[[#This Row],[Region]]),"EMEA REGION","EMEA"),"APAC REGION","APAC"),"NORTH AMERICA","N. AMERICA"),"N .AMERICA","N.AMERICA"))</f>
        <v>LATIN AMERICA</v>
      </c>
      <c r="M636" t="s">
        <v>82</v>
      </c>
      <c r="N636" t="s">
        <v>53</v>
      </c>
      <c r="O63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36" t="s">
        <v>40</v>
      </c>
      <c r="Q636" t="str">
        <f>IF(TRIM(Transaction[[#This Row],[SalesChannel]])="","Missing Value",TRIM(Transaction[[#This Row],[SalesChannel]]))</f>
        <v>Distributor</v>
      </c>
      <c r="R636" s="4">
        <v>1</v>
      </c>
      <c r="S636" s="4" t="str">
        <f>IF(Transaction[[#This Row],[Quantity]]&lt;0,"Negative-review","Valid")</f>
        <v>Valid</v>
      </c>
      <c r="T636">
        <v>685.83</v>
      </c>
      <c r="U63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685.83</v>
      </c>
      <c r="V636">
        <v>950</v>
      </c>
      <c r="W636">
        <v>950</v>
      </c>
      <c r="X63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636">
        <f>IF(Transaction[[#This Row],[GrossRevenue_Check]]="Invalid",Transaction[[#This Row],[ListPrice]]*Transaction[[#This Row],[Quantity]],Transaction[[#This Row],[GrossRevenue_Clean]])</f>
        <v>950</v>
      </c>
      <c r="Z636" t="str">
        <f>IF(Transaction[[#This Row],[GrossRevenue_Clean]]=Transaction[[#This Row],[ListPrice]]*Transaction[[#This Row],[Quantity]],"Valid","Invalid")</f>
        <v>Valid</v>
      </c>
      <c r="AA636">
        <v>264.17</v>
      </c>
      <c r="AB63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264.17</v>
      </c>
      <c r="AC636">
        <f>IF(Transaction[[#This Row],[DiscountAmount_Check2]]="Invalid",Transaction[[#This Row],[GrossRevenue_Analytical]]-Transaction[[#This Row],[NetRevenue_Analytical]],Transaction[[#This Row],[DiscountAmount_Clean]])</f>
        <v>264.17</v>
      </c>
      <c r="AD636">
        <v>685.83</v>
      </c>
      <c r="AE636" t="str">
        <f>IF(ROUND(Transaction[[#This Row],[GrossRevenue_Analytical]]-Transaction[[#This Row],[NetRevenue_Analytical]],2)=ROUND(Transaction[[#This Row],[DiscountAmount_Clean]],2),"Valid","Invalid")</f>
        <v>Valid</v>
      </c>
      <c r="AF636">
        <f>VALUE(IF(ISNUMBER(Transaction[[#This Row],[NetRevenue]]),Transaction[[#This Row],[NetRevenue]],IFERROR(IF(FIND("$",Transaction[[#This Row],[NetRevenue]])&gt;0,MID(Transaction[[#This Row],[NetRevenue]],2,10)),Transaction[[#This Row],[NetRevenue]])))</f>
        <v>685.83</v>
      </c>
      <c r="AG636">
        <f>IF(Transaction[[#This Row],[NetRevenue_Check]]="Invalid",(Transaction[[#This Row],[Quantity]]*Transaction[[#This Row],[UnitPrice_Clean]]),Transaction[[#This Row],[NetRevenue_Clean]])</f>
        <v>685.83</v>
      </c>
      <c r="AH636" t="str">
        <f>IF(Transaction[[#This Row],[Quantity]]*Transaction[[#This Row],[UnitPrice_Clean]]=Transaction[[#This Row],[NetRevenue_Clean]],"Valid","Invalid")</f>
        <v>Valid</v>
      </c>
      <c r="AI636" t="s">
        <v>23</v>
      </c>
      <c r="AJ636" t="s">
        <v>1923</v>
      </c>
      <c r="AK636" t="str">
        <f>IF(Transaction[[#This Row],[Salesperson]]="","Missing Value",TRIM(PROPER(Transaction[[#This Row],[Salesperson]])))</f>
        <v>Allen</v>
      </c>
      <c r="AL636" t="s">
        <v>55</v>
      </c>
      <c r="AM636" t="str">
        <f>IF(Transaction[[#This Row],[ContractType]]="","Missing Value",Transaction[[#This Row],[ContractType]])</f>
        <v>Spot</v>
      </c>
      <c r="AN636" t="s">
        <v>49</v>
      </c>
    </row>
    <row r="637" spans="1:40" x14ac:dyDescent="0.25">
      <c r="A637" t="s">
        <v>451</v>
      </c>
      <c r="B637" t="s">
        <v>452</v>
      </c>
      <c r="C63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63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63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37" s="2">
        <f>IFERROR(DATE(Transaction[[#This Row],[TransactionDateY]],Transaction[[#This Row],[TransactionDateM]],Transaction[[#This Row],[TransactionDateD]]),"Missing Value")</f>
        <v>45822</v>
      </c>
      <c r="G637" t="s">
        <v>176</v>
      </c>
      <c r="H637" t="str">
        <f>IFERROR(VLOOKUP(Transaction[[#This Row],[CustomerID]],Custumer[],1,0),IF(LEN(Transaction[[#This Row],[CustomerID]])=7,LEFT(Transaction[[#This Row],[CustomerID]],6),"Invalid ID"))</f>
        <v>C-1062</v>
      </c>
      <c r="I637" t="s">
        <v>453</v>
      </c>
      <c r="J637" t="str">
        <f>TRIM(UPPER(Transaction[[#This Row],[ProductID]]))</f>
        <v>PROD-001</v>
      </c>
      <c r="K637" t="str">
        <f>IFERROR(VLOOKUP(Transaction[[#This Row],[ProductID_Clean]],Product[],1,FALSE),"Invalid ID")</f>
        <v>Invalid ID</v>
      </c>
      <c r="L637" t="str">
        <f>TRIM(SUBSTITUTE(SUBSTITUTE(SUBSTITUTE(SUBSTITUTE(UPPER(Transaction[[#This Row],[Region]]),"EMEA REGION","EMEA"),"APAC REGION","APAC"),"NORTH AMERICA","N. AMERICA"),"N .AMERICA","N.AMERICA"))</f>
        <v>EMEA</v>
      </c>
      <c r="M637" t="s">
        <v>76</v>
      </c>
      <c r="N637" t="s">
        <v>53</v>
      </c>
      <c r="O63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37" t="s">
        <v>22</v>
      </c>
      <c r="Q637" t="str">
        <f>IF(TRIM(Transaction[[#This Row],[SalesChannel]])="","Missing Value",TRIM(Transaction[[#This Row],[SalesChannel]]))</f>
        <v>Direct</v>
      </c>
      <c r="R637" s="4">
        <v>3</v>
      </c>
      <c r="S637" s="4" t="str">
        <f>IF(Transaction[[#This Row],[Quantity]]&lt;0,"Negative-review","Valid")</f>
        <v>Valid</v>
      </c>
      <c r="T637">
        <v>682.86</v>
      </c>
      <c r="U63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682.86</v>
      </c>
      <c r="V637">
        <v>725</v>
      </c>
      <c r="W637">
        <v>2175</v>
      </c>
      <c r="X63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2175</v>
      </c>
      <c r="Y637">
        <f>IF(Transaction[[#This Row],[GrossRevenue_Check]]="Invalid",Transaction[[#This Row],[ListPrice]]*Transaction[[#This Row],[Quantity]],Transaction[[#This Row],[GrossRevenue_Clean]])</f>
        <v>2175</v>
      </c>
      <c r="Z637" t="str">
        <f>IF(Transaction[[#This Row],[GrossRevenue_Clean]]=Transaction[[#This Row],[ListPrice]]*Transaction[[#This Row],[Quantity]],"Valid","Invalid")</f>
        <v>Valid</v>
      </c>
      <c r="AA637">
        <v>126.42</v>
      </c>
      <c r="AB63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126.42</v>
      </c>
      <c r="AC637">
        <f>IF(Transaction[[#This Row],[DiscountAmount_Check2]]="Invalid",Transaction[[#This Row],[GrossRevenue_Analytical]]-Transaction[[#This Row],[NetRevenue_Analytical]],Transaction[[#This Row],[DiscountAmount_Clean]])</f>
        <v>126.42</v>
      </c>
      <c r="AD637">
        <v>2048.58</v>
      </c>
      <c r="AE637" t="str">
        <f>IF(ROUND(Transaction[[#This Row],[GrossRevenue_Analytical]]-Transaction[[#This Row],[NetRevenue_Analytical]],2)=ROUND(Transaction[[#This Row],[DiscountAmount_Clean]],2),"Valid","Invalid")</f>
        <v>Valid</v>
      </c>
      <c r="AF637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2048.58</v>
      </c>
      <c r="AG637">
        <f>IF(Transaction[[#This Row],[NetRevenue_Check]]="Invalid",(Transaction[[#This Row],[Quantity]]*Transaction[[#This Row],[UnitPrice_Clean]]),Transaction[[#This Row],[NetRevenue_Clean]])</f>
        <v>2048.58</v>
      </c>
      <c r="AH637" t="str">
        <f>IF(Transaction[[#This Row],[Quantity]]*Transaction[[#This Row],[UnitPrice_Clean]]=Transaction[[#This Row],[NetRevenue_Clean]],"Valid","Invalid")</f>
        <v>Valid</v>
      </c>
      <c r="AI637" t="s">
        <v>23</v>
      </c>
      <c r="AJ637" t="s">
        <v>454</v>
      </c>
      <c r="AK637" t="str">
        <f>IF(Transaction[[#This Row],[Salesperson]]="","Missing Value",TRIM(PROPER(Transaction[[#This Row],[Salesperson]])))</f>
        <v>Armstrong</v>
      </c>
      <c r="AL637" t="s">
        <v>42</v>
      </c>
      <c r="AM637" t="str">
        <f>IF(Transaction[[#This Row],[ContractType]]="","Missing Value",Transaction[[#This Row],[ContractType]])</f>
        <v>Standard PO</v>
      </c>
      <c r="AN637" t="s">
        <v>65</v>
      </c>
    </row>
    <row r="638" spans="1:40" x14ac:dyDescent="0.25">
      <c r="A638" t="s">
        <v>2408</v>
      </c>
      <c r="B638" t="s">
        <v>2409</v>
      </c>
      <c r="C63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63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63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38" s="2">
        <f>IFERROR(DATE(Transaction[[#This Row],[TransactionDateY]],Transaction[[#This Row],[TransactionDateM]],Transaction[[#This Row],[TransactionDateD]]),"Missing Value")</f>
        <v>45833</v>
      </c>
      <c r="G638" t="s">
        <v>208</v>
      </c>
      <c r="H638" t="str">
        <f>IFERROR(VLOOKUP(Transaction[[#This Row],[CustomerID]],Custumer[],1,0),IF(LEN(Transaction[[#This Row],[CustomerID]])=7,LEFT(Transaction[[#This Row],[CustomerID]],6),"Invalid ID"))</f>
        <v>C-1076</v>
      </c>
      <c r="I638" t="s">
        <v>92</v>
      </c>
      <c r="J638" t="str">
        <f>TRIM(UPPER(Transaction[[#This Row],[ProductID]]))</f>
        <v>P-SI-008</v>
      </c>
      <c r="K638" t="str">
        <f>IFERROR(VLOOKUP(Transaction[[#This Row],[ProductID_Clean]],Product[],1,FALSE),"Invalid ID")</f>
        <v>P-SI-008</v>
      </c>
      <c r="L638" t="str">
        <f>TRIM(SUBSTITUTE(SUBSTITUTE(SUBSTITUTE(SUBSTITUTE(UPPER(Transaction[[#This Row],[Region]]),"EMEA REGION","EMEA"),"APAC REGION","APAC"),"NORTH AMERICA","N. AMERICA"),"N .AMERICA","N.AMERICA"))</f>
        <v>APAC</v>
      </c>
      <c r="M638" t="s">
        <v>30</v>
      </c>
      <c r="N638" t="s">
        <v>53</v>
      </c>
      <c r="O63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38" t="s">
        <v>420</v>
      </c>
      <c r="Q638" t="str">
        <f>IF(TRIM(Transaction[[#This Row],[SalesChannel]])="","Missing Value",TRIM(Transaction[[#This Row],[SalesChannel]]))</f>
        <v>partner portal</v>
      </c>
      <c r="R638" s="4">
        <v>1</v>
      </c>
      <c r="S638" s="4" t="str">
        <f>IF(Transaction[[#This Row],[Quantity]]&lt;0,"Negative-review","Valid")</f>
        <v>Valid</v>
      </c>
      <c r="T638">
        <v>794.7</v>
      </c>
      <c r="U63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794.7</v>
      </c>
      <c r="V638">
        <v>950</v>
      </c>
      <c r="W638">
        <v>950</v>
      </c>
      <c r="X63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638">
        <f>IF(Transaction[[#This Row],[GrossRevenue_Check]]="Invalid",Transaction[[#This Row],[ListPrice]]*Transaction[[#This Row],[Quantity]],Transaction[[#This Row],[GrossRevenue_Clean]])</f>
        <v>950</v>
      </c>
      <c r="Z638" t="str">
        <f>IF(Transaction[[#This Row],[GrossRevenue_Clean]]=Transaction[[#This Row],[ListPrice]]*Transaction[[#This Row],[Quantity]],"Valid","Invalid")</f>
        <v>Valid</v>
      </c>
      <c r="AA638">
        <v>155.30000000000001</v>
      </c>
      <c r="AB63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155.30000000000001</v>
      </c>
      <c r="AC638">
        <f>IF(Transaction[[#This Row],[DiscountAmount_Check2]]="Invalid",Transaction[[#This Row],[GrossRevenue_Analytical]]-Transaction[[#This Row],[NetRevenue_Analytical]],Transaction[[#This Row],[DiscountAmount_Clean]])</f>
        <v>155.30000000000001</v>
      </c>
      <c r="AD638">
        <v>794.7</v>
      </c>
      <c r="AE638" t="str">
        <f>IF(ROUND(Transaction[[#This Row],[GrossRevenue_Analytical]]-Transaction[[#This Row],[NetRevenue_Analytical]],2)=ROUND(Transaction[[#This Row],[DiscountAmount_Clean]],2),"Valid","Invalid")</f>
        <v>Valid</v>
      </c>
      <c r="AF638">
        <f>VALUE(IF(ISNUMBER(Transaction[[#This Row],[NetRevenue]]),Transaction[[#This Row],[NetRevenue]],IFERROR(IF(FIND("$",Transaction[[#This Row],[NetRevenue]])&gt;0,MID(Transaction[[#This Row],[NetRevenue]],2,10)),Transaction[[#This Row],[NetRevenue]])))</f>
        <v>794.7</v>
      </c>
      <c r="AG638">
        <f>IF(Transaction[[#This Row],[NetRevenue_Check]]="Invalid",(Transaction[[#This Row],[Quantity]]*Transaction[[#This Row],[UnitPrice_Clean]]),Transaction[[#This Row],[NetRevenue_Clean]])</f>
        <v>794.7</v>
      </c>
      <c r="AH638" t="str">
        <f>IF(Transaction[[#This Row],[Quantity]]*Transaction[[#This Row],[UnitPrice_Clean]]=Transaction[[#This Row],[NetRevenue_Clean]],"Valid","Invalid")</f>
        <v>Valid</v>
      </c>
      <c r="AI638" t="s">
        <v>23</v>
      </c>
      <c r="AJ638" t="s">
        <v>2410</v>
      </c>
      <c r="AK638" t="str">
        <f>IF(Transaction[[#This Row],[Salesperson]]="","Missing Value",TRIM(PROPER(Transaction[[#This Row],[Salesperson]])))</f>
        <v>Graves-Na</v>
      </c>
      <c r="AL638" t="s">
        <v>42</v>
      </c>
      <c r="AM638" t="str">
        <f>IF(Transaction[[#This Row],[ContractType]]="","Missing Value",Transaction[[#This Row],[ContractType]])</f>
        <v>Standard PO</v>
      </c>
      <c r="AN638" t="s">
        <v>49</v>
      </c>
    </row>
    <row r="639" spans="1:40" x14ac:dyDescent="0.25">
      <c r="A639" t="s">
        <v>1550</v>
      </c>
      <c r="B639" s="1">
        <v>45836</v>
      </c>
      <c r="C63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63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63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39" s="2">
        <f>IFERROR(DATE(Transaction[[#This Row],[TransactionDateY]],Transaction[[#This Row],[TransactionDateM]],Transaction[[#This Row],[TransactionDateD]]),"Missing Value")</f>
        <v>45836</v>
      </c>
      <c r="G639" t="s">
        <v>284</v>
      </c>
      <c r="H639" t="str">
        <f>IFERROR(VLOOKUP(Transaction[[#This Row],[CustomerID]],Custumer[],1,0),IF(LEN(Transaction[[#This Row],[CustomerID]])=7,LEFT(Transaction[[#This Row],[CustomerID]],6),"Invalid ID"))</f>
        <v>C-1101</v>
      </c>
      <c r="I639" t="s">
        <v>268</v>
      </c>
      <c r="J639" t="str">
        <f>TRIM(UPPER(Transaction[[#This Row],[ProductID]]))</f>
        <v>P-FS-002</v>
      </c>
      <c r="K639" t="str">
        <f>IFERROR(VLOOKUP(Transaction[[#This Row],[ProductID_Clean]],Product[],1,FALSE),"Invalid ID")</f>
        <v>P-FS-002</v>
      </c>
      <c r="L639" t="str">
        <f>TRIM(SUBSTITUTE(SUBSTITUTE(SUBSTITUTE(SUBSTITUTE(UPPER(Transaction[[#This Row],[Region]]),"EMEA REGION","EMEA"),"APAC REGION","APAC"),"NORTH AMERICA","N. AMERICA"),"N .AMERICA","N.AMERICA"))</f>
        <v>EMEA</v>
      </c>
      <c r="M639" t="s">
        <v>76</v>
      </c>
      <c r="N639" t="s">
        <v>21</v>
      </c>
      <c r="O639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639" t="s">
        <v>22</v>
      </c>
      <c r="Q639" t="str">
        <f>IF(TRIM(Transaction[[#This Row],[SalesChannel]])="","Missing Value",TRIM(Transaction[[#This Row],[SalesChannel]]))</f>
        <v>Direct</v>
      </c>
      <c r="R639" s="4">
        <v>1</v>
      </c>
      <c r="S639" s="4" t="str">
        <f>IF(Transaction[[#This Row],[Quantity]]&lt;0,"Negative-review","Valid")</f>
        <v>Valid</v>
      </c>
      <c r="T639">
        <v>2116.73</v>
      </c>
      <c r="U63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2116.73</v>
      </c>
      <c r="V639">
        <v>2400</v>
      </c>
      <c r="W639">
        <v>2400</v>
      </c>
      <c r="X63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639">
        <f>IF(Transaction[[#This Row],[GrossRevenue_Check]]="Invalid",Transaction[[#This Row],[ListPrice]]*Transaction[[#This Row],[Quantity]],Transaction[[#This Row],[GrossRevenue_Clean]])</f>
        <v>2400</v>
      </c>
      <c r="Z639" t="str">
        <f>IF(Transaction[[#This Row],[GrossRevenue_Clean]]=Transaction[[#This Row],[ListPrice]]*Transaction[[#This Row],[Quantity]],"Valid","Invalid")</f>
        <v>Valid</v>
      </c>
      <c r="AA639">
        <v>283.27</v>
      </c>
      <c r="AB63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283.27</v>
      </c>
      <c r="AC639">
        <f>IF(Transaction[[#This Row],[DiscountAmount_Check2]]="Invalid",Transaction[[#This Row],[GrossRevenue_Analytical]]-Transaction[[#This Row],[NetRevenue_Analytical]],Transaction[[#This Row],[DiscountAmount_Clean]])</f>
        <v>283.27</v>
      </c>
      <c r="AD639">
        <v>2116.73</v>
      </c>
      <c r="AE639" t="str">
        <f>IF(ROUND(Transaction[[#This Row],[GrossRevenue_Analytical]]-Transaction[[#This Row],[NetRevenue_Analytical]],2)=ROUND(Transaction[[#This Row],[DiscountAmount_Clean]],2),"Valid","Invalid")</f>
        <v>Valid</v>
      </c>
      <c r="AF63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2116.73</v>
      </c>
      <c r="AG639">
        <f>IF(Transaction[[#This Row],[NetRevenue_Check]]="Invalid",(Transaction[[#This Row],[Quantity]]*Transaction[[#This Row],[UnitPrice_Clean]]),Transaction[[#This Row],[NetRevenue_Clean]])</f>
        <v>2116.73</v>
      </c>
      <c r="AH639" t="str">
        <f>IF(Transaction[[#This Row],[Quantity]]*Transaction[[#This Row],[UnitPrice_Clean]]=Transaction[[#This Row],[NetRevenue_Clean]],"Valid","Invalid")</f>
        <v>Valid</v>
      </c>
      <c r="AI639" t="s">
        <v>23</v>
      </c>
      <c r="AJ639" t="s">
        <v>1541</v>
      </c>
      <c r="AK639" t="str">
        <f>IF(Transaction[[#This Row],[Salesperson]]="","Missing Value",TRIM(PROPER(Transaction[[#This Row],[Salesperson]])))</f>
        <v>Lee</v>
      </c>
      <c r="AL639" t="s">
        <v>224</v>
      </c>
      <c r="AM639" t="str">
        <f>IF(Transaction[[#This Row],[ContractType]]="","Missing Value",Transaction[[#This Row],[ContractType]])</f>
        <v>Annual</v>
      </c>
      <c r="AN639" t="s">
        <v>35</v>
      </c>
    </row>
    <row r="640" spans="1:40" x14ac:dyDescent="0.25">
      <c r="A640" t="s">
        <v>2355</v>
      </c>
      <c r="B640" s="1">
        <v>45692</v>
      </c>
      <c r="C64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64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64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40" s="2">
        <f>IFERROR(DATE(Transaction[[#This Row],[TransactionDateY]],Transaction[[#This Row],[TransactionDateM]],Transaction[[#This Row],[TransactionDateD]]),"Missing Value")</f>
        <v>45692</v>
      </c>
      <c r="G640" t="s">
        <v>429</v>
      </c>
      <c r="H640" t="str">
        <f>IFERROR(VLOOKUP(Transaction[[#This Row],[CustomerID]],Custumer[],1,0),IF(LEN(Transaction[[#This Row],[CustomerID]])=7,LEFT(Transaction[[#This Row],[CustomerID]],6),"Invalid ID"))</f>
        <v>C-1009</v>
      </c>
      <c r="I640" t="s">
        <v>71</v>
      </c>
      <c r="J640" t="str">
        <f>TRIM(UPPER(Transaction[[#This Row],[ProductID]]))</f>
        <v>P-SI-003</v>
      </c>
      <c r="K640" t="str">
        <f>IFERROR(VLOOKUP(Transaction[[#This Row],[ProductID_Clean]],Product[],1,FALSE),"Invalid ID")</f>
        <v>P-SI-003</v>
      </c>
      <c r="L640" t="str">
        <f>TRIM(SUBSTITUTE(SUBSTITUTE(SUBSTITUTE(SUBSTITUTE(UPPER(Transaction[[#This Row],[Region]]),"EMEA REGION","EMEA"),"APAC REGION","APAC"),"NORTH AMERICA","N. AMERICA"),"N .AMERICA","N.AMERICA"))</f>
        <v>EMEA</v>
      </c>
      <c r="M640" t="s">
        <v>87</v>
      </c>
      <c r="N640" t="s">
        <v>98</v>
      </c>
      <c r="O64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40" t="s">
        <v>22</v>
      </c>
      <c r="Q640" t="str">
        <f>IF(TRIM(Transaction[[#This Row],[SalesChannel]])="","Missing Value",TRIM(Transaction[[#This Row],[SalesChannel]]))</f>
        <v>Direct</v>
      </c>
      <c r="R640" s="4">
        <v>5</v>
      </c>
      <c r="S640" s="4" t="str">
        <f>IF(Transaction[[#This Row],[Quantity]]&lt;0,"Negative-review","Valid")</f>
        <v>Valid</v>
      </c>
      <c r="T640">
        <v>1611.17</v>
      </c>
      <c r="U64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1611.17</v>
      </c>
      <c r="V640">
        <v>1890</v>
      </c>
      <c r="W640">
        <v>9450</v>
      </c>
      <c r="X64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9450</v>
      </c>
      <c r="Y640">
        <f>IF(Transaction[[#This Row],[GrossRevenue_Check]]="Invalid",Transaction[[#This Row],[ListPrice]]*Transaction[[#This Row],[Quantity]],Transaction[[#This Row],[GrossRevenue_Clean]])</f>
        <v>9450</v>
      </c>
      <c r="Z640" t="str">
        <f>IF(Transaction[[#This Row],[GrossRevenue_Clean]]=Transaction[[#This Row],[ListPrice]]*Transaction[[#This Row],[Quantity]],"Valid","Invalid")</f>
        <v>Valid</v>
      </c>
      <c r="AA640">
        <v>1394.15</v>
      </c>
      <c r="AB64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1394.15</v>
      </c>
      <c r="AC640">
        <f>IF(Transaction[[#This Row],[DiscountAmount_Check2]]="Invalid",Transaction[[#This Row],[GrossRevenue_Analytical]]-Transaction[[#This Row],[NetRevenue_Analytical]],Transaction[[#This Row],[DiscountAmount_Clean]])</f>
        <v>1394.15</v>
      </c>
      <c r="AD640">
        <v>8055.85</v>
      </c>
      <c r="AE640" t="str">
        <f>IF(ROUND(Transaction[[#This Row],[GrossRevenue_Analytical]]-Transaction[[#This Row],[NetRevenue_Analytical]],2)=ROUND(Transaction[[#This Row],[DiscountAmount_Clean]],2),"Valid","Invalid")</f>
        <v>Valid</v>
      </c>
      <c r="AF640">
        <f>VALUE(IF(ISNUMBER(Transaction[[#This Row],[NetRevenue]]),Transaction[[#This Row],[NetRevenue]],IFERROR(IF(FIND("$",Transaction[[#This Row],[NetRevenue]])&gt;0,MID(Transaction[[#This Row],[NetRevenue]],2,10)),Transaction[[#This Row],[NetRevenue]])))</f>
        <v>8055.85</v>
      </c>
      <c r="AG640">
        <f>IF(Transaction[[#This Row],[NetRevenue_Check]]="Invalid",(Transaction[[#This Row],[Quantity]]*Transaction[[#This Row],[UnitPrice_Clean]]),Transaction[[#This Row],[NetRevenue_Clean]])</f>
        <v>8055.85</v>
      </c>
      <c r="AH640" t="str">
        <f>IF(Transaction[[#This Row],[Quantity]]*Transaction[[#This Row],[UnitPrice_Clean]]=Transaction[[#This Row],[NetRevenue_Clean]],"Valid","Invalid")</f>
        <v>Valid</v>
      </c>
      <c r="AI640" t="s">
        <v>23</v>
      </c>
      <c r="AJ640" t="s">
        <v>2356</v>
      </c>
      <c r="AK640" t="str">
        <f>IF(Transaction[[#This Row],[Salesperson]]="","Missing Value",TRIM(PROPER(Transaction[[#This Row],[Salesperson]])))</f>
        <v>Alexander</v>
      </c>
      <c r="AL640" t="s">
        <v>55</v>
      </c>
      <c r="AM640" t="str">
        <f>IF(Transaction[[#This Row],[ContractType]]="","Missing Value",Transaction[[#This Row],[ContractType]])</f>
        <v>Spot</v>
      </c>
      <c r="AN640" t="s">
        <v>49</v>
      </c>
    </row>
    <row r="641" spans="1:40" x14ac:dyDescent="0.25">
      <c r="A641" t="s">
        <v>1416</v>
      </c>
      <c r="B641" s="1">
        <v>45775</v>
      </c>
      <c r="C64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64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64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41" s="2">
        <f>IFERROR(DATE(Transaction[[#This Row],[TransactionDateY]],Transaction[[#This Row],[TransactionDateM]],Transaction[[#This Row],[TransactionDateD]]),"Missing Value")</f>
        <v>45775</v>
      </c>
      <c r="G641" t="s">
        <v>1417</v>
      </c>
      <c r="H641" t="str">
        <f>IFERROR(VLOOKUP(Transaction[[#This Row],[CustomerID]],Custumer[],1,0),IF(LEN(Transaction[[#This Row],[CustomerID]])=7,LEFT(Transaction[[#This Row],[CustomerID]],6),"Invalid ID"))</f>
        <v>C-1050</v>
      </c>
      <c r="I641" t="s">
        <v>52</v>
      </c>
      <c r="J641" t="str">
        <f>TRIM(UPPER(Transaction[[#This Row],[ProductID]]))</f>
        <v>P-SI-002</v>
      </c>
      <c r="K641" t="str">
        <f>IFERROR(VLOOKUP(Transaction[[#This Row],[ProductID_Clean]],Product[],1,FALSE),"Invalid ID")</f>
        <v>P-SI-002</v>
      </c>
      <c r="L641" t="str">
        <f>TRIM(SUBSTITUTE(SUBSTITUTE(SUBSTITUTE(SUBSTITUTE(UPPER(Transaction[[#This Row],[Region]]),"EMEA REGION","EMEA"),"APAC REGION","APAC"),"NORTH AMERICA","N. AMERICA"),"N .AMERICA","N.AMERICA"))</f>
        <v>EMEA</v>
      </c>
      <c r="M641" t="s">
        <v>76</v>
      </c>
      <c r="N641" t="s">
        <v>53</v>
      </c>
      <c r="O64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41" t="s">
        <v>40</v>
      </c>
      <c r="Q641" t="str">
        <f>IF(TRIM(Transaction[[#This Row],[SalesChannel]])="","Missing Value",TRIM(Transaction[[#This Row],[SalesChannel]]))</f>
        <v>Distributor</v>
      </c>
      <c r="R641" s="4">
        <v>2</v>
      </c>
      <c r="S641" s="4" t="str">
        <f>IF(Transaction[[#This Row],[Quantity]]&lt;0,"Negative-review","Valid")</f>
        <v>Valid</v>
      </c>
      <c r="T641">
        <v>610.62</v>
      </c>
      <c r="U64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610.62</v>
      </c>
      <c r="V641">
        <v>725</v>
      </c>
      <c r="W641">
        <v>1450</v>
      </c>
      <c r="X64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641">
        <f>IF(Transaction[[#This Row],[GrossRevenue_Check]]="Invalid",Transaction[[#This Row],[ListPrice]]*Transaction[[#This Row],[Quantity]],Transaction[[#This Row],[GrossRevenue_Clean]])</f>
        <v>1450</v>
      </c>
      <c r="Z641" t="str">
        <f>IF(Transaction[[#This Row],[GrossRevenue_Clean]]=Transaction[[#This Row],[ListPrice]]*Transaction[[#This Row],[Quantity]],"Valid","Invalid")</f>
        <v>Valid</v>
      </c>
      <c r="AA641">
        <v>228.76</v>
      </c>
      <c r="AB64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228.76</v>
      </c>
      <c r="AC641">
        <f>IF(Transaction[[#This Row],[DiscountAmount_Check2]]="Invalid",Transaction[[#This Row],[GrossRevenue_Analytical]]-Transaction[[#This Row],[NetRevenue_Analytical]],Transaction[[#This Row],[DiscountAmount_Clean]])</f>
        <v>228.76</v>
      </c>
      <c r="AD641">
        <v>1221.24</v>
      </c>
      <c r="AE641" t="str">
        <f>IF(ROUND(Transaction[[#This Row],[GrossRevenue_Analytical]]-Transaction[[#This Row],[NetRevenue_Analytical]],2)=ROUND(Transaction[[#This Row],[DiscountAmount_Clean]],2),"Valid","Invalid")</f>
        <v>Valid</v>
      </c>
      <c r="AF64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1221.24</v>
      </c>
      <c r="AG641">
        <f>IF(Transaction[[#This Row],[NetRevenue_Check]]="Invalid",(Transaction[[#This Row],[Quantity]]*Transaction[[#This Row],[UnitPrice_Clean]]),Transaction[[#This Row],[NetRevenue_Clean]])</f>
        <v>1221.24</v>
      </c>
      <c r="AH641" t="str">
        <f>IF(Transaction[[#This Row],[Quantity]]*Transaction[[#This Row],[UnitPrice_Clean]]=Transaction[[#This Row],[NetRevenue_Clean]],"Valid","Invalid")</f>
        <v>Valid</v>
      </c>
      <c r="AI641" t="s">
        <v>23</v>
      </c>
      <c r="AJ641" t="s">
        <v>1418</v>
      </c>
      <c r="AK641" t="str">
        <f>IF(Transaction[[#This Row],[Salesperson]]="","Missing Value",TRIM(PROPER(Transaction[[#This Row],[Salesperson]])))</f>
        <v>Barnes</v>
      </c>
      <c r="AL641" t="s">
        <v>42</v>
      </c>
      <c r="AM641" t="str">
        <f>IF(Transaction[[#This Row],[ContractType]]="","Missing Value",Transaction[[#This Row],[ContractType]])</f>
        <v>Standard PO</v>
      </c>
      <c r="AN641" t="s">
        <v>65</v>
      </c>
    </row>
    <row r="642" spans="1:40" x14ac:dyDescent="0.25">
      <c r="A642" t="s">
        <v>2646</v>
      </c>
      <c r="B642" s="1">
        <v>45669</v>
      </c>
      <c r="C64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64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64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42" s="2">
        <f>IFERROR(DATE(Transaction[[#This Row],[TransactionDateY]],Transaction[[#This Row],[TransactionDateM]],Transaction[[#This Row],[TransactionDateD]]),"Missing Value")</f>
        <v>45669</v>
      </c>
      <c r="G642" t="s">
        <v>364</v>
      </c>
      <c r="H642" t="str">
        <f>IFERROR(VLOOKUP(Transaction[[#This Row],[CustomerID]],Custumer[],1,0),IF(LEN(Transaction[[#This Row],[CustomerID]])=7,LEFT(Transaction[[#This Row],[CustomerID]],6),"Invalid ID"))</f>
        <v>Invalid ID</v>
      </c>
      <c r="I642" t="s">
        <v>52</v>
      </c>
      <c r="J642" t="str">
        <f>TRIM(UPPER(Transaction[[#This Row],[ProductID]]))</f>
        <v>P-SI-002</v>
      </c>
      <c r="K642" t="str">
        <f>IFERROR(VLOOKUP(Transaction[[#This Row],[ProductID_Clean]],Product[],1,FALSE),"Invalid ID")</f>
        <v>P-SI-002</v>
      </c>
      <c r="L642" t="str">
        <f>TRIM(SUBSTITUTE(SUBSTITUTE(SUBSTITUTE(SUBSTITUTE(UPPER(Transaction[[#This Row],[Region]]),"EMEA REGION","EMEA"),"APAC REGION","APAC"),"NORTH AMERICA","N. AMERICA"),"N .AMERICA","N.AMERICA"))</f>
        <v>LATIN AMERICA</v>
      </c>
      <c r="M642" t="s">
        <v>82</v>
      </c>
      <c r="N642" t="s">
        <v>272</v>
      </c>
      <c r="O64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42" t="s">
        <v>420</v>
      </c>
      <c r="Q642" t="str">
        <f>IF(TRIM(Transaction[[#This Row],[SalesChannel]])="","Missing Value",TRIM(Transaction[[#This Row],[SalesChannel]]))</f>
        <v>partner portal</v>
      </c>
      <c r="R642" s="4">
        <v>1</v>
      </c>
      <c r="S642" s="4" t="str">
        <f>IF(Transaction[[#This Row],[Quantity]]&lt;0,"Negative-review","Valid")</f>
        <v>Valid</v>
      </c>
      <c r="T642">
        <v>540.15</v>
      </c>
      <c r="U64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540.15</v>
      </c>
      <c r="V642">
        <v>725</v>
      </c>
      <c r="W642">
        <v>725</v>
      </c>
      <c r="X64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642">
        <f>IF(Transaction[[#This Row],[GrossRevenue_Check]]="Invalid",Transaction[[#This Row],[ListPrice]]*Transaction[[#This Row],[Quantity]],Transaction[[#This Row],[GrossRevenue_Clean]])</f>
        <v>725</v>
      </c>
      <c r="Z642" t="str">
        <f>IF(Transaction[[#This Row],[GrossRevenue_Clean]]=Transaction[[#This Row],[ListPrice]]*Transaction[[#This Row],[Quantity]],"Valid","Invalid")</f>
        <v>Valid</v>
      </c>
      <c r="AA642">
        <v>184.85</v>
      </c>
      <c r="AB64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184.85</v>
      </c>
      <c r="AC642">
        <f>IF(Transaction[[#This Row],[DiscountAmount_Check2]]="Invalid",Transaction[[#This Row],[GrossRevenue_Analytical]]-Transaction[[#This Row],[NetRevenue_Analytical]],Transaction[[#This Row],[DiscountAmount_Clean]])</f>
        <v>184.85</v>
      </c>
      <c r="AD642">
        <v>540.15</v>
      </c>
      <c r="AE642" t="str">
        <f>IF(ROUND(Transaction[[#This Row],[GrossRevenue_Analytical]]-Transaction[[#This Row],[NetRevenue_Analytical]],2)=ROUND(Transaction[[#This Row],[DiscountAmount_Clean]],2),"Valid","Invalid")</f>
        <v>Valid</v>
      </c>
      <c r="AF642">
        <f>VALUE(IF(ISNUMBER(Transaction[[#This Row],[NetRevenue]]),Transaction[[#This Row],[NetRevenue]],IFERROR(IF(FIND("$",Transaction[[#This Row],[NetRevenue]])&gt;0,MID(Transaction[[#This Row],[NetRevenue]],2,10)),Transaction[[#This Row],[NetRevenue]])))</f>
        <v>540.15</v>
      </c>
      <c r="AG642">
        <f>IF(Transaction[[#This Row],[NetRevenue_Check]]="Invalid",(Transaction[[#This Row],[Quantity]]*Transaction[[#This Row],[UnitPrice_Clean]]),Transaction[[#This Row],[NetRevenue_Clean]])</f>
        <v>540.15</v>
      </c>
      <c r="AH642" t="str">
        <f>IF(Transaction[[#This Row],[Quantity]]*Transaction[[#This Row],[UnitPrice_Clean]]=Transaction[[#This Row],[NetRevenue_Clean]],"Valid","Invalid")</f>
        <v>Valid</v>
      </c>
      <c r="AI642" t="s">
        <v>23</v>
      </c>
      <c r="AJ642" t="s">
        <v>2647</v>
      </c>
      <c r="AK642" t="str">
        <f>IF(Transaction[[#This Row],[Salesperson]]="","Missing Value",TRIM(PROPER(Transaction[[#This Row],[Salesperson]])))</f>
        <v>Gutierrez</v>
      </c>
      <c r="AM642" t="str">
        <f>IF(Transaction[[#This Row],[ContractType]]="","Missing Value",Transaction[[#This Row],[ContractType]])</f>
        <v>Missing Value</v>
      </c>
      <c r="AN642" t="s">
        <v>49</v>
      </c>
    </row>
    <row r="643" spans="1:40" x14ac:dyDescent="0.25">
      <c r="A643" t="s">
        <v>2719</v>
      </c>
      <c r="B643" s="1">
        <v>45668</v>
      </c>
      <c r="C64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64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64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43" s="2">
        <f>IFERROR(DATE(Transaction[[#This Row],[TransactionDateY]],Transaction[[#This Row],[TransactionDateM]],Transaction[[#This Row],[TransactionDateD]]),"Missing Value")</f>
        <v>45668</v>
      </c>
      <c r="G643" t="s">
        <v>473</v>
      </c>
      <c r="H643" t="str">
        <f>IFERROR(VLOOKUP(Transaction[[#This Row],[CustomerID]],Custumer[],1,0),IF(LEN(Transaction[[#This Row],[CustomerID]])=7,LEFT(Transaction[[#This Row],[CustomerID]],6),"Invalid ID"))</f>
        <v>C-1016</v>
      </c>
      <c r="I643" t="s">
        <v>258</v>
      </c>
      <c r="J643" t="str">
        <f>TRIM(UPPER(Transaction[[#This Row],[ProductID]]))</f>
        <v>P-SA-003</v>
      </c>
      <c r="K643" t="str">
        <f>IFERROR(VLOOKUP(Transaction[[#This Row],[ProductID_Clean]],Product[],1,FALSE),"Invalid ID")</f>
        <v>P-SA-003</v>
      </c>
      <c r="L643" t="str">
        <f>TRIM(SUBSTITUTE(SUBSTITUTE(SUBSTITUTE(SUBSTITUTE(UPPER(Transaction[[#This Row],[Region]]),"EMEA REGION","EMEA"),"APAC REGION","APAC"),"NORTH AMERICA","N. AMERICA"),"N .AMERICA","N.AMERICA"))</f>
        <v>APAC</v>
      </c>
      <c r="M643" t="s">
        <v>30</v>
      </c>
      <c r="N643" t="s">
        <v>31</v>
      </c>
      <c r="O64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643" t="s">
        <v>22</v>
      </c>
      <c r="Q643" t="str">
        <f>IF(TRIM(Transaction[[#This Row],[SalesChannel]])="","Missing Value",TRIM(Transaction[[#This Row],[SalesChannel]]))</f>
        <v>Direct</v>
      </c>
      <c r="R643" s="4">
        <v>1</v>
      </c>
      <c r="S643" s="4" t="str">
        <f>IF(Transaction[[#This Row],[Quantity]]&lt;0,"Negative-review","Valid")</f>
        <v>Valid</v>
      </c>
      <c r="T643">
        <v>2178.13</v>
      </c>
      <c r="U64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2178.13</v>
      </c>
      <c r="V643">
        <v>2750</v>
      </c>
      <c r="W643">
        <v>2750</v>
      </c>
      <c r="X64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643">
        <f>IF(Transaction[[#This Row],[GrossRevenue_Check]]="Invalid",Transaction[[#This Row],[ListPrice]]*Transaction[[#This Row],[Quantity]],Transaction[[#This Row],[GrossRevenue_Clean]])</f>
        <v>2750</v>
      </c>
      <c r="Z643" t="str">
        <f>IF(Transaction[[#This Row],[GrossRevenue_Clean]]=Transaction[[#This Row],[ListPrice]]*Transaction[[#This Row],[Quantity]],"Valid","Invalid")</f>
        <v>Valid</v>
      </c>
      <c r="AA643">
        <v>571.87</v>
      </c>
      <c r="AB64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571.87</v>
      </c>
      <c r="AC643">
        <f>IF(Transaction[[#This Row],[DiscountAmount_Check2]]="Invalid",Transaction[[#This Row],[GrossRevenue_Analytical]]-Transaction[[#This Row],[NetRevenue_Analytical]],Transaction[[#This Row],[DiscountAmount_Clean]])</f>
        <v>571.87</v>
      </c>
      <c r="AD643">
        <v>2178.13</v>
      </c>
      <c r="AE643" t="str">
        <f>IF(ROUND(Transaction[[#This Row],[GrossRevenue_Analytical]]-Transaction[[#This Row],[NetRevenue_Analytical]],2)=ROUND(Transaction[[#This Row],[DiscountAmount_Clean]],2),"Valid","Invalid")</f>
        <v>Valid</v>
      </c>
      <c r="AF643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2178.13</v>
      </c>
      <c r="AG643">
        <f>IF(Transaction[[#This Row],[NetRevenue_Check]]="Invalid",(Transaction[[#This Row],[Quantity]]*Transaction[[#This Row],[UnitPrice_Clean]]),Transaction[[#This Row],[NetRevenue_Clean]])</f>
        <v>2178.13</v>
      </c>
      <c r="AH643" t="str">
        <f>IF(Transaction[[#This Row],[Quantity]]*Transaction[[#This Row],[UnitPrice_Clean]]=Transaction[[#This Row],[NetRevenue_Clean]],"Valid","Invalid")</f>
        <v>Valid</v>
      </c>
      <c r="AI643" t="s">
        <v>23</v>
      </c>
      <c r="AJ643" t="s">
        <v>406</v>
      </c>
      <c r="AK643" t="str">
        <f>IF(Transaction[[#This Row],[Salesperson]]="","Missing Value",TRIM(PROPER(Transaction[[#This Row],[Salesperson]])))</f>
        <v>Harris</v>
      </c>
      <c r="AL643" t="s">
        <v>34</v>
      </c>
      <c r="AM643" t="str">
        <f>IF(Transaction[[#This Row],[ContractType]]="","Missing Value",Transaction[[#This Row],[ContractType]])</f>
        <v>Annual License</v>
      </c>
      <c r="AN643" t="s">
        <v>26</v>
      </c>
    </row>
    <row r="644" spans="1:40" x14ac:dyDescent="0.25">
      <c r="A644" t="s">
        <v>2782</v>
      </c>
      <c r="B644" s="1">
        <v>45737</v>
      </c>
      <c r="C64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64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64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44" s="2">
        <f>IFERROR(DATE(Transaction[[#This Row],[TransactionDateY]],Transaction[[#This Row],[TransactionDateM]],Transaction[[#This Row],[TransactionDateD]]),"Missing Value")</f>
        <v>45737</v>
      </c>
      <c r="G644" t="s">
        <v>218</v>
      </c>
      <c r="H644" t="str">
        <f>IFERROR(VLOOKUP(Transaction[[#This Row],[CustomerID]],Custumer[],1,0),IF(LEN(Transaction[[#This Row],[CustomerID]])=7,LEFT(Transaction[[#This Row],[CustomerID]],6),"Invalid ID"))</f>
        <v>C-1098</v>
      </c>
      <c r="I644" t="s">
        <v>75</v>
      </c>
      <c r="J644" t="str">
        <f>TRIM(UPPER(Transaction[[#This Row],[ProductID]]))</f>
        <v>P-SA-005</v>
      </c>
      <c r="K644" t="str">
        <f>IFERROR(VLOOKUP(Transaction[[#This Row],[ProductID_Clean]],Product[],1,FALSE),"Invalid ID")</f>
        <v>P-SA-005</v>
      </c>
      <c r="L644" t="str">
        <f>TRIM(SUBSTITUTE(SUBSTITUTE(SUBSTITUTE(SUBSTITUTE(UPPER(Transaction[[#This Row],[Region]]),"EMEA REGION","EMEA"),"APAC REGION","APAC"),"NORTH AMERICA","N. AMERICA"),"N .AMERICA","N.AMERICA"))</f>
        <v>N. AMERICA</v>
      </c>
      <c r="M644" t="s">
        <v>168</v>
      </c>
      <c r="N644" t="s">
        <v>572</v>
      </c>
      <c r="O64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644" t="s">
        <v>40</v>
      </c>
      <c r="Q644" t="str">
        <f>IF(TRIM(Transaction[[#This Row],[SalesChannel]])="","Missing Value",TRIM(Transaction[[#This Row],[SalesChannel]]))</f>
        <v>Distributor</v>
      </c>
      <c r="R644" s="4">
        <v>1</v>
      </c>
      <c r="S644" s="4" t="str">
        <f>IF(Transaction[[#This Row],[Quantity]]&lt;0,"Negative-review","Valid")</f>
        <v>Valid</v>
      </c>
      <c r="T644">
        <v>2516.91</v>
      </c>
      <c r="U64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2516.91</v>
      </c>
      <c r="V644">
        <v>3200</v>
      </c>
      <c r="W644">
        <v>3200</v>
      </c>
      <c r="X64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644">
        <f>IF(Transaction[[#This Row],[GrossRevenue_Check]]="Invalid",Transaction[[#This Row],[ListPrice]]*Transaction[[#This Row],[Quantity]],Transaction[[#This Row],[GrossRevenue_Clean]])</f>
        <v>3200</v>
      </c>
      <c r="Z644" t="str">
        <f>IF(Transaction[[#This Row],[GrossRevenue_Clean]]=Transaction[[#This Row],[ListPrice]]*Transaction[[#This Row],[Quantity]],"Valid","Invalid")</f>
        <v>Valid</v>
      </c>
      <c r="AA644">
        <v>683.09</v>
      </c>
      <c r="AB64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683.09</v>
      </c>
      <c r="AC644">
        <f>IF(Transaction[[#This Row],[DiscountAmount_Check2]]="Invalid",Transaction[[#This Row],[GrossRevenue_Analytical]]-Transaction[[#This Row],[NetRevenue_Analytical]],Transaction[[#This Row],[DiscountAmount_Clean]])</f>
        <v>683.09</v>
      </c>
      <c r="AD644">
        <v>2516.91</v>
      </c>
      <c r="AE644" t="str">
        <f>IF(ROUND(Transaction[[#This Row],[GrossRevenue_Analytical]]-Transaction[[#This Row],[NetRevenue_Analytical]],2)=ROUND(Transaction[[#This Row],[DiscountAmount_Clean]],2),"Valid","Invalid")</f>
        <v>Valid</v>
      </c>
      <c r="AF64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2516.91</v>
      </c>
      <c r="AG644">
        <f>IF(Transaction[[#This Row],[NetRevenue_Check]]="Invalid",(Transaction[[#This Row],[Quantity]]*Transaction[[#This Row],[UnitPrice_Clean]]),Transaction[[#This Row],[NetRevenue_Clean]])</f>
        <v>2516.91</v>
      </c>
      <c r="AH644" t="str">
        <f>IF(Transaction[[#This Row],[Quantity]]*Transaction[[#This Row],[UnitPrice_Clean]]=Transaction[[#This Row],[NetRevenue_Clean]],"Valid","Invalid")</f>
        <v>Valid</v>
      </c>
      <c r="AI644" t="s">
        <v>23</v>
      </c>
      <c r="AJ644" t="s">
        <v>835</v>
      </c>
      <c r="AK644" t="str">
        <f>IF(Transaction[[#This Row],[Salesperson]]="","Missing Value",TRIM(PROPER(Transaction[[#This Row],[Salesperson]])))</f>
        <v>Shaw-Em</v>
      </c>
      <c r="AL644" t="s">
        <v>34</v>
      </c>
      <c r="AM644" t="str">
        <f>IF(Transaction[[#This Row],[ContractType]]="","Missing Value",Transaction[[#This Row],[ContractType]])</f>
        <v>Annual License</v>
      </c>
      <c r="AN644" t="s">
        <v>65</v>
      </c>
    </row>
    <row r="645" spans="1:40" x14ac:dyDescent="0.25">
      <c r="A645" t="s">
        <v>2880</v>
      </c>
      <c r="B645" s="1">
        <v>45759</v>
      </c>
      <c r="C64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64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64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45" s="2">
        <f>IFERROR(DATE(Transaction[[#This Row],[TransactionDateY]],Transaction[[#This Row],[TransactionDateM]],Transaction[[#This Row],[TransactionDateD]]),"Missing Value")</f>
        <v>45759</v>
      </c>
      <c r="G645" t="s">
        <v>102</v>
      </c>
      <c r="H645" t="str">
        <f>IFERROR(VLOOKUP(Transaction[[#This Row],[CustomerID]],Custumer[],1,0),IF(LEN(Transaction[[#This Row],[CustomerID]])=7,LEFT(Transaction[[#This Row],[CustomerID]],6),"Invalid ID"))</f>
        <v>C-1120</v>
      </c>
      <c r="I645" t="s">
        <v>117</v>
      </c>
      <c r="J645" t="str">
        <f>TRIM(UPPER(Transaction[[#This Row],[ProductID]]))</f>
        <v>P-SI-007</v>
      </c>
      <c r="K645" t="str">
        <f>IFERROR(VLOOKUP(Transaction[[#This Row],[ProductID_Clean]],Product[],1,FALSE),"Invalid ID")</f>
        <v>P-SI-007</v>
      </c>
      <c r="L645" t="str">
        <f>TRIM(SUBSTITUTE(SUBSTITUTE(SUBSTITUTE(SUBSTITUTE(UPPER(Transaction[[#This Row],[Region]]),"EMEA REGION","EMEA"),"APAC REGION","APAC"),"NORTH AMERICA","N. AMERICA"),"N .AMERICA","N.AMERICA"))</f>
        <v>EMEA</v>
      </c>
      <c r="M645" t="s">
        <v>177</v>
      </c>
      <c r="N645" t="s">
        <v>53</v>
      </c>
      <c r="O64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45" t="s">
        <v>181</v>
      </c>
      <c r="Q645" t="str">
        <f>IF(TRIM(Transaction[[#This Row],[SalesChannel]])="","Missing Value",TRIM(Transaction[[#This Row],[SalesChannel]]))</f>
        <v>Partner Portal</v>
      </c>
      <c r="R645" s="4">
        <v>4</v>
      </c>
      <c r="S645" s="4" t="str">
        <f>IF(Transaction[[#This Row],[Quantity]]&lt;0,"Negative-review","Valid")</f>
        <v>Valid</v>
      </c>
      <c r="T645">
        <v>835.41</v>
      </c>
      <c r="U64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835.41</v>
      </c>
      <c r="V645">
        <v>980</v>
      </c>
      <c r="W645">
        <v>3920</v>
      </c>
      <c r="X64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3920</v>
      </c>
      <c r="Y645">
        <f>IF(Transaction[[#This Row],[GrossRevenue_Check]]="Invalid",Transaction[[#This Row],[ListPrice]]*Transaction[[#This Row],[Quantity]],Transaction[[#This Row],[GrossRevenue_Clean]])</f>
        <v>3920</v>
      </c>
      <c r="Z645" t="str">
        <f>IF(Transaction[[#This Row],[GrossRevenue_Clean]]=Transaction[[#This Row],[ListPrice]]*Transaction[[#This Row],[Quantity]],"Valid","Invalid")</f>
        <v>Valid</v>
      </c>
      <c r="AA645" t="s">
        <v>2881</v>
      </c>
      <c r="AB64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578.36</v>
      </c>
      <c r="AC645">
        <f>IF(Transaction[[#This Row],[DiscountAmount_Check2]]="Invalid",Transaction[[#This Row],[GrossRevenue_Analytical]]-Transaction[[#This Row],[NetRevenue_Analytical]],Transaction[[#This Row],[DiscountAmount_Clean]])</f>
        <v>578.36</v>
      </c>
      <c r="AD645">
        <v>3341.64</v>
      </c>
      <c r="AE645" t="str">
        <f>IF(ROUND(Transaction[[#This Row],[GrossRevenue_Analytical]]-Transaction[[#This Row],[NetRevenue_Analytical]],2)=ROUND(Transaction[[#This Row],[DiscountAmount_Clean]],2),"Valid","Invalid")</f>
        <v>Valid</v>
      </c>
      <c r="AF64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3341.64</v>
      </c>
      <c r="AG645">
        <f>IF(Transaction[[#This Row],[NetRevenue_Check]]="Invalid",(Transaction[[#This Row],[Quantity]]*Transaction[[#This Row],[UnitPrice_Clean]]),Transaction[[#This Row],[NetRevenue_Clean]])</f>
        <v>3341.64</v>
      </c>
      <c r="AH645" t="str">
        <f>IF(Transaction[[#This Row],[Quantity]]*Transaction[[#This Row],[UnitPrice_Clean]]=Transaction[[#This Row],[NetRevenue_Clean]],"Valid","Invalid")</f>
        <v>Valid</v>
      </c>
      <c r="AI645" t="s">
        <v>23</v>
      </c>
      <c r="AJ645" t="s">
        <v>2882</v>
      </c>
      <c r="AK645" t="str">
        <f>IF(Transaction[[#This Row],[Salesperson]]="","Missing Value",TRIM(PROPER(Transaction[[#This Row],[Salesperson]])))</f>
        <v>Carr-Em</v>
      </c>
      <c r="AL645" t="s">
        <v>42</v>
      </c>
      <c r="AM645" t="str">
        <f>IF(Transaction[[#This Row],[ContractType]]="","Missing Value",Transaction[[#This Row],[ContractType]])</f>
        <v>Standard PO</v>
      </c>
      <c r="AN645" t="s">
        <v>43</v>
      </c>
    </row>
    <row r="646" spans="1:40" x14ac:dyDescent="0.25">
      <c r="A646" t="s">
        <v>1707</v>
      </c>
      <c r="B646" s="1">
        <v>45779</v>
      </c>
      <c r="C64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64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64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46" s="2">
        <f>IFERROR(DATE(Transaction[[#This Row],[TransactionDateY]],Transaction[[#This Row],[TransactionDateM]],Transaction[[#This Row],[TransactionDateD]]),"Missing Value")</f>
        <v>45779</v>
      </c>
      <c r="G646" t="s">
        <v>1668</v>
      </c>
      <c r="H646" t="str">
        <f>IFERROR(VLOOKUP(Transaction[[#This Row],[CustomerID]],Custumer[],1,0),IF(LEN(Transaction[[#This Row],[CustomerID]])=7,LEFT(Transaction[[#This Row],[CustomerID]],6),"Invalid ID"))</f>
        <v>C-1143</v>
      </c>
      <c r="I646" t="s">
        <v>117</v>
      </c>
      <c r="J646" t="str">
        <f>TRIM(UPPER(Transaction[[#This Row],[ProductID]]))</f>
        <v>P-SI-007</v>
      </c>
      <c r="K646" t="str">
        <f>IFERROR(VLOOKUP(Transaction[[#This Row],[ProductID_Clean]],Product[],1,FALSE),"Invalid ID")</f>
        <v>P-SI-007</v>
      </c>
      <c r="L646" t="str">
        <f>TRIM(SUBSTITUTE(SUBSTITUTE(SUBSTITUTE(SUBSTITUTE(UPPER(Transaction[[#This Row],[Region]]),"EMEA REGION","EMEA"),"APAC REGION","APAC"),"NORTH AMERICA","N. AMERICA"),"N .AMERICA","N.AMERICA"))</f>
        <v>EMEA</v>
      </c>
      <c r="M646" t="s">
        <v>87</v>
      </c>
      <c r="N646" t="s">
        <v>53</v>
      </c>
      <c r="O64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46" t="s">
        <v>22</v>
      </c>
      <c r="Q646" t="str">
        <f>IF(TRIM(Transaction[[#This Row],[SalesChannel]])="","Missing Value",TRIM(Transaction[[#This Row],[SalesChannel]]))</f>
        <v>Direct</v>
      </c>
      <c r="R646" s="4">
        <v>10</v>
      </c>
      <c r="S646" s="4" t="str">
        <f>IF(Transaction[[#This Row],[Quantity]]&lt;0,"Negative-review","Valid")</f>
        <v>Valid</v>
      </c>
      <c r="T646">
        <v>929.15</v>
      </c>
      <c r="U64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929.15</v>
      </c>
      <c r="V646">
        <v>980</v>
      </c>
      <c r="W646">
        <v>9800</v>
      </c>
      <c r="X64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646">
        <f>IF(Transaction[[#This Row],[GrossRevenue_Check]]="Invalid",Transaction[[#This Row],[ListPrice]]*Transaction[[#This Row],[Quantity]],Transaction[[#This Row],[GrossRevenue_Clean]])</f>
        <v>9800</v>
      </c>
      <c r="Z646" t="str">
        <f>IF(Transaction[[#This Row],[GrossRevenue_Clean]]=Transaction[[#This Row],[ListPrice]]*Transaction[[#This Row],[Quantity]],"Valid","Invalid")</f>
        <v>Valid</v>
      </c>
      <c r="AA646">
        <v>508.5</v>
      </c>
      <c r="AB64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508.5</v>
      </c>
      <c r="AC646">
        <f>IF(Transaction[[#This Row],[DiscountAmount_Check2]]="Invalid",Transaction[[#This Row],[GrossRevenue_Analytical]]-Transaction[[#This Row],[NetRevenue_Analytical]],Transaction[[#This Row],[DiscountAmount_Clean]])</f>
        <v>508.5</v>
      </c>
      <c r="AD646">
        <v>9291.5</v>
      </c>
      <c r="AE646" t="str">
        <f>IF(ROUND(Transaction[[#This Row],[GrossRevenue_Analytical]]-Transaction[[#This Row],[NetRevenue_Analytical]],2)=ROUND(Transaction[[#This Row],[DiscountAmount_Clean]],2),"Valid","Invalid")</f>
        <v>Valid</v>
      </c>
      <c r="AF646">
        <f>VALUE(IF(ISNUMBER(Transaction[[#This Row],[NetRevenue]]),Transaction[[#This Row],[NetRevenue]],IFERROR(IF(FIND("$",Transaction[[#This Row],[NetRevenue]])&gt;0,MID(Transaction[[#This Row],[NetRevenue]],2,10)),Transaction[[#This Row],[NetRevenue]])))</f>
        <v>9291.5</v>
      </c>
      <c r="AG646">
        <f>IF(Transaction[[#This Row],[NetRevenue_Check]]="Invalid",(Transaction[[#This Row],[Quantity]]*Transaction[[#This Row],[UnitPrice_Clean]]),Transaction[[#This Row],[NetRevenue_Clean]])</f>
        <v>9291.5</v>
      </c>
      <c r="AH646" t="str">
        <f>IF(Transaction[[#This Row],[Quantity]]*Transaction[[#This Row],[UnitPrice_Clean]]=Transaction[[#This Row],[NetRevenue_Clean]],"Valid","Invalid")</f>
        <v>Valid</v>
      </c>
      <c r="AI646" t="s">
        <v>23</v>
      </c>
      <c r="AJ646" t="s">
        <v>1708</v>
      </c>
      <c r="AK646" t="str">
        <f>IF(Transaction[[#This Row],[Salesperson]]="","Missing Value",TRIM(PROPER(Transaction[[#This Row],[Salesperson]])))</f>
        <v>Ruiz</v>
      </c>
      <c r="AL646" t="s">
        <v>55</v>
      </c>
      <c r="AM646" t="str">
        <f>IF(Transaction[[#This Row],[ContractType]]="","Missing Value",Transaction[[#This Row],[ContractType]])</f>
        <v>Spot</v>
      </c>
      <c r="AN646" t="s">
        <v>26</v>
      </c>
    </row>
    <row r="647" spans="1:40" x14ac:dyDescent="0.25">
      <c r="A647" t="s">
        <v>714</v>
      </c>
      <c r="B647" s="1">
        <v>45667</v>
      </c>
      <c r="C64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64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64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47" s="2">
        <f>IFERROR(DATE(Transaction[[#This Row],[TransactionDateY]],Transaction[[#This Row],[TransactionDateM]],Transaction[[#This Row],[TransactionDateD]]),"Missing Value")</f>
        <v>45667</v>
      </c>
      <c r="G647" t="s">
        <v>630</v>
      </c>
      <c r="H647" t="str">
        <f>IFERROR(VLOOKUP(Transaction[[#This Row],[CustomerID]],Custumer[],1,0),IF(LEN(Transaction[[#This Row],[CustomerID]])=7,LEFT(Transaction[[#This Row],[CustomerID]],6),"Invalid ID"))</f>
        <v>C-1157</v>
      </c>
      <c r="I647" t="s">
        <v>97</v>
      </c>
      <c r="J647" t="str">
        <f>TRIM(UPPER(Transaction[[#This Row],[ProductID]]))</f>
        <v>P-SI-001</v>
      </c>
      <c r="K647" t="str">
        <f>IFERROR(VLOOKUP(Transaction[[#This Row],[ProductID_Clean]],Product[],1,FALSE),"Invalid ID")</f>
        <v>P-SI-001</v>
      </c>
      <c r="L647" t="str">
        <f>TRIM(SUBSTITUTE(SUBSTITUTE(SUBSTITUTE(SUBSTITUTE(UPPER(Transaction[[#This Row],[Region]]),"EMEA REGION","EMEA"),"APAC REGION","APAC"),"NORTH AMERICA","N. AMERICA"),"N .AMERICA","N.AMERICA"))</f>
        <v>EMEA</v>
      </c>
      <c r="M647" t="s">
        <v>76</v>
      </c>
      <c r="N647" t="s">
        <v>53</v>
      </c>
      <c r="O64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47" t="s">
        <v>22</v>
      </c>
      <c r="Q647" t="str">
        <f>IF(TRIM(Transaction[[#This Row],[SalesChannel]])="","Missing Value",TRIM(Transaction[[#This Row],[SalesChannel]]))</f>
        <v>Direct</v>
      </c>
      <c r="R647" s="4">
        <v>8</v>
      </c>
      <c r="S647" s="4" t="str">
        <f>IF(Transaction[[#This Row],[Quantity]]&lt;0,"Negative-review","Valid")</f>
        <v>Valid</v>
      </c>
      <c r="T647">
        <v>440.56</v>
      </c>
      <c r="U64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440.56</v>
      </c>
      <c r="V647">
        <v>485</v>
      </c>
      <c r="W647">
        <v>3880</v>
      </c>
      <c r="X64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3880</v>
      </c>
      <c r="Y647">
        <f>IF(Transaction[[#This Row],[GrossRevenue_Check]]="Invalid",Transaction[[#This Row],[ListPrice]]*Transaction[[#This Row],[Quantity]],Transaction[[#This Row],[GrossRevenue_Clean]])</f>
        <v>3880</v>
      </c>
      <c r="Z647" t="str">
        <f>IF(Transaction[[#This Row],[GrossRevenue_Clean]]=Transaction[[#This Row],[ListPrice]]*Transaction[[#This Row],[Quantity]],"Valid","Invalid")</f>
        <v>Valid</v>
      </c>
      <c r="AA647" t="s">
        <v>715</v>
      </c>
      <c r="AB64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355.52</v>
      </c>
      <c r="AC647">
        <f>IF(Transaction[[#This Row],[DiscountAmount_Check2]]="Invalid",Transaction[[#This Row],[GrossRevenue_Analytical]]-Transaction[[#This Row],[NetRevenue_Analytical]],Transaction[[#This Row],[DiscountAmount_Clean]])</f>
        <v>355.52</v>
      </c>
      <c r="AD647">
        <v>3524.48</v>
      </c>
      <c r="AE647" t="str">
        <f>IF(ROUND(Transaction[[#This Row],[GrossRevenue_Analytical]]-Transaction[[#This Row],[NetRevenue_Analytical]],2)=ROUND(Transaction[[#This Row],[DiscountAmount_Clean]],2),"Valid","Invalid")</f>
        <v>Valid</v>
      </c>
      <c r="AF64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3524.48</v>
      </c>
      <c r="AG647">
        <f>IF(Transaction[[#This Row],[NetRevenue_Check]]="Invalid",(Transaction[[#This Row],[Quantity]]*Transaction[[#This Row],[UnitPrice_Clean]]),Transaction[[#This Row],[NetRevenue_Clean]])</f>
        <v>3524.48</v>
      </c>
      <c r="AH647" t="str">
        <f>IF(Transaction[[#This Row],[Quantity]]*Transaction[[#This Row],[UnitPrice_Clean]]=Transaction[[#This Row],[NetRevenue_Clean]],"Valid","Invalid")</f>
        <v>Valid</v>
      </c>
      <c r="AI647" t="s">
        <v>23</v>
      </c>
      <c r="AJ647" t="s">
        <v>716</v>
      </c>
      <c r="AK647" t="str">
        <f>IF(Transaction[[#This Row],[Salesperson]]="","Missing Value",TRIM(PROPER(Transaction[[#This Row],[Salesperson]])))</f>
        <v>Charles-Ap</v>
      </c>
      <c r="AL647" t="s">
        <v>42</v>
      </c>
      <c r="AM647" t="str">
        <f>IF(Transaction[[#This Row],[ContractType]]="","Missing Value",Transaction[[#This Row],[ContractType]])</f>
        <v>Standard PO</v>
      </c>
      <c r="AN647" t="s">
        <v>35</v>
      </c>
    </row>
    <row r="648" spans="1:40" x14ac:dyDescent="0.25">
      <c r="A648" t="s">
        <v>2822</v>
      </c>
      <c r="B648" t="s">
        <v>2503</v>
      </c>
      <c r="C64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64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64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48" s="2">
        <f>IFERROR(DATE(Transaction[[#This Row],[TransactionDateY]],Transaction[[#This Row],[TransactionDateM]],Transaction[[#This Row],[TransactionDateD]]),"Missing Value")</f>
        <v>45706</v>
      </c>
      <c r="G648" t="s">
        <v>176</v>
      </c>
      <c r="H648" t="str">
        <f>IFERROR(VLOOKUP(Transaction[[#This Row],[CustomerID]],Custumer[],1,0),IF(LEN(Transaction[[#This Row],[CustomerID]])=7,LEFT(Transaction[[#This Row],[CustomerID]],6),"Invalid ID"))</f>
        <v>C-1062</v>
      </c>
      <c r="I648" t="s">
        <v>52</v>
      </c>
      <c r="J648" t="str">
        <f>TRIM(UPPER(Transaction[[#This Row],[ProductID]]))</f>
        <v>P-SI-002</v>
      </c>
      <c r="K648" t="str">
        <f>IFERROR(VLOOKUP(Transaction[[#This Row],[ProductID_Clean]],Product[],1,FALSE),"Invalid ID")</f>
        <v>P-SI-002</v>
      </c>
      <c r="L648" t="str">
        <f>TRIM(SUBSTITUTE(SUBSTITUTE(SUBSTITUTE(SUBSTITUTE(UPPER(Transaction[[#This Row],[Region]]),"EMEA REGION","EMEA"),"APAC REGION","APAC"),"NORTH AMERICA","N. AMERICA"),"N .AMERICA","N.AMERICA"))</f>
        <v>EMEA</v>
      </c>
      <c r="M648" t="s">
        <v>177</v>
      </c>
      <c r="N648" t="s">
        <v>53</v>
      </c>
      <c r="O64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48" t="s">
        <v>22</v>
      </c>
      <c r="Q648" t="str">
        <f>IF(TRIM(Transaction[[#This Row],[SalesChannel]])="","Missing Value",TRIM(Transaction[[#This Row],[SalesChannel]]))</f>
        <v>Direct</v>
      </c>
      <c r="R648" s="4">
        <v>2</v>
      </c>
      <c r="S648" s="4" t="str">
        <f>IF(Transaction[[#This Row],[Quantity]]&lt;0,"Negative-review","Valid")</f>
        <v>Valid</v>
      </c>
      <c r="T648" t="s">
        <v>2823</v>
      </c>
      <c r="U64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643.29</v>
      </c>
      <c r="V648">
        <v>725</v>
      </c>
      <c r="W648">
        <v>1450</v>
      </c>
      <c r="X64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648">
        <f>IF(Transaction[[#This Row],[GrossRevenue_Check]]="Invalid",Transaction[[#This Row],[ListPrice]]*Transaction[[#This Row],[Quantity]],Transaction[[#This Row],[GrossRevenue_Clean]])</f>
        <v>1450</v>
      </c>
      <c r="Z648" t="str">
        <f>IF(Transaction[[#This Row],[GrossRevenue_Clean]]=Transaction[[#This Row],[ListPrice]]*Transaction[[#This Row],[Quantity]],"Valid","Invalid")</f>
        <v>Valid</v>
      </c>
      <c r="AA648">
        <v>163.41999999999999</v>
      </c>
      <c r="AB64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163.41999999999999</v>
      </c>
      <c r="AC648">
        <f>IF(Transaction[[#This Row],[DiscountAmount_Check2]]="Invalid",Transaction[[#This Row],[GrossRevenue_Analytical]]-Transaction[[#This Row],[NetRevenue_Analytical]],Transaction[[#This Row],[DiscountAmount_Clean]])</f>
        <v>163.41999999999999</v>
      </c>
      <c r="AD648">
        <v>1286.58</v>
      </c>
      <c r="AE648" t="str">
        <f>IF(ROUND(Transaction[[#This Row],[GrossRevenue_Analytical]]-Transaction[[#This Row],[NetRevenue_Analytical]],2)=ROUND(Transaction[[#This Row],[DiscountAmount_Clean]],2),"Valid","Invalid")</f>
        <v>Valid</v>
      </c>
      <c r="AF64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1286.58</v>
      </c>
      <c r="AG648">
        <f>IF(Transaction[[#This Row],[NetRevenue_Check]]="Invalid",(Transaction[[#This Row],[Quantity]]*Transaction[[#This Row],[UnitPrice_Clean]]),Transaction[[#This Row],[NetRevenue_Clean]])</f>
        <v>1286.58</v>
      </c>
      <c r="AH648" t="str">
        <f>IF(Transaction[[#This Row],[Quantity]]*Transaction[[#This Row],[UnitPrice_Clean]]=Transaction[[#This Row],[NetRevenue_Clean]],"Valid","Invalid")</f>
        <v>Valid</v>
      </c>
      <c r="AI648" t="s">
        <v>99</v>
      </c>
      <c r="AJ648" t="s">
        <v>2824</v>
      </c>
      <c r="AK648" t="str">
        <f>IF(Transaction[[#This Row],[Salesperson]]="","Missing Value",TRIM(PROPER(Transaction[[#This Row],[Salesperson]])))</f>
        <v>Luna</v>
      </c>
      <c r="AL648" t="s">
        <v>25</v>
      </c>
      <c r="AM648" t="str">
        <f>IF(Transaction[[#This Row],[ContractType]]="","Missing Value",Transaction[[#This Row],[ContractType]])</f>
        <v>Frame Agreement</v>
      </c>
      <c r="AN648" t="s">
        <v>65</v>
      </c>
    </row>
    <row r="649" spans="1:40" x14ac:dyDescent="0.25">
      <c r="A649" t="s">
        <v>3021</v>
      </c>
      <c r="B649" t="s">
        <v>1460</v>
      </c>
      <c r="C64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64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02</v>
      </c>
      <c r="E64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49" s="2">
        <f>IFERROR(DATE(Transaction[[#This Row],[TransactionDateY]],Transaction[[#This Row],[TransactionDateM]],Transaction[[#This Row],[TransactionDateD]]),"Missing Value")</f>
        <v>45749</v>
      </c>
      <c r="G649" t="s">
        <v>550</v>
      </c>
      <c r="H649" t="str">
        <f>IFERROR(VLOOKUP(Transaction[[#This Row],[CustomerID]],Custumer[],1,0),IF(LEN(Transaction[[#This Row],[CustomerID]])=7,LEFT(Transaction[[#This Row],[CustomerID]],6),"Invalid ID"))</f>
        <v>C-1136</v>
      </c>
      <c r="I649" t="s">
        <v>58</v>
      </c>
      <c r="J649" t="str">
        <f>TRIM(UPPER(Transaction[[#This Row],[ProductID]]))</f>
        <v>P-SI-005</v>
      </c>
      <c r="K649" t="str">
        <f>IFERROR(VLOOKUP(Transaction[[#This Row],[ProductID_Clean]],Product[],1,FALSE),"Invalid ID")</f>
        <v>P-SI-005</v>
      </c>
      <c r="L649" t="str">
        <f>TRIM(SUBSTITUTE(SUBSTITUTE(SUBSTITUTE(SUBSTITUTE(UPPER(Transaction[[#This Row],[Region]]),"EMEA REGION","EMEA"),"APAC REGION","APAC"),"NORTH AMERICA","N. AMERICA"),"N .AMERICA","N.AMERICA"))</f>
        <v>N. AMERICA</v>
      </c>
      <c r="M649" t="s">
        <v>20</v>
      </c>
      <c r="N649" t="s">
        <v>53</v>
      </c>
      <c r="O64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49" t="s">
        <v>22</v>
      </c>
      <c r="Q649" t="str">
        <f>IF(TRIM(Transaction[[#This Row],[SalesChannel]])="","Missing Value",TRIM(Transaction[[#This Row],[SalesChannel]]))</f>
        <v>Direct</v>
      </c>
      <c r="R649" s="4">
        <v>5</v>
      </c>
      <c r="S649" s="4" t="str">
        <f>IF(Transaction[[#This Row],[Quantity]]&lt;0,"Negative-review","Valid")</f>
        <v>Valid</v>
      </c>
      <c r="T649">
        <v>1099.55</v>
      </c>
      <c r="U64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1099.55</v>
      </c>
      <c r="V649">
        <v>1120</v>
      </c>
      <c r="W649">
        <v>5600</v>
      </c>
      <c r="X64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5600</v>
      </c>
      <c r="Y649">
        <f>IF(Transaction[[#This Row],[GrossRevenue_Check]]="Invalid",Transaction[[#This Row],[ListPrice]]*Transaction[[#This Row],[Quantity]],Transaction[[#This Row],[GrossRevenue_Clean]])</f>
        <v>5600</v>
      </c>
      <c r="Z649" t="str">
        <f>IF(Transaction[[#This Row],[GrossRevenue_Clean]]=Transaction[[#This Row],[ListPrice]]*Transaction[[#This Row],[Quantity]],"Valid","Invalid")</f>
        <v>Valid</v>
      </c>
      <c r="AA649">
        <v>102.25</v>
      </c>
      <c r="AB64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102.25</v>
      </c>
      <c r="AC649">
        <f>IF(Transaction[[#This Row],[DiscountAmount_Check2]]="Invalid",Transaction[[#This Row],[GrossRevenue_Analytical]]-Transaction[[#This Row],[NetRevenue_Analytical]],Transaction[[#This Row],[DiscountAmount_Clean]])</f>
        <v>102.25</v>
      </c>
      <c r="AD649">
        <v>5497.75</v>
      </c>
      <c r="AE649" t="str">
        <f>IF(ROUND(Transaction[[#This Row],[GrossRevenue_Analytical]]-Transaction[[#This Row],[NetRevenue_Analytical]],2)=ROUND(Transaction[[#This Row],[DiscountAmount_Clean]],2),"Valid","Invalid")</f>
        <v>Valid</v>
      </c>
      <c r="AF649">
        <f>VALUE(IF(ISNUMBER(Transaction[[#This Row],[NetRevenue]]),Transaction[[#This Row],[NetRevenue]],IFERROR(IF(FIND("$",Transaction[[#This Row],[NetRevenue]])&gt;0,MID(Transaction[[#This Row],[NetRevenue]],2,10)),Transaction[[#This Row],[NetRevenue]])))</f>
        <v>5497.75</v>
      </c>
      <c r="AG649">
        <f>IF(Transaction[[#This Row],[NetRevenue_Check]]="Invalid",(Transaction[[#This Row],[Quantity]]*Transaction[[#This Row],[UnitPrice_Clean]]),Transaction[[#This Row],[NetRevenue_Clean]])</f>
        <v>5497.75</v>
      </c>
      <c r="AH649" t="str">
        <f>IF(Transaction[[#This Row],[Quantity]]*Transaction[[#This Row],[UnitPrice_Clean]]=Transaction[[#This Row],[NetRevenue_Clean]],"Valid","Invalid")</f>
        <v>Valid</v>
      </c>
      <c r="AI649" t="s">
        <v>23</v>
      </c>
      <c r="AJ649" t="s">
        <v>3022</v>
      </c>
      <c r="AK649" t="str">
        <f>IF(Transaction[[#This Row],[Salesperson]]="","Missing Value",TRIM(PROPER(Transaction[[#This Row],[Salesperson]])))</f>
        <v>Thornton</v>
      </c>
      <c r="AL649" t="s">
        <v>25</v>
      </c>
      <c r="AM649" t="str">
        <f>IF(Transaction[[#This Row],[ContractType]]="","Missing Value",Transaction[[#This Row],[ContractType]])</f>
        <v>Frame Agreement</v>
      </c>
      <c r="AN649" t="s">
        <v>65</v>
      </c>
    </row>
    <row r="650" spans="1:40" x14ac:dyDescent="0.25">
      <c r="A650" t="s">
        <v>2927</v>
      </c>
      <c r="B650" s="1">
        <v>45825</v>
      </c>
      <c r="C65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65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65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50" s="2">
        <f>IFERROR(DATE(Transaction[[#This Row],[TransactionDateY]],Transaction[[#This Row],[TransactionDateM]],Transaction[[#This Row],[TransactionDateD]]),"Missing Value")</f>
        <v>45825</v>
      </c>
      <c r="G650" t="s">
        <v>1903</v>
      </c>
      <c r="H650" t="str">
        <f>IFERROR(VLOOKUP(Transaction[[#This Row],[CustomerID]],Custumer[],1,0),IF(LEN(Transaction[[#This Row],[CustomerID]])=7,LEFT(Transaction[[#This Row],[CustomerID]],6),"Invalid ID"))</f>
        <v>C-1010</v>
      </c>
      <c r="I650" t="s">
        <v>52</v>
      </c>
      <c r="J650" t="str">
        <f>TRIM(UPPER(Transaction[[#This Row],[ProductID]]))</f>
        <v>P-SI-002</v>
      </c>
      <c r="K650" t="str">
        <f>IFERROR(VLOOKUP(Transaction[[#This Row],[ProductID_Clean]],Product[],1,FALSE),"Invalid ID")</f>
        <v>P-SI-002</v>
      </c>
      <c r="L650" t="str">
        <f>TRIM(SUBSTITUTE(SUBSTITUTE(SUBSTITUTE(SUBSTITUTE(UPPER(Transaction[[#This Row],[Region]]),"EMEA REGION","EMEA"),"APAC REGION","APAC"),"NORTH AMERICA","N. AMERICA"),"N .AMERICA","N.AMERICA"))</f>
        <v>N. AMERICA</v>
      </c>
      <c r="M650" t="s">
        <v>204</v>
      </c>
      <c r="N650" t="s">
        <v>53</v>
      </c>
      <c r="O65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50" t="s">
        <v>22</v>
      </c>
      <c r="Q650" t="str">
        <f>IF(TRIM(Transaction[[#This Row],[SalesChannel]])="","Missing Value",TRIM(Transaction[[#This Row],[SalesChannel]]))</f>
        <v>Direct</v>
      </c>
      <c r="R650" s="4">
        <v>8</v>
      </c>
      <c r="S650" s="4" t="str">
        <f>IF(Transaction[[#This Row],[Quantity]]&lt;0,"Negative-review","Valid")</f>
        <v>Valid</v>
      </c>
      <c r="T650">
        <v>689.76</v>
      </c>
      <c r="U65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689.76</v>
      </c>
      <c r="V650">
        <v>725</v>
      </c>
      <c r="W650">
        <v>5800</v>
      </c>
      <c r="X65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5800</v>
      </c>
      <c r="Y650">
        <f>IF(Transaction[[#This Row],[GrossRevenue_Check]]="Invalid",Transaction[[#This Row],[ListPrice]]*Transaction[[#This Row],[Quantity]],Transaction[[#This Row],[GrossRevenue_Clean]])</f>
        <v>5800</v>
      </c>
      <c r="Z650" t="str">
        <f>IF(Transaction[[#This Row],[GrossRevenue_Clean]]=Transaction[[#This Row],[ListPrice]]*Transaction[[#This Row],[Quantity]],"Valid","Invalid")</f>
        <v>Valid</v>
      </c>
      <c r="AA650" t="s">
        <v>2928</v>
      </c>
      <c r="AB65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281.92</v>
      </c>
      <c r="AC650">
        <f>IF(Transaction[[#This Row],[DiscountAmount_Check2]]="Invalid",Transaction[[#This Row],[GrossRevenue_Analytical]]-Transaction[[#This Row],[NetRevenue_Analytical]],Transaction[[#This Row],[DiscountAmount_Clean]])</f>
        <v>281.92</v>
      </c>
      <c r="AD650">
        <v>5518.08</v>
      </c>
      <c r="AE650" t="str">
        <f>IF(ROUND(Transaction[[#This Row],[GrossRevenue_Analytical]]-Transaction[[#This Row],[NetRevenue_Analytical]],2)=ROUND(Transaction[[#This Row],[DiscountAmount_Clean]],2),"Valid","Invalid")</f>
        <v>Valid</v>
      </c>
      <c r="AF650">
        <f>VALUE(IF(ISNUMBER(Transaction[[#This Row],[NetRevenue]]),Transaction[[#This Row],[NetRevenue]],IFERROR(IF(FIND("$",Transaction[[#This Row],[NetRevenue]])&gt;0,MID(Transaction[[#This Row],[NetRevenue]],2,10)),Transaction[[#This Row],[NetRevenue]])))</f>
        <v>5518.08</v>
      </c>
      <c r="AG650">
        <f>IF(Transaction[[#This Row],[NetRevenue_Check]]="Invalid",(Transaction[[#This Row],[Quantity]]*Transaction[[#This Row],[UnitPrice_Clean]]),Transaction[[#This Row],[NetRevenue_Clean]])</f>
        <v>5518.08</v>
      </c>
      <c r="AH650" t="str">
        <f>IF(Transaction[[#This Row],[Quantity]]*Transaction[[#This Row],[UnitPrice_Clean]]=Transaction[[#This Row],[NetRevenue_Clean]],"Valid","Invalid")</f>
        <v>Valid</v>
      </c>
      <c r="AI650" t="s">
        <v>23</v>
      </c>
      <c r="AJ650" t="s">
        <v>2725</v>
      </c>
      <c r="AK650" t="str">
        <f>IF(Transaction[[#This Row],[Salesperson]]="","Missing Value",TRIM(PROPER(Transaction[[#This Row],[Salesperson]])))</f>
        <v>Stone</v>
      </c>
      <c r="AL650" t="s">
        <v>42</v>
      </c>
      <c r="AM650" t="str">
        <f>IF(Transaction[[#This Row],[ContractType]]="","Missing Value",Transaction[[#This Row],[ContractType]])</f>
        <v>Standard PO</v>
      </c>
      <c r="AN650" t="s">
        <v>35</v>
      </c>
    </row>
    <row r="651" spans="1:40" x14ac:dyDescent="0.25">
      <c r="A651" t="s">
        <v>2808</v>
      </c>
      <c r="B651" s="1">
        <v>45727</v>
      </c>
      <c r="C65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65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65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51" s="2">
        <f>IFERROR(DATE(Transaction[[#This Row],[TransactionDateY]],Transaction[[#This Row],[TransactionDateM]],Transaction[[#This Row],[TransactionDateD]]),"Missing Value")</f>
        <v>45727</v>
      </c>
      <c r="G651" t="s">
        <v>250</v>
      </c>
      <c r="H651" t="str">
        <f>IFERROR(VLOOKUP(Transaction[[#This Row],[CustomerID]],Custumer[],1,0),IF(LEN(Transaction[[#This Row],[CustomerID]])=7,LEFT(Transaction[[#This Row],[CustomerID]],6),"Invalid ID"))</f>
        <v>C-1043</v>
      </c>
      <c r="I651" t="s">
        <v>121</v>
      </c>
      <c r="J651" t="str">
        <f>TRIM(UPPER(Transaction[[#This Row],[ProductID]]))</f>
        <v>P-FS-001</v>
      </c>
      <c r="K651" t="str">
        <f>IFERROR(VLOOKUP(Transaction[[#This Row],[ProductID_Clean]],Product[],1,FALSE),"Invalid ID")</f>
        <v>P-FS-001</v>
      </c>
      <c r="L651" t="str">
        <f>TRIM(SUBSTITUTE(SUBSTITUTE(SUBSTITUTE(SUBSTITUTE(UPPER(Transaction[[#This Row],[Region]]),"EMEA REGION","EMEA"),"APAC REGION","APAC"),"NORTH AMERICA","N. AMERICA"),"N .AMERICA","N.AMERICA"))</f>
        <v>EMEA</v>
      </c>
      <c r="M651" t="s">
        <v>87</v>
      </c>
      <c r="N651" t="s">
        <v>21</v>
      </c>
      <c r="O651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651" t="s">
        <v>22</v>
      </c>
      <c r="Q651" t="str">
        <f>IF(TRIM(Transaction[[#This Row],[SalesChannel]])="","Missing Value",TRIM(Transaction[[#This Row],[SalesChannel]]))</f>
        <v>Direct</v>
      </c>
      <c r="R651" s="4">
        <v>1</v>
      </c>
      <c r="S651" s="4" t="str">
        <f>IF(Transaction[[#This Row],[Quantity]]&lt;0,"Negative-review","Valid")</f>
        <v>Valid</v>
      </c>
      <c r="T651">
        <v>1633.76</v>
      </c>
      <c r="U65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1633.76</v>
      </c>
      <c r="V651">
        <v>1850</v>
      </c>
      <c r="W651">
        <v>1850</v>
      </c>
      <c r="X65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651">
        <f>IF(Transaction[[#This Row],[GrossRevenue_Check]]="Invalid",Transaction[[#This Row],[ListPrice]]*Transaction[[#This Row],[Quantity]],Transaction[[#This Row],[GrossRevenue_Clean]])</f>
        <v>1850</v>
      </c>
      <c r="Z651" t="str">
        <f>IF(Transaction[[#This Row],[GrossRevenue_Clean]]=Transaction[[#This Row],[ListPrice]]*Transaction[[#This Row],[Quantity]],"Valid","Invalid")</f>
        <v>Valid</v>
      </c>
      <c r="AA651">
        <v>216.24</v>
      </c>
      <c r="AB65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216.24</v>
      </c>
      <c r="AC651">
        <f>IF(Transaction[[#This Row],[DiscountAmount_Check2]]="Invalid",Transaction[[#This Row],[GrossRevenue_Analytical]]-Transaction[[#This Row],[NetRevenue_Analytical]],Transaction[[#This Row],[DiscountAmount_Clean]])</f>
        <v>216.24</v>
      </c>
      <c r="AD651">
        <v>1633.76</v>
      </c>
      <c r="AE651" t="str">
        <f>IF(ROUND(Transaction[[#This Row],[GrossRevenue_Analytical]]-Transaction[[#This Row],[NetRevenue_Analytical]],2)=ROUND(Transaction[[#This Row],[DiscountAmount_Clean]],2),"Valid","Invalid")</f>
        <v>Valid</v>
      </c>
      <c r="AF65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1633.76</v>
      </c>
      <c r="AG651">
        <f>IF(Transaction[[#This Row],[NetRevenue_Check]]="Invalid",(Transaction[[#This Row],[Quantity]]*Transaction[[#This Row],[UnitPrice_Clean]]),Transaction[[#This Row],[NetRevenue_Clean]])</f>
        <v>1633.76</v>
      </c>
      <c r="AH651" t="str">
        <f>IF(Transaction[[#This Row],[Quantity]]*Transaction[[#This Row],[UnitPrice_Clean]]=Transaction[[#This Row],[NetRevenue_Clean]],"Valid","Invalid")</f>
        <v>Valid</v>
      </c>
      <c r="AI651" t="s">
        <v>23</v>
      </c>
      <c r="AJ651" t="s">
        <v>2809</v>
      </c>
      <c r="AK651" t="str">
        <f>IF(Transaction[[#This Row],[Salesperson]]="","Missing Value",TRIM(PROPER(Transaction[[#This Row],[Salesperson]])))</f>
        <v>Hoffman</v>
      </c>
      <c r="AL651" t="s">
        <v>42</v>
      </c>
      <c r="AM651" t="str">
        <f>IF(Transaction[[#This Row],[ContractType]]="","Missing Value",Transaction[[#This Row],[ContractType]])</f>
        <v>Standard PO</v>
      </c>
      <c r="AN651" t="s">
        <v>35</v>
      </c>
    </row>
    <row r="652" spans="1:40" x14ac:dyDescent="0.25">
      <c r="A652" t="s">
        <v>1110</v>
      </c>
      <c r="B652" s="1">
        <v>45752</v>
      </c>
      <c r="C65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65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65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52" s="2">
        <f>IFERROR(DATE(Transaction[[#This Row],[TransactionDateY]],Transaction[[#This Row],[TransactionDateM]],Transaction[[#This Row],[TransactionDateD]]),"Missing Value")</f>
        <v>45752</v>
      </c>
      <c r="G652" t="s">
        <v>396</v>
      </c>
      <c r="H652" t="str">
        <f>IFERROR(VLOOKUP(Transaction[[#This Row],[CustomerID]],Custumer[],1,0),IF(LEN(Transaction[[#This Row],[CustomerID]])=7,LEFT(Transaction[[#This Row],[CustomerID]],6),"Invalid ID"))</f>
        <v>C-1142</v>
      </c>
      <c r="I652" t="s">
        <v>71</v>
      </c>
      <c r="J652" t="str">
        <f>TRIM(UPPER(Transaction[[#This Row],[ProductID]]))</f>
        <v>P-SI-003</v>
      </c>
      <c r="K652" t="str">
        <f>IFERROR(VLOOKUP(Transaction[[#This Row],[ProductID_Clean]],Product[],1,FALSE),"Invalid ID")</f>
        <v>P-SI-003</v>
      </c>
      <c r="L652" t="str">
        <f>TRIM(SUBSTITUTE(SUBSTITUTE(SUBSTITUTE(SUBSTITUTE(UPPER(Transaction[[#This Row],[Region]]),"EMEA REGION","EMEA"),"APAC REGION","APAC"),"NORTH AMERICA","N. AMERICA"),"N .AMERICA","N.AMERICA"))</f>
        <v>N. AMERICA</v>
      </c>
      <c r="M652" t="s">
        <v>204</v>
      </c>
      <c r="N652" t="s">
        <v>53</v>
      </c>
      <c r="O65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52" t="s">
        <v>40</v>
      </c>
      <c r="Q652" t="str">
        <f>IF(TRIM(Transaction[[#This Row],[SalesChannel]])="","Missing Value",TRIM(Transaction[[#This Row],[SalesChannel]]))</f>
        <v>Distributor</v>
      </c>
      <c r="R652" s="4">
        <v>4</v>
      </c>
      <c r="S652" s="4" t="str">
        <f>IF(Transaction[[#This Row],[Quantity]]&lt;0,"Negative-review","Valid")</f>
        <v>Valid</v>
      </c>
      <c r="T652">
        <v>1586.24</v>
      </c>
      <c r="U65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1586.24</v>
      </c>
      <c r="V652">
        <v>1890</v>
      </c>
      <c r="W652">
        <v>7560</v>
      </c>
      <c r="X65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7560</v>
      </c>
      <c r="Y652">
        <f>IF(Transaction[[#This Row],[GrossRevenue_Check]]="Invalid",Transaction[[#This Row],[ListPrice]]*Transaction[[#This Row],[Quantity]],Transaction[[#This Row],[GrossRevenue_Clean]])</f>
        <v>7560</v>
      </c>
      <c r="Z652" t="str">
        <f>IF(Transaction[[#This Row],[GrossRevenue_Clean]]=Transaction[[#This Row],[ListPrice]]*Transaction[[#This Row],[Quantity]],"Valid","Invalid")</f>
        <v>Valid</v>
      </c>
      <c r="AA652">
        <v>1215.04</v>
      </c>
      <c r="AB65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1215.04</v>
      </c>
      <c r="AC652">
        <f>IF(Transaction[[#This Row],[DiscountAmount_Check2]]="Invalid",Transaction[[#This Row],[GrossRevenue_Analytical]]-Transaction[[#This Row],[NetRevenue_Analytical]],Transaction[[#This Row],[DiscountAmount_Clean]])</f>
        <v>1215.04</v>
      </c>
      <c r="AD652" t="s">
        <v>1111</v>
      </c>
      <c r="AE652" t="str">
        <f>IF(ROUND(Transaction[[#This Row],[GrossRevenue_Analytical]]-Transaction[[#This Row],[NetRevenue_Analytical]],2)=ROUND(Transaction[[#This Row],[DiscountAmount_Clean]],2),"Valid","Invalid")</f>
        <v>Valid</v>
      </c>
      <c r="AF652">
        <f>VALUE(IF(ISNUMBER(Transaction[[#This Row],[NetRevenue]]),Transaction[[#This Row],[NetRevenue]],IFERROR(IF(FIND("$",Transaction[[#This Row],[NetRevenue]])&gt;0,MID(Transaction[[#This Row],[NetRevenue]],2,10)),Transaction[[#This Row],[NetRevenue]])))</f>
        <v>6344.96</v>
      </c>
      <c r="AG652">
        <f>IF(Transaction[[#This Row],[NetRevenue_Check]]="Invalid",(Transaction[[#This Row],[Quantity]]*Transaction[[#This Row],[UnitPrice_Clean]]),Transaction[[#This Row],[NetRevenue_Clean]])</f>
        <v>6344.96</v>
      </c>
      <c r="AH652" t="str">
        <f>IF(Transaction[[#This Row],[Quantity]]*Transaction[[#This Row],[UnitPrice_Clean]]=Transaction[[#This Row],[NetRevenue_Clean]],"Valid","Invalid")</f>
        <v>Valid</v>
      </c>
      <c r="AI652" t="s">
        <v>23</v>
      </c>
      <c r="AJ652" t="s">
        <v>1112</v>
      </c>
      <c r="AK652" t="str">
        <f>IF(Transaction[[#This Row],[Salesperson]]="","Missing Value",TRIM(PROPER(Transaction[[#This Row],[Salesperson]])))</f>
        <v>Bolton-Na</v>
      </c>
      <c r="AL652" t="s">
        <v>42</v>
      </c>
      <c r="AM652" t="str">
        <f>IF(Transaction[[#This Row],[ContractType]]="","Missing Value",Transaction[[#This Row],[ContractType]])</f>
        <v>Standard PO</v>
      </c>
      <c r="AN652" t="s">
        <v>65</v>
      </c>
    </row>
    <row r="653" spans="1:40" x14ac:dyDescent="0.25">
      <c r="A653" t="s">
        <v>1025</v>
      </c>
      <c r="B653" s="1">
        <v>45760</v>
      </c>
      <c r="C65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65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65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53" s="2">
        <f>IFERROR(DATE(Transaction[[#This Row],[TransactionDateY]],Transaction[[#This Row],[TransactionDateM]],Transaction[[#This Row],[TransactionDateD]]),"Missing Value")</f>
        <v>45760</v>
      </c>
      <c r="G653" t="s">
        <v>1026</v>
      </c>
      <c r="H653" t="str">
        <f>IFERROR(VLOOKUP(Transaction[[#This Row],[CustomerID]],Custumer[],1,0),IF(LEN(Transaction[[#This Row],[CustomerID]])=7,LEFT(Transaction[[#This Row],[CustomerID]],6),"Invalid ID"))</f>
        <v>C-1056</v>
      </c>
      <c r="I653" t="s">
        <v>92</v>
      </c>
      <c r="J653" t="str">
        <f>TRIM(UPPER(Transaction[[#This Row],[ProductID]]))</f>
        <v>P-SI-008</v>
      </c>
      <c r="K653" t="str">
        <f>IFERROR(VLOOKUP(Transaction[[#This Row],[ProductID_Clean]],Product[],1,FALSE),"Invalid ID")</f>
        <v>P-SI-008</v>
      </c>
      <c r="L653" t="str">
        <f>TRIM(SUBSTITUTE(SUBSTITUTE(SUBSTITUTE(SUBSTITUTE(UPPER(Transaction[[#This Row],[Region]]),"EMEA REGION","EMEA"),"APAC REGION","APAC"),"NORTH AMERICA","N. AMERICA"),"N .AMERICA","N.AMERICA"))</f>
        <v>APAC</v>
      </c>
      <c r="M653" t="s">
        <v>30</v>
      </c>
      <c r="N653" t="s">
        <v>53</v>
      </c>
      <c r="O65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53" t="s">
        <v>22</v>
      </c>
      <c r="Q653" t="str">
        <f>IF(TRIM(Transaction[[#This Row],[SalesChannel]])="","Missing Value",TRIM(Transaction[[#This Row],[SalesChannel]]))</f>
        <v>Direct</v>
      </c>
      <c r="R653" s="4">
        <v>5</v>
      </c>
      <c r="S653" s="4" t="str">
        <f>IF(Transaction[[#This Row],[Quantity]]&lt;0,"Negative-review","Valid")</f>
        <v>Valid</v>
      </c>
      <c r="T653">
        <v>841.38</v>
      </c>
      <c r="U65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841.38</v>
      </c>
      <c r="V653">
        <v>950</v>
      </c>
      <c r="W653">
        <v>4750</v>
      </c>
      <c r="X65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4750</v>
      </c>
      <c r="Y653">
        <f>IF(Transaction[[#This Row],[GrossRevenue_Check]]="Invalid",Transaction[[#This Row],[ListPrice]]*Transaction[[#This Row],[Quantity]],Transaction[[#This Row],[GrossRevenue_Clean]])</f>
        <v>4750</v>
      </c>
      <c r="Z653" t="str">
        <f>IF(Transaction[[#This Row],[GrossRevenue_Clean]]=Transaction[[#This Row],[ListPrice]]*Transaction[[#This Row],[Quantity]],"Valid","Invalid")</f>
        <v>Valid</v>
      </c>
      <c r="AA653">
        <v>543.1</v>
      </c>
      <c r="AB65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543.1</v>
      </c>
      <c r="AC653">
        <f>IF(Transaction[[#This Row],[DiscountAmount_Check2]]="Invalid",Transaction[[#This Row],[GrossRevenue_Analytical]]-Transaction[[#This Row],[NetRevenue_Analytical]],Transaction[[#This Row],[DiscountAmount_Clean]])</f>
        <v>543.1</v>
      </c>
      <c r="AD653">
        <v>4206.8999999999996</v>
      </c>
      <c r="AE653" t="str">
        <f>IF(ROUND(Transaction[[#This Row],[GrossRevenue_Analytical]]-Transaction[[#This Row],[NetRevenue_Analytical]],2)=ROUND(Transaction[[#This Row],[DiscountAmount_Clean]],2),"Valid","Invalid")</f>
        <v>Valid</v>
      </c>
      <c r="AF653">
        <f>VALUE(IF(ISNUMBER(Transaction[[#This Row],[NetRevenue]]),Transaction[[#This Row],[NetRevenue]],IFERROR(IF(FIND("$",Transaction[[#This Row],[NetRevenue]])&gt;0,MID(Transaction[[#This Row],[NetRevenue]],2,10)),Transaction[[#This Row],[NetRevenue]])))</f>
        <v>4206.8999999999996</v>
      </c>
      <c r="AG653">
        <f>IF(Transaction[[#This Row],[NetRevenue_Check]]="Invalid",(Transaction[[#This Row],[Quantity]]*Transaction[[#This Row],[UnitPrice_Clean]]),Transaction[[#This Row],[NetRevenue_Clean]])</f>
        <v>4206.8999999999996</v>
      </c>
      <c r="AH653" t="str">
        <f>IF(Transaction[[#This Row],[Quantity]]*Transaction[[#This Row],[UnitPrice_Clean]]=Transaction[[#This Row],[NetRevenue_Clean]],"Valid","Invalid")</f>
        <v>Valid</v>
      </c>
      <c r="AI653" t="s">
        <v>23</v>
      </c>
      <c r="AJ653" t="s">
        <v>1027</v>
      </c>
      <c r="AK653" t="str">
        <f>IF(Transaction[[#This Row],[Salesperson]]="","Missing Value",TRIM(PROPER(Transaction[[#This Row],[Salesperson]])))</f>
        <v>Mendoza-Ap</v>
      </c>
      <c r="AL653" t="s">
        <v>55</v>
      </c>
      <c r="AM653" t="str">
        <f>IF(Transaction[[#This Row],[ContractType]]="","Missing Value",Transaction[[#This Row],[ContractType]])</f>
        <v>Spot</v>
      </c>
      <c r="AN653" t="s">
        <v>43</v>
      </c>
    </row>
    <row r="654" spans="1:40" x14ac:dyDescent="0.25">
      <c r="A654" t="s">
        <v>773</v>
      </c>
      <c r="B654" s="1">
        <v>45770</v>
      </c>
      <c r="C65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65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65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54" s="2">
        <f>IFERROR(DATE(Transaction[[#This Row],[TransactionDateY]],Transaction[[#This Row],[TransactionDateM]],Transaction[[#This Row],[TransactionDateD]]),"Missing Value")</f>
        <v>45770</v>
      </c>
      <c r="G654" t="s">
        <v>267</v>
      </c>
      <c r="H654" t="str">
        <f>IFERROR(VLOOKUP(Transaction[[#This Row],[CustomerID]],Custumer[],1,0),IF(LEN(Transaction[[#This Row],[CustomerID]])=7,LEFT(Transaction[[#This Row],[CustomerID]],6),"Invalid ID"))</f>
        <v>C-1119</v>
      </c>
      <c r="I654" t="s">
        <v>774</v>
      </c>
      <c r="J654" t="str">
        <f>TRIM(UPPER(Transaction[[#This Row],[ProductID]]))</f>
        <v>P-FS-002</v>
      </c>
      <c r="K654" t="str">
        <f>IFERROR(VLOOKUP(Transaction[[#This Row],[ProductID_Clean]],Product[],1,FALSE),"Invalid ID")</f>
        <v>P-FS-002</v>
      </c>
      <c r="L654" t="str">
        <f>TRIM(SUBSTITUTE(SUBSTITUTE(SUBSTITUTE(SUBSTITUTE(UPPER(Transaction[[#This Row],[Region]]),"EMEA REGION","EMEA"),"APAC REGION","APAC"),"NORTH AMERICA","N. AMERICA"),"N .AMERICA","N.AMERICA"))</f>
        <v>EMEA</v>
      </c>
      <c r="M654" t="s">
        <v>87</v>
      </c>
      <c r="N654" t="s">
        <v>21</v>
      </c>
      <c r="O65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654" t="s">
        <v>173</v>
      </c>
      <c r="Q654" t="str">
        <f>IF(TRIM(Transaction[[#This Row],[SalesChannel]])="","Missing Value",TRIM(Transaction[[#This Row],[SalesChannel]]))</f>
        <v>Distributor</v>
      </c>
      <c r="R654" s="4">
        <v>1</v>
      </c>
      <c r="S654" s="4" t="str">
        <f>IF(Transaction[[#This Row],[Quantity]]&lt;0,"Negative-review","Valid")</f>
        <v>Valid</v>
      </c>
      <c r="T654">
        <v>1993.99</v>
      </c>
      <c r="U65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1993.99</v>
      </c>
      <c r="V654">
        <v>2400</v>
      </c>
      <c r="W654">
        <v>2400</v>
      </c>
      <c r="X65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654">
        <f>IF(Transaction[[#This Row],[GrossRevenue_Check]]="Invalid",Transaction[[#This Row],[ListPrice]]*Transaction[[#This Row],[Quantity]],Transaction[[#This Row],[GrossRevenue_Clean]])</f>
        <v>2400</v>
      </c>
      <c r="Z654" t="str">
        <f>IF(Transaction[[#This Row],[GrossRevenue_Clean]]=Transaction[[#This Row],[ListPrice]]*Transaction[[#This Row],[Quantity]],"Valid","Invalid")</f>
        <v>Valid</v>
      </c>
      <c r="AA654">
        <v>406.01</v>
      </c>
      <c r="AB65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406.01</v>
      </c>
      <c r="AC654">
        <f>IF(Transaction[[#This Row],[DiscountAmount_Check2]]="Invalid",Transaction[[#This Row],[GrossRevenue_Analytical]]-Transaction[[#This Row],[NetRevenue_Analytical]],Transaction[[#This Row],[DiscountAmount_Clean]])</f>
        <v>406.01</v>
      </c>
      <c r="AD654">
        <v>1993.99</v>
      </c>
      <c r="AE654" t="str">
        <f>IF(ROUND(Transaction[[#This Row],[GrossRevenue_Analytical]]-Transaction[[#This Row],[NetRevenue_Analytical]],2)=ROUND(Transaction[[#This Row],[DiscountAmount_Clean]],2),"Valid","Invalid")</f>
        <v>Valid</v>
      </c>
      <c r="AF65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1993.99</v>
      </c>
      <c r="AG654">
        <f>IF(Transaction[[#This Row],[NetRevenue_Check]]="Invalid",(Transaction[[#This Row],[Quantity]]*Transaction[[#This Row],[UnitPrice_Clean]]),Transaction[[#This Row],[NetRevenue_Clean]])</f>
        <v>1993.99</v>
      </c>
      <c r="AH654" t="str">
        <f>IF(Transaction[[#This Row],[Quantity]]*Transaction[[#This Row],[UnitPrice_Clean]]=Transaction[[#This Row],[NetRevenue_Clean]],"Valid","Invalid")</f>
        <v>Valid</v>
      </c>
      <c r="AI654" t="s">
        <v>23</v>
      </c>
      <c r="AJ654" t="s">
        <v>775</v>
      </c>
      <c r="AK654" t="str">
        <f>IF(Transaction[[#This Row],[Salesperson]]="","Missing Value",TRIM(PROPER(Transaction[[#This Row],[Salesperson]])))</f>
        <v>Bennett-Na</v>
      </c>
      <c r="AL654" t="s">
        <v>224</v>
      </c>
      <c r="AM654" t="str">
        <f>IF(Transaction[[#This Row],[ContractType]]="","Missing Value",Transaction[[#This Row],[ContractType]])</f>
        <v>Annual</v>
      </c>
      <c r="AN654" t="s">
        <v>49</v>
      </c>
    </row>
    <row r="655" spans="1:40" x14ac:dyDescent="0.25">
      <c r="A655" t="s">
        <v>1961</v>
      </c>
      <c r="B655" t="s">
        <v>1962</v>
      </c>
      <c r="C65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65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65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55" s="2">
        <f>IFERROR(DATE(Transaction[[#This Row],[TransactionDateY]],Transaction[[#This Row],[TransactionDateM]],Transaction[[#This Row],[TransactionDateD]]),"Missing Value")</f>
        <v>45744</v>
      </c>
      <c r="G655" t="s">
        <v>357</v>
      </c>
      <c r="H655" t="str">
        <f>IFERROR(VLOOKUP(Transaction[[#This Row],[CustomerID]],Custumer[],1,0),IF(LEN(Transaction[[#This Row],[CustomerID]])=7,LEFT(Transaction[[#This Row],[CustomerID]],6),"Invalid ID"))</f>
        <v>C-1078</v>
      </c>
      <c r="I655" t="s">
        <v>71</v>
      </c>
      <c r="J655" t="str">
        <f>TRIM(UPPER(Transaction[[#This Row],[ProductID]]))</f>
        <v>P-SI-003</v>
      </c>
      <c r="K655" t="str">
        <f>IFERROR(VLOOKUP(Transaction[[#This Row],[ProductID_Clean]],Product[],1,FALSE),"Invalid ID")</f>
        <v>P-SI-003</v>
      </c>
      <c r="L655" t="str">
        <f>TRIM(SUBSTITUTE(SUBSTITUTE(SUBSTITUTE(SUBSTITUTE(UPPER(Transaction[[#This Row],[Region]]),"EMEA REGION","EMEA"),"APAC REGION","APAC"),"NORTH AMERICA","N. AMERICA"),"N .AMERICA","N.AMERICA"))</f>
        <v>N. AMERICA</v>
      </c>
      <c r="M655" t="s">
        <v>20</v>
      </c>
      <c r="N655" t="s">
        <v>53</v>
      </c>
      <c r="O65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55" t="s">
        <v>22</v>
      </c>
      <c r="Q655" t="str">
        <f>IF(TRIM(Transaction[[#This Row],[SalesChannel]])="","Missing Value",TRIM(Transaction[[#This Row],[SalesChannel]]))</f>
        <v>Direct</v>
      </c>
      <c r="R655" s="4">
        <v>2</v>
      </c>
      <c r="S655" s="4" t="str">
        <f>IF(Transaction[[#This Row],[Quantity]]&lt;0,"Negative-review","Valid")</f>
        <v>Valid</v>
      </c>
      <c r="T655">
        <v>1671.16</v>
      </c>
      <c r="U65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1671.16</v>
      </c>
      <c r="V655">
        <v>1890</v>
      </c>
      <c r="W655">
        <v>3780</v>
      </c>
      <c r="X65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3780</v>
      </c>
      <c r="Y655">
        <f>IF(Transaction[[#This Row],[GrossRevenue_Check]]="Invalid",Transaction[[#This Row],[ListPrice]]*Transaction[[#This Row],[Quantity]],Transaction[[#This Row],[GrossRevenue_Clean]])</f>
        <v>3780</v>
      </c>
      <c r="Z655" t="str">
        <f>IF(Transaction[[#This Row],[GrossRevenue_Clean]]=Transaction[[#This Row],[ListPrice]]*Transaction[[#This Row],[Quantity]],"Valid","Invalid")</f>
        <v>Valid</v>
      </c>
      <c r="AA655">
        <v>437.68</v>
      </c>
      <c r="AB65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437.68</v>
      </c>
      <c r="AC655">
        <f>IF(Transaction[[#This Row],[DiscountAmount_Check2]]="Invalid",Transaction[[#This Row],[GrossRevenue_Analytical]]-Transaction[[#This Row],[NetRevenue_Analytical]],Transaction[[#This Row],[DiscountAmount_Clean]])</f>
        <v>437.68</v>
      </c>
      <c r="AD655">
        <v>3342.32</v>
      </c>
      <c r="AE655" t="str">
        <f>IF(ROUND(Transaction[[#This Row],[GrossRevenue_Analytical]]-Transaction[[#This Row],[NetRevenue_Analytical]],2)=ROUND(Transaction[[#This Row],[DiscountAmount_Clean]],2),"Valid","Invalid")</f>
        <v>Valid</v>
      </c>
      <c r="AF65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3342.32</v>
      </c>
      <c r="AG655">
        <f>IF(Transaction[[#This Row],[NetRevenue_Check]]="Invalid",(Transaction[[#This Row],[Quantity]]*Transaction[[#This Row],[UnitPrice_Clean]]),Transaction[[#This Row],[NetRevenue_Clean]])</f>
        <v>3342.32</v>
      </c>
      <c r="AH655" t="str">
        <f>IF(Transaction[[#This Row],[Quantity]]*Transaction[[#This Row],[UnitPrice_Clean]]=Transaction[[#This Row],[NetRevenue_Clean]],"Valid","Invalid")</f>
        <v>Valid</v>
      </c>
      <c r="AI655" t="s">
        <v>23</v>
      </c>
      <c r="AJ655" t="s">
        <v>1963</v>
      </c>
      <c r="AK655" t="str">
        <f>IF(Transaction[[#This Row],[Salesperson]]="","Missing Value",TRIM(PROPER(Transaction[[#This Row],[Salesperson]])))</f>
        <v>Frye-Na</v>
      </c>
      <c r="AL655" t="s">
        <v>42</v>
      </c>
      <c r="AM655" t="str">
        <f>IF(Transaction[[#This Row],[ContractType]]="","Missing Value",Transaction[[#This Row],[ContractType]])</f>
        <v>Standard PO</v>
      </c>
      <c r="AN655" t="s">
        <v>26</v>
      </c>
    </row>
    <row r="656" spans="1:40" x14ac:dyDescent="0.25">
      <c r="A656" t="s">
        <v>2505</v>
      </c>
      <c r="B656" s="1">
        <v>45835</v>
      </c>
      <c r="C65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65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65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56" s="2">
        <f>IFERROR(DATE(Transaction[[#This Row],[TransactionDateY]],Transaction[[#This Row],[TransactionDateM]],Transaction[[#This Row],[TransactionDateD]]),"Missing Value")</f>
        <v>45835</v>
      </c>
      <c r="G656" t="s">
        <v>195</v>
      </c>
      <c r="H656" t="str">
        <f>IFERROR(VLOOKUP(Transaction[[#This Row],[CustomerID]],Custumer[],1,0),IF(LEN(Transaction[[#This Row],[CustomerID]])=7,LEFT(Transaction[[#This Row],[CustomerID]],6),"Invalid ID"))</f>
        <v>C-1015</v>
      </c>
      <c r="I656" t="s">
        <v>58</v>
      </c>
      <c r="J656" t="str">
        <f>TRIM(UPPER(Transaction[[#This Row],[ProductID]]))</f>
        <v>P-SI-005</v>
      </c>
      <c r="K656" t="str">
        <f>IFERROR(VLOOKUP(Transaction[[#This Row],[ProductID_Clean]],Product[],1,FALSE),"Invalid ID")</f>
        <v>P-SI-005</v>
      </c>
      <c r="L656" t="str">
        <f>TRIM(SUBSTITUTE(SUBSTITUTE(SUBSTITUTE(SUBSTITUTE(UPPER(Transaction[[#This Row],[Region]]),"EMEA REGION","EMEA"),"APAC REGION","APAC"),"NORTH AMERICA","N. AMERICA"),"N .AMERICA","N.AMERICA"))</f>
        <v>N. AMERICA</v>
      </c>
      <c r="M656" t="s">
        <v>20</v>
      </c>
      <c r="N656" t="s">
        <v>47</v>
      </c>
      <c r="O65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56" t="s">
        <v>40</v>
      </c>
      <c r="Q656" t="str">
        <f>IF(TRIM(Transaction[[#This Row],[SalesChannel]])="","Missing Value",TRIM(Transaction[[#This Row],[SalesChannel]]))</f>
        <v>Distributor</v>
      </c>
      <c r="R656" s="4">
        <v>1</v>
      </c>
      <c r="S656" s="4" t="str">
        <f>IF(Transaction[[#This Row],[Quantity]]&lt;0,"Negative-review","Valid")</f>
        <v>Valid</v>
      </c>
      <c r="T656">
        <v>778.89</v>
      </c>
      <c r="U65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778.89</v>
      </c>
      <c r="V656">
        <v>1120</v>
      </c>
      <c r="W656">
        <v>1120</v>
      </c>
      <c r="X65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1120</v>
      </c>
      <c r="Y656">
        <f>IF(Transaction[[#This Row],[GrossRevenue_Check]]="Invalid",Transaction[[#This Row],[ListPrice]]*Transaction[[#This Row],[Quantity]],Transaction[[#This Row],[GrossRevenue_Clean]])</f>
        <v>1120</v>
      </c>
      <c r="Z656" t="str">
        <f>IF(Transaction[[#This Row],[GrossRevenue_Clean]]=Transaction[[#This Row],[ListPrice]]*Transaction[[#This Row],[Quantity]],"Valid","Invalid")</f>
        <v>Valid</v>
      </c>
      <c r="AA656">
        <v>341.11</v>
      </c>
      <c r="AB65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341.11</v>
      </c>
      <c r="AC656">
        <f>IF(Transaction[[#This Row],[DiscountAmount_Check2]]="Invalid",Transaction[[#This Row],[GrossRevenue_Analytical]]-Transaction[[#This Row],[NetRevenue_Analytical]],Transaction[[#This Row],[DiscountAmount_Clean]])</f>
        <v>341.11</v>
      </c>
      <c r="AD656">
        <v>778.89</v>
      </c>
      <c r="AE656" t="str">
        <f>IF(ROUND(Transaction[[#This Row],[GrossRevenue_Analytical]]-Transaction[[#This Row],[NetRevenue_Analytical]],2)=ROUND(Transaction[[#This Row],[DiscountAmount_Clean]],2),"Valid","Invalid")</f>
        <v>Valid</v>
      </c>
      <c r="AF656">
        <f>VALUE(IF(ISNUMBER(Transaction[[#This Row],[NetRevenue]]),Transaction[[#This Row],[NetRevenue]],IFERROR(IF(FIND("$",Transaction[[#This Row],[NetRevenue]])&gt;0,MID(Transaction[[#This Row],[NetRevenue]],2,10)),Transaction[[#This Row],[NetRevenue]])))</f>
        <v>778.89</v>
      </c>
      <c r="AG656">
        <f>IF(Transaction[[#This Row],[NetRevenue_Check]]="Invalid",(Transaction[[#This Row],[Quantity]]*Transaction[[#This Row],[UnitPrice_Clean]]),Transaction[[#This Row],[NetRevenue_Clean]])</f>
        <v>778.89</v>
      </c>
      <c r="AH656" t="str">
        <f>IF(Transaction[[#This Row],[Quantity]]*Transaction[[#This Row],[UnitPrice_Clean]]=Transaction[[#This Row],[NetRevenue_Clean]],"Valid","Invalid")</f>
        <v>Valid</v>
      </c>
      <c r="AI656" t="s">
        <v>23</v>
      </c>
      <c r="AJ656" t="s">
        <v>2506</v>
      </c>
      <c r="AK656" t="str">
        <f>IF(Transaction[[#This Row],[Salesperson]]="","Missing Value",TRIM(PROPER(Transaction[[#This Row],[Salesperson]])))</f>
        <v>Stevens-Em</v>
      </c>
      <c r="AL656" t="s">
        <v>55</v>
      </c>
      <c r="AM656" t="str">
        <f>IF(Transaction[[#This Row],[ContractType]]="","Missing Value",Transaction[[#This Row],[ContractType]])</f>
        <v>Spot</v>
      </c>
      <c r="AN656" t="s">
        <v>26</v>
      </c>
    </row>
    <row r="657" spans="1:40" x14ac:dyDescent="0.25">
      <c r="A657" t="s">
        <v>788</v>
      </c>
      <c r="B657" s="1">
        <v>45726</v>
      </c>
      <c r="C65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65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65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57" s="2">
        <f>IFERROR(DATE(Transaction[[#This Row],[TransactionDateY]],Transaction[[#This Row],[TransactionDateM]],Transaction[[#This Row],[TransactionDateD]]),"Missing Value")</f>
        <v>45726</v>
      </c>
      <c r="G657" t="s">
        <v>38</v>
      </c>
      <c r="H657" t="str">
        <f>IFERROR(VLOOKUP(Transaction[[#This Row],[CustomerID]],Custumer[],1,0),IF(LEN(Transaction[[#This Row],[CustomerID]])=7,LEFT(Transaction[[#This Row],[CustomerID]],6),"Invalid ID"))</f>
        <v>C-1027</v>
      </c>
      <c r="I657" t="s">
        <v>92</v>
      </c>
      <c r="J657" t="str">
        <f>TRIM(UPPER(Transaction[[#This Row],[ProductID]]))</f>
        <v>P-SI-008</v>
      </c>
      <c r="K657" t="str">
        <f>IFERROR(VLOOKUP(Transaction[[#This Row],[ProductID_Clean]],Product[],1,FALSE),"Invalid ID")</f>
        <v>P-SI-008</v>
      </c>
      <c r="L657" t="str">
        <f>TRIM(SUBSTITUTE(SUBSTITUTE(SUBSTITUTE(SUBSTITUTE(UPPER(Transaction[[#This Row],[Region]]),"EMEA REGION","EMEA"),"APAC REGION","APAC"),"NORTH AMERICA","N. AMERICA"),"N .AMERICA","N.AMERICA"))</f>
        <v>N. AMERICA</v>
      </c>
      <c r="M657" t="s">
        <v>20</v>
      </c>
      <c r="N657" t="s">
        <v>53</v>
      </c>
      <c r="O65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57" t="s">
        <v>22</v>
      </c>
      <c r="Q657" t="str">
        <f>IF(TRIM(Transaction[[#This Row],[SalesChannel]])="","Missing Value",TRIM(Transaction[[#This Row],[SalesChannel]]))</f>
        <v>Direct</v>
      </c>
      <c r="R657" s="4">
        <v>12</v>
      </c>
      <c r="S657" s="4" t="str">
        <f>IF(Transaction[[#This Row],[Quantity]]&lt;0,"Negative-review","Valid")</f>
        <v>Valid</v>
      </c>
      <c r="T657">
        <v>888.81</v>
      </c>
      <c r="U65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888.81</v>
      </c>
      <c r="V657">
        <v>950</v>
      </c>
      <c r="W657">
        <v>11400</v>
      </c>
      <c r="X65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11400</v>
      </c>
      <c r="Y657">
        <f>IF(Transaction[[#This Row],[GrossRevenue_Check]]="Invalid",Transaction[[#This Row],[ListPrice]]*Transaction[[#This Row],[Quantity]],Transaction[[#This Row],[GrossRevenue_Clean]])</f>
        <v>11400</v>
      </c>
      <c r="Z657" t="str">
        <f>IF(Transaction[[#This Row],[GrossRevenue_Clean]]=Transaction[[#This Row],[ListPrice]]*Transaction[[#This Row],[Quantity]],"Valid","Invalid")</f>
        <v>Valid</v>
      </c>
      <c r="AA657">
        <v>734.28</v>
      </c>
      <c r="AB65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734.28</v>
      </c>
      <c r="AC657">
        <f>IF(Transaction[[#This Row],[DiscountAmount_Check2]]="Invalid",Transaction[[#This Row],[GrossRevenue_Analytical]]-Transaction[[#This Row],[NetRevenue_Analytical]],Transaction[[#This Row],[DiscountAmount_Clean]])</f>
        <v>734.28</v>
      </c>
      <c r="AD657">
        <v>10665.72</v>
      </c>
      <c r="AE657" t="str">
        <f>IF(ROUND(Transaction[[#This Row],[GrossRevenue_Analytical]]-Transaction[[#This Row],[NetRevenue_Analytical]],2)=ROUND(Transaction[[#This Row],[DiscountAmount_Clean]],2),"Valid","Invalid")</f>
        <v>Valid</v>
      </c>
      <c r="AF65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10665.72</v>
      </c>
      <c r="AG657">
        <f>IF(Transaction[[#This Row],[NetRevenue_Check]]="Invalid",(Transaction[[#This Row],[Quantity]]*Transaction[[#This Row],[UnitPrice_Clean]]),Transaction[[#This Row],[NetRevenue_Clean]])</f>
        <v>10665.72</v>
      </c>
      <c r="AH657" t="str">
        <f>IF(Transaction[[#This Row],[Quantity]]*Transaction[[#This Row],[UnitPrice_Clean]]=Transaction[[#This Row],[NetRevenue_Clean]],"Valid","Invalid")</f>
        <v>Valid</v>
      </c>
      <c r="AI657" t="s">
        <v>23</v>
      </c>
      <c r="AJ657" t="s">
        <v>251</v>
      </c>
      <c r="AK657" t="str">
        <f>IF(Transaction[[#This Row],[Salesperson]]="","Missing Value",TRIM(PROPER(Transaction[[#This Row],[Salesperson]])))</f>
        <v>Patel</v>
      </c>
      <c r="AL657" t="s">
        <v>42</v>
      </c>
      <c r="AM657" t="str">
        <f>IF(Transaction[[#This Row],[ContractType]]="","Missing Value",Transaction[[#This Row],[ContractType]])</f>
        <v>Standard PO</v>
      </c>
      <c r="AN657" t="s">
        <v>43</v>
      </c>
    </row>
    <row r="658" spans="1:40" x14ac:dyDescent="0.25">
      <c r="A658" t="s">
        <v>2415</v>
      </c>
      <c r="B658" s="1">
        <v>45766</v>
      </c>
      <c r="C65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65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65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58" s="2">
        <f>IFERROR(DATE(Transaction[[#This Row],[TransactionDateY]],Transaction[[#This Row],[TransactionDateM]],Transaction[[#This Row],[TransactionDateD]]),"Missing Value")</f>
        <v>45766</v>
      </c>
      <c r="G658" t="s">
        <v>374</v>
      </c>
      <c r="H658" t="str">
        <f>IFERROR(VLOOKUP(Transaction[[#This Row],[CustomerID]],Custumer[],1,0),IF(LEN(Transaction[[#This Row],[CustomerID]])=7,LEFT(Transaction[[#This Row],[CustomerID]],6),"Invalid ID"))</f>
        <v>C-1102</v>
      </c>
      <c r="I658" t="s">
        <v>121</v>
      </c>
      <c r="J658" t="str">
        <f>TRIM(UPPER(Transaction[[#This Row],[ProductID]]))</f>
        <v>P-FS-001</v>
      </c>
      <c r="K658" t="str">
        <f>IFERROR(VLOOKUP(Transaction[[#This Row],[ProductID_Clean]],Product[],1,FALSE),"Invalid ID")</f>
        <v>P-FS-001</v>
      </c>
      <c r="L658" t="str">
        <f>TRIM(SUBSTITUTE(SUBSTITUTE(SUBSTITUTE(SUBSTITUTE(UPPER(Transaction[[#This Row],[Region]]),"EMEA REGION","EMEA"),"APAC REGION","APAC"),"NORTH AMERICA","N. AMERICA"),"N .AMERICA","N.AMERICA"))</f>
        <v>LATIN AMERICA</v>
      </c>
      <c r="M658" t="s">
        <v>82</v>
      </c>
      <c r="N658" t="s">
        <v>21</v>
      </c>
      <c r="O658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658" t="s">
        <v>40</v>
      </c>
      <c r="Q658" t="str">
        <f>IF(TRIM(Transaction[[#This Row],[SalesChannel]])="","Missing Value",TRIM(Transaction[[#This Row],[SalesChannel]]))</f>
        <v>Distributor</v>
      </c>
      <c r="R658" s="4">
        <v>1</v>
      </c>
      <c r="S658" s="4" t="str">
        <f>IF(Transaction[[#This Row],[Quantity]]&lt;0,"Negative-review","Valid")</f>
        <v>Valid</v>
      </c>
      <c r="T658">
        <v>1333.75</v>
      </c>
      <c r="U65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1333.75</v>
      </c>
      <c r="V658">
        <v>1850</v>
      </c>
      <c r="W658">
        <v>1850</v>
      </c>
      <c r="X65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658">
        <f>IF(Transaction[[#This Row],[GrossRevenue_Check]]="Invalid",Transaction[[#This Row],[ListPrice]]*Transaction[[#This Row],[Quantity]],Transaction[[#This Row],[GrossRevenue_Clean]])</f>
        <v>1850</v>
      </c>
      <c r="Z658" t="str">
        <f>IF(Transaction[[#This Row],[GrossRevenue_Clean]]=Transaction[[#This Row],[ListPrice]]*Transaction[[#This Row],[Quantity]],"Valid","Invalid")</f>
        <v>Valid</v>
      </c>
      <c r="AA658">
        <v>516.25</v>
      </c>
      <c r="AB65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516.25</v>
      </c>
      <c r="AC658">
        <f>IF(Transaction[[#This Row],[DiscountAmount_Check2]]="Invalid",Transaction[[#This Row],[GrossRevenue_Analytical]]-Transaction[[#This Row],[NetRevenue_Analytical]],Transaction[[#This Row],[DiscountAmount_Clean]])</f>
        <v>516.25</v>
      </c>
      <c r="AD658">
        <v>1333.75</v>
      </c>
      <c r="AE658" t="str">
        <f>IF(ROUND(Transaction[[#This Row],[GrossRevenue_Analytical]]-Transaction[[#This Row],[NetRevenue_Analytical]],2)=ROUND(Transaction[[#This Row],[DiscountAmount_Clean]],2),"Valid","Invalid")</f>
        <v>Valid</v>
      </c>
      <c r="AF65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1333.75</v>
      </c>
      <c r="AG658">
        <f>IF(Transaction[[#This Row],[NetRevenue_Check]]="Invalid",(Transaction[[#This Row],[Quantity]]*Transaction[[#This Row],[UnitPrice_Clean]]),Transaction[[#This Row],[NetRevenue_Clean]])</f>
        <v>1333.75</v>
      </c>
      <c r="AH658" t="str">
        <f>IF(Transaction[[#This Row],[Quantity]]*Transaction[[#This Row],[UnitPrice_Clean]]=Transaction[[#This Row],[NetRevenue_Clean]],"Valid","Invalid")</f>
        <v>Valid</v>
      </c>
      <c r="AI658" t="s">
        <v>23</v>
      </c>
      <c r="AJ658" t="s">
        <v>793</v>
      </c>
      <c r="AK658" t="str">
        <f>IF(Transaction[[#This Row],[Salesperson]]="","Missing Value",TRIM(PROPER(Transaction[[#This Row],[Salesperson]])))</f>
        <v>Payne</v>
      </c>
      <c r="AL658" t="s">
        <v>42</v>
      </c>
      <c r="AM658" t="str">
        <f>IF(Transaction[[#This Row],[ContractType]]="","Missing Value",Transaction[[#This Row],[ContractType]])</f>
        <v>Standard PO</v>
      </c>
      <c r="AN658" t="s">
        <v>49</v>
      </c>
    </row>
    <row r="659" spans="1:40" x14ac:dyDescent="0.25">
      <c r="A659" t="s">
        <v>2402</v>
      </c>
      <c r="B659" s="1">
        <v>45768</v>
      </c>
      <c r="C65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65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65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59" s="2">
        <f>IFERROR(DATE(Transaction[[#This Row],[TransactionDateY]],Transaction[[#This Row],[TransactionDateM]],Transaction[[#This Row],[TransactionDateD]]),"Missing Value")</f>
        <v>45768</v>
      </c>
      <c r="G659" t="s">
        <v>195</v>
      </c>
      <c r="H659" t="str">
        <f>IFERROR(VLOOKUP(Transaction[[#This Row],[CustomerID]],Custumer[],1,0),IF(LEN(Transaction[[#This Row],[CustomerID]])=7,LEFT(Transaction[[#This Row],[CustomerID]],6),"Invalid ID"))</f>
        <v>C-1015</v>
      </c>
      <c r="I659" t="s">
        <v>703</v>
      </c>
      <c r="J659" t="str">
        <f>TRIM(UPPER(Transaction[[#This Row],[ProductID]]))</f>
        <v>P-SI-001</v>
      </c>
      <c r="K659" t="str">
        <f>IFERROR(VLOOKUP(Transaction[[#This Row],[ProductID_Clean]],Product[],1,FALSE),"Invalid ID")</f>
        <v>P-SI-001</v>
      </c>
      <c r="L659" t="str">
        <f>TRIM(SUBSTITUTE(SUBSTITUTE(SUBSTITUTE(SUBSTITUTE(UPPER(Transaction[[#This Row],[Region]]),"EMEA REGION","EMEA"),"APAC REGION","APAC"),"NORTH AMERICA","N. AMERICA"),"N .AMERICA","N.AMERICA"))</f>
        <v>N. AMERICA</v>
      </c>
      <c r="M659" t="s">
        <v>20</v>
      </c>
      <c r="N659" t="s">
        <v>272</v>
      </c>
      <c r="O65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59" t="s">
        <v>40</v>
      </c>
      <c r="Q659" t="str">
        <f>IF(TRIM(Transaction[[#This Row],[SalesChannel]])="","Missing Value",TRIM(Transaction[[#This Row],[SalesChannel]]))</f>
        <v>Distributor</v>
      </c>
      <c r="R659" s="4">
        <v>2</v>
      </c>
      <c r="S659" s="4" t="str">
        <f>IF(Transaction[[#This Row],[Quantity]]&lt;0,"Negative-review","Valid")</f>
        <v>Valid</v>
      </c>
      <c r="T659">
        <v>328.38</v>
      </c>
      <c r="U65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328.38</v>
      </c>
      <c r="V659">
        <v>485</v>
      </c>
      <c r="W659">
        <v>970</v>
      </c>
      <c r="X65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659">
        <f>IF(Transaction[[#This Row],[GrossRevenue_Check]]="Invalid",Transaction[[#This Row],[ListPrice]]*Transaction[[#This Row],[Quantity]],Transaction[[#This Row],[GrossRevenue_Clean]])</f>
        <v>970</v>
      </c>
      <c r="Z659" t="str">
        <f>IF(Transaction[[#This Row],[GrossRevenue_Clean]]=Transaction[[#This Row],[ListPrice]]*Transaction[[#This Row],[Quantity]],"Valid","Invalid")</f>
        <v>Valid</v>
      </c>
      <c r="AA659">
        <v>313.24</v>
      </c>
      <c r="AB65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313.24</v>
      </c>
      <c r="AC659">
        <f>IF(Transaction[[#This Row],[DiscountAmount_Check2]]="Invalid",Transaction[[#This Row],[GrossRevenue_Analytical]]-Transaction[[#This Row],[NetRevenue_Analytical]],Transaction[[#This Row],[DiscountAmount_Clean]])</f>
        <v>313.24</v>
      </c>
      <c r="AD659">
        <v>656.76</v>
      </c>
      <c r="AE659" t="str">
        <f>IF(ROUND(Transaction[[#This Row],[GrossRevenue_Analytical]]-Transaction[[#This Row],[NetRevenue_Analytical]],2)=ROUND(Transaction[[#This Row],[DiscountAmount_Clean]],2),"Valid","Invalid")</f>
        <v>Valid</v>
      </c>
      <c r="AF659">
        <f>VALUE(IF(ISNUMBER(Transaction[[#This Row],[NetRevenue]]),Transaction[[#This Row],[NetRevenue]],IFERROR(IF(FIND("$",Transaction[[#This Row],[NetRevenue]])&gt;0,MID(Transaction[[#This Row],[NetRevenue]],2,10)),Transaction[[#This Row],[NetRevenue]])))</f>
        <v>656.76</v>
      </c>
      <c r="AG659">
        <f>IF(Transaction[[#This Row],[NetRevenue_Check]]="Invalid",(Transaction[[#This Row],[Quantity]]*Transaction[[#This Row],[UnitPrice_Clean]]),Transaction[[#This Row],[NetRevenue_Clean]])</f>
        <v>656.76</v>
      </c>
      <c r="AH659" t="str">
        <f>IF(Transaction[[#This Row],[Quantity]]*Transaction[[#This Row],[UnitPrice_Clean]]=Transaction[[#This Row],[NetRevenue_Clean]],"Valid","Invalid")</f>
        <v>Valid</v>
      </c>
      <c r="AI659" t="s">
        <v>23</v>
      </c>
      <c r="AJ659" t="s">
        <v>2403</v>
      </c>
      <c r="AK659" t="str">
        <f>IF(Transaction[[#This Row],[Salesperson]]="","Missing Value",TRIM(PROPER(Transaction[[#This Row],[Salesperson]])))</f>
        <v>Lowe-Em</v>
      </c>
      <c r="AL659" t="s">
        <v>42</v>
      </c>
      <c r="AM659" t="str">
        <f>IF(Transaction[[#This Row],[ContractType]]="","Missing Value",Transaction[[#This Row],[ContractType]])</f>
        <v>Standard PO</v>
      </c>
      <c r="AN659" t="s">
        <v>26</v>
      </c>
    </row>
    <row r="660" spans="1:40" x14ac:dyDescent="0.25">
      <c r="A660" t="s">
        <v>1984</v>
      </c>
      <c r="B660" s="1">
        <v>45704</v>
      </c>
      <c r="C66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66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66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60" s="2">
        <f>IFERROR(DATE(Transaction[[#This Row],[TransactionDateY]],Transaction[[#This Row],[TransactionDateM]],Transaction[[#This Row],[TransactionDateD]]),"Missing Value")</f>
        <v>45704</v>
      </c>
      <c r="G660" t="s">
        <v>38</v>
      </c>
      <c r="H660" t="str">
        <f>IFERROR(VLOOKUP(Transaction[[#This Row],[CustomerID]],Custumer[],1,0),IF(LEN(Transaction[[#This Row],[CustomerID]])=7,LEFT(Transaction[[#This Row],[CustomerID]],6),"Invalid ID"))</f>
        <v>C-1027</v>
      </c>
      <c r="I660" t="s">
        <v>62</v>
      </c>
      <c r="J660" t="str">
        <f>TRIM(UPPER(Transaction[[#This Row],[ProductID]]))</f>
        <v>P-SI-004</v>
      </c>
      <c r="K660" t="str">
        <f>IFERROR(VLOOKUP(Transaction[[#This Row],[ProductID_Clean]],Product[],1,FALSE),"Invalid ID")</f>
        <v>P-SI-004</v>
      </c>
      <c r="L660" t="str">
        <f>TRIM(SUBSTITUTE(SUBSTITUTE(SUBSTITUTE(SUBSTITUTE(UPPER(Transaction[[#This Row],[Region]]),"EMEA REGION","EMEA"),"APAC REGION","APAC"),"NORTH AMERICA","N. AMERICA"),"N .AMERICA","N.AMERICA"))</f>
        <v>N. AMERICA</v>
      </c>
      <c r="M660" t="s">
        <v>204</v>
      </c>
      <c r="N660" t="s">
        <v>53</v>
      </c>
      <c r="O66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60" t="s">
        <v>420</v>
      </c>
      <c r="Q660" t="str">
        <f>IF(TRIM(Transaction[[#This Row],[SalesChannel]])="","Missing Value",TRIM(Transaction[[#This Row],[SalesChannel]]))</f>
        <v>partner portal</v>
      </c>
      <c r="R660" s="4">
        <v>5</v>
      </c>
      <c r="S660" s="4" t="str">
        <f>IF(Transaction[[#This Row],[Quantity]]&lt;0,"Negative-review","Valid")</f>
        <v>Valid</v>
      </c>
      <c r="T660">
        <v>1894.33</v>
      </c>
      <c r="U66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1894.33</v>
      </c>
      <c r="V660">
        <v>2450</v>
      </c>
      <c r="W660">
        <v>12250</v>
      </c>
      <c r="X66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12250</v>
      </c>
      <c r="Y660">
        <f>IF(Transaction[[#This Row],[GrossRevenue_Check]]="Invalid",Transaction[[#This Row],[ListPrice]]*Transaction[[#This Row],[Quantity]],Transaction[[#This Row],[GrossRevenue_Clean]])</f>
        <v>12250</v>
      </c>
      <c r="Z660" t="str">
        <f>IF(Transaction[[#This Row],[GrossRevenue_Clean]]=Transaction[[#This Row],[ListPrice]]*Transaction[[#This Row],[Quantity]],"Valid","Invalid")</f>
        <v>Valid</v>
      </c>
      <c r="AA660">
        <v>2778.35</v>
      </c>
      <c r="AB66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2778.35</v>
      </c>
      <c r="AC660">
        <f>IF(Transaction[[#This Row],[DiscountAmount_Check2]]="Invalid",Transaction[[#This Row],[GrossRevenue_Analytical]]-Transaction[[#This Row],[NetRevenue_Analytical]],Transaction[[#This Row],[DiscountAmount_Clean]])</f>
        <v>2778.35</v>
      </c>
      <c r="AD660">
        <v>9471.65</v>
      </c>
      <c r="AE660" t="str">
        <f>IF(ROUND(Transaction[[#This Row],[GrossRevenue_Analytical]]-Transaction[[#This Row],[NetRevenue_Analytical]],2)=ROUND(Transaction[[#This Row],[DiscountAmount_Clean]],2),"Valid","Invalid")</f>
        <v>Valid</v>
      </c>
      <c r="AF660">
        <f>VALUE(IF(ISNUMBER(Transaction[[#This Row],[NetRevenue]]),Transaction[[#This Row],[NetRevenue]],IFERROR(IF(FIND("$",Transaction[[#This Row],[NetRevenue]])&gt;0,MID(Transaction[[#This Row],[NetRevenue]],2,10)),Transaction[[#This Row],[NetRevenue]])))</f>
        <v>9471.65</v>
      </c>
      <c r="AG660">
        <f>IF(Transaction[[#This Row],[NetRevenue_Check]]="Invalid",(Transaction[[#This Row],[Quantity]]*Transaction[[#This Row],[UnitPrice_Clean]]),Transaction[[#This Row],[NetRevenue_Clean]])</f>
        <v>9471.65</v>
      </c>
      <c r="AH660" t="str">
        <f>IF(Transaction[[#This Row],[Quantity]]*Transaction[[#This Row],[UnitPrice_Clean]]=Transaction[[#This Row],[NetRevenue_Clean]],"Valid","Invalid")</f>
        <v>Valid</v>
      </c>
      <c r="AI660" t="s">
        <v>23</v>
      </c>
      <c r="AJ660" t="s">
        <v>1985</v>
      </c>
      <c r="AK660" t="str">
        <f>IF(Transaction[[#This Row],[Salesperson]]="","Missing Value",TRIM(PROPER(Transaction[[#This Row],[Salesperson]])))</f>
        <v>Dillon-Em</v>
      </c>
      <c r="AL660" t="s">
        <v>42</v>
      </c>
      <c r="AM660" t="str">
        <f>IF(Transaction[[#This Row],[ContractType]]="","Missing Value",Transaction[[#This Row],[ContractType]])</f>
        <v>Standard PO</v>
      </c>
      <c r="AN660" t="s">
        <v>43</v>
      </c>
    </row>
    <row r="661" spans="1:40" x14ac:dyDescent="0.25">
      <c r="A661" t="s">
        <v>2601</v>
      </c>
      <c r="B661" t="s">
        <v>2602</v>
      </c>
      <c r="C66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66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66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61" s="2">
        <f>IFERROR(DATE(Transaction[[#This Row],[TransactionDateY]],Transaction[[#This Row],[TransactionDateM]],Transaction[[#This Row],[TransactionDateD]]),"Missing Value")</f>
        <v>45733</v>
      </c>
      <c r="G661" t="s">
        <v>784</v>
      </c>
      <c r="H661" t="str">
        <f>IFERROR(VLOOKUP(Transaction[[#This Row],[CustomerID]],Custumer[],1,0),IF(LEN(Transaction[[#This Row],[CustomerID]])=7,LEFT(Transaction[[#This Row],[CustomerID]],6),"Invalid ID"))</f>
        <v>C-1159</v>
      </c>
      <c r="I661" t="s">
        <v>29</v>
      </c>
      <c r="J661" t="str">
        <f>TRIM(UPPER(Transaction[[#This Row],[ProductID]]))</f>
        <v>P-SA-001</v>
      </c>
      <c r="K661" t="str">
        <f>IFERROR(VLOOKUP(Transaction[[#This Row],[ProductID_Clean]],Product[],1,FALSE),"Invalid ID")</f>
        <v>P-SA-001</v>
      </c>
      <c r="L661" t="str">
        <f>TRIM(SUBSTITUTE(SUBSTITUTE(SUBSTITUTE(SUBSTITUTE(UPPER(Transaction[[#This Row],[Region]]),"EMEA REGION","EMEA"),"APAC REGION","APAC"),"NORTH AMERICA","N. AMERICA"),"N .AMERICA","N.AMERICA"))</f>
        <v>EMEA</v>
      </c>
      <c r="M661" t="s">
        <v>177</v>
      </c>
      <c r="N661" t="s">
        <v>31</v>
      </c>
      <c r="O66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661" t="s">
        <v>22</v>
      </c>
      <c r="Q661" t="str">
        <f>IF(TRIM(Transaction[[#This Row],[SalesChannel]])="","Missing Value",TRIM(Transaction[[#This Row],[SalesChannel]]))</f>
        <v>Direct</v>
      </c>
      <c r="R661" s="4">
        <v>1</v>
      </c>
      <c r="S661" s="4" t="str">
        <f>IF(Transaction[[#This Row],[Quantity]]&lt;0,"Negative-review","Valid")</f>
        <v>Valid</v>
      </c>
      <c r="T661">
        <v>4093.99</v>
      </c>
      <c r="U66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4093.99</v>
      </c>
      <c r="V661">
        <v>4200</v>
      </c>
      <c r="W661">
        <v>4200</v>
      </c>
      <c r="X66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661">
        <f>IF(Transaction[[#This Row],[GrossRevenue_Check]]="Invalid",Transaction[[#This Row],[ListPrice]]*Transaction[[#This Row],[Quantity]],Transaction[[#This Row],[GrossRevenue_Clean]])</f>
        <v>4200</v>
      </c>
      <c r="Z661" t="str">
        <f>IF(Transaction[[#This Row],[GrossRevenue_Clean]]=Transaction[[#This Row],[ListPrice]]*Transaction[[#This Row],[Quantity]],"Valid","Invalid")</f>
        <v>Valid</v>
      </c>
      <c r="AA661">
        <v>106.01</v>
      </c>
      <c r="AB66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106.01</v>
      </c>
      <c r="AC661">
        <f>IF(Transaction[[#This Row],[DiscountAmount_Check2]]="Invalid",Transaction[[#This Row],[GrossRevenue_Analytical]]-Transaction[[#This Row],[NetRevenue_Analytical]],Transaction[[#This Row],[DiscountAmount_Clean]])</f>
        <v>106.01</v>
      </c>
      <c r="AD661">
        <v>4093.99</v>
      </c>
      <c r="AE661" t="str">
        <f>IF(ROUND(Transaction[[#This Row],[GrossRevenue_Analytical]]-Transaction[[#This Row],[NetRevenue_Analytical]],2)=ROUND(Transaction[[#This Row],[DiscountAmount_Clean]],2),"Valid","Invalid")</f>
        <v>Valid</v>
      </c>
      <c r="AF661">
        <f>VALUE(IF(ISNUMBER(Transaction[[#This Row],[NetRevenue]]),Transaction[[#This Row],[NetRevenue]],IFERROR(IF(FIND("$",Transaction[[#This Row],[NetRevenue]])&gt;0,MID(Transaction[[#This Row],[NetRevenue]],2,10)),Transaction[[#This Row],[NetRevenue]])))</f>
        <v>4093.99</v>
      </c>
      <c r="AG661">
        <f>IF(Transaction[[#This Row],[NetRevenue_Check]]="Invalid",(Transaction[[#This Row],[Quantity]]*Transaction[[#This Row],[UnitPrice_Clean]]),Transaction[[#This Row],[NetRevenue_Clean]])</f>
        <v>4093.99</v>
      </c>
      <c r="AH661" t="str">
        <f>IF(Transaction[[#This Row],[Quantity]]*Transaction[[#This Row],[UnitPrice_Clean]]=Transaction[[#This Row],[NetRevenue_Clean]],"Valid","Invalid")</f>
        <v>Valid</v>
      </c>
      <c r="AI661" t="s">
        <v>23</v>
      </c>
      <c r="AJ661" t="s">
        <v>2603</v>
      </c>
      <c r="AK661" t="str">
        <f>IF(Transaction[[#This Row],[Salesperson]]="","Missing Value",TRIM(PROPER(Transaction[[#This Row],[Salesperson]])))</f>
        <v>Becker</v>
      </c>
      <c r="AL661" t="s">
        <v>34</v>
      </c>
      <c r="AM661" t="str">
        <f>IF(Transaction[[#This Row],[ContractType]]="","Missing Value",Transaction[[#This Row],[ContractType]])</f>
        <v>Annual License</v>
      </c>
      <c r="AN661" t="s">
        <v>49</v>
      </c>
    </row>
    <row r="662" spans="1:40" x14ac:dyDescent="0.25">
      <c r="A662" t="s">
        <v>2739</v>
      </c>
      <c r="B662" s="1">
        <v>45684</v>
      </c>
      <c r="C66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66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66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62" s="2">
        <f>IFERROR(DATE(Transaction[[#This Row],[TransactionDateY]],Transaction[[#This Row],[TransactionDateM]],Transaction[[#This Row],[TransactionDateD]]),"Missing Value")</f>
        <v>45684</v>
      </c>
      <c r="G662" t="s">
        <v>429</v>
      </c>
      <c r="H662" t="str">
        <f>IFERROR(VLOOKUP(Transaction[[#This Row],[CustomerID]],Custumer[],1,0),IF(LEN(Transaction[[#This Row],[CustomerID]])=7,LEFT(Transaction[[#This Row],[CustomerID]],6),"Invalid ID"))</f>
        <v>C-1009</v>
      </c>
      <c r="I662" t="s">
        <v>58</v>
      </c>
      <c r="J662" t="str">
        <f>TRIM(UPPER(Transaction[[#This Row],[ProductID]]))</f>
        <v>P-SI-005</v>
      </c>
      <c r="K662" t="str">
        <f>IFERROR(VLOOKUP(Transaction[[#This Row],[ProductID_Clean]],Product[],1,FALSE),"Invalid ID")</f>
        <v>P-SI-005</v>
      </c>
      <c r="L662" t="str">
        <f>TRIM(SUBSTITUTE(SUBSTITUTE(SUBSTITUTE(SUBSTITUTE(UPPER(Transaction[[#This Row],[Region]]),"EMEA REGION","EMEA"),"APAC REGION","APAC"),"NORTH AMERICA","N. AMERICA"),"N .AMERICA","N.AMERICA"))</f>
        <v>EMEA</v>
      </c>
      <c r="M662" t="s">
        <v>76</v>
      </c>
      <c r="N662" t="s">
        <v>53</v>
      </c>
      <c r="O66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62" t="s">
        <v>22</v>
      </c>
      <c r="Q662" t="str">
        <f>IF(TRIM(Transaction[[#This Row],[SalesChannel]])="","Missing Value",TRIM(Transaction[[#This Row],[SalesChannel]]))</f>
        <v>Direct</v>
      </c>
      <c r="R662" s="4">
        <v>3</v>
      </c>
      <c r="S662" s="4" t="str">
        <f>IF(Transaction[[#This Row],[Quantity]]&lt;0,"Negative-review","Valid")</f>
        <v>Valid</v>
      </c>
      <c r="T662">
        <v>960.23</v>
      </c>
      <c r="U66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960.23</v>
      </c>
      <c r="V662">
        <v>1120</v>
      </c>
      <c r="W662">
        <v>3360</v>
      </c>
      <c r="X66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3360</v>
      </c>
      <c r="Y662">
        <f>IF(Transaction[[#This Row],[GrossRevenue_Check]]="Invalid",Transaction[[#This Row],[ListPrice]]*Transaction[[#This Row],[Quantity]],Transaction[[#This Row],[GrossRevenue_Clean]])</f>
        <v>3360</v>
      </c>
      <c r="Z662" t="str">
        <f>IF(Transaction[[#This Row],[GrossRevenue_Clean]]=Transaction[[#This Row],[ListPrice]]*Transaction[[#This Row],[Quantity]],"Valid","Invalid")</f>
        <v>Valid</v>
      </c>
      <c r="AA662">
        <v>479.31</v>
      </c>
      <c r="AB66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479.31</v>
      </c>
      <c r="AC662">
        <f>IF(Transaction[[#This Row],[DiscountAmount_Check2]]="Invalid",Transaction[[#This Row],[GrossRevenue_Analytical]]-Transaction[[#This Row],[NetRevenue_Analytical]],Transaction[[#This Row],[DiscountAmount_Clean]])</f>
        <v>479.31</v>
      </c>
      <c r="AD662">
        <v>2880.69</v>
      </c>
      <c r="AE662" t="str">
        <f>IF(ROUND(Transaction[[#This Row],[GrossRevenue_Analytical]]-Transaction[[#This Row],[NetRevenue_Analytical]],2)=ROUND(Transaction[[#This Row],[DiscountAmount_Clean]],2),"Valid","Invalid")</f>
        <v>Valid</v>
      </c>
      <c r="AF66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2880.69</v>
      </c>
      <c r="AG662">
        <f>IF(Transaction[[#This Row],[NetRevenue_Check]]="Invalid",(Transaction[[#This Row],[Quantity]]*Transaction[[#This Row],[UnitPrice_Clean]]),Transaction[[#This Row],[NetRevenue_Clean]])</f>
        <v>2880.69</v>
      </c>
      <c r="AH662" t="str">
        <f>IF(Transaction[[#This Row],[Quantity]]*Transaction[[#This Row],[UnitPrice_Clean]]=Transaction[[#This Row],[NetRevenue_Clean]],"Valid","Invalid")</f>
        <v>Valid</v>
      </c>
      <c r="AI662" t="s">
        <v>128</v>
      </c>
      <c r="AJ662" t="s">
        <v>2740</v>
      </c>
      <c r="AK662" t="str">
        <f>IF(Transaction[[#This Row],[Salesperson]]="","Missing Value",TRIM(PROPER(Transaction[[#This Row],[Salesperson]])))</f>
        <v>Lara-Ap</v>
      </c>
      <c r="AL662" t="s">
        <v>55</v>
      </c>
      <c r="AM662" t="str">
        <f>IF(Transaction[[#This Row],[ContractType]]="","Missing Value",Transaction[[#This Row],[ContractType]])</f>
        <v>Spot</v>
      </c>
      <c r="AN662" t="s">
        <v>49</v>
      </c>
    </row>
    <row r="663" spans="1:40" x14ac:dyDescent="0.25">
      <c r="A663" t="s">
        <v>327</v>
      </c>
      <c r="B663" t="s">
        <v>328</v>
      </c>
      <c r="C66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66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66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63" s="2">
        <f>IFERROR(DATE(Transaction[[#This Row],[TransactionDateY]],Transaction[[#This Row],[TransactionDateM]],Transaction[[#This Row],[TransactionDateD]]),"Missing Value")</f>
        <v>45733</v>
      </c>
      <c r="G663" t="s">
        <v>329</v>
      </c>
      <c r="H663" t="str">
        <f>IFERROR(VLOOKUP(Transaction[[#This Row],[CustomerID]],Custumer[],1,0),IF(LEN(Transaction[[#This Row],[CustomerID]])=7,LEFT(Transaction[[#This Row],[CustomerID]],6),"Invalid ID"))</f>
        <v>C-1145</v>
      </c>
      <c r="I663" t="s">
        <v>121</v>
      </c>
      <c r="J663" t="str">
        <f>TRIM(UPPER(Transaction[[#This Row],[ProductID]]))</f>
        <v>P-FS-001</v>
      </c>
      <c r="K663" t="str">
        <f>IFERROR(VLOOKUP(Transaction[[#This Row],[ProductID_Clean]],Product[],1,FALSE),"Invalid ID")</f>
        <v>P-FS-001</v>
      </c>
      <c r="L663" t="str">
        <f>TRIM(SUBSTITUTE(SUBSTITUTE(SUBSTITUTE(SUBSTITUTE(UPPER(Transaction[[#This Row],[Region]]),"EMEA REGION","EMEA"),"APAC REGION","APAC"),"NORTH AMERICA","N. AMERICA"),"N .AMERICA","N.AMERICA"))</f>
        <v>N. AMERICA</v>
      </c>
      <c r="M663" t="s">
        <v>204</v>
      </c>
      <c r="N663" t="s">
        <v>21</v>
      </c>
      <c r="O66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663" t="s">
        <v>93</v>
      </c>
      <c r="Q663" t="str">
        <f>IF(TRIM(Transaction[[#This Row],[SalesChannel]])="","Missing Value",TRIM(Transaction[[#This Row],[SalesChannel]]))</f>
        <v>direct</v>
      </c>
      <c r="R663" s="4">
        <v>1</v>
      </c>
      <c r="S663" s="4" t="str">
        <f>IF(Transaction[[#This Row],[Quantity]]&lt;0,"Negative-review","Valid")</f>
        <v>Valid</v>
      </c>
      <c r="T663" t="s">
        <v>330</v>
      </c>
      <c r="U66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1370.88</v>
      </c>
      <c r="V663">
        <v>1850</v>
      </c>
      <c r="W663">
        <v>1850</v>
      </c>
      <c r="X66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663">
        <f>IF(Transaction[[#This Row],[GrossRevenue_Check]]="Invalid",Transaction[[#This Row],[ListPrice]]*Transaction[[#This Row],[Quantity]],Transaction[[#This Row],[GrossRevenue_Clean]])</f>
        <v>1850</v>
      </c>
      <c r="Z663" t="str">
        <f>IF(Transaction[[#This Row],[GrossRevenue_Clean]]=Transaction[[#This Row],[ListPrice]]*Transaction[[#This Row],[Quantity]],"Valid","Invalid")</f>
        <v>Valid</v>
      </c>
      <c r="AA663">
        <v>479.12</v>
      </c>
      <c r="AB66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479.12</v>
      </c>
      <c r="AC663">
        <f>IF(Transaction[[#This Row],[DiscountAmount_Check2]]="Invalid",Transaction[[#This Row],[GrossRevenue_Analytical]]-Transaction[[#This Row],[NetRevenue_Analytical]],Transaction[[#This Row],[DiscountAmount_Clean]])</f>
        <v>479.12</v>
      </c>
      <c r="AD663">
        <v>1370.88</v>
      </c>
      <c r="AE663" t="str">
        <f>IF(ROUND(Transaction[[#This Row],[GrossRevenue_Analytical]]-Transaction[[#This Row],[NetRevenue_Analytical]],2)=ROUND(Transaction[[#This Row],[DiscountAmount_Clean]],2),"Valid","Invalid")</f>
        <v>Valid</v>
      </c>
      <c r="AF66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1370.88</v>
      </c>
      <c r="AG663">
        <f>IF(Transaction[[#This Row],[NetRevenue_Check]]="Invalid",(Transaction[[#This Row],[Quantity]]*Transaction[[#This Row],[UnitPrice_Clean]]),Transaction[[#This Row],[NetRevenue_Clean]])</f>
        <v>1370.88</v>
      </c>
      <c r="AH663" t="str">
        <f>IF(Transaction[[#This Row],[Quantity]]*Transaction[[#This Row],[UnitPrice_Clean]]=Transaction[[#This Row],[NetRevenue_Clean]],"Valid","Invalid")</f>
        <v>Valid</v>
      </c>
      <c r="AI663" t="s">
        <v>23</v>
      </c>
      <c r="AJ663" t="s">
        <v>331</v>
      </c>
      <c r="AK663" t="str">
        <f>IF(Transaction[[#This Row],[Salesperson]]="","Missing Value",TRIM(PROPER(Transaction[[#This Row],[Salesperson]])))</f>
        <v>Baker</v>
      </c>
      <c r="AL663" t="s">
        <v>42</v>
      </c>
      <c r="AM663" t="str">
        <f>IF(Transaction[[#This Row],[ContractType]]="","Missing Value",Transaction[[#This Row],[ContractType]])</f>
        <v>Standard PO</v>
      </c>
      <c r="AN663" t="s">
        <v>65</v>
      </c>
    </row>
    <row r="664" spans="1:40" x14ac:dyDescent="0.25">
      <c r="A664" t="s">
        <v>1427</v>
      </c>
      <c r="B664" s="1">
        <v>45772</v>
      </c>
      <c r="C66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66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66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64" s="2">
        <f>IFERROR(DATE(Transaction[[#This Row],[TransactionDateY]],Transaction[[#This Row],[TransactionDateM]],Transaction[[#This Row],[TransactionDateD]]),"Missing Value")</f>
        <v>45772</v>
      </c>
      <c r="G664" t="s">
        <v>86</v>
      </c>
      <c r="H664" t="str">
        <f>IFERROR(VLOOKUP(Transaction[[#This Row],[CustomerID]],Custumer[],1,0),IF(LEN(Transaction[[#This Row],[CustomerID]])=7,LEFT(Transaction[[#This Row],[CustomerID]],6),"Invalid ID"))</f>
        <v>C-1177</v>
      </c>
      <c r="I664" t="s">
        <v>58</v>
      </c>
      <c r="J664" t="str">
        <f>TRIM(UPPER(Transaction[[#This Row],[ProductID]]))</f>
        <v>P-SI-005</v>
      </c>
      <c r="K664" t="str">
        <f>IFERROR(VLOOKUP(Transaction[[#This Row],[ProductID_Clean]],Product[],1,FALSE),"Invalid ID")</f>
        <v>P-SI-005</v>
      </c>
      <c r="L664" t="str">
        <f>TRIM(SUBSTITUTE(SUBSTITUTE(SUBSTITUTE(SUBSTITUTE(UPPER(Transaction[[#This Row],[Region]]),"EMEA REGION","EMEA"),"APAC REGION","APAC"),"NORTH AMERICA","N. AMERICA"),"N .AMERICA","N.AMERICA"))</f>
        <v>EMEA</v>
      </c>
      <c r="M664" t="s">
        <v>76</v>
      </c>
      <c r="N664" t="s">
        <v>53</v>
      </c>
      <c r="O66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64" t="s">
        <v>93</v>
      </c>
      <c r="Q664" t="str">
        <f>IF(TRIM(Transaction[[#This Row],[SalesChannel]])="","Missing Value",TRIM(Transaction[[#This Row],[SalesChannel]]))</f>
        <v>direct</v>
      </c>
      <c r="R664" s="4">
        <v>1</v>
      </c>
      <c r="S664" s="4" t="str">
        <f>IF(Transaction[[#This Row],[Quantity]]&lt;0,"Negative-review","Valid")</f>
        <v>Valid</v>
      </c>
      <c r="T664">
        <v>933.03</v>
      </c>
      <c r="U66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933.03</v>
      </c>
      <c r="V664">
        <v>1120</v>
      </c>
      <c r="W664">
        <v>1120</v>
      </c>
      <c r="X66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1120</v>
      </c>
      <c r="Y664">
        <f>IF(Transaction[[#This Row],[GrossRevenue_Check]]="Invalid",Transaction[[#This Row],[ListPrice]]*Transaction[[#This Row],[Quantity]],Transaction[[#This Row],[GrossRevenue_Clean]])</f>
        <v>1120</v>
      </c>
      <c r="Z664" t="str">
        <f>IF(Transaction[[#This Row],[GrossRevenue_Clean]]=Transaction[[#This Row],[ListPrice]]*Transaction[[#This Row],[Quantity]],"Valid","Invalid")</f>
        <v>Valid</v>
      </c>
      <c r="AA664">
        <v>186.97</v>
      </c>
      <c r="AB66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186.97</v>
      </c>
      <c r="AC664">
        <f>IF(Transaction[[#This Row],[DiscountAmount_Check2]]="Invalid",Transaction[[#This Row],[GrossRevenue_Analytical]]-Transaction[[#This Row],[NetRevenue_Analytical]],Transaction[[#This Row],[DiscountAmount_Clean]])</f>
        <v>186.97</v>
      </c>
      <c r="AD664">
        <v>933.03</v>
      </c>
      <c r="AE664" t="str">
        <f>IF(ROUND(Transaction[[#This Row],[GrossRevenue_Analytical]]-Transaction[[#This Row],[NetRevenue_Analytical]],2)=ROUND(Transaction[[#This Row],[DiscountAmount_Clean]],2),"Valid","Invalid")</f>
        <v>Valid</v>
      </c>
      <c r="AF664">
        <f>VALUE(IF(ISNUMBER(Transaction[[#This Row],[NetRevenue]]),Transaction[[#This Row],[NetRevenue]],IFERROR(IF(FIND("$",Transaction[[#This Row],[NetRevenue]])&gt;0,MID(Transaction[[#This Row],[NetRevenue]],2,10)),Transaction[[#This Row],[NetRevenue]])))</f>
        <v>933.03</v>
      </c>
      <c r="AG664">
        <f>IF(Transaction[[#This Row],[NetRevenue_Check]]="Invalid",(Transaction[[#This Row],[Quantity]]*Transaction[[#This Row],[UnitPrice_Clean]]),Transaction[[#This Row],[NetRevenue_Clean]])</f>
        <v>933.03</v>
      </c>
      <c r="AH664" t="str">
        <f>IF(Transaction[[#This Row],[Quantity]]*Transaction[[#This Row],[UnitPrice_Clean]]=Transaction[[#This Row],[NetRevenue_Clean]],"Valid","Invalid")</f>
        <v>Valid</v>
      </c>
      <c r="AI664" t="s">
        <v>23</v>
      </c>
      <c r="AJ664" t="s">
        <v>1428</v>
      </c>
      <c r="AK664" t="str">
        <f>IF(Transaction[[#This Row],[Salesperson]]="","Missing Value",TRIM(PROPER(Transaction[[#This Row],[Salesperson]])))</f>
        <v>Washington-Em</v>
      </c>
      <c r="AL664" t="s">
        <v>42</v>
      </c>
      <c r="AM664" t="str">
        <f>IF(Transaction[[#This Row],[ContractType]]="","Missing Value",Transaction[[#This Row],[ContractType]])</f>
        <v>Standard PO</v>
      </c>
      <c r="AN664" t="s">
        <v>49</v>
      </c>
    </row>
    <row r="665" spans="1:40" x14ac:dyDescent="0.25">
      <c r="A665" t="s">
        <v>2105</v>
      </c>
      <c r="B665" s="1">
        <v>45767</v>
      </c>
      <c r="C66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66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66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65" s="2">
        <f>IFERROR(DATE(Transaction[[#This Row],[TransactionDateY]],Transaction[[#This Row],[TransactionDateM]],Transaction[[#This Row],[TransactionDateD]]),"Missing Value")</f>
        <v>45767</v>
      </c>
      <c r="G665" t="s">
        <v>357</v>
      </c>
      <c r="H665" t="str">
        <f>IFERROR(VLOOKUP(Transaction[[#This Row],[CustomerID]],Custumer[],1,0),IF(LEN(Transaction[[#This Row],[CustomerID]])=7,LEFT(Transaction[[#This Row],[CustomerID]],6),"Invalid ID"))</f>
        <v>C-1078</v>
      </c>
      <c r="I665" t="s">
        <v>111</v>
      </c>
      <c r="J665" t="str">
        <f>TRIM(UPPER(Transaction[[#This Row],[ProductID]]))</f>
        <v>P-SA-004</v>
      </c>
      <c r="K665" t="str">
        <f>IFERROR(VLOOKUP(Transaction[[#This Row],[ProductID_Clean]],Product[],1,FALSE),"Invalid ID")</f>
        <v>P-SA-004</v>
      </c>
      <c r="L665" t="str">
        <f>TRIM(SUBSTITUTE(SUBSTITUTE(SUBSTITUTE(SUBSTITUTE(UPPER(Transaction[[#This Row],[Region]]),"EMEA REGION","EMEA"),"APAC REGION","APAC"),"NORTH AMERICA","N. AMERICA"),"N .AMERICA","N.AMERICA"))</f>
        <v>N. AMERICA</v>
      </c>
      <c r="M665" t="s">
        <v>20</v>
      </c>
      <c r="N665" t="s">
        <v>31</v>
      </c>
      <c r="O66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665" t="s">
        <v>32</v>
      </c>
      <c r="Q665" t="str">
        <f>IF(TRIM(Transaction[[#This Row],[SalesChannel]])="","Missing Value",TRIM(Transaction[[#This Row],[SalesChannel]]))</f>
        <v>Direct</v>
      </c>
      <c r="R665" s="4">
        <v>1</v>
      </c>
      <c r="S665" s="4" t="str">
        <f>IF(Transaction[[#This Row],[Quantity]]&lt;0,"Negative-review","Valid")</f>
        <v>Valid</v>
      </c>
      <c r="T665">
        <v>1486.17</v>
      </c>
      <c r="U66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1486.17</v>
      </c>
      <c r="V665">
        <v>1650</v>
      </c>
      <c r="W665">
        <v>1650</v>
      </c>
      <c r="X66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665">
        <f>IF(Transaction[[#This Row],[GrossRevenue_Check]]="Invalid",Transaction[[#This Row],[ListPrice]]*Transaction[[#This Row],[Quantity]],Transaction[[#This Row],[GrossRevenue_Clean]])</f>
        <v>1650</v>
      </c>
      <c r="Z665" t="str">
        <f>IF(Transaction[[#This Row],[GrossRevenue_Clean]]=Transaction[[#This Row],[ListPrice]]*Transaction[[#This Row],[Quantity]],"Valid","Invalid")</f>
        <v>Valid</v>
      </c>
      <c r="AA665">
        <v>163.83000000000001</v>
      </c>
      <c r="AB66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163.83000000000001</v>
      </c>
      <c r="AC665">
        <f>IF(Transaction[[#This Row],[DiscountAmount_Check2]]="Invalid",Transaction[[#This Row],[GrossRevenue_Analytical]]-Transaction[[#This Row],[NetRevenue_Analytical]],Transaction[[#This Row],[DiscountAmount_Clean]])</f>
        <v>163.83000000000001</v>
      </c>
      <c r="AD665">
        <v>1486.17</v>
      </c>
      <c r="AE665" t="str">
        <f>IF(ROUND(Transaction[[#This Row],[GrossRevenue_Analytical]]-Transaction[[#This Row],[NetRevenue_Analytical]],2)=ROUND(Transaction[[#This Row],[DiscountAmount_Clean]],2),"Valid","Invalid")</f>
        <v>Valid</v>
      </c>
      <c r="AF66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1486.17</v>
      </c>
      <c r="AG665">
        <f>IF(Transaction[[#This Row],[NetRevenue_Check]]="Invalid",(Transaction[[#This Row],[Quantity]]*Transaction[[#This Row],[UnitPrice_Clean]]),Transaction[[#This Row],[NetRevenue_Clean]])</f>
        <v>1486.17</v>
      </c>
      <c r="AH665" t="str">
        <f>IF(Transaction[[#This Row],[Quantity]]*Transaction[[#This Row],[UnitPrice_Clean]]=Transaction[[#This Row],[NetRevenue_Clean]],"Valid","Invalid")</f>
        <v>Valid</v>
      </c>
      <c r="AI665" t="s">
        <v>23</v>
      </c>
      <c r="AJ665" t="s">
        <v>2106</v>
      </c>
      <c r="AK665" t="str">
        <f>IF(Transaction[[#This Row],[Salesperson]]="","Missing Value",TRIM(PROPER(Transaction[[#This Row],[Salesperson]])))</f>
        <v>Bernard</v>
      </c>
      <c r="AL665" t="s">
        <v>113</v>
      </c>
      <c r="AM665" t="str">
        <f>IF(Transaction[[#This Row],[ContractType]]="","Missing Value",Transaction[[#This Row],[ContractType]])</f>
        <v>Subscription</v>
      </c>
      <c r="AN665" t="s">
        <v>26</v>
      </c>
    </row>
    <row r="666" spans="1:40" x14ac:dyDescent="0.25">
      <c r="A666" t="s">
        <v>2803</v>
      </c>
      <c r="B666" s="1">
        <v>45834</v>
      </c>
      <c r="C66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66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66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66" s="2">
        <f>IFERROR(DATE(Transaction[[#This Row],[TransactionDateY]],Transaction[[#This Row],[TransactionDateM]],Transaction[[#This Row],[TransactionDateD]]),"Missing Value")</f>
        <v>45834</v>
      </c>
      <c r="G666" t="s">
        <v>203</v>
      </c>
      <c r="H666" t="str">
        <f>IFERROR(VLOOKUP(Transaction[[#This Row],[CustomerID]],Custumer[],1,0),IF(LEN(Transaction[[#This Row],[CustomerID]])=7,LEFT(Transaction[[#This Row],[CustomerID]],6),"Invalid ID"))</f>
        <v>C-1005</v>
      </c>
      <c r="I666" t="s">
        <v>111</v>
      </c>
      <c r="J666" t="str">
        <f>TRIM(UPPER(Transaction[[#This Row],[ProductID]]))</f>
        <v>P-SA-004</v>
      </c>
      <c r="K666" t="str">
        <f>IFERROR(VLOOKUP(Transaction[[#This Row],[ProductID_Clean]],Product[],1,FALSE),"Invalid ID")</f>
        <v>P-SA-004</v>
      </c>
      <c r="L666" t="str">
        <f>TRIM(SUBSTITUTE(SUBSTITUTE(SUBSTITUTE(SUBSTITUTE(UPPER(Transaction[[#This Row],[Region]]),"EMEA REGION","EMEA"),"APAC REGION","APAC"),"NORTH AMERICA","N. AMERICA"),"N .AMERICA","N.AMERICA"))</f>
        <v>N. AMERICA</v>
      </c>
      <c r="M666" t="s">
        <v>20</v>
      </c>
      <c r="N666" t="s">
        <v>572</v>
      </c>
      <c r="O66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666" t="s">
        <v>22</v>
      </c>
      <c r="Q666" t="str">
        <f>IF(TRIM(Transaction[[#This Row],[SalesChannel]])="","Missing Value",TRIM(Transaction[[#This Row],[SalesChannel]]))</f>
        <v>Direct</v>
      </c>
      <c r="R666" s="4">
        <v>1</v>
      </c>
      <c r="S666" s="4" t="str">
        <f>IF(Transaction[[#This Row],[Quantity]]&lt;0,"Negative-review","Valid")</f>
        <v>Valid</v>
      </c>
      <c r="T666">
        <v>1572.65</v>
      </c>
      <c r="U66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1572.65</v>
      </c>
      <c r="V666">
        <v>1650</v>
      </c>
      <c r="W666">
        <v>1650</v>
      </c>
      <c r="X66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666">
        <f>IF(Transaction[[#This Row],[GrossRevenue_Check]]="Invalid",Transaction[[#This Row],[ListPrice]]*Transaction[[#This Row],[Quantity]],Transaction[[#This Row],[GrossRevenue_Clean]])</f>
        <v>1650</v>
      </c>
      <c r="Z666" t="str">
        <f>IF(Transaction[[#This Row],[GrossRevenue_Clean]]=Transaction[[#This Row],[ListPrice]]*Transaction[[#This Row],[Quantity]],"Valid","Invalid")</f>
        <v>Valid</v>
      </c>
      <c r="AA666">
        <v>77.349999999999994</v>
      </c>
      <c r="AB66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77.349999999999994</v>
      </c>
      <c r="AC666">
        <f>IF(Transaction[[#This Row],[DiscountAmount_Check2]]="Invalid",Transaction[[#This Row],[GrossRevenue_Analytical]]-Transaction[[#This Row],[NetRevenue_Analytical]],Transaction[[#This Row],[DiscountAmount_Clean]])</f>
        <v>77.349999999999994</v>
      </c>
      <c r="AD666">
        <v>1572.65</v>
      </c>
      <c r="AE666" t="str">
        <f>IF(ROUND(Transaction[[#This Row],[GrossRevenue_Analytical]]-Transaction[[#This Row],[NetRevenue_Analytical]],2)=ROUND(Transaction[[#This Row],[DiscountAmount_Clean]],2),"Valid","Invalid")</f>
        <v>Valid</v>
      </c>
      <c r="AF66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1572.65</v>
      </c>
      <c r="AG666">
        <f>IF(Transaction[[#This Row],[NetRevenue_Check]]="Invalid",(Transaction[[#This Row],[Quantity]]*Transaction[[#This Row],[UnitPrice_Clean]]),Transaction[[#This Row],[NetRevenue_Clean]])</f>
        <v>1572.65</v>
      </c>
      <c r="AH666" t="str">
        <f>IF(Transaction[[#This Row],[Quantity]]*Transaction[[#This Row],[UnitPrice_Clean]]=Transaction[[#This Row],[NetRevenue_Clean]],"Valid","Invalid")</f>
        <v>Valid</v>
      </c>
      <c r="AI666" t="s">
        <v>23</v>
      </c>
      <c r="AJ666" t="s">
        <v>2598</v>
      </c>
      <c r="AK666" t="str">
        <f>IF(Transaction[[#This Row],[Salesperson]]="","Missing Value",TRIM(PROPER(Transaction[[#This Row],[Salesperson]])))</f>
        <v>Ramirez-Na</v>
      </c>
      <c r="AL666" t="s">
        <v>113</v>
      </c>
      <c r="AM666" t="str">
        <f>IF(Transaction[[#This Row],[ContractType]]="","Missing Value",Transaction[[#This Row],[ContractType]])</f>
        <v>Subscription</v>
      </c>
      <c r="AN666" t="s">
        <v>35</v>
      </c>
    </row>
    <row r="667" spans="1:40" x14ac:dyDescent="0.25">
      <c r="A667" t="s">
        <v>2479</v>
      </c>
      <c r="B667" s="1">
        <v>45668</v>
      </c>
      <c r="C66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66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66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67" s="2">
        <f>IFERROR(DATE(Transaction[[#This Row],[TransactionDateY]],Transaction[[#This Row],[TransactionDateM]],Transaction[[#This Row],[TransactionDateD]]),"Missing Value")</f>
        <v>45668</v>
      </c>
      <c r="G667" t="s">
        <v>647</v>
      </c>
      <c r="H667" t="str">
        <f>IFERROR(VLOOKUP(Transaction[[#This Row],[CustomerID]],Custumer[],1,0),IF(LEN(Transaction[[#This Row],[CustomerID]])=7,LEFT(Transaction[[#This Row],[CustomerID]],6),"Invalid ID"))</f>
        <v>C-1085</v>
      </c>
      <c r="I667" t="s">
        <v>117</v>
      </c>
      <c r="J667" t="str">
        <f>TRIM(UPPER(Transaction[[#This Row],[ProductID]]))</f>
        <v>P-SI-007</v>
      </c>
      <c r="K667" t="str">
        <f>IFERROR(VLOOKUP(Transaction[[#This Row],[ProductID_Clean]],Product[],1,FALSE),"Invalid ID")</f>
        <v>P-SI-007</v>
      </c>
      <c r="L667" t="str">
        <f>TRIM(SUBSTITUTE(SUBSTITUTE(SUBSTITUTE(SUBSTITUTE(UPPER(Transaction[[#This Row],[Region]]),"EMEA REGION","EMEA"),"APAC REGION","APAC"),"NORTH AMERICA","N. AMERICA"),"N .AMERICA","N.AMERICA"))</f>
        <v>APAC</v>
      </c>
      <c r="M667" t="s">
        <v>30</v>
      </c>
      <c r="N667" t="s">
        <v>53</v>
      </c>
      <c r="O66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67" t="s">
        <v>93</v>
      </c>
      <c r="Q667" t="str">
        <f>IF(TRIM(Transaction[[#This Row],[SalesChannel]])="","Missing Value",TRIM(Transaction[[#This Row],[SalesChannel]]))</f>
        <v>direct</v>
      </c>
      <c r="R667" s="4">
        <v>15</v>
      </c>
      <c r="S667" s="4" t="str">
        <f>IF(Transaction[[#This Row],[Quantity]]&lt;0,"Negative-review","Valid")</f>
        <v>Valid</v>
      </c>
      <c r="T667">
        <v>693.3</v>
      </c>
      <c r="U66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693.3</v>
      </c>
      <c r="V667">
        <v>980</v>
      </c>
      <c r="W667">
        <v>14700</v>
      </c>
      <c r="X66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14700</v>
      </c>
      <c r="Y667">
        <f>IF(Transaction[[#This Row],[GrossRevenue_Check]]="Invalid",Transaction[[#This Row],[ListPrice]]*Transaction[[#This Row],[Quantity]],Transaction[[#This Row],[GrossRevenue_Clean]])</f>
        <v>14700</v>
      </c>
      <c r="Z667" t="str">
        <f>IF(Transaction[[#This Row],[GrossRevenue_Clean]]=Transaction[[#This Row],[ListPrice]]*Transaction[[#This Row],[Quantity]],"Valid","Invalid")</f>
        <v>Valid</v>
      </c>
      <c r="AA667">
        <v>4300.5</v>
      </c>
      <c r="AB66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4300.5</v>
      </c>
      <c r="AC667">
        <f>IF(Transaction[[#This Row],[DiscountAmount_Check2]]="Invalid",Transaction[[#This Row],[GrossRevenue_Analytical]]-Transaction[[#This Row],[NetRevenue_Analytical]],Transaction[[#This Row],[DiscountAmount_Clean]])</f>
        <v>4300.5</v>
      </c>
      <c r="AD667" t="s">
        <v>2480</v>
      </c>
      <c r="AE667" t="str">
        <f>IF(ROUND(Transaction[[#This Row],[GrossRevenue_Analytical]]-Transaction[[#This Row],[NetRevenue_Analytical]],2)=ROUND(Transaction[[#This Row],[DiscountAmount_Clean]],2),"Valid","Invalid")</f>
        <v>Valid</v>
      </c>
      <c r="AF66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10399.5</v>
      </c>
      <c r="AG667">
        <f>IF(Transaction[[#This Row],[NetRevenue_Check]]="Invalid",(Transaction[[#This Row],[Quantity]]*Transaction[[#This Row],[UnitPrice_Clean]]),Transaction[[#This Row],[NetRevenue_Clean]])</f>
        <v>10399.5</v>
      </c>
      <c r="AH667" t="str">
        <f>IF(Transaction[[#This Row],[Quantity]]*Transaction[[#This Row],[UnitPrice_Clean]]=Transaction[[#This Row],[NetRevenue_Clean]],"Valid","Invalid")</f>
        <v>Valid</v>
      </c>
      <c r="AI667" t="s">
        <v>23</v>
      </c>
      <c r="AJ667" t="s">
        <v>2481</v>
      </c>
      <c r="AK667" t="str">
        <f>IF(Transaction[[#This Row],[Salesperson]]="","Missing Value",TRIM(PROPER(Transaction[[#This Row],[Salesperson]])))</f>
        <v>Evans-Ap</v>
      </c>
      <c r="AL667" t="s">
        <v>42</v>
      </c>
      <c r="AM667" t="str">
        <f>IF(Transaction[[#This Row],[ContractType]]="","Missing Value",Transaction[[#This Row],[ContractType]])</f>
        <v>Standard PO</v>
      </c>
      <c r="AN667" t="s">
        <v>26</v>
      </c>
    </row>
    <row r="668" spans="1:40" x14ac:dyDescent="0.25">
      <c r="A668" t="s">
        <v>1785</v>
      </c>
      <c r="B668" t="s">
        <v>1786</v>
      </c>
      <c r="C66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66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01</v>
      </c>
      <c r="E66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68" s="2">
        <f>IFERROR(DATE(Transaction[[#This Row],[TransactionDateY]],Transaction[[#This Row],[TransactionDateM]],Transaction[[#This Row],[TransactionDateD]]),"Missing Value")</f>
        <v>45748</v>
      </c>
      <c r="G668" t="s">
        <v>541</v>
      </c>
      <c r="H668" t="str">
        <f>IFERROR(VLOOKUP(Transaction[[#This Row],[CustomerID]],Custumer[],1,0),IF(LEN(Transaction[[#This Row],[CustomerID]])=7,LEFT(Transaction[[#This Row],[CustomerID]],6),"Invalid ID"))</f>
        <v>C-1075</v>
      </c>
      <c r="I668" t="s">
        <v>222</v>
      </c>
      <c r="J668" t="str">
        <f>TRIM(UPPER(Transaction[[#This Row],[ProductID]]))</f>
        <v>P-FS-003</v>
      </c>
      <c r="K668" t="str">
        <f>IFERROR(VLOOKUP(Transaction[[#This Row],[ProductID_Clean]],Product[],1,FALSE),"Invalid ID")</f>
        <v>P-FS-003</v>
      </c>
      <c r="L668" t="str">
        <f>TRIM(SUBSTITUTE(SUBSTITUTE(SUBSTITUTE(SUBSTITUTE(UPPER(Transaction[[#This Row],[Region]]),"EMEA REGION","EMEA"),"APAC REGION","APAC"),"NORTH AMERICA","N. AMERICA"),"N .AMERICA","N.AMERICA"))</f>
        <v>N. AMERICA</v>
      </c>
      <c r="M668" t="s">
        <v>20</v>
      </c>
      <c r="N668" t="s">
        <v>21</v>
      </c>
      <c r="O668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668" t="s">
        <v>181</v>
      </c>
      <c r="Q668" t="str">
        <f>IF(TRIM(Transaction[[#This Row],[SalesChannel]])="","Missing Value",TRIM(Transaction[[#This Row],[SalesChannel]]))</f>
        <v>Partner Portal</v>
      </c>
      <c r="R668" s="4">
        <v>1</v>
      </c>
      <c r="S668" s="4" t="str">
        <f>IF(Transaction[[#This Row],[Quantity]]&lt;0,"Negative-review","Valid")</f>
        <v>Valid</v>
      </c>
      <c r="T668">
        <v>3166.93</v>
      </c>
      <c r="U66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3166.93</v>
      </c>
      <c r="V668">
        <v>4100</v>
      </c>
      <c r="W668">
        <v>4100</v>
      </c>
      <c r="X66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4100</v>
      </c>
      <c r="Y668">
        <f>IF(Transaction[[#This Row],[GrossRevenue_Check]]="Invalid",Transaction[[#This Row],[ListPrice]]*Transaction[[#This Row],[Quantity]],Transaction[[#This Row],[GrossRevenue_Clean]])</f>
        <v>4100</v>
      </c>
      <c r="Z668" t="str">
        <f>IF(Transaction[[#This Row],[GrossRevenue_Clean]]=Transaction[[#This Row],[ListPrice]]*Transaction[[#This Row],[Quantity]],"Valid","Invalid")</f>
        <v>Valid</v>
      </c>
      <c r="AA668">
        <v>933.07</v>
      </c>
      <c r="AB66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933.07</v>
      </c>
      <c r="AC668">
        <f>IF(Transaction[[#This Row],[DiscountAmount_Check2]]="Invalid",Transaction[[#This Row],[GrossRevenue_Analytical]]-Transaction[[#This Row],[NetRevenue_Analytical]],Transaction[[#This Row],[DiscountAmount_Clean]])</f>
        <v>933.07</v>
      </c>
      <c r="AD668">
        <v>3166.93</v>
      </c>
      <c r="AE668" t="str">
        <f>IF(ROUND(Transaction[[#This Row],[GrossRevenue_Analytical]]-Transaction[[#This Row],[NetRevenue_Analytical]],2)=ROUND(Transaction[[#This Row],[DiscountAmount_Clean]],2),"Valid","Invalid")</f>
        <v>Valid</v>
      </c>
      <c r="AF668">
        <f>VALUE(IF(ISNUMBER(Transaction[[#This Row],[NetRevenue]]),Transaction[[#This Row],[NetRevenue]],IFERROR(IF(FIND("$",Transaction[[#This Row],[NetRevenue]])&gt;0,MID(Transaction[[#This Row],[NetRevenue]],2,10)),Transaction[[#This Row],[NetRevenue]])))</f>
        <v>3166.93</v>
      </c>
      <c r="AG668">
        <f>IF(Transaction[[#This Row],[NetRevenue_Check]]="Invalid",(Transaction[[#This Row],[Quantity]]*Transaction[[#This Row],[UnitPrice_Clean]]),Transaction[[#This Row],[NetRevenue_Clean]])</f>
        <v>3166.93</v>
      </c>
      <c r="AH668" t="str">
        <f>IF(Transaction[[#This Row],[Quantity]]*Transaction[[#This Row],[UnitPrice_Clean]]=Transaction[[#This Row],[NetRevenue_Clean]],"Valid","Invalid")</f>
        <v>Valid</v>
      </c>
      <c r="AI668" t="s">
        <v>23</v>
      </c>
      <c r="AJ668" t="s">
        <v>1787</v>
      </c>
      <c r="AK668" t="str">
        <f>IF(Transaction[[#This Row],[Salesperson]]="","Missing Value",TRIM(PROPER(Transaction[[#This Row],[Salesperson]])))</f>
        <v>David-Em</v>
      </c>
      <c r="AL668" t="s">
        <v>224</v>
      </c>
      <c r="AM668" t="str">
        <f>IF(Transaction[[#This Row],[ContractType]]="","Missing Value",Transaction[[#This Row],[ContractType]])</f>
        <v>Annual</v>
      </c>
      <c r="AN668" t="s">
        <v>49</v>
      </c>
    </row>
    <row r="669" spans="1:40" x14ac:dyDescent="0.25">
      <c r="A669" t="s">
        <v>1502</v>
      </c>
      <c r="B669" s="1">
        <v>45769</v>
      </c>
      <c r="C66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66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66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69" s="2">
        <f>IFERROR(DATE(Transaction[[#This Row],[TransactionDateY]],Transaction[[#This Row],[TransactionDateM]],Transaction[[#This Row],[TransactionDateD]]),"Missing Value")</f>
        <v>45769</v>
      </c>
      <c r="G669" t="s">
        <v>38</v>
      </c>
      <c r="H669" t="str">
        <f>IFERROR(VLOOKUP(Transaction[[#This Row],[CustomerID]],Custumer[],1,0),IF(LEN(Transaction[[#This Row],[CustomerID]])=7,LEFT(Transaction[[#This Row],[CustomerID]],6),"Invalid ID"))</f>
        <v>C-1027</v>
      </c>
      <c r="I669" t="s">
        <v>103</v>
      </c>
      <c r="J669" t="str">
        <f>TRIM(UPPER(Transaction[[#This Row],[ProductID]]))</f>
        <v>P-FS-005</v>
      </c>
      <c r="K669" t="str">
        <f>IFERROR(VLOOKUP(Transaction[[#This Row],[ProductID_Clean]],Product[],1,FALSE),"Invalid ID")</f>
        <v>P-FS-005</v>
      </c>
      <c r="L669" t="str">
        <f>TRIM(SUBSTITUTE(SUBSTITUTE(SUBSTITUTE(SUBSTITUTE(UPPER(Transaction[[#This Row],[Region]]),"EMEA REGION","EMEA"),"APAC REGION","APAC"),"NORTH AMERICA","N. AMERICA"),"N .AMERICA","N.AMERICA"))</f>
        <v>N. AMERICA</v>
      </c>
      <c r="M669" t="s">
        <v>20</v>
      </c>
      <c r="N669" t="s">
        <v>21</v>
      </c>
      <c r="O669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669" t="s">
        <v>22</v>
      </c>
      <c r="Q669" t="str">
        <f>IF(TRIM(Transaction[[#This Row],[SalesChannel]])="","Missing Value",TRIM(Transaction[[#This Row],[SalesChannel]]))</f>
        <v>Direct</v>
      </c>
      <c r="R669" s="4">
        <v>1</v>
      </c>
      <c r="S669" s="4" t="str">
        <f>IF(Transaction[[#This Row],[Quantity]]&lt;0,"Negative-review","Valid")</f>
        <v>Valid</v>
      </c>
      <c r="T669">
        <v>831.01</v>
      </c>
      <c r="U66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831.01</v>
      </c>
      <c r="V669">
        <v>950</v>
      </c>
      <c r="W669">
        <v>950</v>
      </c>
      <c r="X66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669">
        <f>IF(Transaction[[#This Row],[GrossRevenue_Check]]="Invalid",Transaction[[#This Row],[ListPrice]]*Transaction[[#This Row],[Quantity]],Transaction[[#This Row],[GrossRevenue_Clean]])</f>
        <v>950</v>
      </c>
      <c r="Z669" t="str">
        <f>IF(Transaction[[#This Row],[GrossRevenue_Clean]]=Transaction[[#This Row],[ListPrice]]*Transaction[[#This Row],[Quantity]],"Valid","Invalid")</f>
        <v>Valid</v>
      </c>
      <c r="AA669">
        <v>118.99</v>
      </c>
      <c r="AB66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118.99</v>
      </c>
      <c r="AC669">
        <f>IF(Transaction[[#This Row],[DiscountAmount_Check2]]="Invalid",Transaction[[#This Row],[GrossRevenue_Analytical]]-Transaction[[#This Row],[NetRevenue_Analytical]],Transaction[[#This Row],[DiscountAmount_Clean]])</f>
        <v>118.99</v>
      </c>
      <c r="AD669">
        <v>831.01</v>
      </c>
      <c r="AE669" t="str">
        <f>IF(ROUND(Transaction[[#This Row],[GrossRevenue_Analytical]]-Transaction[[#This Row],[NetRevenue_Analytical]],2)=ROUND(Transaction[[#This Row],[DiscountAmount_Clean]],2),"Valid","Invalid")</f>
        <v>Valid</v>
      </c>
      <c r="AF669">
        <f>VALUE(IF(ISNUMBER(Transaction[[#This Row],[NetRevenue]]),Transaction[[#This Row],[NetRevenue]],IFERROR(IF(FIND("$",Transaction[[#This Row],[NetRevenue]])&gt;0,MID(Transaction[[#This Row],[NetRevenue]],2,10)),Transaction[[#This Row],[NetRevenue]])))</f>
        <v>831.01</v>
      </c>
      <c r="AG669">
        <f>IF(Transaction[[#This Row],[NetRevenue_Check]]="Invalid",(Transaction[[#This Row],[Quantity]]*Transaction[[#This Row],[UnitPrice_Clean]]),Transaction[[#This Row],[NetRevenue_Clean]])</f>
        <v>831.01</v>
      </c>
      <c r="AH669" t="str">
        <f>IF(Transaction[[#This Row],[Quantity]]*Transaction[[#This Row],[UnitPrice_Clean]]=Transaction[[#This Row],[NetRevenue_Clean]],"Valid","Invalid")</f>
        <v>Valid</v>
      </c>
      <c r="AI669" t="s">
        <v>23</v>
      </c>
      <c r="AJ669" t="s">
        <v>1503</v>
      </c>
      <c r="AK669" t="str">
        <f>IF(Transaction[[#This Row],[Salesperson]]="","Missing Value",TRIM(PROPER(Transaction[[#This Row],[Salesperson]])))</f>
        <v>Hendrix</v>
      </c>
      <c r="AL669" t="s">
        <v>42</v>
      </c>
      <c r="AM669" t="str">
        <f>IF(Transaction[[#This Row],[ContractType]]="","Missing Value",Transaction[[#This Row],[ContractType]])</f>
        <v>Standard PO</v>
      </c>
      <c r="AN669" t="s">
        <v>43</v>
      </c>
    </row>
    <row r="670" spans="1:40" x14ac:dyDescent="0.25">
      <c r="A670" t="s">
        <v>789</v>
      </c>
      <c r="B670" t="s">
        <v>790</v>
      </c>
      <c r="C67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67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67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70" s="2">
        <f>IFERROR(DATE(Transaction[[#This Row],[TransactionDateY]],Transaction[[#This Row],[TransactionDateM]],Transaction[[#This Row],[TransactionDateD]]),"Missing Value")</f>
        <v>45821</v>
      </c>
      <c r="G670" t="s">
        <v>289</v>
      </c>
      <c r="H670" t="str">
        <f>IFERROR(VLOOKUP(Transaction[[#This Row],[CustomerID]],Custumer[],1,0),IF(LEN(Transaction[[#This Row],[CustomerID]])=7,LEFT(Transaction[[#This Row],[CustomerID]],6),"Invalid ID"))</f>
        <v>C-1081</v>
      </c>
      <c r="I670" t="s">
        <v>92</v>
      </c>
      <c r="J670" t="str">
        <f>TRIM(UPPER(Transaction[[#This Row],[ProductID]]))</f>
        <v>P-SI-008</v>
      </c>
      <c r="K670" t="str">
        <f>IFERROR(VLOOKUP(Transaction[[#This Row],[ProductID_Clean]],Product[],1,FALSE),"Invalid ID")</f>
        <v>P-SI-008</v>
      </c>
      <c r="L670" t="str">
        <f>TRIM(SUBSTITUTE(SUBSTITUTE(SUBSTITUTE(SUBSTITUTE(UPPER(Transaction[[#This Row],[Region]]),"EMEA REGION","EMEA"),"APAC REGION","APAC"),"NORTH AMERICA","N. AMERICA"),"N .AMERICA","N.AMERICA"))</f>
        <v>LATIN AMERICA</v>
      </c>
      <c r="M670" t="s">
        <v>82</v>
      </c>
      <c r="N670" t="s">
        <v>53</v>
      </c>
      <c r="O67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70" t="s">
        <v>181</v>
      </c>
      <c r="Q670" t="str">
        <f>IF(TRIM(Transaction[[#This Row],[SalesChannel]])="","Missing Value",TRIM(Transaction[[#This Row],[SalesChannel]]))</f>
        <v>Partner Portal</v>
      </c>
      <c r="R670" s="4">
        <v>1</v>
      </c>
      <c r="S670" s="4" t="str">
        <f>IF(Transaction[[#This Row],[Quantity]]&lt;0,"Negative-review","Valid")</f>
        <v>Valid</v>
      </c>
      <c r="T670">
        <v>791.57</v>
      </c>
      <c r="U67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791.57</v>
      </c>
      <c r="V670">
        <v>950</v>
      </c>
      <c r="W670">
        <v>950</v>
      </c>
      <c r="X67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670">
        <f>IF(Transaction[[#This Row],[GrossRevenue_Check]]="Invalid",Transaction[[#This Row],[ListPrice]]*Transaction[[#This Row],[Quantity]],Transaction[[#This Row],[GrossRevenue_Clean]])</f>
        <v>950</v>
      </c>
      <c r="Z670" t="str">
        <f>IF(Transaction[[#This Row],[GrossRevenue_Clean]]=Transaction[[#This Row],[ListPrice]]*Transaction[[#This Row],[Quantity]],"Valid","Invalid")</f>
        <v>Valid</v>
      </c>
      <c r="AA670">
        <v>158.43</v>
      </c>
      <c r="AB67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158.43</v>
      </c>
      <c r="AC670">
        <f>IF(Transaction[[#This Row],[DiscountAmount_Check2]]="Invalid",Transaction[[#This Row],[GrossRevenue_Analytical]]-Transaction[[#This Row],[NetRevenue_Analytical]],Transaction[[#This Row],[DiscountAmount_Clean]])</f>
        <v>158.43</v>
      </c>
      <c r="AD670">
        <v>791.57</v>
      </c>
      <c r="AE670" t="str">
        <f>IF(ROUND(Transaction[[#This Row],[GrossRevenue_Analytical]]-Transaction[[#This Row],[NetRevenue_Analytical]],2)=ROUND(Transaction[[#This Row],[DiscountAmount_Clean]],2),"Valid","Invalid")</f>
        <v>Valid</v>
      </c>
      <c r="AF670">
        <f>VALUE(IF(ISNUMBER(Transaction[[#This Row],[NetRevenue]]),Transaction[[#This Row],[NetRevenue]],IFERROR(IF(FIND("$",Transaction[[#This Row],[NetRevenue]])&gt;0,MID(Transaction[[#This Row],[NetRevenue]],2,10)),Transaction[[#This Row],[NetRevenue]])))</f>
        <v>791.57</v>
      </c>
      <c r="AG670">
        <f>IF(Transaction[[#This Row],[NetRevenue_Check]]="Invalid",(Transaction[[#This Row],[Quantity]]*Transaction[[#This Row],[UnitPrice_Clean]]),Transaction[[#This Row],[NetRevenue_Clean]])</f>
        <v>791.57</v>
      </c>
      <c r="AH670" t="str">
        <f>IF(Transaction[[#This Row],[Quantity]]*Transaction[[#This Row],[UnitPrice_Clean]]=Transaction[[#This Row],[NetRevenue_Clean]],"Valid","Invalid")</f>
        <v>Valid</v>
      </c>
      <c r="AI670" t="s">
        <v>23</v>
      </c>
      <c r="AJ670" t="s">
        <v>791</v>
      </c>
      <c r="AK670" t="str">
        <f>IF(Transaction[[#This Row],[Salesperson]]="","Missing Value",TRIM(PROPER(Transaction[[#This Row],[Salesperson]])))</f>
        <v>Wise</v>
      </c>
      <c r="AL670" t="s">
        <v>42</v>
      </c>
      <c r="AM670" t="str">
        <f>IF(Transaction[[#This Row],[ContractType]]="","Missing Value",Transaction[[#This Row],[ContractType]])</f>
        <v>Standard PO</v>
      </c>
      <c r="AN670" t="s">
        <v>49</v>
      </c>
    </row>
    <row r="671" spans="1:40" x14ac:dyDescent="0.25">
      <c r="A671" t="s">
        <v>972</v>
      </c>
      <c r="B671" s="1">
        <v>45677</v>
      </c>
      <c r="C67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67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67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71" s="2">
        <f>IFERROR(DATE(Transaction[[#This Row],[TransactionDateY]],Transaction[[#This Row],[TransactionDateM]],Transaction[[#This Row],[TransactionDateD]]),"Missing Value")</f>
        <v>45677</v>
      </c>
      <c r="G671" t="s">
        <v>973</v>
      </c>
      <c r="H671" t="str">
        <f>IFERROR(VLOOKUP(Transaction[[#This Row],[CustomerID]],Custumer[],1,0),IF(LEN(Transaction[[#This Row],[CustomerID]])=7,LEFT(Transaction[[#This Row],[CustomerID]],6),"Invalid ID"))</f>
        <v>C-1051</v>
      </c>
      <c r="I671" t="s">
        <v>391</v>
      </c>
      <c r="J671" t="str">
        <f>TRIM(UPPER(Transaction[[#This Row],[ProductID]]))</f>
        <v>P-FS-002</v>
      </c>
      <c r="K671" t="str">
        <f>IFERROR(VLOOKUP(Transaction[[#This Row],[ProductID_Clean]],Product[],1,FALSE),"Invalid ID")</f>
        <v>P-FS-002</v>
      </c>
      <c r="L671" t="str">
        <f>TRIM(SUBSTITUTE(SUBSTITUTE(SUBSTITUTE(SUBSTITUTE(UPPER(Transaction[[#This Row],[Region]]),"EMEA REGION","EMEA"),"APAC REGION","APAC"),"NORTH AMERICA","N. AMERICA"),"N .AMERICA","N.AMERICA"))</f>
        <v>N. AMERICA</v>
      </c>
      <c r="M671" t="s">
        <v>168</v>
      </c>
      <c r="N671" t="s">
        <v>318</v>
      </c>
      <c r="O671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671" t="s">
        <v>181</v>
      </c>
      <c r="Q671" t="str">
        <f>IF(TRIM(Transaction[[#This Row],[SalesChannel]])="","Missing Value",TRIM(Transaction[[#This Row],[SalesChannel]]))</f>
        <v>Partner Portal</v>
      </c>
      <c r="R671" s="4">
        <v>1</v>
      </c>
      <c r="S671" s="4" t="str">
        <f>IF(Transaction[[#This Row],[Quantity]]&lt;0,"Negative-review","Valid")</f>
        <v>Valid</v>
      </c>
      <c r="T671">
        <v>2185.71</v>
      </c>
      <c r="U67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2185.71</v>
      </c>
      <c r="V671">
        <v>2400</v>
      </c>
      <c r="W671">
        <v>2400</v>
      </c>
      <c r="X67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671">
        <f>IF(Transaction[[#This Row],[GrossRevenue_Check]]="Invalid",Transaction[[#This Row],[ListPrice]]*Transaction[[#This Row],[Quantity]],Transaction[[#This Row],[GrossRevenue_Clean]])</f>
        <v>2400</v>
      </c>
      <c r="Z671" t="str">
        <f>IF(Transaction[[#This Row],[GrossRevenue_Clean]]=Transaction[[#This Row],[ListPrice]]*Transaction[[#This Row],[Quantity]],"Valid","Invalid")</f>
        <v>Valid</v>
      </c>
      <c r="AA671">
        <v>214.29</v>
      </c>
      <c r="AB67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214.29</v>
      </c>
      <c r="AC671">
        <f>IF(Transaction[[#This Row],[DiscountAmount_Check2]]="Invalid",Transaction[[#This Row],[GrossRevenue_Analytical]]-Transaction[[#This Row],[NetRevenue_Analytical]],Transaction[[#This Row],[DiscountAmount_Clean]])</f>
        <v>214.29</v>
      </c>
      <c r="AD671">
        <v>2185.71</v>
      </c>
      <c r="AE671" t="str">
        <f>IF(ROUND(Transaction[[#This Row],[GrossRevenue_Analytical]]-Transaction[[#This Row],[NetRevenue_Analytical]],2)=ROUND(Transaction[[#This Row],[DiscountAmount_Clean]],2),"Valid","Invalid")</f>
        <v>Valid</v>
      </c>
      <c r="AF67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2185.71</v>
      </c>
      <c r="AG671">
        <f>IF(Transaction[[#This Row],[NetRevenue_Check]]="Invalid",(Transaction[[#This Row],[Quantity]]*Transaction[[#This Row],[UnitPrice_Clean]]),Transaction[[#This Row],[NetRevenue_Clean]])</f>
        <v>2185.71</v>
      </c>
      <c r="AH671" t="str">
        <f>IF(Transaction[[#This Row],[Quantity]]*Transaction[[#This Row],[UnitPrice_Clean]]=Transaction[[#This Row],[NetRevenue_Clean]],"Valid","Invalid")</f>
        <v>Valid</v>
      </c>
      <c r="AI671" t="s">
        <v>23</v>
      </c>
      <c r="AJ671" t="s">
        <v>974</v>
      </c>
      <c r="AK671" t="str">
        <f>IF(Transaction[[#This Row],[Salesperson]]="","Missing Value",TRIM(PROPER(Transaction[[#This Row],[Salesperson]])))</f>
        <v>Bush-Ap</v>
      </c>
      <c r="AL671" t="s">
        <v>224</v>
      </c>
      <c r="AM671" t="str">
        <f>IF(Transaction[[#This Row],[ContractType]]="","Missing Value",Transaction[[#This Row],[ContractType]])</f>
        <v>Annual</v>
      </c>
      <c r="AN671" t="s">
        <v>49</v>
      </c>
    </row>
    <row r="672" spans="1:40" x14ac:dyDescent="0.25">
      <c r="A672" t="s">
        <v>2405</v>
      </c>
      <c r="C67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67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67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672" s="2" t="str">
        <f>IFERROR(DATE(Transaction[[#This Row],[TransactionDateY]],Transaction[[#This Row],[TransactionDateM]],Transaction[[#This Row],[TransactionDateD]]),"Missing Value")</f>
        <v>Missing Value</v>
      </c>
      <c r="G672" t="s">
        <v>764</v>
      </c>
      <c r="H672" t="str">
        <f>IFERROR(VLOOKUP(Transaction[[#This Row],[CustomerID]],Custumer[],1,0),IF(LEN(Transaction[[#This Row],[CustomerID]])=7,LEFT(Transaction[[#This Row],[CustomerID]],6),"Invalid ID"))</f>
        <v>C-1071</v>
      </c>
      <c r="I672" t="s">
        <v>52</v>
      </c>
      <c r="J672" t="str">
        <f>TRIM(UPPER(Transaction[[#This Row],[ProductID]]))</f>
        <v>P-SI-002</v>
      </c>
      <c r="K672" t="str">
        <f>IFERROR(VLOOKUP(Transaction[[#This Row],[ProductID_Clean]],Product[],1,FALSE),"Invalid ID")</f>
        <v>P-SI-002</v>
      </c>
      <c r="L672" t="str">
        <f>TRIM(SUBSTITUTE(SUBSTITUTE(SUBSTITUTE(SUBSTITUTE(UPPER(Transaction[[#This Row],[Region]]),"EMEA REGION","EMEA"),"APAC REGION","APAC"),"NORTH AMERICA","N. AMERICA"),"N .AMERICA","N.AMERICA"))</f>
        <v>APAC</v>
      </c>
      <c r="M672" t="s">
        <v>127</v>
      </c>
      <c r="N672" t="s">
        <v>98</v>
      </c>
      <c r="O67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72" t="s">
        <v>22</v>
      </c>
      <c r="Q672" t="str">
        <f>IF(TRIM(Transaction[[#This Row],[SalesChannel]])="","Missing Value",TRIM(Transaction[[#This Row],[SalesChannel]]))</f>
        <v>Direct</v>
      </c>
      <c r="R672" s="4">
        <v>3</v>
      </c>
      <c r="S672" s="4" t="str">
        <f>IF(Transaction[[#This Row],[Quantity]]&lt;0,"Negative-review","Valid")</f>
        <v>Valid</v>
      </c>
      <c r="T672">
        <v>611.36</v>
      </c>
      <c r="U67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611.36</v>
      </c>
      <c r="V672">
        <v>725</v>
      </c>
      <c r="W672">
        <v>2175</v>
      </c>
      <c r="X67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2175</v>
      </c>
      <c r="Y672">
        <f>IF(Transaction[[#This Row],[GrossRevenue_Check]]="Invalid",Transaction[[#This Row],[ListPrice]]*Transaction[[#This Row],[Quantity]],Transaction[[#This Row],[GrossRevenue_Clean]])</f>
        <v>2175</v>
      </c>
      <c r="Z672" t="str">
        <f>IF(Transaction[[#This Row],[GrossRevenue_Clean]]=Transaction[[#This Row],[ListPrice]]*Transaction[[#This Row],[Quantity]],"Valid","Invalid")</f>
        <v>Valid</v>
      </c>
      <c r="AA672">
        <v>340.92</v>
      </c>
      <c r="AB67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340.92</v>
      </c>
      <c r="AC672">
        <f>IF(Transaction[[#This Row],[DiscountAmount_Check2]]="Invalid",Transaction[[#This Row],[GrossRevenue_Analytical]]-Transaction[[#This Row],[NetRevenue_Analytical]],Transaction[[#This Row],[DiscountAmount_Clean]])</f>
        <v>340.92</v>
      </c>
      <c r="AD672">
        <v>1834.08</v>
      </c>
      <c r="AE672" t="str">
        <f>IF(ROUND(Transaction[[#This Row],[GrossRevenue_Analytical]]-Transaction[[#This Row],[NetRevenue_Analytical]],2)=ROUND(Transaction[[#This Row],[DiscountAmount_Clean]],2),"Valid","Invalid")</f>
        <v>Valid</v>
      </c>
      <c r="AF67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1834.08</v>
      </c>
      <c r="AG672">
        <f>IF(Transaction[[#This Row],[NetRevenue_Check]]="Invalid",(Transaction[[#This Row],[Quantity]]*Transaction[[#This Row],[UnitPrice_Clean]]),Transaction[[#This Row],[NetRevenue_Clean]])</f>
        <v>1834.08</v>
      </c>
      <c r="AH672" t="str">
        <f>IF(Transaction[[#This Row],[Quantity]]*Transaction[[#This Row],[UnitPrice_Clean]]=Transaction[[#This Row],[NetRevenue_Clean]],"Valid","Invalid")</f>
        <v>Valid</v>
      </c>
      <c r="AI672" t="s">
        <v>99</v>
      </c>
      <c r="AJ672" t="s">
        <v>2406</v>
      </c>
      <c r="AK672" t="str">
        <f>IF(Transaction[[#This Row],[Salesperson]]="","Missing Value",TRIM(PROPER(Transaction[[#This Row],[Salesperson]])))</f>
        <v>Vaughn-Na</v>
      </c>
      <c r="AL672" t="s">
        <v>42</v>
      </c>
      <c r="AM672" t="str">
        <f>IF(Transaction[[#This Row],[ContractType]]="","Missing Value",Transaction[[#This Row],[ContractType]])</f>
        <v>Standard PO</v>
      </c>
      <c r="AN672" t="s">
        <v>43</v>
      </c>
    </row>
    <row r="673" spans="1:40" x14ac:dyDescent="0.25">
      <c r="A673" t="s">
        <v>1060</v>
      </c>
      <c r="C67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67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67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673" s="2" t="str">
        <f>IFERROR(DATE(Transaction[[#This Row],[TransactionDateY]],Transaction[[#This Row],[TransactionDateM]],Transaction[[#This Row],[TransactionDateD]]),"Missing Value")</f>
        <v>Missing Value</v>
      </c>
      <c r="G673" t="s">
        <v>357</v>
      </c>
      <c r="H673" t="str">
        <f>IFERROR(VLOOKUP(Transaction[[#This Row],[CustomerID]],Custumer[],1,0),IF(LEN(Transaction[[#This Row],[CustomerID]])=7,LEFT(Transaction[[#This Row],[CustomerID]],6),"Invalid ID"))</f>
        <v>C-1078</v>
      </c>
      <c r="I673" t="s">
        <v>1061</v>
      </c>
      <c r="J673" t="str">
        <f>TRIM(UPPER(Transaction[[#This Row],[ProductID]]))</f>
        <v>P-SI-003</v>
      </c>
      <c r="K673" t="str">
        <f>IFERROR(VLOOKUP(Transaction[[#This Row],[ProductID_Clean]],Product[],1,FALSE),"Invalid ID")</f>
        <v>P-SI-003</v>
      </c>
      <c r="L673" t="str">
        <f>TRIM(SUBSTITUTE(SUBSTITUTE(SUBSTITUTE(SUBSTITUTE(UPPER(Transaction[[#This Row],[Region]]),"EMEA REGION","EMEA"),"APAC REGION","APAC"),"NORTH AMERICA","N. AMERICA"),"N .AMERICA","N.AMERICA"))</f>
        <v>N. AMERICA</v>
      </c>
      <c r="M673" t="s">
        <v>168</v>
      </c>
      <c r="N673" t="s">
        <v>53</v>
      </c>
      <c r="O67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73" t="s">
        <v>22</v>
      </c>
      <c r="Q673" t="str">
        <f>IF(TRIM(Transaction[[#This Row],[SalesChannel]])="","Missing Value",TRIM(Transaction[[#This Row],[SalesChannel]]))</f>
        <v>Direct</v>
      </c>
      <c r="R673" s="4">
        <v>1</v>
      </c>
      <c r="S673" s="4" t="str">
        <f>IF(Transaction[[#This Row],[Quantity]]&lt;0,"Negative-review","Valid")</f>
        <v>Valid</v>
      </c>
      <c r="T673">
        <v>1667.84</v>
      </c>
      <c r="U67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1667.84</v>
      </c>
      <c r="V673">
        <v>1890</v>
      </c>
      <c r="W673">
        <v>1890</v>
      </c>
      <c r="X67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673">
        <f>IF(Transaction[[#This Row],[GrossRevenue_Check]]="Invalid",Transaction[[#This Row],[ListPrice]]*Transaction[[#This Row],[Quantity]],Transaction[[#This Row],[GrossRevenue_Clean]])</f>
        <v>1890</v>
      </c>
      <c r="Z673" t="str">
        <f>IF(Transaction[[#This Row],[GrossRevenue_Clean]]=Transaction[[#This Row],[ListPrice]]*Transaction[[#This Row],[Quantity]],"Valid","Invalid")</f>
        <v>Valid</v>
      </c>
      <c r="AA673" t="s">
        <v>1062</v>
      </c>
      <c r="AB67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222.16</v>
      </c>
      <c r="AC673">
        <f>IF(Transaction[[#This Row],[DiscountAmount_Check2]]="Invalid",Transaction[[#This Row],[GrossRevenue_Analytical]]-Transaction[[#This Row],[NetRevenue_Analytical]],Transaction[[#This Row],[DiscountAmount_Clean]])</f>
        <v>222.16</v>
      </c>
      <c r="AD673">
        <v>1667.84</v>
      </c>
      <c r="AE673" t="str">
        <f>IF(ROUND(Transaction[[#This Row],[GrossRevenue_Analytical]]-Transaction[[#This Row],[NetRevenue_Analytical]],2)=ROUND(Transaction[[#This Row],[DiscountAmount_Clean]],2),"Valid","Invalid")</f>
        <v>Valid</v>
      </c>
      <c r="AF67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1667.84</v>
      </c>
      <c r="AG673">
        <f>IF(Transaction[[#This Row],[NetRevenue_Check]]="Invalid",(Transaction[[#This Row],[Quantity]]*Transaction[[#This Row],[UnitPrice_Clean]]),Transaction[[#This Row],[NetRevenue_Clean]])</f>
        <v>1667.84</v>
      </c>
      <c r="AH673" t="str">
        <f>IF(Transaction[[#This Row],[Quantity]]*Transaction[[#This Row],[UnitPrice_Clean]]=Transaction[[#This Row],[NetRevenue_Clean]],"Valid","Invalid")</f>
        <v>Valid</v>
      </c>
      <c r="AI673" t="s">
        <v>23</v>
      </c>
      <c r="AJ673" t="s">
        <v>1063</v>
      </c>
      <c r="AK673" t="str">
        <f>IF(Transaction[[#This Row],[Salesperson]]="","Missing Value",TRIM(PROPER(Transaction[[#This Row],[Salesperson]])))</f>
        <v>Burns-Em</v>
      </c>
      <c r="AM673" t="str">
        <f>IF(Transaction[[#This Row],[ContractType]]="","Missing Value",Transaction[[#This Row],[ContractType]])</f>
        <v>Missing Value</v>
      </c>
      <c r="AN673" t="s">
        <v>26</v>
      </c>
    </row>
    <row r="674" spans="1:40" x14ac:dyDescent="0.25">
      <c r="A674" t="s">
        <v>1850</v>
      </c>
      <c r="B674" s="1">
        <v>45831</v>
      </c>
      <c r="C67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67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67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74" s="2">
        <f>IFERROR(DATE(Transaction[[#This Row],[TransactionDateY]],Transaction[[#This Row],[TransactionDateM]],Transaction[[#This Row],[TransactionDateD]]),"Missing Value")</f>
        <v>45831</v>
      </c>
      <c r="G674" t="s">
        <v>385</v>
      </c>
      <c r="H674" t="str">
        <f>IFERROR(VLOOKUP(Transaction[[#This Row],[CustomerID]],Custumer[],1,0),IF(LEN(Transaction[[#This Row],[CustomerID]])=7,LEFT(Transaction[[#This Row],[CustomerID]],6),"Invalid ID"))</f>
        <v>C-1084</v>
      </c>
      <c r="I674" t="s">
        <v>19</v>
      </c>
      <c r="J674" t="str">
        <f>TRIM(UPPER(Transaction[[#This Row],[ProductID]]))</f>
        <v>P-FS-004</v>
      </c>
      <c r="K674" t="str">
        <f>IFERROR(VLOOKUP(Transaction[[#This Row],[ProductID_Clean]],Product[],1,FALSE),"Invalid ID")</f>
        <v>P-FS-004</v>
      </c>
      <c r="L674" t="str">
        <f>TRIM(SUBSTITUTE(SUBSTITUTE(SUBSTITUTE(SUBSTITUTE(UPPER(Transaction[[#This Row],[Region]]),"EMEA REGION","EMEA"),"APAC REGION","APAC"),"NORTH AMERICA","N. AMERICA"),"N .AMERICA","N.AMERICA"))</f>
        <v>N. AMERICA</v>
      </c>
      <c r="M674" t="s">
        <v>204</v>
      </c>
      <c r="N674" t="s">
        <v>21</v>
      </c>
      <c r="O67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674" t="s">
        <v>22</v>
      </c>
      <c r="Q674" t="str">
        <f>IF(TRIM(Transaction[[#This Row],[SalesChannel]])="","Missing Value",TRIM(Transaction[[#This Row],[SalesChannel]]))</f>
        <v>Direct</v>
      </c>
      <c r="R674" s="4">
        <v>1</v>
      </c>
      <c r="S674" s="4" t="str">
        <f>IF(Transaction[[#This Row],[Quantity]]&lt;0,"Negative-review","Valid")</f>
        <v>Valid</v>
      </c>
      <c r="T674">
        <v>2932.1</v>
      </c>
      <c r="U67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2932.1</v>
      </c>
      <c r="V674">
        <v>3200</v>
      </c>
      <c r="W674">
        <v>3200</v>
      </c>
      <c r="X67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674">
        <f>IF(Transaction[[#This Row],[GrossRevenue_Check]]="Invalid",Transaction[[#This Row],[ListPrice]]*Transaction[[#This Row],[Quantity]],Transaction[[#This Row],[GrossRevenue_Clean]])</f>
        <v>3200</v>
      </c>
      <c r="Z674" t="str">
        <f>IF(Transaction[[#This Row],[GrossRevenue_Clean]]=Transaction[[#This Row],[ListPrice]]*Transaction[[#This Row],[Quantity]],"Valid","Invalid")</f>
        <v>Valid</v>
      </c>
      <c r="AA674">
        <v>267.89999999999998</v>
      </c>
      <c r="AB67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267.89999999999998</v>
      </c>
      <c r="AC674">
        <f>IF(Transaction[[#This Row],[DiscountAmount_Check2]]="Invalid",Transaction[[#This Row],[GrossRevenue_Analytical]]-Transaction[[#This Row],[NetRevenue_Analytical]],Transaction[[#This Row],[DiscountAmount_Clean]])</f>
        <v>267.89999999999998</v>
      </c>
      <c r="AD674">
        <v>2932.1</v>
      </c>
      <c r="AE674" t="str">
        <f>IF(ROUND(Transaction[[#This Row],[GrossRevenue_Analytical]]-Transaction[[#This Row],[NetRevenue_Analytical]],2)=ROUND(Transaction[[#This Row],[DiscountAmount_Clean]],2),"Valid","Invalid")</f>
        <v>Valid</v>
      </c>
      <c r="AF67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2932.1</v>
      </c>
      <c r="AG674">
        <f>IF(Transaction[[#This Row],[NetRevenue_Check]]="Invalid",(Transaction[[#This Row],[Quantity]]*Transaction[[#This Row],[UnitPrice_Clean]]),Transaction[[#This Row],[NetRevenue_Clean]])</f>
        <v>2932.1</v>
      </c>
      <c r="AH674" t="str">
        <f>IF(Transaction[[#This Row],[Quantity]]*Transaction[[#This Row],[UnitPrice_Clean]]=Transaction[[#This Row],[NetRevenue_Clean]],"Valid","Invalid")</f>
        <v>Valid</v>
      </c>
      <c r="AI674" t="s">
        <v>23</v>
      </c>
      <c r="AJ674" t="s">
        <v>1462</v>
      </c>
      <c r="AK674" t="str">
        <f>IF(Transaction[[#This Row],[Salesperson]]="","Missing Value",TRIM(PROPER(Transaction[[#This Row],[Salesperson]])))</f>
        <v>Castillo</v>
      </c>
      <c r="AL674" t="s">
        <v>42</v>
      </c>
      <c r="AM674" t="str">
        <f>IF(Transaction[[#This Row],[ContractType]]="","Missing Value",Transaction[[#This Row],[ContractType]])</f>
        <v>Standard PO</v>
      </c>
      <c r="AN674" t="s">
        <v>43</v>
      </c>
    </row>
    <row r="675" spans="1:40" x14ac:dyDescent="0.25">
      <c r="A675" t="s">
        <v>1482</v>
      </c>
      <c r="B675" s="1">
        <v>45665</v>
      </c>
      <c r="C67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67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67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75" s="2">
        <f>IFERROR(DATE(Transaction[[#This Row],[TransactionDateY]],Transaction[[#This Row],[TransactionDateM]],Transaction[[#This Row],[TransactionDateD]]),"Missing Value")</f>
        <v>45665</v>
      </c>
      <c r="G675" t="s">
        <v>613</v>
      </c>
      <c r="H675" t="str">
        <f>IFERROR(VLOOKUP(Transaction[[#This Row],[CustomerID]],Custumer[],1,0),IF(LEN(Transaction[[#This Row],[CustomerID]])=7,LEFT(Transaction[[#This Row],[CustomerID]],6),"Invalid ID"))</f>
        <v>C-1166</v>
      </c>
      <c r="I675" t="s">
        <v>222</v>
      </c>
      <c r="J675" t="str">
        <f>TRIM(UPPER(Transaction[[#This Row],[ProductID]]))</f>
        <v>P-FS-003</v>
      </c>
      <c r="K675" t="str">
        <f>IFERROR(VLOOKUP(Transaction[[#This Row],[ProductID_Clean]],Product[],1,FALSE),"Invalid ID")</f>
        <v>P-FS-003</v>
      </c>
      <c r="L675" t="str">
        <f>TRIM(SUBSTITUTE(SUBSTITUTE(SUBSTITUTE(SUBSTITUTE(UPPER(Transaction[[#This Row],[Region]]),"EMEA REGION","EMEA"),"APAC REGION","APAC"),"NORTH AMERICA","N. AMERICA"),"N .AMERICA","N.AMERICA"))</f>
        <v>N. AMERICA</v>
      </c>
      <c r="M675" t="s">
        <v>20</v>
      </c>
      <c r="N675" t="s">
        <v>318</v>
      </c>
      <c r="O67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675" t="s">
        <v>181</v>
      </c>
      <c r="Q675" t="str">
        <f>IF(TRIM(Transaction[[#This Row],[SalesChannel]])="","Missing Value",TRIM(Transaction[[#This Row],[SalesChannel]]))</f>
        <v>Partner Portal</v>
      </c>
      <c r="R675" s="4">
        <v>1</v>
      </c>
      <c r="S675" s="4" t="str">
        <f>IF(Transaction[[#This Row],[Quantity]]&lt;0,"Negative-review","Valid")</f>
        <v>Valid</v>
      </c>
      <c r="T675">
        <v>3618.05</v>
      </c>
      <c r="U67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3618.05</v>
      </c>
      <c r="V675">
        <v>4100</v>
      </c>
      <c r="W675">
        <v>4100</v>
      </c>
      <c r="X67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4100</v>
      </c>
      <c r="Y675">
        <f>IF(Transaction[[#This Row],[GrossRevenue_Check]]="Invalid",Transaction[[#This Row],[ListPrice]]*Transaction[[#This Row],[Quantity]],Transaction[[#This Row],[GrossRevenue_Clean]])</f>
        <v>4100</v>
      </c>
      <c r="Z675" t="str">
        <f>IF(Transaction[[#This Row],[GrossRevenue_Clean]]=Transaction[[#This Row],[ListPrice]]*Transaction[[#This Row],[Quantity]],"Valid","Invalid")</f>
        <v>Valid</v>
      </c>
      <c r="AA675">
        <v>481.95</v>
      </c>
      <c r="AB67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481.95</v>
      </c>
      <c r="AC675">
        <f>IF(Transaction[[#This Row],[DiscountAmount_Check2]]="Invalid",Transaction[[#This Row],[GrossRevenue_Analytical]]-Transaction[[#This Row],[NetRevenue_Analytical]],Transaction[[#This Row],[DiscountAmount_Clean]])</f>
        <v>481.95</v>
      </c>
      <c r="AD675">
        <v>3618.05</v>
      </c>
      <c r="AE675" t="str">
        <f>IF(ROUND(Transaction[[#This Row],[GrossRevenue_Analytical]]-Transaction[[#This Row],[NetRevenue_Analytical]],2)=ROUND(Transaction[[#This Row],[DiscountAmount_Clean]],2),"Valid","Invalid")</f>
        <v>Valid</v>
      </c>
      <c r="AF67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3618.05</v>
      </c>
      <c r="AG675">
        <f>IF(Transaction[[#This Row],[NetRevenue_Check]]="Invalid",(Transaction[[#This Row],[Quantity]]*Transaction[[#This Row],[UnitPrice_Clean]]),Transaction[[#This Row],[NetRevenue_Clean]])</f>
        <v>3618.05</v>
      </c>
      <c r="AH675" t="str">
        <f>IF(Transaction[[#This Row],[Quantity]]*Transaction[[#This Row],[UnitPrice_Clean]]=Transaction[[#This Row],[NetRevenue_Clean]],"Valid","Invalid")</f>
        <v>Valid</v>
      </c>
      <c r="AI675" t="s">
        <v>23</v>
      </c>
      <c r="AJ675" t="s">
        <v>1483</v>
      </c>
      <c r="AK675" t="str">
        <f>IF(Transaction[[#This Row],[Salesperson]]="","Missing Value",TRIM(PROPER(Transaction[[#This Row],[Salesperson]])))</f>
        <v>Castro</v>
      </c>
      <c r="AM675" t="str">
        <f>IF(Transaction[[#This Row],[ContractType]]="","Missing Value",Transaction[[#This Row],[ContractType]])</f>
        <v>Missing Value</v>
      </c>
      <c r="AN675" t="s">
        <v>65</v>
      </c>
    </row>
    <row r="676" spans="1:40" x14ac:dyDescent="0.25">
      <c r="A676" t="s">
        <v>1159</v>
      </c>
      <c r="B676" s="1">
        <v>45813</v>
      </c>
      <c r="C67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67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67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76" s="2">
        <f>IFERROR(DATE(Transaction[[#This Row],[TransactionDateY]],Transaction[[#This Row],[TransactionDateM]],Transaction[[#This Row],[TransactionDateD]]),"Missing Value")</f>
        <v>45813</v>
      </c>
      <c r="G676" t="s">
        <v>447</v>
      </c>
      <c r="H676" t="str">
        <f>IFERROR(VLOOKUP(Transaction[[#This Row],[CustomerID]],Custumer[],1,0),IF(LEN(Transaction[[#This Row],[CustomerID]])=7,LEFT(Transaction[[#This Row],[CustomerID]],6),"Invalid ID"))</f>
        <v>C-1042</v>
      </c>
      <c r="I676" t="s">
        <v>71</v>
      </c>
      <c r="J676" t="str">
        <f>TRIM(UPPER(Transaction[[#This Row],[ProductID]]))</f>
        <v>P-SI-003</v>
      </c>
      <c r="K676" t="str">
        <f>IFERROR(VLOOKUP(Transaction[[#This Row],[ProductID_Clean]],Product[],1,FALSE),"Invalid ID")</f>
        <v>P-SI-003</v>
      </c>
      <c r="L676" t="str">
        <f>TRIM(SUBSTITUTE(SUBSTITUTE(SUBSTITUTE(SUBSTITUTE(UPPER(Transaction[[#This Row],[Region]]),"EMEA REGION","EMEA"),"APAC REGION","APAC"),"NORTH AMERICA","N. AMERICA"),"N .AMERICA","N.AMERICA"))</f>
        <v>N. AMERICA</v>
      </c>
      <c r="M676" t="s">
        <v>168</v>
      </c>
      <c r="N676" t="s">
        <v>53</v>
      </c>
      <c r="O67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76" t="s">
        <v>93</v>
      </c>
      <c r="Q676" t="str">
        <f>IF(TRIM(Transaction[[#This Row],[SalesChannel]])="","Missing Value",TRIM(Transaction[[#This Row],[SalesChannel]]))</f>
        <v>direct</v>
      </c>
      <c r="R676" s="4">
        <v>1</v>
      </c>
      <c r="S676" s="4" t="str">
        <f>IF(Transaction[[#This Row],[Quantity]]&lt;0,"Negative-review","Valid")</f>
        <v>Valid</v>
      </c>
      <c r="T676">
        <v>1760.62</v>
      </c>
      <c r="U67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1760.62</v>
      </c>
      <c r="V676">
        <v>1890</v>
      </c>
      <c r="W676" t="s">
        <v>461</v>
      </c>
      <c r="X67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676">
        <f>IF(Transaction[[#This Row],[GrossRevenue_Check]]="Invalid",Transaction[[#This Row],[ListPrice]]*Transaction[[#This Row],[Quantity]],Transaction[[#This Row],[GrossRevenue_Clean]])</f>
        <v>1890</v>
      </c>
      <c r="Z676" t="str">
        <f>IF(Transaction[[#This Row],[GrossRevenue_Clean]]=Transaction[[#This Row],[ListPrice]]*Transaction[[#This Row],[Quantity]],"Valid","Invalid")</f>
        <v>Valid</v>
      </c>
      <c r="AA676">
        <v>129.38</v>
      </c>
      <c r="AB67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129.38</v>
      </c>
      <c r="AC676">
        <f>IF(Transaction[[#This Row],[DiscountAmount_Check2]]="Invalid",Transaction[[#This Row],[GrossRevenue_Analytical]]-Transaction[[#This Row],[NetRevenue_Analytical]],Transaction[[#This Row],[DiscountAmount_Clean]])</f>
        <v>129.38</v>
      </c>
      <c r="AD676">
        <v>1760.62</v>
      </c>
      <c r="AE676" t="str">
        <f>IF(ROUND(Transaction[[#This Row],[GrossRevenue_Analytical]]-Transaction[[#This Row],[NetRevenue_Analytical]],2)=ROUND(Transaction[[#This Row],[DiscountAmount_Clean]],2),"Valid","Invalid")</f>
        <v>Valid</v>
      </c>
      <c r="AF67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1760.62</v>
      </c>
      <c r="AG676">
        <f>IF(Transaction[[#This Row],[NetRevenue_Check]]="Invalid",(Transaction[[#This Row],[Quantity]]*Transaction[[#This Row],[UnitPrice_Clean]]),Transaction[[#This Row],[NetRevenue_Clean]])</f>
        <v>1760.62</v>
      </c>
      <c r="AH676" t="str">
        <f>IF(Transaction[[#This Row],[Quantity]]*Transaction[[#This Row],[UnitPrice_Clean]]=Transaction[[#This Row],[NetRevenue_Clean]],"Valid","Invalid")</f>
        <v>Valid</v>
      </c>
      <c r="AI676" t="s">
        <v>23</v>
      </c>
      <c r="AJ676" t="s">
        <v>1160</v>
      </c>
      <c r="AK676" t="str">
        <f>IF(Transaction[[#This Row],[Salesperson]]="","Missing Value",TRIM(PROPER(Transaction[[#This Row],[Salesperson]])))</f>
        <v>Michael-Ap</v>
      </c>
      <c r="AL676" t="s">
        <v>42</v>
      </c>
      <c r="AM676" t="str">
        <f>IF(Transaction[[#This Row],[ContractType]]="","Missing Value",Transaction[[#This Row],[ContractType]])</f>
        <v>Standard PO</v>
      </c>
      <c r="AN676" t="s">
        <v>49</v>
      </c>
    </row>
    <row r="677" spans="1:40" x14ac:dyDescent="0.25">
      <c r="A677" t="s">
        <v>2214</v>
      </c>
      <c r="B677" t="s">
        <v>2215</v>
      </c>
      <c r="C67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67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67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77" s="2">
        <f>IFERROR(DATE(Transaction[[#This Row],[TransactionDateY]],Transaction[[#This Row],[TransactionDateM]],Transaction[[#This Row],[TransactionDateD]]),"Missing Value")</f>
        <v>45770</v>
      </c>
      <c r="G677" t="s">
        <v>45</v>
      </c>
      <c r="H677" t="str">
        <f>IFERROR(VLOOKUP(Transaction[[#This Row],[CustomerID]],Custumer[],1,0),IF(LEN(Transaction[[#This Row],[CustomerID]])=7,LEFT(Transaction[[#This Row],[CustomerID]],6),"Invalid ID"))</f>
        <v>C-1155</v>
      </c>
      <c r="I677" t="s">
        <v>117</v>
      </c>
      <c r="J677" t="str">
        <f>TRIM(UPPER(Transaction[[#This Row],[ProductID]]))</f>
        <v>P-SI-007</v>
      </c>
      <c r="K677" t="str">
        <f>IFERROR(VLOOKUP(Transaction[[#This Row],[ProductID_Clean]],Product[],1,FALSE),"Invalid ID")</f>
        <v>P-SI-007</v>
      </c>
      <c r="L677" t="str">
        <f>TRIM(SUBSTITUTE(SUBSTITUTE(SUBSTITUTE(SUBSTITUTE(UPPER(Transaction[[#This Row],[Region]]),"EMEA REGION","EMEA"),"APAC REGION","APAC"),"NORTH AMERICA","N. AMERICA"),"N .AMERICA","N.AMERICA"))</f>
        <v>APAC</v>
      </c>
      <c r="M677" t="s">
        <v>30</v>
      </c>
      <c r="N677" t="s">
        <v>98</v>
      </c>
      <c r="O67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77" t="s">
        <v>22</v>
      </c>
      <c r="Q677" t="str">
        <f>IF(TRIM(Transaction[[#This Row],[SalesChannel]])="","Missing Value",TRIM(Transaction[[#This Row],[SalesChannel]]))</f>
        <v>Direct</v>
      </c>
      <c r="R677" s="4">
        <v>2</v>
      </c>
      <c r="S677" s="4" t="str">
        <f>IF(Transaction[[#This Row],[Quantity]]&lt;0,"Negative-review","Valid")</f>
        <v>Valid</v>
      </c>
      <c r="T677">
        <v>796.22</v>
      </c>
      <c r="U67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796.22</v>
      </c>
      <c r="V677">
        <v>980</v>
      </c>
      <c r="W677">
        <v>1960</v>
      </c>
      <c r="X67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</v>
      </c>
      <c r="Y677">
        <f>IF(Transaction[[#This Row],[GrossRevenue_Check]]="Invalid",Transaction[[#This Row],[ListPrice]]*Transaction[[#This Row],[Quantity]],Transaction[[#This Row],[GrossRevenue_Clean]])</f>
        <v>1960</v>
      </c>
      <c r="Z677" t="str">
        <f>IF(Transaction[[#This Row],[GrossRevenue_Clean]]=Transaction[[#This Row],[ListPrice]]*Transaction[[#This Row],[Quantity]],"Valid","Invalid")</f>
        <v>Valid</v>
      </c>
      <c r="AA677" t="s">
        <v>2216</v>
      </c>
      <c r="AB67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367.56</v>
      </c>
      <c r="AC677">
        <f>IF(Transaction[[#This Row],[DiscountAmount_Check2]]="Invalid",Transaction[[#This Row],[GrossRevenue_Analytical]]-Transaction[[#This Row],[NetRevenue_Analytical]],Transaction[[#This Row],[DiscountAmount_Clean]])</f>
        <v>367.56</v>
      </c>
      <c r="AD677">
        <v>1592.44</v>
      </c>
      <c r="AE677" t="str">
        <f>IF(ROUND(Transaction[[#This Row],[GrossRevenue_Analytical]]-Transaction[[#This Row],[NetRevenue_Analytical]],2)=ROUND(Transaction[[#This Row],[DiscountAmount_Clean]],2),"Valid","Invalid")</f>
        <v>Valid</v>
      </c>
      <c r="AF67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1592.44</v>
      </c>
      <c r="AG677">
        <f>IF(Transaction[[#This Row],[NetRevenue_Check]]="Invalid",(Transaction[[#This Row],[Quantity]]*Transaction[[#This Row],[UnitPrice_Clean]]),Transaction[[#This Row],[NetRevenue_Clean]])</f>
        <v>1592.44</v>
      </c>
      <c r="AH677" t="str">
        <f>IF(Transaction[[#This Row],[Quantity]]*Transaction[[#This Row],[UnitPrice_Clean]]=Transaction[[#This Row],[NetRevenue_Clean]],"Valid","Invalid")</f>
        <v>Valid</v>
      </c>
      <c r="AI677" t="s">
        <v>23</v>
      </c>
      <c r="AJ677" t="s">
        <v>232</v>
      </c>
      <c r="AK677" t="str">
        <f>IF(Transaction[[#This Row],[Salesperson]]="","Missing Value",TRIM(PROPER(Transaction[[#This Row],[Salesperson]])))</f>
        <v>Griffith</v>
      </c>
      <c r="AL677" t="s">
        <v>42</v>
      </c>
      <c r="AM677" t="str">
        <f>IF(Transaction[[#This Row],[ContractType]]="","Missing Value",Transaction[[#This Row],[ContractType]])</f>
        <v>Standard PO</v>
      </c>
      <c r="AN677" t="s">
        <v>49</v>
      </c>
    </row>
    <row r="678" spans="1:40" x14ac:dyDescent="0.25">
      <c r="A678" t="s">
        <v>2126</v>
      </c>
      <c r="B678" t="s">
        <v>2127</v>
      </c>
      <c r="C67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67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02</v>
      </c>
      <c r="E67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78" s="2">
        <f>IFERROR(DATE(Transaction[[#This Row],[TransactionDateY]],Transaction[[#This Row],[TransactionDateM]],Transaction[[#This Row],[TransactionDateD]]),"Missing Value")</f>
        <v>45690</v>
      </c>
      <c r="G678" t="s">
        <v>116</v>
      </c>
      <c r="H678" t="str">
        <f>IFERROR(VLOOKUP(Transaction[[#This Row],[CustomerID]],Custumer[],1,0),IF(LEN(Transaction[[#This Row],[CustomerID]])=7,LEFT(Transaction[[#This Row],[CustomerID]],6),"Invalid ID"))</f>
        <v>C-1167</v>
      </c>
      <c r="I678" t="s">
        <v>29</v>
      </c>
      <c r="J678" t="str">
        <f>TRIM(UPPER(Transaction[[#This Row],[ProductID]]))</f>
        <v>P-SA-001</v>
      </c>
      <c r="K678" t="str">
        <f>IFERROR(VLOOKUP(Transaction[[#This Row],[ProductID_Clean]],Product[],1,FALSE),"Invalid ID")</f>
        <v>P-SA-001</v>
      </c>
      <c r="L678" t="str">
        <f>TRIM(SUBSTITUTE(SUBSTITUTE(SUBSTITUTE(SUBSTITUTE(UPPER(Transaction[[#This Row],[Region]]),"EMEA REGION","EMEA"),"APAC REGION","APAC"),"NORTH AMERICA","N. AMERICA"),"N .AMERICA","N.AMERICA"))</f>
        <v>EMEA</v>
      </c>
      <c r="M678" t="s">
        <v>76</v>
      </c>
      <c r="N678" t="s">
        <v>31</v>
      </c>
      <c r="O67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Q678" t="str">
        <f>IF(TRIM(Transaction[[#This Row],[SalesChannel]])="","Missing Value",TRIM(Transaction[[#This Row],[SalesChannel]]))</f>
        <v>Missing Value</v>
      </c>
      <c r="R678" s="4">
        <v>1</v>
      </c>
      <c r="S678" s="4" t="str">
        <f>IF(Transaction[[#This Row],[Quantity]]&lt;0,"Negative-review","Valid")</f>
        <v>Valid</v>
      </c>
      <c r="T678">
        <v>3555.86</v>
      </c>
      <c r="U67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3555.86</v>
      </c>
      <c r="V678">
        <v>4200</v>
      </c>
      <c r="W678">
        <v>4200</v>
      </c>
      <c r="X67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678">
        <f>IF(Transaction[[#This Row],[GrossRevenue_Check]]="Invalid",Transaction[[#This Row],[ListPrice]]*Transaction[[#This Row],[Quantity]],Transaction[[#This Row],[GrossRevenue_Clean]])</f>
        <v>4200</v>
      </c>
      <c r="Z678" t="str">
        <f>IF(Transaction[[#This Row],[GrossRevenue_Clean]]=Transaction[[#This Row],[ListPrice]]*Transaction[[#This Row],[Quantity]],"Valid","Invalid")</f>
        <v>Valid</v>
      </c>
      <c r="AA678">
        <v>644.14</v>
      </c>
      <c r="AB67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644.14</v>
      </c>
      <c r="AC678">
        <f>IF(Transaction[[#This Row],[DiscountAmount_Check2]]="Invalid",Transaction[[#This Row],[GrossRevenue_Analytical]]-Transaction[[#This Row],[NetRevenue_Analytical]],Transaction[[#This Row],[DiscountAmount_Clean]])</f>
        <v>644.14</v>
      </c>
      <c r="AD678">
        <v>3555.86</v>
      </c>
      <c r="AE678" t="str">
        <f>IF(ROUND(Transaction[[#This Row],[GrossRevenue_Analytical]]-Transaction[[#This Row],[NetRevenue_Analytical]],2)=ROUND(Transaction[[#This Row],[DiscountAmount_Clean]],2),"Valid","Invalid")</f>
        <v>Valid</v>
      </c>
      <c r="AF678">
        <f>VALUE(IF(ISNUMBER(Transaction[[#This Row],[NetRevenue]]),Transaction[[#This Row],[NetRevenue]],IFERROR(IF(FIND("$",Transaction[[#This Row],[NetRevenue]])&gt;0,MID(Transaction[[#This Row],[NetRevenue]],2,10)),Transaction[[#This Row],[NetRevenue]])))</f>
        <v>3555.86</v>
      </c>
      <c r="AG678">
        <f>IF(Transaction[[#This Row],[NetRevenue_Check]]="Invalid",(Transaction[[#This Row],[Quantity]]*Transaction[[#This Row],[UnitPrice_Clean]]),Transaction[[#This Row],[NetRevenue_Clean]])</f>
        <v>3555.86</v>
      </c>
      <c r="AH678" t="str">
        <f>IF(Transaction[[#This Row],[Quantity]]*Transaction[[#This Row],[UnitPrice_Clean]]=Transaction[[#This Row],[NetRevenue_Clean]],"Valid","Invalid")</f>
        <v>Valid</v>
      </c>
      <c r="AI678" t="s">
        <v>23</v>
      </c>
      <c r="AJ678" t="s">
        <v>1904</v>
      </c>
      <c r="AK678" t="str">
        <f>IF(Transaction[[#This Row],[Salesperson]]="","Missing Value",TRIM(PROPER(Transaction[[#This Row],[Salesperson]])))</f>
        <v>Roberts</v>
      </c>
      <c r="AL678" t="s">
        <v>210</v>
      </c>
      <c r="AM678" t="str">
        <f>IF(Transaction[[#This Row],[ContractType]]="","Missing Value",Transaction[[#This Row],[ContractType]])</f>
        <v>Perpetual</v>
      </c>
      <c r="AN678" t="s">
        <v>49</v>
      </c>
    </row>
    <row r="679" spans="1:40" x14ac:dyDescent="0.25">
      <c r="A679" t="s">
        <v>759</v>
      </c>
      <c r="B679" s="1">
        <v>45718</v>
      </c>
      <c r="C67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67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67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79" s="2">
        <f>IFERROR(DATE(Transaction[[#This Row],[TransactionDateY]],Transaction[[#This Row],[TransactionDateM]],Transaction[[#This Row],[TransactionDateD]]),"Missing Value")</f>
        <v>45718</v>
      </c>
      <c r="G679" t="s">
        <v>167</v>
      </c>
      <c r="H679" t="str">
        <f>IFERROR(VLOOKUP(Transaction[[#This Row],[CustomerID]],Custumer[],1,0),IF(LEN(Transaction[[#This Row],[CustomerID]])=7,LEFT(Transaction[[#This Row],[CustomerID]],6),"Invalid ID"))</f>
        <v>C-1008</v>
      </c>
      <c r="I679" t="s">
        <v>46</v>
      </c>
      <c r="J679" t="str">
        <f>TRIM(UPPER(Transaction[[#This Row],[ProductID]]))</f>
        <v>P-SI-006</v>
      </c>
      <c r="K679" t="str">
        <f>IFERROR(VLOOKUP(Transaction[[#This Row],[ProductID_Clean]],Product[],1,FALSE),"Invalid ID")</f>
        <v>P-SI-006</v>
      </c>
      <c r="L679" t="str">
        <f>TRIM(SUBSTITUTE(SUBSTITUTE(SUBSTITUTE(SUBSTITUTE(UPPER(Transaction[[#This Row],[Region]]),"EMEA REGION","EMEA"),"APAC REGION","APAC"),"NORTH AMERICA","N. AMERICA"),"N .AMERICA","N.AMERICA"))</f>
        <v>N. AMERICA</v>
      </c>
      <c r="M679" t="s">
        <v>204</v>
      </c>
      <c r="N679" t="s">
        <v>53</v>
      </c>
      <c r="O67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79" t="s">
        <v>40</v>
      </c>
      <c r="Q679" t="str">
        <f>IF(TRIM(Transaction[[#This Row],[SalesChannel]])="","Missing Value",TRIM(Transaction[[#This Row],[SalesChannel]]))</f>
        <v>Distributor</v>
      </c>
      <c r="R679" s="4">
        <v>4</v>
      </c>
      <c r="S679" s="4" t="str">
        <f>IF(Transaction[[#This Row],[Quantity]]&lt;0,"Negative-review","Valid")</f>
        <v>Valid</v>
      </c>
      <c r="T679">
        <v>152.91</v>
      </c>
      <c r="U67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152.91</v>
      </c>
      <c r="V679">
        <v>215</v>
      </c>
      <c r="W679">
        <v>860</v>
      </c>
      <c r="X67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860</v>
      </c>
      <c r="Y679">
        <f>IF(Transaction[[#This Row],[GrossRevenue_Check]]="Invalid",Transaction[[#This Row],[ListPrice]]*Transaction[[#This Row],[Quantity]],Transaction[[#This Row],[GrossRevenue_Clean]])</f>
        <v>860</v>
      </c>
      <c r="Z679" t="str">
        <f>IF(Transaction[[#This Row],[GrossRevenue_Clean]]=Transaction[[#This Row],[ListPrice]]*Transaction[[#This Row],[Quantity]],"Valid","Invalid")</f>
        <v>Valid</v>
      </c>
      <c r="AA679">
        <v>248.36</v>
      </c>
      <c r="AB67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248.36</v>
      </c>
      <c r="AC679">
        <f>IF(Transaction[[#This Row],[DiscountAmount_Check2]]="Invalid",Transaction[[#This Row],[GrossRevenue_Analytical]]-Transaction[[#This Row],[NetRevenue_Analytical]],Transaction[[#This Row],[DiscountAmount_Clean]])</f>
        <v>248.36</v>
      </c>
      <c r="AD679">
        <v>611.64</v>
      </c>
      <c r="AE679" t="str">
        <f>IF(ROUND(Transaction[[#This Row],[GrossRevenue_Analytical]]-Transaction[[#This Row],[NetRevenue_Analytical]],2)=ROUND(Transaction[[#This Row],[DiscountAmount_Clean]],2),"Valid","Invalid")</f>
        <v>Valid</v>
      </c>
      <c r="AF679">
        <f>VALUE(IF(ISNUMBER(Transaction[[#This Row],[NetRevenue]]),Transaction[[#This Row],[NetRevenue]],IFERROR(IF(FIND("$",Transaction[[#This Row],[NetRevenue]])&gt;0,MID(Transaction[[#This Row],[NetRevenue]],2,10)),Transaction[[#This Row],[NetRevenue]])))</f>
        <v>611.64</v>
      </c>
      <c r="AG679">
        <f>IF(Transaction[[#This Row],[NetRevenue_Check]]="Invalid",(Transaction[[#This Row],[Quantity]]*Transaction[[#This Row],[UnitPrice_Clean]]),Transaction[[#This Row],[NetRevenue_Clean]])</f>
        <v>611.64</v>
      </c>
      <c r="AH679" t="str">
        <f>IF(Transaction[[#This Row],[Quantity]]*Transaction[[#This Row],[UnitPrice_Clean]]=Transaction[[#This Row],[NetRevenue_Clean]],"Valid","Invalid")</f>
        <v>Valid</v>
      </c>
      <c r="AI679" t="s">
        <v>128</v>
      </c>
      <c r="AJ679" t="s">
        <v>760</v>
      </c>
      <c r="AK679" t="str">
        <f>IF(Transaction[[#This Row],[Salesperson]]="","Missing Value",TRIM(PROPER(Transaction[[#This Row],[Salesperson]])))</f>
        <v>Berry-Ap</v>
      </c>
      <c r="AL679" t="s">
        <v>42</v>
      </c>
      <c r="AM679" t="str">
        <f>IF(Transaction[[#This Row],[ContractType]]="","Missing Value",Transaction[[#This Row],[ContractType]])</f>
        <v>Standard PO</v>
      </c>
      <c r="AN679" t="s">
        <v>26</v>
      </c>
    </row>
    <row r="680" spans="1:40" x14ac:dyDescent="0.25">
      <c r="A680" t="s">
        <v>1375</v>
      </c>
      <c r="B680" s="1">
        <v>45751</v>
      </c>
      <c r="C68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68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68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80" s="2">
        <f>IFERROR(DATE(Transaction[[#This Row],[TransactionDateY]],Transaction[[#This Row],[TransactionDateM]],Transaction[[#This Row],[TransactionDateD]]),"Missing Value")</f>
        <v>45751</v>
      </c>
      <c r="G680" t="s">
        <v>647</v>
      </c>
      <c r="H680" t="str">
        <f>IFERROR(VLOOKUP(Transaction[[#This Row],[CustomerID]],Custumer[],1,0),IF(LEN(Transaction[[#This Row],[CustomerID]])=7,LEFT(Transaction[[#This Row],[CustomerID]],6),"Invalid ID"))</f>
        <v>C-1085</v>
      </c>
      <c r="I680" t="s">
        <v>58</v>
      </c>
      <c r="J680" t="str">
        <f>TRIM(UPPER(Transaction[[#This Row],[ProductID]]))</f>
        <v>P-SI-005</v>
      </c>
      <c r="K680" t="str">
        <f>IFERROR(VLOOKUP(Transaction[[#This Row],[ProductID_Clean]],Product[],1,FALSE),"Invalid ID")</f>
        <v>P-SI-005</v>
      </c>
      <c r="L680" t="str">
        <f>TRIM(SUBSTITUTE(SUBSTITUTE(SUBSTITUTE(SUBSTITUTE(UPPER(Transaction[[#This Row],[Region]]),"EMEA REGION","EMEA"),"APAC REGION","APAC"),"NORTH AMERICA","N. AMERICA"),"N .AMERICA","N.AMERICA"))</f>
        <v>APAC</v>
      </c>
      <c r="M680" t="s">
        <v>30</v>
      </c>
      <c r="N680" t="s">
        <v>53</v>
      </c>
      <c r="O68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80" t="s">
        <v>22</v>
      </c>
      <c r="Q680" t="str">
        <f>IF(TRIM(Transaction[[#This Row],[SalesChannel]])="","Missing Value",TRIM(Transaction[[#This Row],[SalesChannel]]))</f>
        <v>Direct</v>
      </c>
      <c r="R680" s="4">
        <v>5</v>
      </c>
      <c r="S680" s="4" t="str">
        <f>IF(Transaction[[#This Row],[Quantity]]&lt;0,"Negative-review","Valid")</f>
        <v>Valid</v>
      </c>
      <c r="T680">
        <v>888.21</v>
      </c>
      <c r="U68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888.21</v>
      </c>
      <c r="V680">
        <v>1120</v>
      </c>
      <c r="W680">
        <v>5600</v>
      </c>
      <c r="X68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5600</v>
      </c>
      <c r="Y680">
        <f>IF(Transaction[[#This Row],[GrossRevenue_Check]]="Invalid",Transaction[[#This Row],[ListPrice]]*Transaction[[#This Row],[Quantity]],Transaction[[#This Row],[GrossRevenue_Clean]])</f>
        <v>5600</v>
      </c>
      <c r="Z680" t="str">
        <f>IF(Transaction[[#This Row],[GrossRevenue_Clean]]=Transaction[[#This Row],[ListPrice]]*Transaction[[#This Row],[Quantity]],"Valid","Invalid")</f>
        <v>Valid</v>
      </c>
      <c r="AA680" t="s">
        <v>1376</v>
      </c>
      <c r="AB68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1158.95</v>
      </c>
      <c r="AC680">
        <f>IF(Transaction[[#This Row],[DiscountAmount_Check2]]="Invalid",Transaction[[#This Row],[GrossRevenue_Analytical]]-Transaction[[#This Row],[NetRevenue_Analytical]],Transaction[[#This Row],[DiscountAmount_Clean]])</f>
        <v>1158.95</v>
      </c>
      <c r="AD680">
        <v>4441.05</v>
      </c>
      <c r="AE680" t="str">
        <f>IF(ROUND(Transaction[[#This Row],[GrossRevenue_Analytical]]-Transaction[[#This Row],[NetRevenue_Analytical]],2)=ROUND(Transaction[[#This Row],[DiscountAmount_Clean]],2),"Valid","Invalid")</f>
        <v>Valid</v>
      </c>
      <c r="AF680">
        <f>VALUE(IF(ISNUMBER(Transaction[[#This Row],[NetRevenue]]),Transaction[[#This Row],[NetRevenue]],IFERROR(IF(FIND("$",Transaction[[#This Row],[NetRevenue]])&gt;0,MID(Transaction[[#This Row],[NetRevenue]],2,10)),Transaction[[#This Row],[NetRevenue]])))</f>
        <v>4441.05</v>
      </c>
      <c r="AG680">
        <f>IF(Transaction[[#This Row],[NetRevenue_Check]]="Invalid",(Transaction[[#This Row],[Quantity]]*Transaction[[#This Row],[UnitPrice_Clean]]),Transaction[[#This Row],[NetRevenue_Clean]])</f>
        <v>4441.05</v>
      </c>
      <c r="AH680" t="str">
        <f>IF(Transaction[[#This Row],[Quantity]]*Transaction[[#This Row],[UnitPrice_Clean]]=Transaction[[#This Row],[NetRevenue_Clean]],"Valid","Invalid")</f>
        <v>Valid</v>
      </c>
      <c r="AI680" t="s">
        <v>23</v>
      </c>
      <c r="AJ680" t="s">
        <v>1377</v>
      </c>
      <c r="AK680" t="str">
        <f>IF(Transaction[[#This Row],[Salesperson]]="","Missing Value",TRIM(PROPER(Transaction[[#This Row],[Salesperson]])))</f>
        <v>Daniels</v>
      </c>
      <c r="AL680" t="s">
        <v>25</v>
      </c>
      <c r="AM680" t="str">
        <f>IF(Transaction[[#This Row],[ContractType]]="","Missing Value",Transaction[[#This Row],[ContractType]])</f>
        <v>Frame Agreement</v>
      </c>
      <c r="AN680" t="s">
        <v>26</v>
      </c>
    </row>
    <row r="681" spans="1:40" x14ac:dyDescent="0.25">
      <c r="A681" t="s">
        <v>526</v>
      </c>
      <c r="B681" t="s">
        <v>527</v>
      </c>
      <c r="C68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68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68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81" s="2">
        <f>IFERROR(DATE(Transaction[[#This Row],[TransactionDateY]],Transaction[[#This Row],[TransactionDateM]],Transaction[[#This Row],[TransactionDateD]]),"Missing Value")</f>
        <v>45756</v>
      </c>
      <c r="G681" t="s">
        <v>284</v>
      </c>
      <c r="H681" t="str">
        <f>IFERROR(VLOOKUP(Transaction[[#This Row],[CustomerID]],Custumer[],1,0),IF(LEN(Transaction[[#This Row],[CustomerID]])=7,LEFT(Transaction[[#This Row],[CustomerID]],6),"Invalid ID"))</f>
        <v>C-1101</v>
      </c>
      <c r="I681" t="s">
        <v>111</v>
      </c>
      <c r="J681" t="str">
        <f>TRIM(UPPER(Transaction[[#This Row],[ProductID]]))</f>
        <v>P-SA-004</v>
      </c>
      <c r="K681" t="str">
        <f>IFERROR(VLOOKUP(Transaction[[#This Row],[ProductID_Clean]],Product[],1,FALSE),"Invalid ID")</f>
        <v>P-SA-004</v>
      </c>
      <c r="L681" t="str">
        <f>TRIM(SUBSTITUTE(SUBSTITUTE(SUBSTITUTE(SUBSTITUTE(UPPER(Transaction[[#This Row],[Region]]),"EMEA REGION","EMEA"),"APAC REGION","APAC"),"NORTH AMERICA","N. AMERICA"),"N .AMERICA","N.AMERICA"))</f>
        <v>EMEA</v>
      </c>
      <c r="M681" t="s">
        <v>87</v>
      </c>
      <c r="N681" t="s">
        <v>31</v>
      </c>
      <c r="O68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681" t="s">
        <v>181</v>
      </c>
      <c r="Q681" t="str">
        <f>IF(TRIM(Transaction[[#This Row],[SalesChannel]])="","Missing Value",TRIM(Transaction[[#This Row],[SalesChannel]]))</f>
        <v>Partner Portal</v>
      </c>
      <c r="R681" s="4">
        <v>1</v>
      </c>
      <c r="S681" s="4" t="str">
        <f>IF(Transaction[[#This Row],[Quantity]]&lt;0,"Negative-review","Valid")</f>
        <v>Valid</v>
      </c>
      <c r="T681">
        <v>1510.22</v>
      </c>
      <c r="U68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1510.22</v>
      </c>
      <c r="V681">
        <v>1650</v>
      </c>
      <c r="W681">
        <v>1650</v>
      </c>
      <c r="X68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681">
        <f>IF(Transaction[[#This Row],[GrossRevenue_Check]]="Invalid",Transaction[[#This Row],[ListPrice]]*Transaction[[#This Row],[Quantity]],Transaction[[#This Row],[GrossRevenue_Clean]])</f>
        <v>1650</v>
      </c>
      <c r="Z681" t="str">
        <f>IF(Transaction[[#This Row],[GrossRevenue_Clean]]=Transaction[[#This Row],[ListPrice]]*Transaction[[#This Row],[Quantity]],"Valid","Invalid")</f>
        <v>Valid</v>
      </c>
      <c r="AA681">
        <v>139.78</v>
      </c>
      <c r="AB68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139.78</v>
      </c>
      <c r="AC681">
        <f>IF(Transaction[[#This Row],[DiscountAmount_Check2]]="Invalid",Transaction[[#This Row],[GrossRevenue_Analytical]]-Transaction[[#This Row],[NetRevenue_Analytical]],Transaction[[#This Row],[DiscountAmount_Clean]])</f>
        <v>139.78</v>
      </c>
      <c r="AD681">
        <v>1510.22</v>
      </c>
      <c r="AE681" t="str">
        <f>IF(ROUND(Transaction[[#This Row],[GrossRevenue_Analytical]]-Transaction[[#This Row],[NetRevenue_Analytical]],2)=ROUND(Transaction[[#This Row],[DiscountAmount_Clean]],2),"Valid","Invalid")</f>
        <v>Valid</v>
      </c>
      <c r="AF68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1510.22</v>
      </c>
      <c r="AG681">
        <f>IF(Transaction[[#This Row],[NetRevenue_Check]]="Invalid",(Transaction[[#This Row],[Quantity]]*Transaction[[#This Row],[UnitPrice_Clean]]),Transaction[[#This Row],[NetRevenue_Clean]])</f>
        <v>1510.22</v>
      </c>
      <c r="AH681" t="str">
        <f>IF(Transaction[[#This Row],[Quantity]]*Transaction[[#This Row],[UnitPrice_Clean]]=Transaction[[#This Row],[NetRevenue_Clean]],"Valid","Invalid")</f>
        <v>Valid</v>
      </c>
      <c r="AI681" t="s">
        <v>23</v>
      </c>
      <c r="AJ681" t="s">
        <v>528</v>
      </c>
      <c r="AK681" t="str">
        <f>IF(Transaction[[#This Row],[Salesperson]]="","Missing Value",TRIM(PROPER(Transaction[[#This Row],[Salesperson]])))</f>
        <v>Huang-Em</v>
      </c>
      <c r="AL681" t="s">
        <v>34</v>
      </c>
      <c r="AM681" t="str">
        <f>IF(Transaction[[#This Row],[ContractType]]="","Missing Value",Transaction[[#This Row],[ContractType]])</f>
        <v>Annual License</v>
      </c>
      <c r="AN681" t="s">
        <v>35</v>
      </c>
    </row>
    <row r="682" spans="1:40" x14ac:dyDescent="0.25">
      <c r="A682" t="s">
        <v>1613</v>
      </c>
      <c r="B682" t="s">
        <v>1614</v>
      </c>
      <c r="C68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68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09</v>
      </c>
      <c r="E68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82" s="2">
        <f>IFERROR(DATE(Transaction[[#This Row],[TransactionDateY]],Transaction[[#This Row],[TransactionDateM]],Transaction[[#This Row],[TransactionDateD]]),"Missing Value")</f>
        <v>45666</v>
      </c>
      <c r="G682" t="s">
        <v>799</v>
      </c>
      <c r="H682" t="str">
        <f>IFERROR(VLOOKUP(Transaction[[#This Row],[CustomerID]],Custumer[],1,0),IF(LEN(Transaction[[#This Row],[CustomerID]])=7,LEFT(Transaction[[#This Row],[CustomerID]],6),"Invalid ID"))</f>
        <v>C-1003</v>
      </c>
      <c r="I682" t="s">
        <v>75</v>
      </c>
      <c r="J682" t="str">
        <f>TRIM(UPPER(Transaction[[#This Row],[ProductID]]))</f>
        <v>P-SA-005</v>
      </c>
      <c r="K682" t="str">
        <f>IFERROR(VLOOKUP(Transaction[[#This Row],[ProductID_Clean]],Product[],1,FALSE),"Invalid ID")</f>
        <v>P-SA-005</v>
      </c>
      <c r="L682" t="str">
        <f>TRIM(SUBSTITUTE(SUBSTITUTE(SUBSTITUTE(SUBSTITUTE(UPPER(Transaction[[#This Row],[Region]]),"EMEA REGION","EMEA"),"APAC REGION","APAC"),"NORTH AMERICA","N. AMERICA"),"N .AMERICA","N.AMERICA"))</f>
        <v>LATIN AMERICA</v>
      </c>
      <c r="M682" t="s">
        <v>82</v>
      </c>
      <c r="N682" t="s">
        <v>857</v>
      </c>
      <c r="O68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682" t="s">
        <v>40</v>
      </c>
      <c r="Q682" t="str">
        <f>IF(TRIM(Transaction[[#This Row],[SalesChannel]])="","Missing Value",TRIM(Transaction[[#This Row],[SalesChannel]]))</f>
        <v>Distributor</v>
      </c>
      <c r="R682" s="4">
        <v>1</v>
      </c>
      <c r="S682" s="4" t="str">
        <f>IF(Transaction[[#This Row],[Quantity]]&lt;0,"Negative-review","Valid")</f>
        <v>Valid</v>
      </c>
      <c r="T682">
        <v>2499.7600000000002</v>
      </c>
      <c r="U68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2499.7600000000002</v>
      </c>
      <c r="V682">
        <v>3200</v>
      </c>
      <c r="W682">
        <v>3200</v>
      </c>
      <c r="X68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682">
        <f>IF(Transaction[[#This Row],[GrossRevenue_Check]]="Invalid",Transaction[[#This Row],[ListPrice]]*Transaction[[#This Row],[Quantity]],Transaction[[#This Row],[GrossRevenue_Clean]])</f>
        <v>3200</v>
      </c>
      <c r="Z682" t="str">
        <f>IF(Transaction[[#This Row],[GrossRevenue_Clean]]=Transaction[[#This Row],[ListPrice]]*Transaction[[#This Row],[Quantity]],"Valid","Invalid")</f>
        <v>Valid</v>
      </c>
      <c r="AA682">
        <v>700.24</v>
      </c>
      <c r="AB68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700.24</v>
      </c>
      <c r="AC682">
        <f>IF(Transaction[[#This Row],[DiscountAmount_Check2]]="Invalid",Transaction[[#This Row],[GrossRevenue_Analytical]]-Transaction[[#This Row],[NetRevenue_Analytical]],Transaction[[#This Row],[DiscountAmount_Clean]])</f>
        <v>700.24</v>
      </c>
      <c r="AD682">
        <v>2499.7600000000002</v>
      </c>
      <c r="AE682" t="str">
        <f>IF(ROUND(Transaction[[#This Row],[GrossRevenue_Analytical]]-Transaction[[#This Row],[NetRevenue_Analytical]],2)=ROUND(Transaction[[#This Row],[DiscountAmount_Clean]],2),"Valid","Invalid")</f>
        <v>Valid</v>
      </c>
      <c r="AF68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2499.7600000000002</v>
      </c>
      <c r="AG682">
        <f>IF(Transaction[[#This Row],[NetRevenue_Check]]="Invalid",(Transaction[[#This Row],[Quantity]]*Transaction[[#This Row],[UnitPrice_Clean]]),Transaction[[#This Row],[NetRevenue_Clean]])</f>
        <v>2499.7600000000002</v>
      </c>
      <c r="AH682" t="str">
        <f>IF(Transaction[[#This Row],[Quantity]]*Transaction[[#This Row],[UnitPrice_Clean]]=Transaction[[#This Row],[NetRevenue_Clean]],"Valid","Invalid")</f>
        <v>Valid</v>
      </c>
      <c r="AI682" t="s">
        <v>128</v>
      </c>
      <c r="AJ682" t="s">
        <v>1615</v>
      </c>
      <c r="AK682" t="str">
        <f>IF(Transaction[[#This Row],[Salesperson]]="","Missing Value",TRIM(PROPER(Transaction[[#This Row],[Salesperson]])))</f>
        <v>Foster-Em</v>
      </c>
      <c r="AL682" t="s">
        <v>34</v>
      </c>
      <c r="AM682" t="str">
        <f>IF(Transaction[[#This Row],[ContractType]]="","Missing Value",Transaction[[#This Row],[ContractType]])</f>
        <v>Annual License</v>
      </c>
      <c r="AN682" t="s">
        <v>49</v>
      </c>
    </row>
    <row r="683" spans="1:40" x14ac:dyDescent="0.25">
      <c r="A683" t="s">
        <v>1178</v>
      </c>
      <c r="B683" t="s">
        <v>229</v>
      </c>
      <c r="C68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68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68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83" s="2">
        <f>IFERROR(DATE(Transaction[[#This Row],[TransactionDateY]],Transaction[[#This Row],[TransactionDateM]],Transaction[[#This Row],[TransactionDateD]]),"Missing Value")</f>
        <v>45697</v>
      </c>
      <c r="G683" t="s">
        <v>1179</v>
      </c>
      <c r="H683" t="str">
        <f>IFERROR(VLOOKUP(Transaction[[#This Row],[CustomerID]],Custumer[],1,0),IF(LEN(Transaction[[#This Row],[CustomerID]])=7,LEFT(Transaction[[#This Row],[CustomerID]],6),"Invalid ID"))</f>
        <v>C-1116</v>
      </c>
      <c r="I683" t="s">
        <v>62</v>
      </c>
      <c r="J683" t="str">
        <f>TRIM(UPPER(Transaction[[#This Row],[ProductID]]))</f>
        <v>P-SI-004</v>
      </c>
      <c r="K683" t="str">
        <f>IFERROR(VLOOKUP(Transaction[[#This Row],[ProductID_Clean]],Product[],1,FALSE),"Invalid ID")</f>
        <v>P-SI-004</v>
      </c>
      <c r="L683" t="str">
        <f>TRIM(SUBSTITUTE(SUBSTITUTE(SUBSTITUTE(SUBSTITUTE(UPPER(Transaction[[#This Row],[Region]]),"EMEA REGION","EMEA"),"APAC REGION","APAC"),"NORTH AMERICA","N. AMERICA"),"N .AMERICA","N.AMERICA"))</f>
        <v>N. AMERICA</v>
      </c>
      <c r="M683" t="s">
        <v>204</v>
      </c>
      <c r="N683" t="s">
        <v>53</v>
      </c>
      <c r="O68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83" t="s">
        <v>22</v>
      </c>
      <c r="Q683" t="str">
        <f>IF(TRIM(Transaction[[#This Row],[SalesChannel]])="","Missing Value",TRIM(Transaction[[#This Row],[SalesChannel]]))</f>
        <v>Direct</v>
      </c>
      <c r="R683" s="4">
        <v>1</v>
      </c>
      <c r="S683" s="4" t="str">
        <f>IF(Transaction[[#This Row],[Quantity]]&lt;0,"Negative-review","Valid")</f>
        <v>Valid</v>
      </c>
      <c r="T683">
        <v>2299.5300000000002</v>
      </c>
      <c r="U68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2299.5300000000002</v>
      </c>
      <c r="V683">
        <v>2450</v>
      </c>
      <c r="W683">
        <v>2450</v>
      </c>
      <c r="X68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683">
        <f>IF(Transaction[[#This Row],[GrossRevenue_Check]]="Invalid",Transaction[[#This Row],[ListPrice]]*Transaction[[#This Row],[Quantity]],Transaction[[#This Row],[GrossRevenue_Clean]])</f>
        <v>2450</v>
      </c>
      <c r="Z683" t="str">
        <f>IF(Transaction[[#This Row],[GrossRevenue_Clean]]=Transaction[[#This Row],[ListPrice]]*Transaction[[#This Row],[Quantity]],"Valid","Invalid")</f>
        <v>Valid</v>
      </c>
      <c r="AA683">
        <v>150.47</v>
      </c>
      <c r="AB68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150.47</v>
      </c>
      <c r="AC683">
        <f>IF(Transaction[[#This Row],[DiscountAmount_Check2]]="Invalid",Transaction[[#This Row],[GrossRevenue_Analytical]]-Transaction[[#This Row],[NetRevenue_Analytical]],Transaction[[#This Row],[DiscountAmount_Clean]])</f>
        <v>150.47</v>
      </c>
      <c r="AD683">
        <v>2299.5300000000002</v>
      </c>
      <c r="AE683" t="str">
        <f>IF(ROUND(Transaction[[#This Row],[GrossRevenue_Analytical]]-Transaction[[#This Row],[NetRevenue_Analytical]],2)=ROUND(Transaction[[#This Row],[DiscountAmount_Clean]],2),"Valid","Invalid")</f>
        <v>Valid</v>
      </c>
      <c r="AF683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2299.5300000000002</v>
      </c>
      <c r="AG683">
        <f>IF(Transaction[[#This Row],[NetRevenue_Check]]="Invalid",(Transaction[[#This Row],[Quantity]]*Transaction[[#This Row],[UnitPrice_Clean]]),Transaction[[#This Row],[NetRevenue_Clean]])</f>
        <v>2299.5300000000002</v>
      </c>
      <c r="AH683" t="str">
        <f>IF(Transaction[[#This Row],[Quantity]]*Transaction[[#This Row],[UnitPrice_Clean]]=Transaction[[#This Row],[NetRevenue_Clean]],"Valid","Invalid")</f>
        <v>Valid</v>
      </c>
      <c r="AI683" t="s">
        <v>23</v>
      </c>
      <c r="AJ683" t="s">
        <v>1180</v>
      </c>
      <c r="AK683" t="str">
        <f>IF(Transaction[[#This Row],[Salesperson]]="","Missing Value",TRIM(PROPER(Transaction[[#This Row],[Salesperson]])))</f>
        <v>Reed-Ap</v>
      </c>
      <c r="AL683" t="s">
        <v>42</v>
      </c>
      <c r="AM683" t="str">
        <f>IF(Transaction[[#This Row],[ContractType]]="","Missing Value",Transaction[[#This Row],[ContractType]])</f>
        <v>Standard PO</v>
      </c>
      <c r="AN683" t="s">
        <v>65</v>
      </c>
    </row>
    <row r="684" spans="1:40" x14ac:dyDescent="0.25">
      <c r="A684" t="s">
        <v>2828</v>
      </c>
      <c r="B684" s="1">
        <v>45773</v>
      </c>
      <c r="C68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68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68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84" s="2">
        <f>IFERROR(DATE(Transaction[[#This Row],[TransactionDateY]],Transaction[[#This Row],[TransactionDateM]],Transaction[[#This Row],[TransactionDateD]]),"Missing Value")</f>
        <v>45773</v>
      </c>
      <c r="G684" t="s">
        <v>336</v>
      </c>
      <c r="H684" t="str">
        <f>IFERROR(VLOOKUP(Transaction[[#This Row],[CustomerID]],Custumer[],1,0),IF(LEN(Transaction[[#This Row],[CustomerID]])=7,LEFT(Transaction[[#This Row],[CustomerID]],6),"Invalid ID"))</f>
        <v>C-1109</v>
      </c>
      <c r="I684" t="s">
        <v>703</v>
      </c>
      <c r="J684" t="str">
        <f>TRIM(UPPER(Transaction[[#This Row],[ProductID]]))</f>
        <v>P-SI-001</v>
      </c>
      <c r="K684" t="str">
        <f>IFERROR(VLOOKUP(Transaction[[#This Row],[ProductID_Clean]],Product[],1,FALSE),"Invalid ID")</f>
        <v>P-SI-001</v>
      </c>
      <c r="L684" t="str">
        <f>TRIM(SUBSTITUTE(SUBSTITUTE(SUBSTITUTE(SUBSTITUTE(UPPER(Transaction[[#This Row],[Region]]),"EMEA REGION","EMEA"),"APAC REGION","APAC"),"NORTH AMERICA","N. AMERICA"),"N .AMERICA","N.AMERICA"))</f>
        <v>EMEA</v>
      </c>
      <c r="M684" t="s">
        <v>76</v>
      </c>
      <c r="N684" t="s">
        <v>53</v>
      </c>
      <c r="O68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84" t="s">
        <v>22</v>
      </c>
      <c r="Q684" t="str">
        <f>IF(TRIM(Transaction[[#This Row],[SalesChannel]])="","Missing Value",TRIM(Transaction[[#This Row],[SalesChannel]]))</f>
        <v>Direct</v>
      </c>
      <c r="R684" s="4">
        <v>2</v>
      </c>
      <c r="S684" s="4" t="str">
        <f>IF(Transaction[[#This Row],[Quantity]]&lt;0,"Negative-review","Valid")</f>
        <v>Valid</v>
      </c>
      <c r="T684">
        <v>438.56</v>
      </c>
      <c r="U68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438.56</v>
      </c>
      <c r="V684">
        <v>485</v>
      </c>
      <c r="W684">
        <v>970</v>
      </c>
      <c r="X68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684">
        <f>IF(Transaction[[#This Row],[GrossRevenue_Check]]="Invalid",Transaction[[#This Row],[ListPrice]]*Transaction[[#This Row],[Quantity]],Transaction[[#This Row],[GrossRevenue_Clean]])</f>
        <v>970</v>
      </c>
      <c r="Z684" t="str">
        <f>IF(Transaction[[#This Row],[GrossRevenue_Clean]]=Transaction[[#This Row],[ListPrice]]*Transaction[[#This Row],[Quantity]],"Valid","Invalid")</f>
        <v>Valid</v>
      </c>
      <c r="AA684">
        <v>92.88</v>
      </c>
      <c r="AB68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92.88</v>
      </c>
      <c r="AC684">
        <f>IF(Transaction[[#This Row],[DiscountAmount_Check2]]="Invalid",Transaction[[#This Row],[GrossRevenue_Analytical]]-Transaction[[#This Row],[NetRevenue_Analytical]],Transaction[[#This Row],[DiscountAmount_Clean]])</f>
        <v>92.88</v>
      </c>
      <c r="AD684">
        <v>877.12</v>
      </c>
      <c r="AE684" t="str">
        <f>IF(ROUND(Transaction[[#This Row],[GrossRevenue_Analytical]]-Transaction[[#This Row],[NetRevenue_Analytical]],2)=ROUND(Transaction[[#This Row],[DiscountAmount_Clean]],2),"Valid","Invalid")</f>
        <v>Valid</v>
      </c>
      <c r="AF684">
        <f>VALUE(IF(ISNUMBER(Transaction[[#This Row],[NetRevenue]]),Transaction[[#This Row],[NetRevenue]],IFERROR(IF(FIND("$",Transaction[[#This Row],[NetRevenue]])&gt;0,MID(Transaction[[#This Row],[NetRevenue]],2,10)),Transaction[[#This Row],[NetRevenue]])))</f>
        <v>877.12</v>
      </c>
      <c r="AG684">
        <f>IF(Transaction[[#This Row],[NetRevenue_Check]]="Invalid",(Transaction[[#This Row],[Quantity]]*Transaction[[#This Row],[UnitPrice_Clean]]),Transaction[[#This Row],[NetRevenue_Clean]])</f>
        <v>877.12</v>
      </c>
      <c r="AH684" t="str">
        <f>IF(Transaction[[#This Row],[Quantity]]*Transaction[[#This Row],[UnitPrice_Clean]]=Transaction[[#This Row],[NetRevenue_Clean]],"Valid","Invalid")</f>
        <v>Valid</v>
      </c>
      <c r="AI684" t="s">
        <v>23</v>
      </c>
      <c r="AJ684" t="s">
        <v>2829</v>
      </c>
      <c r="AK684" t="str">
        <f>IF(Transaction[[#This Row],[Salesperson]]="","Missing Value",TRIM(PROPER(Transaction[[#This Row],[Salesperson]])))</f>
        <v>Mejia</v>
      </c>
      <c r="AL684" t="s">
        <v>25</v>
      </c>
      <c r="AM684" t="str">
        <f>IF(Transaction[[#This Row],[ContractType]]="","Missing Value",Transaction[[#This Row],[ContractType]])</f>
        <v>Frame Agreement</v>
      </c>
      <c r="AN684" t="s">
        <v>65</v>
      </c>
    </row>
    <row r="685" spans="1:40" x14ac:dyDescent="0.25">
      <c r="A685" t="s">
        <v>166</v>
      </c>
      <c r="B685" s="1">
        <v>45771</v>
      </c>
      <c r="C68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68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68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85" s="2">
        <f>IFERROR(DATE(Transaction[[#This Row],[TransactionDateY]],Transaction[[#This Row],[TransactionDateM]],Transaction[[#This Row],[TransactionDateD]]),"Missing Value")</f>
        <v>45771</v>
      </c>
      <c r="G685" t="s">
        <v>167</v>
      </c>
      <c r="H685" t="str">
        <f>IFERROR(VLOOKUP(Transaction[[#This Row],[CustomerID]],Custumer[],1,0),IF(LEN(Transaction[[#This Row],[CustomerID]])=7,LEFT(Transaction[[#This Row],[CustomerID]],6),"Invalid ID"))</f>
        <v>C-1008</v>
      </c>
      <c r="I685" t="s">
        <v>71</v>
      </c>
      <c r="J685" t="str">
        <f>TRIM(UPPER(Transaction[[#This Row],[ProductID]]))</f>
        <v>P-SI-003</v>
      </c>
      <c r="K685" t="str">
        <f>IFERROR(VLOOKUP(Transaction[[#This Row],[ProductID_Clean]],Product[],1,FALSE),"Invalid ID")</f>
        <v>P-SI-003</v>
      </c>
      <c r="L685" t="str">
        <f>TRIM(SUBSTITUTE(SUBSTITUTE(SUBSTITUTE(SUBSTITUTE(UPPER(Transaction[[#This Row],[Region]]),"EMEA REGION","EMEA"),"APAC REGION","APAC"),"NORTH AMERICA","N. AMERICA"),"N .AMERICA","N.AMERICA"))</f>
        <v>N. AMERICA</v>
      </c>
      <c r="M685" t="s">
        <v>168</v>
      </c>
      <c r="N685" t="s">
        <v>53</v>
      </c>
      <c r="O68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85" t="s">
        <v>40</v>
      </c>
      <c r="Q685" t="str">
        <f>IF(TRIM(Transaction[[#This Row],[SalesChannel]])="","Missing Value",TRIM(Transaction[[#This Row],[SalesChannel]]))</f>
        <v>Distributor</v>
      </c>
      <c r="R685" s="4">
        <v>3</v>
      </c>
      <c r="S685" s="4" t="str">
        <f>IF(Transaction[[#This Row],[Quantity]]&lt;0,"Negative-review","Valid")</f>
        <v>Valid</v>
      </c>
      <c r="T685">
        <v>1275.3599999999999</v>
      </c>
      <c r="U68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1275.3599999999999</v>
      </c>
      <c r="V685">
        <v>1890</v>
      </c>
      <c r="W685">
        <v>5670</v>
      </c>
      <c r="X68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5670</v>
      </c>
      <c r="Y685">
        <f>IF(Transaction[[#This Row],[GrossRevenue_Check]]="Invalid",Transaction[[#This Row],[ListPrice]]*Transaction[[#This Row],[Quantity]],Transaction[[#This Row],[GrossRevenue_Clean]])</f>
        <v>5670</v>
      </c>
      <c r="Z685" t="str">
        <f>IF(Transaction[[#This Row],[GrossRevenue_Clean]]=Transaction[[#This Row],[ListPrice]]*Transaction[[#This Row],[Quantity]],"Valid","Invalid")</f>
        <v>Valid</v>
      </c>
      <c r="AA685">
        <v>1843.92</v>
      </c>
      <c r="AB68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1843.92</v>
      </c>
      <c r="AC685">
        <f>IF(Transaction[[#This Row],[DiscountAmount_Check2]]="Invalid",Transaction[[#This Row],[GrossRevenue_Analytical]]-Transaction[[#This Row],[NetRevenue_Analytical]],Transaction[[#This Row],[DiscountAmount_Clean]])</f>
        <v>1843.92</v>
      </c>
      <c r="AD685" t="s">
        <v>169</v>
      </c>
      <c r="AE685" t="str">
        <f>IF(ROUND(Transaction[[#This Row],[GrossRevenue_Analytical]]-Transaction[[#This Row],[NetRevenue_Analytical]],2)=ROUND(Transaction[[#This Row],[DiscountAmount_Clean]],2),"Valid","Invalid")</f>
        <v>Valid</v>
      </c>
      <c r="AF68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3826.08</v>
      </c>
      <c r="AG685">
        <f>IF(Transaction[[#This Row],[NetRevenue_Check]]="Invalid",(Transaction[[#This Row],[Quantity]]*Transaction[[#This Row],[UnitPrice_Clean]]),Transaction[[#This Row],[NetRevenue_Clean]])</f>
        <v>3826.08</v>
      </c>
      <c r="AH685" t="str">
        <f>IF(Transaction[[#This Row],[Quantity]]*Transaction[[#This Row],[UnitPrice_Clean]]=Transaction[[#This Row],[NetRevenue_Clean]],"Valid","Invalid")</f>
        <v>Valid</v>
      </c>
      <c r="AI685" t="s">
        <v>23</v>
      </c>
      <c r="AJ685" t="s">
        <v>170</v>
      </c>
      <c r="AK685" t="str">
        <f>IF(Transaction[[#This Row],[Salesperson]]="","Missing Value",TRIM(PROPER(Transaction[[#This Row],[Salesperson]])))</f>
        <v>Thomas</v>
      </c>
      <c r="AL685" t="s">
        <v>42</v>
      </c>
      <c r="AM685" t="str">
        <f>IF(Transaction[[#This Row],[ContractType]]="","Missing Value",Transaction[[#This Row],[ContractType]])</f>
        <v>Standard PO</v>
      </c>
      <c r="AN685" t="s">
        <v>26</v>
      </c>
    </row>
    <row r="686" spans="1:40" x14ac:dyDescent="0.25">
      <c r="A686" t="s">
        <v>2889</v>
      </c>
      <c r="B686" t="s">
        <v>2890</v>
      </c>
      <c r="C68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68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68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86" s="2">
        <f>IFERROR(DATE(Transaction[[#This Row],[TransactionDateY]],Transaction[[#This Row],[TransactionDateM]],Transaction[[#This Row],[TransactionDateD]]),"Missing Value")</f>
        <v>45804</v>
      </c>
      <c r="G686" t="s">
        <v>38</v>
      </c>
      <c r="H686" t="str">
        <f>IFERROR(VLOOKUP(Transaction[[#This Row],[CustomerID]],Custumer[],1,0),IF(LEN(Transaction[[#This Row],[CustomerID]])=7,LEFT(Transaction[[#This Row],[CustomerID]],6),"Invalid ID"))</f>
        <v>C-1027</v>
      </c>
      <c r="I686" t="s">
        <v>97</v>
      </c>
      <c r="J686" t="str">
        <f>TRIM(UPPER(Transaction[[#This Row],[ProductID]]))</f>
        <v>P-SI-001</v>
      </c>
      <c r="K686" t="str">
        <f>IFERROR(VLOOKUP(Transaction[[#This Row],[ProductID_Clean]],Product[],1,FALSE),"Invalid ID")</f>
        <v>P-SI-001</v>
      </c>
      <c r="L686" t="str">
        <f>TRIM(SUBSTITUTE(SUBSTITUTE(SUBSTITUTE(SUBSTITUTE(UPPER(Transaction[[#This Row],[Region]]),"EMEA REGION","EMEA"),"APAC REGION","APAC"),"NORTH AMERICA","N. AMERICA"),"N .AMERICA","N.AMERICA"))</f>
        <v>N. AMERICA</v>
      </c>
      <c r="M686" t="s">
        <v>20</v>
      </c>
      <c r="N686" t="s">
        <v>53</v>
      </c>
      <c r="O68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86" t="s">
        <v>22</v>
      </c>
      <c r="Q686" t="str">
        <f>IF(TRIM(Transaction[[#This Row],[SalesChannel]])="","Missing Value",TRIM(Transaction[[#This Row],[SalesChannel]]))</f>
        <v>Direct</v>
      </c>
      <c r="R686" s="4">
        <v>12</v>
      </c>
      <c r="S686" s="4" t="str">
        <f>IF(Transaction[[#This Row],[Quantity]]&lt;0,"Negative-review","Valid")</f>
        <v>Valid</v>
      </c>
      <c r="T686">
        <v>422.69</v>
      </c>
      <c r="U68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422.69</v>
      </c>
      <c r="V686">
        <v>485</v>
      </c>
      <c r="W686">
        <v>5820</v>
      </c>
      <c r="X68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5820</v>
      </c>
      <c r="Y686">
        <f>IF(Transaction[[#This Row],[GrossRevenue_Check]]="Invalid",Transaction[[#This Row],[ListPrice]]*Transaction[[#This Row],[Quantity]],Transaction[[#This Row],[GrossRevenue_Clean]])</f>
        <v>5820</v>
      </c>
      <c r="Z686" t="str">
        <f>IF(Transaction[[#This Row],[GrossRevenue_Clean]]=Transaction[[#This Row],[ListPrice]]*Transaction[[#This Row],[Quantity]],"Valid","Invalid")</f>
        <v>Valid</v>
      </c>
      <c r="AA686" t="s">
        <v>2891</v>
      </c>
      <c r="AB68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747.72</v>
      </c>
      <c r="AC686">
        <f>IF(Transaction[[#This Row],[DiscountAmount_Check2]]="Invalid",Transaction[[#This Row],[GrossRevenue_Analytical]]-Transaction[[#This Row],[NetRevenue_Analytical]],Transaction[[#This Row],[DiscountAmount_Clean]])</f>
        <v>747.72</v>
      </c>
      <c r="AD686">
        <v>5072.28</v>
      </c>
      <c r="AE686" t="str">
        <f>IF(ROUND(Transaction[[#This Row],[GrossRevenue_Analytical]]-Transaction[[#This Row],[NetRevenue_Analytical]],2)=ROUND(Transaction[[#This Row],[DiscountAmount_Clean]],2),"Valid","Invalid")</f>
        <v>Valid</v>
      </c>
      <c r="AF686">
        <f>VALUE(IF(ISNUMBER(Transaction[[#This Row],[NetRevenue]]),Transaction[[#This Row],[NetRevenue]],IFERROR(IF(FIND("$",Transaction[[#This Row],[NetRevenue]])&gt;0,MID(Transaction[[#This Row],[NetRevenue]],2,10)),Transaction[[#This Row],[NetRevenue]])))</f>
        <v>5072.28</v>
      </c>
      <c r="AG686">
        <f>IF(Transaction[[#This Row],[NetRevenue_Check]]="Invalid",(Transaction[[#This Row],[Quantity]]*Transaction[[#This Row],[UnitPrice_Clean]]),Transaction[[#This Row],[NetRevenue_Clean]])</f>
        <v>5072.28</v>
      </c>
      <c r="AH686" t="str">
        <f>IF(Transaction[[#This Row],[Quantity]]*Transaction[[#This Row],[UnitPrice_Clean]]=Transaction[[#This Row],[NetRevenue_Clean]],"Valid","Invalid")</f>
        <v>Valid</v>
      </c>
      <c r="AI686" t="s">
        <v>23</v>
      </c>
      <c r="AJ686" t="s">
        <v>1165</v>
      </c>
      <c r="AK686" t="str">
        <f>IF(Transaction[[#This Row],[Salesperson]]="","Missing Value",TRIM(PROPER(Transaction[[#This Row],[Salesperson]])))</f>
        <v>Williams</v>
      </c>
      <c r="AL686" t="s">
        <v>55</v>
      </c>
      <c r="AM686" t="str">
        <f>IF(Transaction[[#This Row],[ContractType]]="","Missing Value",Transaction[[#This Row],[ContractType]])</f>
        <v>Spot</v>
      </c>
      <c r="AN686" t="s">
        <v>43</v>
      </c>
    </row>
    <row r="687" spans="1:40" x14ac:dyDescent="0.25">
      <c r="A687" t="s">
        <v>2513</v>
      </c>
      <c r="B687" t="s">
        <v>2514</v>
      </c>
      <c r="C68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68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68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87" s="2">
        <f>IFERROR(DATE(Transaction[[#This Row],[TransactionDateY]],Transaction[[#This Row],[TransactionDateM]],Transaction[[#This Row],[TransactionDateD]]),"Missing Value")</f>
        <v>45759</v>
      </c>
      <c r="G687" t="s">
        <v>102</v>
      </c>
      <c r="H687" t="str">
        <f>IFERROR(VLOOKUP(Transaction[[#This Row],[CustomerID]],Custumer[],1,0),IF(LEN(Transaction[[#This Row],[CustomerID]])=7,LEFT(Transaction[[#This Row],[CustomerID]],6),"Invalid ID"))</f>
        <v>C-1120</v>
      </c>
      <c r="I687" t="s">
        <v>268</v>
      </c>
      <c r="J687" t="str">
        <f>TRIM(UPPER(Transaction[[#This Row],[ProductID]]))</f>
        <v>P-FS-002</v>
      </c>
      <c r="K687" t="str">
        <f>IFERROR(VLOOKUP(Transaction[[#This Row],[ProductID_Clean]],Product[],1,FALSE),"Invalid ID")</f>
        <v>P-FS-002</v>
      </c>
      <c r="L687" t="str">
        <f>TRIM(SUBSTITUTE(SUBSTITUTE(SUBSTITUTE(SUBSTITUTE(UPPER(Transaction[[#This Row],[Region]]),"EMEA REGION","EMEA"),"APAC REGION","APAC"),"NORTH AMERICA","N. AMERICA"),"N .AMERICA","N.AMERICA"))</f>
        <v>EMEA</v>
      </c>
      <c r="M687" t="s">
        <v>76</v>
      </c>
      <c r="N687" t="s">
        <v>21</v>
      </c>
      <c r="O687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Q687" t="str">
        <f>IF(TRIM(Transaction[[#This Row],[SalesChannel]])="","Missing Value",TRIM(Transaction[[#This Row],[SalesChannel]]))</f>
        <v>Missing Value</v>
      </c>
      <c r="R687" s="4">
        <v>1</v>
      </c>
      <c r="S687" s="4" t="str">
        <f>IF(Transaction[[#This Row],[Quantity]]&lt;0,"Negative-review","Valid")</f>
        <v>Valid</v>
      </c>
      <c r="T687">
        <v>2104.14</v>
      </c>
      <c r="U68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2104.14</v>
      </c>
      <c r="V687">
        <v>2400</v>
      </c>
      <c r="W687">
        <v>2400</v>
      </c>
      <c r="X68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687">
        <f>IF(Transaction[[#This Row],[GrossRevenue_Check]]="Invalid",Transaction[[#This Row],[ListPrice]]*Transaction[[#This Row],[Quantity]],Transaction[[#This Row],[GrossRevenue_Clean]])</f>
        <v>2400</v>
      </c>
      <c r="Z687" t="str">
        <f>IF(Transaction[[#This Row],[GrossRevenue_Clean]]=Transaction[[#This Row],[ListPrice]]*Transaction[[#This Row],[Quantity]],"Valid","Invalid")</f>
        <v>Valid</v>
      </c>
      <c r="AA687">
        <v>295.86</v>
      </c>
      <c r="AB68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295.86</v>
      </c>
      <c r="AC687">
        <f>IF(Transaction[[#This Row],[DiscountAmount_Check2]]="Invalid",Transaction[[#This Row],[GrossRevenue_Analytical]]-Transaction[[#This Row],[NetRevenue_Analytical]],Transaction[[#This Row],[DiscountAmount_Clean]])</f>
        <v>295.86</v>
      </c>
      <c r="AD687">
        <v>2104.14</v>
      </c>
      <c r="AE687" t="str">
        <f>IF(ROUND(Transaction[[#This Row],[GrossRevenue_Analytical]]-Transaction[[#This Row],[NetRevenue_Analytical]],2)=ROUND(Transaction[[#This Row],[DiscountAmount_Clean]],2),"Valid","Invalid")</f>
        <v>Valid</v>
      </c>
      <c r="AF687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2104.14</v>
      </c>
      <c r="AG687">
        <f>IF(Transaction[[#This Row],[NetRevenue_Check]]="Invalid",(Transaction[[#This Row],[Quantity]]*Transaction[[#This Row],[UnitPrice_Clean]]),Transaction[[#This Row],[NetRevenue_Clean]])</f>
        <v>2104.14</v>
      </c>
      <c r="AH687" t="str">
        <f>IF(Transaction[[#This Row],[Quantity]]*Transaction[[#This Row],[UnitPrice_Clean]]=Transaction[[#This Row],[NetRevenue_Clean]],"Valid","Invalid")</f>
        <v>Valid</v>
      </c>
      <c r="AI687" t="s">
        <v>23</v>
      </c>
      <c r="AJ687" t="s">
        <v>2515</v>
      </c>
      <c r="AK687" t="str">
        <f>IF(Transaction[[#This Row],[Salesperson]]="","Missing Value",TRIM(PROPER(Transaction[[#This Row],[Salesperson]])))</f>
        <v>Moses</v>
      </c>
      <c r="AL687" t="s">
        <v>295</v>
      </c>
      <c r="AM687" t="str">
        <f>IF(Transaction[[#This Row],[ContractType]]="","Missing Value",Transaction[[#This Row],[ContractType]])</f>
        <v>Multi-Year</v>
      </c>
      <c r="AN687" t="s">
        <v>43</v>
      </c>
    </row>
    <row r="688" spans="1:40" x14ac:dyDescent="0.25">
      <c r="A688" t="s">
        <v>2561</v>
      </c>
      <c r="B688" s="1">
        <v>45824</v>
      </c>
      <c r="C68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68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68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88" s="2">
        <f>IFERROR(DATE(Transaction[[#This Row],[TransactionDateY]],Transaction[[#This Row],[TransactionDateM]],Transaction[[#This Row],[TransactionDateD]]),"Missing Value")</f>
        <v>45824</v>
      </c>
      <c r="G688" t="s">
        <v>1321</v>
      </c>
      <c r="H688" t="str">
        <f>IFERROR(VLOOKUP(Transaction[[#This Row],[CustomerID]],Custumer[],1,0),IF(LEN(Transaction[[#This Row],[CustomerID]])=7,LEFT(Transaction[[#This Row],[CustomerID]],6),"Invalid ID"))</f>
        <v>C-1066</v>
      </c>
      <c r="I688" t="s">
        <v>46</v>
      </c>
      <c r="J688" t="str">
        <f>TRIM(UPPER(Transaction[[#This Row],[ProductID]]))</f>
        <v>P-SI-006</v>
      </c>
      <c r="K688" t="str">
        <f>IFERROR(VLOOKUP(Transaction[[#This Row],[ProductID_Clean]],Product[],1,FALSE),"Invalid ID")</f>
        <v>P-SI-006</v>
      </c>
      <c r="L688" t="str">
        <f>TRIM(SUBSTITUTE(SUBSTITUTE(SUBSTITUTE(SUBSTITUTE(UPPER(Transaction[[#This Row],[Region]]),"EMEA REGION","EMEA"),"APAC REGION","APAC"),"NORTH AMERICA","N. AMERICA"),"N .AMERICA","N.AMERICA"))</f>
        <v>EMEA</v>
      </c>
      <c r="M688" t="s">
        <v>87</v>
      </c>
      <c r="N688" t="s">
        <v>53</v>
      </c>
      <c r="O68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88" t="s">
        <v>22</v>
      </c>
      <c r="Q688" t="str">
        <f>IF(TRIM(Transaction[[#This Row],[SalesChannel]])="","Missing Value",TRIM(Transaction[[#This Row],[SalesChannel]]))</f>
        <v>Direct</v>
      </c>
      <c r="R688" s="4">
        <v>3</v>
      </c>
      <c r="S688" s="4" t="str">
        <f>IF(Transaction[[#This Row],[Quantity]]&lt;0,"Negative-review","Valid")</f>
        <v>Valid</v>
      </c>
      <c r="T688">
        <v>194.85</v>
      </c>
      <c r="U68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194.85</v>
      </c>
      <c r="V688">
        <v>215</v>
      </c>
      <c r="W688">
        <v>645</v>
      </c>
      <c r="X68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688">
        <f>IF(Transaction[[#This Row],[GrossRevenue_Check]]="Invalid",Transaction[[#This Row],[ListPrice]]*Transaction[[#This Row],[Quantity]],Transaction[[#This Row],[GrossRevenue_Clean]])</f>
        <v>645</v>
      </c>
      <c r="Z688" t="str">
        <f>IF(Transaction[[#This Row],[GrossRevenue_Clean]]=Transaction[[#This Row],[ListPrice]]*Transaction[[#This Row],[Quantity]],"Valid","Invalid")</f>
        <v>Valid</v>
      </c>
      <c r="AA688">
        <v>60.45</v>
      </c>
      <c r="AB68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60.45</v>
      </c>
      <c r="AC688">
        <f>IF(Transaction[[#This Row],[DiscountAmount_Check2]]="Invalid",Transaction[[#This Row],[GrossRevenue_Analytical]]-Transaction[[#This Row],[NetRevenue_Analytical]],Transaction[[#This Row],[DiscountAmount_Clean]])</f>
        <v>60.45</v>
      </c>
      <c r="AD688">
        <v>584.54999999999995</v>
      </c>
      <c r="AE688" t="str">
        <f>IF(ROUND(Transaction[[#This Row],[GrossRevenue_Analytical]]-Transaction[[#This Row],[NetRevenue_Analytical]],2)=ROUND(Transaction[[#This Row],[DiscountAmount_Clean]],2),"Valid","Invalid")</f>
        <v>Valid</v>
      </c>
      <c r="AF688">
        <f>VALUE(IF(ISNUMBER(Transaction[[#This Row],[NetRevenue]]),Transaction[[#This Row],[NetRevenue]],IFERROR(IF(FIND("$",Transaction[[#This Row],[NetRevenue]])&gt;0,MID(Transaction[[#This Row],[NetRevenue]],2,10)),Transaction[[#This Row],[NetRevenue]])))</f>
        <v>584.54999999999995</v>
      </c>
      <c r="AG688">
        <f>IF(Transaction[[#This Row],[NetRevenue_Check]]="Invalid",(Transaction[[#This Row],[Quantity]]*Transaction[[#This Row],[UnitPrice_Clean]]),Transaction[[#This Row],[NetRevenue_Clean]])</f>
        <v>584.54999999999995</v>
      </c>
      <c r="AH688" t="str">
        <f>IF(Transaction[[#This Row],[Quantity]]*Transaction[[#This Row],[UnitPrice_Clean]]=Transaction[[#This Row],[NetRevenue_Clean]],"Valid","Invalid")</f>
        <v>Valid</v>
      </c>
      <c r="AI688" t="s">
        <v>23</v>
      </c>
      <c r="AJ688" t="s">
        <v>2562</v>
      </c>
      <c r="AK688" t="str">
        <f>IF(Transaction[[#This Row],[Salesperson]]="","Missing Value",TRIM(PROPER(Transaction[[#This Row],[Salesperson]])))</f>
        <v>Miller</v>
      </c>
      <c r="AL688" t="s">
        <v>25</v>
      </c>
      <c r="AM688" t="str">
        <f>IF(Transaction[[#This Row],[ContractType]]="","Missing Value",Transaction[[#This Row],[ContractType]])</f>
        <v>Frame Agreement</v>
      </c>
      <c r="AN688" t="s">
        <v>26</v>
      </c>
    </row>
    <row r="689" spans="1:40" x14ac:dyDescent="0.25">
      <c r="A689" t="s">
        <v>3031</v>
      </c>
      <c r="B689" s="1">
        <v>45721</v>
      </c>
      <c r="C68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68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68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89" s="2">
        <f>IFERROR(DATE(Transaction[[#This Row],[TransactionDateY]],Transaction[[#This Row],[TransactionDateM]],Transaction[[#This Row],[TransactionDateD]]),"Missing Value")</f>
        <v>45721</v>
      </c>
      <c r="G689" t="s">
        <v>333</v>
      </c>
      <c r="H689" t="str">
        <f>IFERROR(VLOOKUP(Transaction[[#This Row],[CustomerID]],Custumer[],1,0),IF(LEN(Transaction[[#This Row],[CustomerID]])=7,LEFT(Transaction[[#This Row],[CustomerID]],6),"Invalid ID"))</f>
        <v>C-1033</v>
      </c>
      <c r="I689" t="s">
        <v>117</v>
      </c>
      <c r="J689" t="str">
        <f>TRIM(UPPER(Transaction[[#This Row],[ProductID]]))</f>
        <v>P-SI-007</v>
      </c>
      <c r="K689" t="str">
        <f>IFERROR(VLOOKUP(Transaction[[#This Row],[ProductID_Clean]],Product[],1,FALSE),"Invalid ID")</f>
        <v>P-SI-007</v>
      </c>
      <c r="L689" t="str">
        <f>TRIM(SUBSTITUTE(SUBSTITUTE(SUBSTITUTE(SUBSTITUTE(UPPER(Transaction[[#This Row],[Region]]),"EMEA REGION","EMEA"),"APAC REGION","APAC"),"NORTH AMERICA","N. AMERICA"),"N .AMERICA","N.AMERICA"))</f>
        <v>EMEA</v>
      </c>
      <c r="M689" t="s">
        <v>76</v>
      </c>
      <c r="N689" t="s">
        <v>53</v>
      </c>
      <c r="O68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89" t="s">
        <v>22</v>
      </c>
      <c r="Q689" t="str">
        <f>IF(TRIM(Transaction[[#This Row],[SalesChannel]])="","Missing Value",TRIM(Transaction[[#This Row],[SalesChannel]]))</f>
        <v>Direct</v>
      </c>
      <c r="R689" s="4">
        <v>8</v>
      </c>
      <c r="S689" s="4" t="str">
        <f>IF(Transaction[[#This Row],[Quantity]]&lt;0,"Negative-review","Valid")</f>
        <v>Valid</v>
      </c>
      <c r="T689">
        <v>911.88</v>
      </c>
      <c r="U68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911.88</v>
      </c>
      <c r="V689">
        <v>980</v>
      </c>
      <c r="W689">
        <v>7840</v>
      </c>
      <c r="X68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7840</v>
      </c>
      <c r="Y689">
        <f>IF(Transaction[[#This Row],[GrossRevenue_Check]]="Invalid",Transaction[[#This Row],[ListPrice]]*Transaction[[#This Row],[Quantity]],Transaction[[#This Row],[GrossRevenue_Clean]])</f>
        <v>7840</v>
      </c>
      <c r="Z689" t="str">
        <f>IF(Transaction[[#This Row],[GrossRevenue_Clean]]=Transaction[[#This Row],[ListPrice]]*Transaction[[#This Row],[Quantity]],"Valid","Invalid")</f>
        <v>Valid</v>
      </c>
      <c r="AA689">
        <v>544.96</v>
      </c>
      <c r="AB68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544.96</v>
      </c>
      <c r="AC689">
        <f>IF(Transaction[[#This Row],[DiscountAmount_Check2]]="Invalid",Transaction[[#This Row],[GrossRevenue_Analytical]]-Transaction[[#This Row],[NetRevenue_Analytical]],Transaction[[#This Row],[DiscountAmount_Clean]])</f>
        <v>544.96</v>
      </c>
      <c r="AD689">
        <v>7295.04</v>
      </c>
      <c r="AE689" t="str">
        <f>IF(ROUND(Transaction[[#This Row],[GrossRevenue_Analytical]]-Transaction[[#This Row],[NetRevenue_Analytical]],2)=ROUND(Transaction[[#This Row],[DiscountAmount_Clean]],2),"Valid","Invalid")</f>
        <v>Valid</v>
      </c>
      <c r="AF689">
        <f>VALUE(IF(ISNUMBER(Transaction[[#This Row],[NetRevenue]]),Transaction[[#This Row],[NetRevenue]],IFERROR(IF(FIND("$",Transaction[[#This Row],[NetRevenue]])&gt;0,MID(Transaction[[#This Row],[NetRevenue]],2,10)),Transaction[[#This Row],[NetRevenue]])))</f>
        <v>7295.04</v>
      </c>
      <c r="AG689">
        <f>IF(Transaction[[#This Row],[NetRevenue_Check]]="Invalid",(Transaction[[#This Row],[Quantity]]*Transaction[[#This Row],[UnitPrice_Clean]]),Transaction[[#This Row],[NetRevenue_Clean]])</f>
        <v>7295.04</v>
      </c>
      <c r="AH689" t="str">
        <f>IF(Transaction[[#This Row],[Quantity]]*Transaction[[#This Row],[UnitPrice_Clean]]=Transaction[[#This Row],[NetRevenue_Clean]],"Valid","Invalid")</f>
        <v>Valid</v>
      </c>
      <c r="AI689" t="s">
        <v>23</v>
      </c>
      <c r="AJ689" t="s">
        <v>3032</v>
      </c>
      <c r="AK689" t="str">
        <f>IF(Transaction[[#This Row],[Salesperson]]="","Missing Value",TRIM(PROPER(Transaction[[#This Row],[Salesperson]])))</f>
        <v>Bradshaw</v>
      </c>
      <c r="AL689" t="s">
        <v>25</v>
      </c>
      <c r="AM689" t="str">
        <f>IF(Transaction[[#This Row],[ContractType]]="","Missing Value",Transaction[[#This Row],[ContractType]])</f>
        <v>Frame Agreement</v>
      </c>
      <c r="AN689" t="s">
        <v>43</v>
      </c>
    </row>
    <row r="690" spans="1:40" x14ac:dyDescent="0.25">
      <c r="A690" t="s">
        <v>2640</v>
      </c>
      <c r="B690" s="1">
        <v>45664</v>
      </c>
      <c r="C69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69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69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90" s="2">
        <f>IFERROR(DATE(Transaction[[#This Row],[TransactionDateY]],Transaction[[#This Row],[TransactionDateM]],Transaction[[#This Row],[TransactionDateD]]),"Missing Value")</f>
        <v>45664</v>
      </c>
      <c r="G690" t="s">
        <v>2641</v>
      </c>
      <c r="H690" t="str">
        <f>IFERROR(VLOOKUP(Transaction[[#This Row],[CustomerID]],Custumer[],1,0),IF(LEN(Transaction[[#This Row],[CustomerID]])=7,LEFT(Transaction[[#This Row],[CustomerID]],6),"Invalid ID"))</f>
        <v>C-1147</v>
      </c>
      <c r="I690" t="s">
        <v>103</v>
      </c>
      <c r="J690" t="str">
        <f>TRIM(UPPER(Transaction[[#This Row],[ProductID]]))</f>
        <v>P-FS-005</v>
      </c>
      <c r="K690" t="str">
        <f>IFERROR(VLOOKUP(Transaction[[#This Row],[ProductID_Clean]],Product[],1,FALSE),"Invalid ID")</f>
        <v>P-FS-005</v>
      </c>
      <c r="L690" t="str">
        <f>TRIM(SUBSTITUTE(SUBSTITUTE(SUBSTITUTE(SUBSTITUTE(UPPER(Transaction[[#This Row],[Region]]),"EMEA REGION","EMEA"),"APAC REGION","APAC"),"NORTH AMERICA","N. AMERICA"),"N .AMERICA","N.AMERICA"))</f>
        <v>APAC</v>
      </c>
      <c r="M690" t="s">
        <v>30</v>
      </c>
      <c r="N690" t="s">
        <v>21</v>
      </c>
      <c r="O690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690" t="s">
        <v>22</v>
      </c>
      <c r="Q690" t="str">
        <f>IF(TRIM(Transaction[[#This Row],[SalesChannel]])="","Missing Value",TRIM(Transaction[[#This Row],[SalesChannel]]))</f>
        <v>Direct</v>
      </c>
      <c r="R690" s="4">
        <v>1</v>
      </c>
      <c r="S690" s="4" t="str">
        <f>IF(Transaction[[#This Row],[Quantity]]&lt;0,"Negative-review","Valid")</f>
        <v>Valid</v>
      </c>
      <c r="T690">
        <v>785.19</v>
      </c>
      <c r="U69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785.19</v>
      </c>
      <c r="V690">
        <v>950</v>
      </c>
      <c r="W690">
        <v>950</v>
      </c>
      <c r="X69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690">
        <f>IF(Transaction[[#This Row],[GrossRevenue_Check]]="Invalid",Transaction[[#This Row],[ListPrice]]*Transaction[[#This Row],[Quantity]],Transaction[[#This Row],[GrossRevenue_Clean]])</f>
        <v>950</v>
      </c>
      <c r="Z690" t="str">
        <f>IF(Transaction[[#This Row],[GrossRevenue_Clean]]=Transaction[[#This Row],[ListPrice]]*Transaction[[#This Row],[Quantity]],"Valid","Invalid")</f>
        <v>Valid</v>
      </c>
      <c r="AA690">
        <v>164.81</v>
      </c>
      <c r="AB69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164.81</v>
      </c>
      <c r="AC690">
        <f>IF(Transaction[[#This Row],[DiscountAmount_Check2]]="Invalid",Transaction[[#This Row],[GrossRevenue_Analytical]]-Transaction[[#This Row],[NetRevenue_Analytical]],Transaction[[#This Row],[DiscountAmount_Clean]])</f>
        <v>164.81</v>
      </c>
      <c r="AD690">
        <v>785.19</v>
      </c>
      <c r="AE690" t="str">
        <f>IF(ROUND(Transaction[[#This Row],[GrossRevenue_Analytical]]-Transaction[[#This Row],[NetRevenue_Analytical]],2)=ROUND(Transaction[[#This Row],[DiscountAmount_Clean]],2),"Valid","Invalid")</f>
        <v>Valid</v>
      </c>
      <c r="AF690">
        <f>VALUE(IF(ISNUMBER(Transaction[[#This Row],[NetRevenue]]),Transaction[[#This Row],[NetRevenue]],IFERROR(IF(FIND("$",Transaction[[#This Row],[NetRevenue]])&gt;0,MID(Transaction[[#This Row],[NetRevenue]],2,10)),Transaction[[#This Row],[NetRevenue]])))</f>
        <v>785.19</v>
      </c>
      <c r="AG690">
        <f>IF(Transaction[[#This Row],[NetRevenue_Check]]="Invalid",(Transaction[[#This Row],[Quantity]]*Transaction[[#This Row],[UnitPrice_Clean]]),Transaction[[#This Row],[NetRevenue_Clean]])</f>
        <v>785.19</v>
      </c>
      <c r="AH690" t="str">
        <f>IF(Transaction[[#This Row],[Quantity]]*Transaction[[#This Row],[UnitPrice_Clean]]=Transaction[[#This Row],[NetRevenue_Clean]],"Valid","Invalid")</f>
        <v>Valid</v>
      </c>
      <c r="AI690" t="s">
        <v>23</v>
      </c>
      <c r="AJ690" t="s">
        <v>2642</v>
      </c>
      <c r="AK690" t="str">
        <f>IF(Transaction[[#This Row],[Salesperson]]="","Missing Value",TRIM(PROPER(Transaction[[#This Row],[Salesperson]])))</f>
        <v>Douglas-Ap</v>
      </c>
      <c r="AL690" t="s">
        <v>42</v>
      </c>
      <c r="AM690" t="str">
        <f>IF(Transaction[[#This Row],[ContractType]]="","Missing Value",Transaction[[#This Row],[ContractType]])</f>
        <v>Standard PO</v>
      </c>
      <c r="AN690" t="s">
        <v>49</v>
      </c>
    </row>
    <row r="691" spans="1:40" x14ac:dyDescent="0.25">
      <c r="A691" t="s">
        <v>2114</v>
      </c>
      <c r="C69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69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69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691" s="2" t="str">
        <f>IFERROR(DATE(Transaction[[#This Row],[TransactionDateY]],Transaction[[#This Row],[TransactionDateM]],Transaction[[#This Row],[TransactionDateD]]),"Missing Value")</f>
        <v>Missing Value</v>
      </c>
      <c r="G691" t="s">
        <v>580</v>
      </c>
      <c r="H691" t="str">
        <f>IFERROR(VLOOKUP(Transaction[[#This Row],[CustomerID]],Custumer[],1,0),IF(LEN(Transaction[[#This Row],[CustomerID]])=7,LEFT(Transaction[[#This Row],[CustomerID]],6),"Invalid ID"))</f>
        <v>C-1053</v>
      </c>
      <c r="I691" t="s">
        <v>92</v>
      </c>
      <c r="J691" t="str">
        <f>TRIM(UPPER(Transaction[[#This Row],[ProductID]]))</f>
        <v>P-SI-008</v>
      </c>
      <c r="K691" t="str">
        <f>IFERROR(VLOOKUP(Transaction[[#This Row],[ProductID_Clean]],Product[],1,FALSE),"Invalid ID")</f>
        <v>P-SI-008</v>
      </c>
      <c r="L691" t="str">
        <f>TRIM(SUBSTITUTE(SUBSTITUTE(SUBSTITUTE(SUBSTITUTE(UPPER(Transaction[[#This Row],[Region]]),"EMEA REGION","EMEA"),"APAC REGION","APAC"),"NORTH AMERICA","N. AMERICA"),"N .AMERICA","N.AMERICA"))</f>
        <v>LATIN AMERICA</v>
      </c>
      <c r="M691" t="s">
        <v>82</v>
      </c>
      <c r="N691" t="s">
        <v>53</v>
      </c>
      <c r="O69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91" t="s">
        <v>40</v>
      </c>
      <c r="Q691" t="str">
        <f>IF(TRIM(Transaction[[#This Row],[SalesChannel]])="","Missing Value",TRIM(Transaction[[#This Row],[SalesChannel]]))</f>
        <v>Distributor</v>
      </c>
      <c r="R691" s="4">
        <v>3</v>
      </c>
      <c r="S691" s="4" t="str">
        <f>IF(Transaction[[#This Row],[Quantity]]&lt;0,"Negative-review","Valid")</f>
        <v>Valid</v>
      </c>
      <c r="T691">
        <v>751.59</v>
      </c>
      <c r="U69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751.59</v>
      </c>
      <c r="V691">
        <v>950</v>
      </c>
      <c r="W691">
        <v>2850</v>
      </c>
      <c r="X69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2850</v>
      </c>
      <c r="Y691">
        <f>IF(Transaction[[#This Row],[GrossRevenue_Check]]="Invalid",Transaction[[#This Row],[ListPrice]]*Transaction[[#This Row],[Quantity]],Transaction[[#This Row],[GrossRevenue_Clean]])</f>
        <v>2850</v>
      </c>
      <c r="Z691" t="str">
        <f>IF(Transaction[[#This Row],[GrossRevenue_Clean]]=Transaction[[#This Row],[ListPrice]]*Transaction[[#This Row],[Quantity]],"Valid","Invalid")</f>
        <v>Valid</v>
      </c>
      <c r="AA691">
        <v>595.23</v>
      </c>
      <c r="AB69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595.23</v>
      </c>
      <c r="AC691">
        <f>IF(Transaction[[#This Row],[DiscountAmount_Check2]]="Invalid",Transaction[[#This Row],[GrossRevenue_Analytical]]-Transaction[[#This Row],[NetRevenue_Analytical]],Transaction[[#This Row],[DiscountAmount_Clean]])</f>
        <v>595.23</v>
      </c>
      <c r="AD691" t="s">
        <v>2115</v>
      </c>
      <c r="AE691" t="str">
        <f>IF(ROUND(Transaction[[#This Row],[GrossRevenue_Analytical]]-Transaction[[#This Row],[NetRevenue_Analytical]],2)=ROUND(Transaction[[#This Row],[DiscountAmount_Clean]],2),"Valid","Invalid")</f>
        <v>Valid</v>
      </c>
      <c r="AF69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2254.77</v>
      </c>
      <c r="AG691">
        <f>IF(Transaction[[#This Row],[NetRevenue_Check]]="Invalid",(Transaction[[#This Row],[Quantity]]*Transaction[[#This Row],[UnitPrice_Clean]]),Transaction[[#This Row],[NetRevenue_Clean]])</f>
        <v>2254.77</v>
      </c>
      <c r="AH691" t="str">
        <f>IF(Transaction[[#This Row],[Quantity]]*Transaction[[#This Row],[UnitPrice_Clean]]=Transaction[[#This Row],[NetRevenue_Clean]],"Valid","Invalid")</f>
        <v>Valid</v>
      </c>
      <c r="AI691" t="s">
        <v>23</v>
      </c>
      <c r="AJ691" t="s">
        <v>1035</v>
      </c>
      <c r="AK691" t="str">
        <f>IF(Transaction[[#This Row],[Salesperson]]="","Missing Value",TRIM(PROPER(Transaction[[#This Row],[Salesperson]])))</f>
        <v>Burgess-Na</v>
      </c>
      <c r="AL691" t="s">
        <v>25</v>
      </c>
      <c r="AM691" t="str">
        <f>IF(Transaction[[#This Row],[ContractType]]="","Missing Value",Transaction[[#This Row],[ContractType]])</f>
        <v>Frame Agreement</v>
      </c>
      <c r="AN691" t="s">
        <v>35</v>
      </c>
    </row>
    <row r="692" spans="1:40" x14ac:dyDescent="0.25">
      <c r="A692" t="s">
        <v>2217</v>
      </c>
      <c r="B692" s="1">
        <v>45790</v>
      </c>
      <c r="C69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69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69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92" s="2">
        <f>IFERROR(DATE(Transaction[[#This Row],[TransactionDateY]],Transaction[[#This Row],[TransactionDateM]],Transaction[[#This Row],[TransactionDateD]]),"Missing Value")</f>
        <v>45790</v>
      </c>
      <c r="G692" t="s">
        <v>956</v>
      </c>
      <c r="H692" t="str">
        <f>IFERROR(VLOOKUP(Transaction[[#This Row],[CustomerID]],Custumer[],1,0),IF(LEN(Transaction[[#This Row],[CustomerID]])=7,LEFT(Transaction[[#This Row],[CustomerID]],6),"Invalid ID"))</f>
        <v>C-1072</v>
      </c>
      <c r="I692" t="s">
        <v>29</v>
      </c>
      <c r="J692" t="str">
        <f>TRIM(UPPER(Transaction[[#This Row],[ProductID]]))</f>
        <v>P-SA-001</v>
      </c>
      <c r="K692" t="str">
        <f>IFERROR(VLOOKUP(Transaction[[#This Row],[ProductID_Clean]],Product[],1,FALSE),"Invalid ID")</f>
        <v>P-SA-001</v>
      </c>
      <c r="L692" t="str">
        <f>TRIM(SUBSTITUTE(SUBSTITUTE(SUBSTITUTE(SUBSTITUTE(UPPER(Transaction[[#This Row],[Region]]),"EMEA REGION","EMEA"),"APAC REGION","APAC"),"NORTH AMERICA","N. AMERICA"),"N .AMERICA","N.AMERICA"))</f>
        <v>N. AMERICA</v>
      </c>
      <c r="M692" t="s">
        <v>20</v>
      </c>
      <c r="N692" t="s">
        <v>31</v>
      </c>
      <c r="O69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Q692" t="str">
        <f>IF(TRIM(Transaction[[#This Row],[SalesChannel]])="","Missing Value",TRIM(Transaction[[#This Row],[SalesChannel]]))</f>
        <v>Missing Value</v>
      </c>
      <c r="R692" s="4">
        <v>1</v>
      </c>
      <c r="S692" s="4" t="str">
        <f>IF(Transaction[[#This Row],[Quantity]]&lt;0,"Negative-review","Valid")</f>
        <v>Valid</v>
      </c>
      <c r="T692">
        <v>3922.31</v>
      </c>
      <c r="U69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3922.31</v>
      </c>
      <c r="V692">
        <v>4200</v>
      </c>
      <c r="W692">
        <v>4200</v>
      </c>
      <c r="X69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692">
        <f>IF(Transaction[[#This Row],[GrossRevenue_Check]]="Invalid",Transaction[[#This Row],[ListPrice]]*Transaction[[#This Row],[Quantity]],Transaction[[#This Row],[GrossRevenue_Clean]])</f>
        <v>4200</v>
      </c>
      <c r="Z692" t="str">
        <f>IF(Transaction[[#This Row],[GrossRevenue_Clean]]=Transaction[[#This Row],[ListPrice]]*Transaction[[#This Row],[Quantity]],"Valid","Invalid")</f>
        <v>Valid</v>
      </c>
      <c r="AA692">
        <v>277.69</v>
      </c>
      <c r="AB69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277.69</v>
      </c>
      <c r="AC692">
        <f>IF(Transaction[[#This Row],[DiscountAmount_Check2]]="Invalid",Transaction[[#This Row],[GrossRevenue_Analytical]]-Transaction[[#This Row],[NetRevenue_Analytical]],Transaction[[#This Row],[DiscountAmount_Clean]])</f>
        <v>277.69</v>
      </c>
      <c r="AD692">
        <v>3922.31</v>
      </c>
      <c r="AE692" t="str">
        <f>IF(ROUND(Transaction[[#This Row],[GrossRevenue_Analytical]]-Transaction[[#This Row],[NetRevenue_Analytical]],2)=ROUND(Transaction[[#This Row],[DiscountAmount_Clean]],2),"Valid","Invalid")</f>
        <v>Valid</v>
      </c>
      <c r="AF692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3922.31</v>
      </c>
      <c r="AG692">
        <f>IF(Transaction[[#This Row],[NetRevenue_Check]]="Invalid",(Transaction[[#This Row],[Quantity]]*Transaction[[#This Row],[UnitPrice_Clean]]),Transaction[[#This Row],[NetRevenue_Clean]])</f>
        <v>3922.31</v>
      </c>
      <c r="AH692" t="str">
        <f>IF(Transaction[[#This Row],[Quantity]]*Transaction[[#This Row],[UnitPrice_Clean]]=Transaction[[#This Row],[NetRevenue_Clean]],"Valid","Invalid")</f>
        <v>Valid</v>
      </c>
      <c r="AI692" t="s">
        <v>23</v>
      </c>
      <c r="AJ692" t="s">
        <v>2218</v>
      </c>
      <c r="AK692" t="str">
        <f>IF(Transaction[[#This Row],[Salesperson]]="","Missing Value",TRIM(PROPER(Transaction[[#This Row],[Salesperson]])))</f>
        <v>Lewis-Na</v>
      </c>
      <c r="AL692" t="s">
        <v>34</v>
      </c>
      <c r="AM692" t="str">
        <f>IF(Transaction[[#This Row],[ContractType]]="","Missing Value",Transaction[[#This Row],[ContractType]])</f>
        <v>Annual License</v>
      </c>
      <c r="AN692" t="s">
        <v>35</v>
      </c>
    </row>
    <row r="693" spans="1:40" x14ac:dyDescent="0.25">
      <c r="A693" t="s">
        <v>2204</v>
      </c>
      <c r="B693" t="s">
        <v>1862</v>
      </c>
      <c r="C69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69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69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93" s="2">
        <f>IFERROR(DATE(Transaction[[#This Row],[TransactionDateY]],Transaction[[#This Row],[TransactionDateM]],Transaction[[#This Row],[TransactionDateD]]),"Missing Value")</f>
        <v>45801</v>
      </c>
      <c r="G693" t="s">
        <v>2205</v>
      </c>
      <c r="H693" t="str">
        <f>IFERROR(VLOOKUP(Transaction[[#This Row],[CustomerID]],Custumer[],1,0),IF(LEN(Transaction[[#This Row],[CustomerID]])=7,LEFT(Transaction[[#This Row],[CustomerID]],6),"Invalid ID"))</f>
        <v>C-1086</v>
      </c>
      <c r="I693" t="s">
        <v>268</v>
      </c>
      <c r="J693" t="str">
        <f>TRIM(UPPER(Transaction[[#This Row],[ProductID]]))</f>
        <v>P-FS-002</v>
      </c>
      <c r="K693" t="str">
        <f>IFERROR(VLOOKUP(Transaction[[#This Row],[ProductID_Clean]],Product[],1,FALSE),"Invalid ID")</f>
        <v>P-FS-002</v>
      </c>
      <c r="L693" t="str">
        <f>TRIM(SUBSTITUTE(SUBSTITUTE(SUBSTITUTE(SUBSTITUTE(UPPER(Transaction[[#This Row],[Region]]),"EMEA REGION","EMEA"),"APAC REGION","APAC"),"NORTH AMERICA","N. AMERICA"),"N .AMERICA","N.AMERICA"))</f>
        <v>EMEA</v>
      </c>
      <c r="M693" t="s">
        <v>87</v>
      </c>
      <c r="N693" t="s">
        <v>21</v>
      </c>
      <c r="O69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693" t="s">
        <v>22</v>
      </c>
      <c r="Q693" t="str">
        <f>IF(TRIM(Transaction[[#This Row],[SalesChannel]])="","Missing Value",TRIM(Transaction[[#This Row],[SalesChannel]]))</f>
        <v>Direct</v>
      </c>
      <c r="R693" s="4">
        <v>1</v>
      </c>
      <c r="S693" s="4" t="str">
        <f>IF(Transaction[[#This Row],[Quantity]]&lt;0,"Negative-review","Valid")</f>
        <v>Valid</v>
      </c>
      <c r="T693">
        <v>2220.62</v>
      </c>
      <c r="U69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2220.62</v>
      </c>
      <c r="V693">
        <v>2400</v>
      </c>
      <c r="W693">
        <v>2400</v>
      </c>
      <c r="X69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693">
        <f>IF(Transaction[[#This Row],[GrossRevenue_Check]]="Invalid",Transaction[[#This Row],[ListPrice]]*Transaction[[#This Row],[Quantity]],Transaction[[#This Row],[GrossRevenue_Clean]])</f>
        <v>2400</v>
      </c>
      <c r="Z693" t="str">
        <f>IF(Transaction[[#This Row],[GrossRevenue_Clean]]=Transaction[[#This Row],[ListPrice]]*Transaction[[#This Row],[Quantity]],"Valid","Invalid")</f>
        <v>Valid</v>
      </c>
      <c r="AA693" t="s">
        <v>2206</v>
      </c>
      <c r="AB69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179.38</v>
      </c>
      <c r="AC693">
        <f>IF(Transaction[[#This Row],[DiscountAmount_Check2]]="Invalid",Transaction[[#This Row],[GrossRevenue_Analytical]]-Transaction[[#This Row],[NetRevenue_Analytical]],Transaction[[#This Row],[DiscountAmount_Clean]])</f>
        <v>179.38</v>
      </c>
      <c r="AD693">
        <v>2220.62</v>
      </c>
      <c r="AE693" t="str">
        <f>IF(ROUND(Transaction[[#This Row],[GrossRevenue_Analytical]]-Transaction[[#This Row],[NetRevenue_Analytical]],2)=ROUND(Transaction[[#This Row],[DiscountAmount_Clean]],2),"Valid","Invalid")</f>
        <v>Valid</v>
      </c>
      <c r="AF693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2220.62</v>
      </c>
      <c r="AG693">
        <f>IF(Transaction[[#This Row],[NetRevenue_Check]]="Invalid",(Transaction[[#This Row],[Quantity]]*Transaction[[#This Row],[UnitPrice_Clean]]),Transaction[[#This Row],[NetRevenue_Clean]])</f>
        <v>2220.62</v>
      </c>
      <c r="AH693" t="str">
        <f>IF(Transaction[[#This Row],[Quantity]]*Transaction[[#This Row],[UnitPrice_Clean]]=Transaction[[#This Row],[NetRevenue_Clean]],"Valid","Invalid")</f>
        <v>Valid</v>
      </c>
      <c r="AI693" t="s">
        <v>23</v>
      </c>
      <c r="AJ693" t="s">
        <v>2207</v>
      </c>
      <c r="AK693" t="str">
        <f>IF(Transaction[[#This Row],[Salesperson]]="","Missing Value",TRIM(PROPER(Transaction[[#This Row],[Salesperson]])))</f>
        <v>Clayton</v>
      </c>
      <c r="AL693" t="s">
        <v>224</v>
      </c>
      <c r="AM693" t="str">
        <f>IF(Transaction[[#This Row],[ContractType]]="","Missing Value",Transaction[[#This Row],[ContractType]])</f>
        <v>Annual</v>
      </c>
      <c r="AN693" t="s">
        <v>35</v>
      </c>
    </row>
    <row r="694" spans="1:40" x14ac:dyDescent="0.25">
      <c r="A694" t="s">
        <v>2458</v>
      </c>
      <c r="C69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69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69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694" s="2" t="str">
        <f>IFERROR(DATE(Transaction[[#This Row],[TransactionDateY]],Transaction[[#This Row],[TransactionDateM]],Transaction[[#This Row],[TransactionDateD]]),"Missing Value")</f>
        <v>Missing Value</v>
      </c>
      <c r="G694" t="s">
        <v>247</v>
      </c>
      <c r="H694" t="str">
        <f>IFERROR(VLOOKUP(Transaction[[#This Row],[CustomerID]],Custumer[],1,0),IF(LEN(Transaction[[#This Row],[CustomerID]])=7,LEFT(Transaction[[#This Row],[CustomerID]],6),"Invalid ID"))</f>
        <v>C-1045</v>
      </c>
      <c r="I694" t="s">
        <v>268</v>
      </c>
      <c r="J694" t="str">
        <f>TRIM(UPPER(Transaction[[#This Row],[ProductID]]))</f>
        <v>P-FS-002</v>
      </c>
      <c r="K694" t="str">
        <f>IFERROR(VLOOKUP(Transaction[[#This Row],[ProductID_Clean]],Product[],1,FALSE),"Invalid ID")</f>
        <v>P-FS-002</v>
      </c>
      <c r="L694" t="str">
        <f>TRIM(SUBSTITUTE(SUBSTITUTE(SUBSTITUTE(SUBSTITUTE(UPPER(Transaction[[#This Row],[Region]]),"EMEA REGION","EMEA"),"APAC REGION","APAC"),"NORTH AMERICA","N. AMERICA"),"N .AMERICA","N.AMERICA"))</f>
        <v>EMEA</v>
      </c>
      <c r="M694" t="s">
        <v>76</v>
      </c>
      <c r="N694" t="s">
        <v>244</v>
      </c>
      <c r="O69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694" t="s">
        <v>22</v>
      </c>
      <c r="Q694" t="str">
        <f>IF(TRIM(Transaction[[#This Row],[SalesChannel]])="","Missing Value",TRIM(Transaction[[#This Row],[SalesChannel]]))</f>
        <v>Direct</v>
      </c>
      <c r="R694" s="4">
        <v>1</v>
      </c>
      <c r="S694" s="4" t="str">
        <f>IF(Transaction[[#This Row],[Quantity]]&lt;0,"Negative-review","Valid")</f>
        <v>Valid</v>
      </c>
      <c r="T694">
        <v>1904.44</v>
      </c>
      <c r="U69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1904.44</v>
      </c>
      <c r="V694">
        <v>2400</v>
      </c>
      <c r="W694" t="s">
        <v>2459</v>
      </c>
      <c r="X69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694">
        <f>IF(Transaction[[#This Row],[GrossRevenue_Check]]="Invalid",Transaction[[#This Row],[ListPrice]]*Transaction[[#This Row],[Quantity]],Transaction[[#This Row],[GrossRevenue_Clean]])</f>
        <v>2400</v>
      </c>
      <c r="Z694" t="str">
        <f>IF(Transaction[[#This Row],[GrossRevenue_Clean]]=Transaction[[#This Row],[ListPrice]]*Transaction[[#This Row],[Quantity]],"Valid","Invalid")</f>
        <v>Valid</v>
      </c>
      <c r="AA694">
        <v>495.56</v>
      </c>
      <c r="AB69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495.56</v>
      </c>
      <c r="AC694">
        <f>IF(Transaction[[#This Row],[DiscountAmount_Check2]]="Invalid",Transaction[[#This Row],[GrossRevenue_Analytical]]-Transaction[[#This Row],[NetRevenue_Analytical]],Transaction[[#This Row],[DiscountAmount_Clean]])</f>
        <v>495.56</v>
      </c>
      <c r="AD694">
        <v>1904.44</v>
      </c>
      <c r="AE694" t="str">
        <f>IF(ROUND(Transaction[[#This Row],[GrossRevenue_Analytical]]-Transaction[[#This Row],[NetRevenue_Analytical]],2)=ROUND(Transaction[[#This Row],[DiscountAmount_Clean]],2),"Valid","Invalid")</f>
        <v>Valid</v>
      </c>
      <c r="AF69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1904.44</v>
      </c>
      <c r="AG694">
        <f>IF(Transaction[[#This Row],[NetRevenue_Check]]="Invalid",(Transaction[[#This Row],[Quantity]]*Transaction[[#This Row],[UnitPrice_Clean]]),Transaction[[#This Row],[NetRevenue_Clean]])</f>
        <v>1904.44</v>
      </c>
      <c r="AH694" t="str">
        <f>IF(Transaction[[#This Row],[Quantity]]*Transaction[[#This Row],[UnitPrice_Clean]]=Transaction[[#This Row],[NetRevenue_Clean]],"Valid","Invalid")</f>
        <v>Valid</v>
      </c>
      <c r="AI694" t="s">
        <v>23</v>
      </c>
      <c r="AJ694" t="s">
        <v>1971</v>
      </c>
      <c r="AK694" t="str">
        <f>IF(Transaction[[#This Row],[Salesperson]]="","Missing Value",TRIM(PROPER(Transaction[[#This Row],[Salesperson]])))</f>
        <v>Nelson</v>
      </c>
      <c r="AL694" t="s">
        <v>295</v>
      </c>
      <c r="AM694" t="str">
        <f>IF(Transaction[[#This Row],[ContractType]]="","Missing Value",Transaction[[#This Row],[ContractType]])</f>
        <v>Multi-Year</v>
      </c>
      <c r="AN694" t="s">
        <v>35</v>
      </c>
    </row>
    <row r="695" spans="1:40" x14ac:dyDescent="0.25">
      <c r="A695" t="s">
        <v>2008</v>
      </c>
      <c r="B695" s="1">
        <v>45838</v>
      </c>
      <c r="C69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69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69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95" s="2">
        <f>IFERROR(DATE(Transaction[[#This Row],[TransactionDateY]],Transaction[[#This Row],[TransactionDateM]],Transaction[[#This Row],[TransactionDateD]]),"Missing Value")</f>
        <v>45838</v>
      </c>
      <c r="G695" t="s">
        <v>336</v>
      </c>
      <c r="H695" t="str">
        <f>IFERROR(VLOOKUP(Transaction[[#This Row],[CustomerID]],Custumer[],1,0),IF(LEN(Transaction[[#This Row],[CustomerID]])=7,LEFT(Transaction[[#This Row],[CustomerID]],6),"Invalid ID"))</f>
        <v>C-1109</v>
      </c>
      <c r="I695" t="s">
        <v>97</v>
      </c>
      <c r="J695" t="str">
        <f>TRIM(UPPER(Transaction[[#This Row],[ProductID]]))</f>
        <v>P-SI-001</v>
      </c>
      <c r="K695" t="str">
        <f>IFERROR(VLOOKUP(Transaction[[#This Row],[ProductID_Clean]],Product[],1,FALSE),"Invalid ID")</f>
        <v>P-SI-001</v>
      </c>
      <c r="L695" t="str">
        <f>TRIM(SUBSTITUTE(SUBSTITUTE(SUBSTITUTE(SUBSTITUTE(UPPER(Transaction[[#This Row],[Region]]),"EMEA REGION","EMEA"),"APAC REGION","APAC"),"NORTH AMERICA","N. AMERICA"),"N .AMERICA","N.AMERICA"))</f>
        <v>EMEA</v>
      </c>
      <c r="M695" t="s">
        <v>87</v>
      </c>
      <c r="N695" t="s">
        <v>272</v>
      </c>
      <c r="O69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95" t="s">
        <v>22</v>
      </c>
      <c r="Q695" t="str">
        <f>IF(TRIM(Transaction[[#This Row],[SalesChannel]])="","Missing Value",TRIM(Transaction[[#This Row],[SalesChannel]]))</f>
        <v>Direct</v>
      </c>
      <c r="R695" s="4">
        <v>3</v>
      </c>
      <c r="S695" s="4" t="str">
        <f>IF(Transaction[[#This Row],[Quantity]]&lt;0,"Negative-review","Valid")</f>
        <v>Valid</v>
      </c>
      <c r="T695">
        <v>450.79</v>
      </c>
      <c r="U69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450.79</v>
      </c>
      <c r="V695">
        <v>485</v>
      </c>
      <c r="W695">
        <v>1455</v>
      </c>
      <c r="X69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695">
        <f>IF(Transaction[[#This Row],[GrossRevenue_Check]]="Invalid",Transaction[[#This Row],[ListPrice]]*Transaction[[#This Row],[Quantity]],Transaction[[#This Row],[GrossRevenue_Clean]])</f>
        <v>1455</v>
      </c>
      <c r="Z695" t="str">
        <f>IF(Transaction[[#This Row],[GrossRevenue_Clean]]=Transaction[[#This Row],[ListPrice]]*Transaction[[#This Row],[Quantity]],"Valid","Invalid")</f>
        <v>Valid</v>
      </c>
      <c r="AA695">
        <v>102.63</v>
      </c>
      <c r="AB69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102.63</v>
      </c>
      <c r="AC695">
        <f>IF(Transaction[[#This Row],[DiscountAmount_Check2]]="Invalid",Transaction[[#This Row],[GrossRevenue_Analytical]]-Transaction[[#This Row],[NetRevenue_Analytical]],Transaction[[#This Row],[DiscountAmount_Clean]])</f>
        <v>102.63</v>
      </c>
      <c r="AD695">
        <v>1352.37</v>
      </c>
      <c r="AE695" t="str">
        <f>IF(ROUND(Transaction[[#This Row],[GrossRevenue_Analytical]]-Transaction[[#This Row],[NetRevenue_Analytical]],2)=ROUND(Transaction[[#This Row],[DiscountAmount_Clean]],2),"Valid","Invalid")</f>
        <v>Valid</v>
      </c>
      <c r="AF69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1352.37</v>
      </c>
      <c r="AG695">
        <f>IF(Transaction[[#This Row],[NetRevenue_Check]]="Invalid",(Transaction[[#This Row],[Quantity]]*Transaction[[#This Row],[UnitPrice_Clean]]),Transaction[[#This Row],[NetRevenue_Clean]])</f>
        <v>1352.37</v>
      </c>
      <c r="AH695" t="str">
        <f>IF(Transaction[[#This Row],[Quantity]]*Transaction[[#This Row],[UnitPrice_Clean]]=Transaction[[#This Row],[NetRevenue_Clean]],"Valid","Invalid")</f>
        <v>Valid</v>
      </c>
      <c r="AI695" t="s">
        <v>23</v>
      </c>
      <c r="AJ695" t="s">
        <v>241</v>
      </c>
      <c r="AK695" t="str">
        <f>IF(Transaction[[#This Row],[Salesperson]]="","Missing Value",TRIM(PROPER(Transaction[[#This Row],[Salesperson]])))</f>
        <v>Hoffman-Em</v>
      </c>
      <c r="AL695" t="s">
        <v>42</v>
      </c>
      <c r="AM695" t="str">
        <f>IF(Transaction[[#This Row],[ContractType]]="","Missing Value",Transaction[[#This Row],[ContractType]])</f>
        <v>Standard PO</v>
      </c>
      <c r="AN695" t="s">
        <v>65</v>
      </c>
    </row>
    <row r="696" spans="1:40" x14ac:dyDescent="0.25">
      <c r="A696" t="s">
        <v>1559</v>
      </c>
      <c r="B696" s="1">
        <v>45731</v>
      </c>
      <c r="C69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69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69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96" s="2">
        <f>IFERROR(DATE(Transaction[[#This Row],[TransactionDateY]],Transaction[[#This Row],[TransactionDateM]],Transaction[[#This Row],[TransactionDateD]]),"Missing Value")</f>
        <v>45731</v>
      </c>
      <c r="G696" t="s">
        <v>755</v>
      </c>
      <c r="H696" t="str">
        <f>IFERROR(VLOOKUP(Transaction[[#This Row],[CustomerID]],Custumer[],1,0),IF(LEN(Transaction[[#This Row],[CustomerID]])=7,LEFT(Transaction[[#This Row],[CustomerID]],6),"Invalid ID"))</f>
        <v>C-1013</v>
      </c>
      <c r="I696" t="s">
        <v>304</v>
      </c>
      <c r="J696" t="str">
        <f>TRIM(UPPER(Transaction[[#This Row],[ProductID]]))</f>
        <v>P-XX-999</v>
      </c>
      <c r="K696" t="str">
        <f>IFERROR(VLOOKUP(Transaction[[#This Row],[ProductID_Clean]],Product[],1,FALSE),"Invalid ID")</f>
        <v>Invalid ID</v>
      </c>
      <c r="L696" t="str">
        <f>TRIM(SUBSTITUTE(SUBSTITUTE(SUBSTITUTE(SUBSTITUTE(UPPER(Transaction[[#This Row],[Region]]),"EMEA REGION","EMEA"),"APAC REGION","APAC"),"NORTH AMERICA","N. AMERICA"),"N .AMERICA","N.AMERICA"))</f>
        <v>N. AMERICA</v>
      </c>
      <c r="M696" t="s">
        <v>20</v>
      </c>
      <c r="N696" t="s">
        <v>53</v>
      </c>
      <c r="O69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96" t="s">
        <v>40</v>
      </c>
      <c r="Q696" t="str">
        <f>IF(TRIM(Transaction[[#This Row],[SalesChannel]])="","Missing Value",TRIM(Transaction[[#This Row],[SalesChannel]]))</f>
        <v>Distributor</v>
      </c>
      <c r="R696" s="4">
        <v>1</v>
      </c>
      <c r="S696" s="4" t="str">
        <f>IF(Transaction[[#This Row],[Quantity]]&lt;0,"Negative-review","Valid")</f>
        <v>Valid</v>
      </c>
      <c r="T696">
        <v>804.96</v>
      </c>
      <c r="U69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804.96</v>
      </c>
      <c r="V696">
        <v>980</v>
      </c>
      <c r="W696">
        <v>980</v>
      </c>
      <c r="X69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696">
        <f>IF(Transaction[[#This Row],[GrossRevenue_Check]]="Invalid",Transaction[[#This Row],[ListPrice]]*Transaction[[#This Row],[Quantity]],Transaction[[#This Row],[GrossRevenue_Clean]])</f>
        <v>980</v>
      </c>
      <c r="Z696" t="str">
        <f>IF(Transaction[[#This Row],[GrossRevenue_Clean]]=Transaction[[#This Row],[ListPrice]]*Transaction[[#This Row],[Quantity]],"Valid","Invalid")</f>
        <v>Valid</v>
      </c>
      <c r="AA696">
        <v>175.04</v>
      </c>
      <c r="AB69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175.04</v>
      </c>
      <c r="AC696">
        <f>IF(Transaction[[#This Row],[DiscountAmount_Check2]]="Invalid",Transaction[[#This Row],[GrossRevenue_Analytical]]-Transaction[[#This Row],[NetRevenue_Analytical]],Transaction[[#This Row],[DiscountAmount_Clean]])</f>
        <v>175.04</v>
      </c>
      <c r="AD696">
        <v>804.96</v>
      </c>
      <c r="AE696" t="str">
        <f>IF(ROUND(Transaction[[#This Row],[GrossRevenue_Analytical]]-Transaction[[#This Row],[NetRevenue_Analytical]],2)=ROUND(Transaction[[#This Row],[DiscountAmount_Clean]],2),"Valid","Invalid")</f>
        <v>Valid</v>
      </c>
      <c r="AF696">
        <f>VALUE(IF(ISNUMBER(Transaction[[#This Row],[NetRevenue]]),Transaction[[#This Row],[NetRevenue]],IFERROR(IF(FIND("$",Transaction[[#This Row],[NetRevenue]])&gt;0,MID(Transaction[[#This Row],[NetRevenue]],2,10)),Transaction[[#This Row],[NetRevenue]])))</f>
        <v>804.96</v>
      </c>
      <c r="AG696">
        <f>IF(Transaction[[#This Row],[NetRevenue_Check]]="Invalid",(Transaction[[#This Row],[Quantity]]*Transaction[[#This Row],[UnitPrice_Clean]]),Transaction[[#This Row],[NetRevenue_Clean]])</f>
        <v>804.96</v>
      </c>
      <c r="AH696" t="str">
        <f>IF(Transaction[[#This Row],[Quantity]]*Transaction[[#This Row],[UnitPrice_Clean]]=Transaction[[#This Row],[NetRevenue_Clean]],"Valid","Invalid")</f>
        <v>Valid</v>
      </c>
      <c r="AI696" t="s">
        <v>23</v>
      </c>
      <c r="AJ696" t="s">
        <v>1560</v>
      </c>
      <c r="AK696" t="str">
        <f>IF(Transaction[[#This Row],[Salesperson]]="","Missing Value",TRIM(PROPER(Transaction[[#This Row],[Salesperson]])))</f>
        <v>Nelson-Ap</v>
      </c>
      <c r="AL696" t="s">
        <v>42</v>
      </c>
      <c r="AM696" t="str">
        <f>IF(Transaction[[#This Row],[ContractType]]="","Missing Value",Transaction[[#This Row],[ContractType]])</f>
        <v>Standard PO</v>
      </c>
      <c r="AN696" t="s">
        <v>43</v>
      </c>
    </row>
    <row r="697" spans="1:40" x14ac:dyDescent="0.25">
      <c r="A697" t="s">
        <v>2093</v>
      </c>
      <c r="B697" s="1">
        <v>45783</v>
      </c>
      <c r="C69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69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69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97" s="2">
        <f>IFERROR(DATE(Transaction[[#This Row],[TransactionDateY]],Transaction[[#This Row],[TransactionDateM]],Transaction[[#This Row],[TransactionDateD]]),"Missing Value")</f>
        <v>45783</v>
      </c>
      <c r="G697" t="s">
        <v>357</v>
      </c>
      <c r="H697" t="str">
        <f>IFERROR(VLOOKUP(Transaction[[#This Row],[CustomerID]],Custumer[],1,0),IF(LEN(Transaction[[#This Row],[CustomerID]])=7,LEFT(Transaction[[#This Row],[CustomerID]],6),"Invalid ID"))</f>
        <v>C-1078</v>
      </c>
      <c r="I697" t="s">
        <v>117</v>
      </c>
      <c r="J697" t="str">
        <f>TRIM(UPPER(Transaction[[#This Row],[ProductID]]))</f>
        <v>P-SI-007</v>
      </c>
      <c r="K697" t="str">
        <f>IFERROR(VLOOKUP(Transaction[[#This Row],[ProductID_Clean]],Product[],1,FALSE),"Invalid ID")</f>
        <v>P-SI-007</v>
      </c>
      <c r="L697" t="str">
        <f>TRIM(SUBSTITUTE(SUBSTITUTE(SUBSTITUTE(SUBSTITUTE(UPPER(Transaction[[#This Row],[Region]]),"EMEA REGION","EMEA"),"APAC REGION","APAC"),"NORTH AMERICA","N. AMERICA"),"N .AMERICA","N.AMERICA"))</f>
        <v>N. AMERICA</v>
      </c>
      <c r="M697" t="s">
        <v>20</v>
      </c>
      <c r="N697" t="s">
        <v>47</v>
      </c>
      <c r="O69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97" t="s">
        <v>40</v>
      </c>
      <c r="Q697" t="str">
        <f>IF(TRIM(Transaction[[#This Row],[SalesChannel]])="","Missing Value",TRIM(Transaction[[#This Row],[SalesChannel]]))</f>
        <v>Distributor</v>
      </c>
      <c r="R697" s="4">
        <v>4</v>
      </c>
      <c r="S697" s="4" t="str">
        <f>IF(Transaction[[#This Row],[Quantity]]&lt;0,"Negative-review","Valid")</f>
        <v>Valid</v>
      </c>
      <c r="T697">
        <v>831.39</v>
      </c>
      <c r="U69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831.39</v>
      </c>
      <c r="V697">
        <v>980</v>
      </c>
      <c r="W697">
        <v>3920</v>
      </c>
      <c r="X69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3920</v>
      </c>
      <c r="Y697">
        <f>IF(Transaction[[#This Row],[GrossRevenue_Check]]="Invalid",Transaction[[#This Row],[ListPrice]]*Transaction[[#This Row],[Quantity]],Transaction[[#This Row],[GrossRevenue_Clean]])</f>
        <v>3920</v>
      </c>
      <c r="Z697" t="str">
        <f>IF(Transaction[[#This Row],[GrossRevenue_Clean]]=Transaction[[#This Row],[ListPrice]]*Transaction[[#This Row],[Quantity]],"Valid","Invalid")</f>
        <v>Valid</v>
      </c>
      <c r="AA697">
        <v>594.44000000000005</v>
      </c>
      <c r="AB69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594.44000000000005</v>
      </c>
      <c r="AC697">
        <f>IF(Transaction[[#This Row],[DiscountAmount_Check2]]="Invalid",Transaction[[#This Row],[GrossRevenue_Analytical]]-Transaction[[#This Row],[NetRevenue_Analytical]],Transaction[[#This Row],[DiscountAmount_Clean]])</f>
        <v>594.44000000000005</v>
      </c>
      <c r="AD697">
        <v>3325.56</v>
      </c>
      <c r="AE697" t="str">
        <f>IF(ROUND(Transaction[[#This Row],[GrossRevenue_Analytical]]-Transaction[[#This Row],[NetRevenue_Analytical]],2)=ROUND(Transaction[[#This Row],[DiscountAmount_Clean]],2),"Valid","Invalid")</f>
        <v>Valid</v>
      </c>
      <c r="AF69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3325.56</v>
      </c>
      <c r="AG697">
        <f>IF(Transaction[[#This Row],[NetRevenue_Check]]="Invalid",(Transaction[[#This Row],[Quantity]]*Transaction[[#This Row],[UnitPrice_Clean]]),Transaction[[#This Row],[NetRevenue_Clean]])</f>
        <v>3325.56</v>
      </c>
      <c r="AH697" t="str">
        <f>IF(Transaction[[#This Row],[Quantity]]*Transaction[[#This Row],[UnitPrice_Clean]]=Transaction[[#This Row],[NetRevenue_Clean]],"Valid","Invalid")</f>
        <v>Valid</v>
      </c>
      <c r="AI697" t="s">
        <v>23</v>
      </c>
      <c r="AJ697" t="s">
        <v>206</v>
      </c>
      <c r="AK697" t="str">
        <f>IF(Transaction[[#This Row],[Salesperson]]="","Missing Value",TRIM(PROPER(Transaction[[#This Row],[Salesperson]])))</f>
        <v>Rodriguez</v>
      </c>
      <c r="AL697" t="s">
        <v>42</v>
      </c>
      <c r="AM697" t="str">
        <f>IF(Transaction[[#This Row],[ContractType]]="","Missing Value",Transaction[[#This Row],[ContractType]])</f>
        <v>Standard PO</v>
      </c>
      <c r="AN697" t="s">
        <v>26</v>
      </c>
    </row>
    <row r="698" spans="1:40" x14ac:dyDescent="0.25">
      <c r="A698" t="s">
        <v>235</v>
      </c>
      <c r="B698" t="s">
        <v>236</v>
      </c>
      <c r="C69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69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01</v>
      </c>
      <c r="E69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698" s="2">
        <f>IFERROR(DATE(Transaction[[#This Row],[TransactionDateY]],Transaction[[#This Row],[TransactionDateM]],Transaction[[#This Row],[TransactionDateD]]),"Missing Value")</f>
        <v>45689</v>
      </c>
      <c r="G698" t="s">
        <v>214</v>
      </c>
      <c r="H698" t="str">
        <f>IFERROR(VLOOKUP(Transaction[[#This Row],[CustomerID]],Custumer[],1,0),IF(LEN(Transaction[[#This Row],[CustomerID]])=7,LEFT(Transaction[[#This Row],[CustomerID]],6),"Invalid ID"))</f>
        <v>C-1169</v>
      </c>
      <c r="I698" t="s">
        <v>226</v>
      </c>
      <c r="J698" t="str">
        <f>TRIM(UPPER(Transaction[[#This Row],[ProductID]]))</f>
        <v>P-SA-002</v>
      </c>
      <c r="K698" t="str">
        <f>IFERROR(VLOOKUP(Transaction[[#This Row],[ProductID_Clean]],Product[],1,FALSE),"Invalid ID")</f>
        <v>P-SA-002</v>
      </c>
      <c r="L698" t="str">
        <f>TRIM(SUBSTITUTE(SUBSTITUTE(SUBSTITUTE(SUBSTITUTE(UPPER(Transaction[[#This Row],[Region]]),"EMEA REGION","EMEA"),"APAC REGION","APAC"),"NORTH AMERICA","N. AMERICA"),"N .AMERICA","N.AMERICA"))</f>
        <v>EMEA</v>
      </c>
      <c r="M698" t="s">
        <v>87</v>
      </c>
      <c r="N698" t="s">
        <v>31</v>
      </c>
      <c r="O69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698" t="s">
        <v>40</v>
      </c>
      <c r="Q698" t="str">
        <f>IF(TRIM(Transaction[[#This Row],[SalesChannel]])="","Missing Value",TRIM(Transaction[[#This Row],[SalesChannel]]))</f>
        <v>Distributor</v>
      </c>
      <c r="R698" s="4">
        <v>1</v>
      </c>
      <c r="S698" s="4" t="str">
        <f>IF(Transaction[[#This Row],[Quantity]]&lt;0,"Negative-review","Valid")</f>
        <v>Valid</v>
      </c>
      <c r="T698">
        <v>7753.06</v>
      </c>
      <c r="U69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7753.06</v>
      </c>
      <c r="V698">
        <v>9800</v>
      </c>
      <c r="W698">
        <v>9800</v>
      </c>
      <c r="X69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698">
        <f>IF(Transaction[[#This Row],[GrossRevenue_Check]]="Invalid",Transaction[[#This Row],[ListPrice]]*Transaction[[#This Row],[Quantity]],Transaction[[#This Row],[GrossRevenue_Clean]])</f>
        <v>9800</v>
      </c>
      <c r="Z698" t="str">
        <f>IF(Transaction[[#This Row],[GrossRevenue_Clean]]=Transaction[[#This Row],[ListPrice]]*Transaction[[#This Row],[Quantity]],"Valid","Invalid")</f>
        <v>Valid</v>
      </c>
      <c r="AA698">
        <v>2046.94</v>
      </c>
      <c r="AB69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2046.94</v>
      </c>
      <c r="AC698">
        <f>IF(Transaction[[#This Row],[DiscountAmount_Check2]]="Invalid",Transaction[[#This Row],[GrossRevenue_Analytical]]-Transaction[[#This Row],[NetRevenue_Analytical]],Transaction[[#This Row],[DiscountAmount_Clean]])</f>
        <v>2046.94</v>
      </c>
      <c r="AD698">
        <v>7753.06</v>
      </c>
      <c r="AE698" t="str">
        <f>IF(ROUND(Transaction[[#This Row],[GrossRevenue_Analytical]]-Transaction[[#This Row],[NetRevenue_Analytical]],2)=ROUND(Transaction[[#This Row],[DiscountAmount_Clean]],2),"Valid","Invalid")</f>
        <v>Valid</v>
      </c>
      <c r="AF698">
        <f>VALUE(IF(ISNUMBER(Transaction[[#This Row],[NetRevenue]]),Transaction[[#This Row],[NetRevenue]],IFERROR(IF(FIND("$",Transaction[[#This Row],[NetRevenue]])&gt;0,MID(Transaction[[#This Row],[NetRevenue]],2,10)),Transaction[[#This Row],[NetRevenue]])))</f>
        <v>7753.06</v>
      </c>
      <c r="AG698">
        <f>IF(Transaction[[#This Row],[NetRevenue_Check]]="Invalid",(Transaction[[#This Row],[Quantity]]*Transaction[[#This Row],[UnitPrice_Clean]]),Transaction[[#This Row],[NetRevenue_Clean]])</f>
        <v>7753.06</v>
      </c>
      <c r="AH698" t="str">
        <f>IF(Transaction[[#This Row],[Quantity]]*Transaction[[#This Row],[UnitPrice_Clean]]=Transaction[[#This Row],[NetRevenue_Clean]],"Valid","Invalid")</f>
        <v>Valid</v>
      </c>
      <c r="AI698" t="s">
        <v>99</v>
      </c>
      <c r="AJ698" t="s">
        <v>237</v>
      </c>
      <c r="AK698" t="str">
        <f>IF(Transaction[[#This Row],[Salesperson]]="","Missing Value",TRIM(PROPER(Transaction[[#This Row],[Salesperson]])))</f>
        <v>Yang</v>
      </c>
      <c r="AL698" t="s">
        <v>34</v>
      </c>
      <c r="AM698" t="str">
        <f>IF(Transaction[[#This Row],[ContractType]]="","Missing Value",Transaction[[#This Row],[ContractType]])</f>
        <v>Annual License</v>
      </c>
      <c r="AN698" t="s">
        <v>49</v>
      </c>
    </row>
    <row r="699" spans="1:40" x14ac:dyDescent="0.25">
      <c r="A699" t="s">
        <v>2311</v>
      </c>
      <c r="C69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69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69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699" s="2" t="str">
        <f>IFERROR(DATE(Transaction[[#This Row],[TransactionDateY]],Transaction[[#This Row],[TransactionDateM]],Transaction[[#This Row],[TransactionDateD]]),"Missing Value")</f>
        <v>Missing Value</v>
      </c>
      <c r="G699" t="s">
        <v>351</v>
      </c>
      <c r="H699" t="str">
        <f>IFERROR(VLOOKUP(Transaction[[#This Row],[CustomerID]],Custumer[],1,0),IF(LEN(Transaction[[#This Row],[CustomerID]])=7,LEFT(Transaction[[#This Row],[CustomerID]],6),"Invalid ID"))</f>
        <v>C-1004</v>
      </c>
      <c r="I699" t="s">
        <v>71</v>
      </c>
      <c r="J699" t="str">
        <f>TRIM(UPPER(Transaction[[#This Row],[ProductID]]))</f>
        <v>P-SI-003</v>
      </c>
      <c r="K699" t="str">
        <f>IFERROR(VLOOKUP(Transaction[[#This Row],[ProductID_Clean]],Product[],1,FALSE),"Invalid ID")</f>
        <v>P-SI-003</v>
      </c>
      <c r="L699" t="str">
        <f>TRIM(SUBSTITUTE(SUBSTITUTE(SUBSTITUTE(SUBSTITUTE(UPPER(Transaction[[#This Row],[Region]]),"EMEA REGION","EMEA"),"APAC REGION","APAC"),"NORTH AMERICA","N. AMERICA"),"N .AMERICA","N.AMERICA"))</f>
        <v>N. AMERICA</v>
      </c>
      <c r="M699" t="s">
        <v>20</v>
      </c>
      <c r="N699" t="s">
        <v>53</v>
      </c>
      <c r="O69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699" t="s">
        <v>22</v>
      </c>
      <c r="Q699" t="str">
        <f>IF(TRIM(Transaction[[#This Row],[SalesChannel]])="","Missing Value",TRIM(Transaction[[#This Row],[SalesChannel]]))</f>
        <v>Direct</v>
      </c>
      <c r="R699" s="4">
        <v>12</v>
      </c>
      <c r="S699" s="4" t="str">
        <f>IF(Transaction[[#This Row],[Quantity]]&lt;0,"Negative-review","Valid")</f>
        <v>Valid</v>
      </c>
      <c r="T699">
        <v>1766.12</v>
      </c>
      <c r="U69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1766.12</v>
      </c>
      <c r="V699">
        <v>1890</v>
      </c>
      <c r="W699" t="s">
        <v>2312</v>
      </c>
      <c r="X69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22680</v>
      </c>
      <c r="Y699">
        <f>IF(Transaction[[#This Row],[GrossRevenue_Check]]="Invalid",Transaction[[#This Row],[ListPrice]]*Transaction[[#This Row],[Quantity]],Transaction[[#This Row],[GrossRevenue_Clean]])</f>
        <v>22680</v>
      </c>
      <c r="Z699" t="str">
        <f>IF(Transaction[[#This Row],[GrossRevenue_Clean]]=Transaction[[#This Row],[ListPrice]]*Transaction[[#This Row],[Quantity]],"Valid","Invalid")</f>
        <v>Valid</v>
      </c>
      <c r="AA699">
        <v>1486.56</v>
      </c>
      <c r="AB69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1486.56</v>
      </c>
      <c r="AC699">
        <f>IF(Transaction[[#This Row],[DiscountAmount_Check2]]="Invalid",Transaction[[#This Row],[GrossRevenue_Analytical]]-Transaction[[#This Row],[NetRevenue_Analytical]],Transaction[[#This Row],[DiscountAmount_Clean]])</f>
        <v>1486.56</v>
      </c>
      <c r="AD699" t="s">
        <v>2313</v>
      </c>
      <c r="AE699" t="str">
        <f>IF(ROUND(Transaction[[#This Row],[GrossRevenue_Analytical]]-Transaction[[#This Row],[NetRevenue_Analytical]],2)=ROUND(Transaction[[#This Row],[DiscountAmount_Clean]],2),"Valid","Invalid")</f>
        <v>Valid</v>
      </c>
      <c r="AF69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21193.439999999999</v>
      </c>
      <c r="AG699">
        <f>IF(Transaction[[#This Row],[NetRevenue_Check]]="Invalid",(Transaction[[#This Row],[Quantity]]*Transaction[[#This Row],[UnitPrice_Clean]]),Transaction[[#This Row],[NetRevenue_Clean]])</f>
        <v>21193.439999999999</v>
      </c>
      <c r="AH699" t="str">
        <f>IF(Transaction[[#This Row],[Quantity]]*Transaction[[#This Row],[UnitPrice_Clean]]=Transaction[[#This Row],[NetRevenue_Clean]],"Valid","Invalid")</f>
        <v>Valid</v>
      </c>
      <c r="AI699" t="s">
        <v>23</v>
      </c>
      <c r="AJ699" t="s">
        <v>2314</v>
      </c>
      <c r="AK699" t="str">
        <f>IF(Transaction[[#This Row],[Salesperson]]="","Missing Value",TRIM(PROPER(Transaction[[#This Row],[Salesperson]])))</f>
        <v>Allen-Na</v>
      </c>
      <c r="AL699" t="s">
        <v>42</v>
      </c>
      <c r="AM699" t="str">
        <f>IF(Transaction[[#This Row],[ContractType]]="","Missing Value",Transaction[[#This Row],[ContractType]])</f>
        <v>Standard PO</v>
      </c>
      <c r="AN699" t="s">
        <v>49</v>
      </c>
    </row>
    <row r="700" spans="1:40" x14ac:dyDescent="0.25">
      <c r="A700" t="s">
        <v>2477</v>
      </c>
      <c r="B700" s="1">
        <v>45702</v>
      </c>
      <c r="C70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70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70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00" s="2">
        <f>IFERROR(DATE(Transaction[[#This Row],[TransactionDateY]],Transaction[[#This Row],[TransactionDateM]],Transaction[[#This Row],[TransactionDateD]]),"Missing Value")</f>
        <v>45702</v>
      </c>
      <c r="G700" t="s">
        <v>405</v>
      </c>
      <c r="H700" t="str">
        <f>IFERROR(VLOOKUP(Transaction[[#This Row],[CustomerID]],Custumer[],1,0),IF(LEN(Transaction[[#This Row],[CustomerID]])=7,LEFT(Transaction[[#This Row],[CustomerID]],6),"Invalid ID"))</f>
        <v>C-1163</v>
      </c>
      <c r="I700" t="s">
        <v>46</v>
      </c>
      <c r="J700" t="str">
        <f>TRIM(UPPER(Transaction[[#This Row],[ProductID]]))</f>
        <v>P-SI-006</v>
      </c>
      <c r="K700" t="str">
        <f>IFERROR(VLOOKUP(Transaction[[#This Row],[ProductID_Clean]],Product[],1,FALSE),"Invalid ID")</f>
        <v>P-SI-006</v>
      </c>
      <c r="L700" t="str">
        <f>TRIM(SUBSTITUTE(SUBSTITUTE(SUBSTITUTE(SUBSTITUTE(UPPER(Transaction[[#This Row],[Region]]),"EMEA REGION","EMEA"),"APAC REGION","APAC"),"NORTH AMERICA","N. AMERICA"),"N .AMERICA","N.AMERICA"))</f>
        <v>APAC</v>
      </c>
      <c r="M700" t="s">
        <v>30</v>
      </c>
      <c r="N700" t="s">
        <v>53</v>
      </c>
      <c r="O70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00" t="s">
        <v>22</v>
      </c>
      <c r="Q700" t="str">
        <f>IF(TRIM(Transaction[[#This Row],[SalesChannel]])="","Missing Value",TRIM(Transaction[[#This Row],[SalesChannel]]))</f>
        <v>Direct</v>
      </c>
      <c r="R700" s="4">
        <v>5</v>
      </c>
      <c r="S700" s="4" t="str">
        <f>IF(Transaction[[#This Row],[Quantity]]&lt;0,"Negative-review","Valid")</f>
        <v>Valid</v>
      </c>
      <c r="T700" t="s">
        <v>2478</v>
      </c>
      <c r="U70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166.18</v>
      </c>
      <c r="V700">
        <v>215</v>
      </c>
      <c r="W700">
        <v>1075</v>
      </c>
      <c r="X70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1075</v>
      </c>
      <c r="Y700">
        <f>IF(Transaction[[#This Row],[GrossRevenue_Check]]="Invalid",Transaction[[#This Row],[ListPrice]]*Transaction[[#This Row],[Quantity]],Transaction[[#This Row],[GrossRevenue_Clean]])</f>
        <v>1075</v>
      </c>
      <c r="Z700" t="str">
        <f>IF(Transaction[[#This Row],[GrossRevenue_Clean]]=Transaction[[#This Row],[ListPrice]]*Transaction[[#This Row],[Quantity]],"Valid","Invalid")</f>
        <v>Valid</v>
      </c>
      <c r="AA700">
        <v>244.1</v>
      </c>
      <c r="AB70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244.1</v>
      </c>
      <c r="AC700">
        <f>IF(Transaction[[#This Row],[DiscountAmount_Check2]]="Invalid",Transaction[[#This Row],[GrossRevenue_Analytical]]-Transaction[[#This Row],[NetRevenue_Analytical]],Transaction[[#This Row],[DiscountAmount_Clean]])</f>
        <v>244.1</v>
      </c>
      <c r="AD700">
        <v>830.9</v>
      </c>
      <c r="AE700" t="str">
        <f>IF(ROUND(Transaction[[#This Row],[GrossRevenue_Analytical]]-Transaction[[#This Row],[NetRevenue_Analytical]],2)=ROUND(Transaction[[#This Row],[DiscountAmount_Clean]],2),"Valid","Invalid")</f>
        <v>Valid</v>
      </c>
      <c r="AF700">
        <f>VALUE(IF(ISNUMBER(Transaction[[#This Row],[NetRevenue]]),Transaction[[#This Row],[NetRevenue]],IFERROR(IF(FIND("$",Transaction[[#This Row],[NetRevenue]])&gt;0,MID(Transaction[[#This Row],[NetRevenue]],2,10)),Transaction[[#This Row],[NetRevenue]])))</f>
        <v>830.9</v>
      </c>
      <c r="AG700">
        <f>IF(Transaction[[#This Row],[NetRevenue_Check]]="Invalid",(Transaction[[#This Row],[Quantity]]*Transaction[[#This Row],[UnitPrice_Clean]]),Transaction[[#This Row],[NetRevenue_Clean]])</f>
        <v>830.9</v>
      </c>
      <c r="AH700" t="str">
        <f>IF(Transaction[[#This Row],[Quantity]]*Transaction[[#This Row],[UnitPrice_Clean]]=Transaction[[#This Row],[NetRevenue_Clean]],"Valid","Invalid")</f>
        <v>Valid</v>
      </c>
      <c r="AI700" t="s">
        <v>23</v>
      </c>
      <c r="AJ700" t="s">
        <v>1093</v>
      </c>
      <c r="AK700" t="str">
        <f>IF(Transaction[[#This Row],[Salesperson]]="","Missing Value",TRIM(PROPER(Transaction[[#This Row],[Salesperson]])))</f>
        <v>Williams-Ap</v>
      </c>
      <c r="AL700" t="s">
        <v>25</v>
      </c>
      <c r="AM700" t="str">
        <f>IF(Transaction[[#This Row],[ContractType]]="","Missing Value",Transaction[[#This Row],[ContractType]])</f>
        <v>Frame Agreement</v>
      </c>
      <c r="AN700" t="s">
        <v>65</v>
      </c>
    </row>
    <row r="701" spans="1:40" x14ac:dyDescent="0.25">
      <c r="A701" t="s">
        <v>2787</v>
      </c>
      <c r="B701" s="1">
        <v>45771</v>
      </c>
      <c r="C70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70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70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01" s="2">
        <f>IFERROR(DATE(Transaction[[#This Row],[TransactionDateY]],Transaction[[#This Row],[TransactionDateM]],Transaction[[#This Row],[TransactionDateD]]),"Missing Value")</f>
        <v>45771</v>
      </c>
      <c r="G701" t="s">
        <v>345</v>
      </c>
      <c r="H701" t="str">
        <f>IFERROR(VLOOKUP(Transaction[[#This Row],[CustomerID]],Custumer[],1,0),IF(LEN(Transaction[[#This Row],[CustomerID]])=7,LEFT(Transaction[[#This Row],[CustomerID]],6),"Invalid ID"))</f>
        <v>C-1125</v>
      </c>
      <c r="I701" t="s">
        <v>92</v>
      </c>
      <c r="J701" t="str">
        <f>TRIM(UPPER(Transaction[[#This Row],[ProductID]]))</f>
        <v>P-SI-008</v>
      </c>
      <c r="K701" t="str">
        <f>IFERROR(VLOOKUP(Transaction[[#This Row],[ProductID_Clean]],Product[],1,FALSE),"Invalid ID")</f>
        <v>P-SI-008</v>
      </c>
      <c r="L701" t="str">
        <f>TRIM(SUBSTITUTE(SUBSTITUTE(SUBSTITUTE(SUBSTITUTE(UPPER(Transaction[[#This Row],[Region]]),"EMEA REGION","EMEA"),"APAC REGION","APAC"),"NORTH AMERICA","N. AMERICA"),"N .AMERICA","N.AMERICA"))</f>
        <v>N. AMERICA</v>
      </c>
      <c r="M701" t="s">
        <v>495</v>
      </c>
      <c r="N701" t="s">
        <v>47</v>
      </c>
      <c r="O70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01" t="s">
        <v>22</v>
      </c>
      <c r="Q701" t="str">
        <f>IF(TRIM(Transaction[[#This Row],[SalesChannel]])="","Missing Value",TRIM(Transaction[[#This Row],[SalesChannel]]))</f>
        <v>Direct</v>
      </c>
      <c r="R701" s="4">
        <v>10</v>
      </c>
      <c r="S701" s="4" t="str">
        <f>IF(Transaction[[#This Row],[Quantity]]&lt;0,"Negative-review","Valid")</f>
        <v>Valid</v>
      </c>
      <c r="T701">
        <v>954.97</v>
      </c>
      <c r="U70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954.97</v>
      </c>
      <c r="V701">
        <v>950</v>
      </c>
      <c r="W701" t="s">
        <v>2788</v>
      </c>
      <c r="X70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9500</v>
      </c>
      <c r="Y701">
        <f>IF(Transaction[[#This Row],[GrossRevenue_Check]]="Invalid",Transaction[[#This Row],[ListPrice]]*Transaction[[#This Row],[Quantity]],Transaction[[#This Row],[GrossRevenue_Clean]])</f>
        <v>9500</v>
      </c>
      <c r="Z701" t="str">
        <f>IF(Transaction[[#This Row],[GrossRevenue_Clean]]=Transaction[[#This Row],[ListPrice]]*Transaction[[#This Row],[Quantity]],"Valid","Invalid")</f>
        <v>Valid</v>
      </c>
      <c r="AA701">
        <v>-49.7</v>
      </c>
      <c r="AB70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-49.7</v>
      </c>
      <c r="AC701">
        <f>IF(Transaction[[#This Row],[DiscountAmount_Check2]]="Invalid",Transaction[[#This Row],[GrossRevenue_Analytical]]-Transaction[[#This Row],[NetRevenue_Analytical]],Transaction[[#This Row],[DiscountAmount_Clean]])</f>
        <v>-49.7</v>
      </c>
      <c r="AD701">
        <v>9549.7000000000007</v>
      </c>
      <c r="AE701" t="str">
        <f>IF(ROUND(Transaction[[#This Row],[GrossRevenue_Analytical]]-Transaction[[#This Row],[NetRevenue_Analytical]],2)=ROUND(Transaction[[#This Row],[DiscountAmount_Clean]],2),"Valid","Invalid")</f>
        <v>Valid</v>
      </c>
      <c r="AF701">
        <f>VALUE(IF(ISNUMBER(Transaction[[#This Row],[NetRevenue]]),Transaction[[#This Row],[NetRevenue]],IFERROR(IF(FIND("$",Transaction[[#This Row],[NetRevenue]])&gt;0,MID(Transaction[[#This Row],[NetRevenue]],2,10)),Transaction[[#This Row],[NetRevenue]])))</f>
        <v>9549.7000000000007</v>
      </c>
      <c r="AG701">
        <f>IF(Transaction[[#This Row],[NetRevenue_Check]]="Invalid",(Transaction[[#This Row],[Quantity]]*Transaction[[#This Row],[UnitPrice_Clean]]),Transaction[[#This Row],[NetRevenue_Clean]])</f>
        <v>9549.7000000000007</v>
      </c>
      <c r="AH701" t="str">
        <f>IF(Transaction[[#This Row],[Quantity]]*Transaction[[#This Row],[UnitPrice_Clean]]=Transaction[[#This Row],[NetRevenue_Clean]],"Valid","Invalid")</f>
        <v>Valid</v>
      </c>
      <c r="AI701" t="s">
        <v>23</v>
      </c>
      <c r="AJ701" t="s">
        <v>2789</v>
      </c>
      <c r="AK701" t="str">
        <f>IF(Transaction[[#This Row],[Salesperson]]="","Missing Value",TRIM(PROPER(Transaction[[#This Row],[Salesperson]])))</f>
        <v>Stein</v>
      </c>
      <c r="AL701" t="s">
        <v>42</v>
      </c>
      <c r="AM701" t="str">
        <f>IF(Transaction[[#This Row],[ContractType]]="","Missing Value",Transaction[[#This Row],[ContractType]])</f>
        <v>Standard PO</v>
      </c>
      <c r="AN701" t="s">
        <v>49</v>
      </c>
    </row>
    <row r="702" spans="1:40" x14ac:dyDescent="0.25">
      <c r="A702" t="s">
        <v>3037</v>
      </c>
      <c r="B702" s="1">
        <v>45832</v>
      </c>
      <c r="C70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70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70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02" s="2">
        <f>IFERROR(DATE(Transaction[[#This Row],[TransactionDateY]],Transaction[[#This Row],[TransactionDateM]],Transaction[[#This Row],[TransactionDateD]]),"Missing Value")</f>
        <v>45832</v>
      </c>
      <c r="G702" t="s">
        <v>1015</v>
      </c>
      <c r="H702" t="str">
        <f>IFERROR(VLOOKUP(Transaction[[#This Row],[CustomerID]],Custumer[],1,0),IF(LEN(Transaction[[#This Row],[CustomerID]])=7,LEFT(Transaction[[#This Row],[CustomerID]],6),"Invalid ID"))</f>
        <v>C-1012</v>
      </c>
      <c r="I702" t="s">
        <v>62</v>
      </c>
      <c r="J702" t="str">
        <f>TRIM(UPPER(Transaction[[#This Row],[ProductID]]))</f>
        <v>P-SI-004</v>
      </c>
      <c r="K702" t="str">
        <f>IFERROR(VLOOKUP(Transaction[[#This Row],[ProductID_Clean]],Product[],1,FALSE),"Invalid ID")</f>
        <v>P-SI-004</v>
      </c>
      <c r="L702" t="str">
        <f>TRIM(SUBSTITUTE(SUBSTITUTE(SUBSTITUTE(SUBSTITUTE(UPPER(Transaction[[#This Row],[Region]]),"EMEA REGION","EMEA"),"APAC REGION","APAC"),"NORTH AMERICA","N. AMERICA"),"N .AMERICA","N.AMERICA"))</f>
        <v>N. AMERICA</v>
      </c>
      <c r="M702" t="s">
        <v>20</v>
      </c>
      <c r="N702" t="s">
        <v>53</v>
      </c>
      <c r="O70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02" t="s">
        <v>22</v>
      </c>
      <c r="Q702" t="str">
        <f>IF(TRIM(Transaction[[#This Row],[SalesChannel]])="","Missing Value",TRIM(Transaction[[#This Row],[SalesChannel]]))</f>
        <v>Direct</v>
      </c>
      <c r="R702" s="4">
        <v>2</v>
      </c>
      <c r="S702" s="4" t="str">
        <f>IF(Transaction[[#This Row],[Quantity]]&lt;0,"Negative-review","Valid")</f>
        <v>Valid</v>
      </c>
      <c r="T702">
        <v>2092.66</v>
      </c>
      <c r="U70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2092.66</v>
      </c>
      <c r="V702">
        <v>2450</v>
      </c>
      <c r="W702">
        <v>4900</v>
      </c>
      <c r="X70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</v>
      </c>
      <c r="Y702">
        <f>IF(Transaction[[#This Row],[GrossRevenue_Check]]="Invalid",Transaction[[#This Row],[ListPrice]]*Transaction[[#This Row],[Quantity]],Transaction[[#This Row],[GrossRevenue_Clean]])</f>
        <v>4900</v>
      </c>
      <c r="Z702" t="str">
        <f>IF(Transaction[[#This Row],[GrossRevenue_Clean]]=Transaction[[#This Row],[ListPrice]]*Transaction[[#This Row],[Quantity]],"Valid","Invalid")</f>
        <v>Valid</v>
      </c>
      <c r="AA702">
        <v>714.68</v>
      </c>
      <c r="AB70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714.68</v>
      </c>
      <c r="AC702">
        <f>IF(Transaction[[#This Row],[DiscountAmount_Check2]]="Invalid",Transaction[[#This Row],[GrossRevenue_Analytical]]-Transaction[[#This Row],[NetRevenue_Analytical]],Transaction[[#This Row],[DiscountAmount_Clean]])</f>
        <v>714.68</v>
      </c>
      <c r="AD702">
        <v>4185.32</v>
      </c>
      <c r="AE702" t="str">
        <f>IF(ROUND(Transaction[[#This Row],[GrossRevenue_Analytical]]-Transaction[[#This Row],[NetRevenue_Analytical]],2)=ROUND(Transaction[[#This Row],[DiscountAmount_Clean]],2),"Valid","Invalid")</f>
        <v>Valid</v>
      </c>
      <c r="AF702">
        <f>VALUE(IF(ISNUMBER(Transaction[[#This Row],[NetRevenue]]),Transaction[[#This Row],[NetRevenue]],IFERROR(IF(FIND("$",Transaction[[#This Row],[NetRevenue]])&gt;0,MID(Transaction[[#This Row],[NetRevenue]],2,10)),Transaction[[#This Row],[NetRevenue]])))</f>
        <v>4185.32</v>
      </c>
      <c r="AG702">
        <f>IF(Transaction[[#This Row],[NetRevenue_Check]]="Invalid",(Transaction[[#This Row],[Quantity]]*Transaction[[#This Row],[UnitPrice_Clean]]),Transaction[[#This Row],[NetRevenue_Clean]])</f>
        <v>4185.32</v>
      </c>
      <c r="AH702" t="str">
        <f>IF(Transaction[[#This Row],[Quantity]]*Transaction[[#This Row],[UnitPrice_Clean]]=Transaction[[#This Row],[NetRevenue_Clean]],"Valid","Invalid")</f>
        <v>Valid</v>
      </c>
      <c r="AI702" t="s">
        <v>23</v>
      </c>
      <c r="AJ702" t="s">
        <v>2530</v>
      </c>
      <c r="AK702" t="str">
        <f>IF(Transaction[[#This Row],[Salesperson]]="","Missing Value",TRIM(PROPER(Transaction[[#This Row],[Salesperson]])))</f>
        <v>Perez</v>
      </c>
      <c r="AL702" t="s">
        <v>25</v>
      </c>
      <c r="AM702" t="str">
        <f>IF(Transaction[[#This Row],[ContractType]]="","Missing Value",Transaction[[#This Row],[ContractType]])</f>
        <v>Frame Agreement</v>
      </c>
      <c r="AN702" t="s">
        <v>65</v>
      </c>
    </row>
    <row r="703" spans="1:40" x14ac:dyDescent="0.25">
      <c r="A703" t="s">
        <v>604</v>
      </c>
      <c r="B703" s="1">
        <v>45828</v>
      </c>
      <c r="C70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70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70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03" s="2">
        <f>IFERROR(DATE(Transaction[[#This Row],[TransactionDateY]],Transaction[[#This Row],[TransactionDateM]],Transaction[[#This Row],[TransactionDateD]]),"Missing Value")</f>
        <v>45828</v>
      </c>
      <c r="G703" t="s">
        <v>605</v>
      </c>
      <c r="H703" t="str">
        <f>IFERROR(VLOOKUP(Transaction[[#This Row],[CustomerID]],Custumer[],1,0),IF(LEN(Transaction[[#This Row],[CustomerID]])=7,LEFT(Transaction[[#This Row],[CustomerID]],6),"Invalid ID"))</f>
        <v>C-1086</v>
      </c>
      <c r="I703" t="s">
        <v>258</v>
      </c>
      <c r="J703" t="str">
        <f>TRIM(UPPER(Transaction[[#This Row],[ProductID]]))</f>
        <v>P-SA-003</v>
      </c>
      <c r="K703" t="str">
        <f>IFERROR(VLOOKUP(Transaction[[#This Row],[ProductID_Clean]],Product[],1,FALSE),"Invalid ID")</f>
        <v>P-SA-003</v>
      </c>
      <c r="L703" t="str">
        <f>TRIM(SUBSTITUTE(SUBSTITUTE(SUBSTITUTE(SUBSTITUTE(UPPER(Transaction[[#This Row],[Region]]),"EMEA REGION","EMEA"),"APAC REGION","APAC"),"NORTH AMERICA","N. AMERICA"),"N .AMERICA","N.AMERICA"))</f>
        <v>EMEA</v>
      </c>
      <c r="M703" t="s">
        <v>76</v>
      </c>
      <c r="N703" t="s">
        <v>31</v>
      </c>
      <c r="O70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703" t="s">
        <v>40</v>
      </c>
      <c r="Q703" t="str">
        <f>IF(TRIM(Transaction[[#This Row],[SalesChannel]])="","Missing Value",TRIM(Transaction[[#This Row],[SalesChannel]]))</f>
        <v>Distributor</v>
      </c>
      <c r="R703" s="4">
        <v>2</v>
      </c>
      <c r="S703" s="4" t="str">
        <f>IF(Transaction[[#This Row],[Quantity]]&lt;0,"Negative-review","Valid")</f>
        <v>Valid</v>
      </c>
      <c r="T703" t="s">
        <v>606</v>
      </c>
      <c r="U70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2494.11</v>
      </c>
      <c r="V703">
        <v>2750</v>
      </c>
      <c r="W703">
        <v>5500</v>
      </c>
      <c r="X70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5500</v>
      </c>
      <c r="Y703">
        <f>IF(Transaction[[#This Row],[GrossRevenue_Check]]="Invalid",Transaction[[#This Row],[ListPrice]]*Transaction[[#This Row],[Quantity]],Transaction[[#This Row],[GrossRevenue_Clean]])</f>
        <v>5500</v>
      </c>
      <c r="Z703" t="str">
        <f>IF(Transaction[[#This Row],[GrossRevenue_Clean]]=Transaction[[#This Row],[ListPrice]]*Transaction[[#This Row],[Quantity]],"Valid","Invalid")</f>
        <v>Valid</v>
      </c>
      <c r="AA703">
        <v>511.78</v>
      </c>
      <c r="AB70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511.78</v>
      </c>
      <c r="AC703">
        <f>IF(Transaction[[#This Row],[DiscountAmount_Check2]]="Invalid",Transaction[[#This Row],[GrossRevenue_Analytical]]-Transaction[[#This Row],[NetRevenue_Analytical]],Transaction[[#This Row],[DiscountAmount_Clean]])</f>
        <v>511.78</v>
      </c>
      <c r="AD703">
        <v>4988.22</v>
      </c>
      <c r="AE703" t="str">
        <f>IF(ROUND(Transaction[[#This Row],[GrossRevenue_Analytical]]-Transaction[[#This Row],[NetRevenue_Analytical]],2)=ROUND(Transaction[[#This Row],[DiscountAmount_Clean]],2),"Valid","Invalid")</f>
        <v>Valid</v>
      </c>
      <c r="AF703">
        <f>VALUE(IF(ISNUMBER(Transaction[[#This Row],[NetRevenue]]),Transaction[[#This Row],[NetRevenue]],IFERROR(IF(FIND("$",Transaction[[#This Row],[NetRevenue]])&gt;0,MID(Transaction[[#This Row],[NetRevenue]],2,10)),Transaction[[#This Row],[NetRevenue]])))</f>
        <v>4988.22</v>
      </c>
      <c r="AG703">
        <f>IF(Transaction[[#This Row],[NetRevenue_Check]]="Invalid",(Transaction[[#This Row],[Quantity]]*Transaction[[#This Row],[UnitPrice_Clean]]),Transaction[[#This Row],[NetRevenue_Clean]])</f>
        <v>4988.22</v>
      </c>
      <c r="AH703" t="str">
        <f>IF(Transaction[[#This Row],[Quantity]]*Transaction[[#This Row],[UnitPrice_Clean]]=Transaction[[#This Row],[NetRevenue_Clean]],"Valid","Invalid")</f>
        <v>Valid</v>
      </c>
      <c r="AI703" t="s">
        <v>23</v>
      </c>
      <c r="AJ703" t="s">
        <v>607</v>
      </c>
      <c r="AK703" t="str">
        <f>IF(Transaction[[#This Row],[Salesperson]]="","Missing Value",TRIM(PROPER(Transaction[[#This Row],[Salesperson]])))</f>
        <v>Hall</v>
      </c>
      <c r="AL703" t="s">
        <v>34</v>
      </c>
      <c r="AM703" t="str">
        <f>IF(Transaction[[#This Row],[ContractType]]="","Missing Value",Transaction[[#This Row],[ContractType]])</f>
        <v>Annual License</v>
      </c>
      <c r="AN703" t="s">
        <v>35</v>
      </c>
    </row>
    <row r="704" spans="1:40" x14ac:dyDescent="0.25">
      <c r="A704" t="s">
        <v>17</v>
      </c>
      <c r="B704" s="1">
        <v>45674</v>
      </c>
      <c r="C70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70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70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04" s="2">
        <f>IFERROR(DATE(Transaction[[#This Row],[TransactionDateY]],Transaction[[#This Row],[TransactionDateM]],Transaction[[#This Row],[TransactionDateD]]),"Missing Value")</f>
        <v>45674</v>
      </c>
      <c r="G704" t="s">
        <v>18</v>
      </c>
      <c r="H704" t="str">
        <f>IFERROR(VLOOKUP(Transaction[[#This Row],[CustomerID]],Custumer[],1,0),IF(LEN(Transaction[[#This Row],[CustomerID]])=7,LEFT(Transaction[[#This Row],[CustomerID]],6),"Invalid ID"))</f>
        <v>C-1048</v>
      </c>
      <c r="I704" t="s">
        <v>19</v>
      </c>
      <c r="J704" t="str">
        <f>TRIM(UPPER(Transaction[[#This Row],[ProductID]]))</f>
        <v>P-FS-004</v>
      </c>
      <c r="K704" t="str">
        <f>IFERROR(VLOOKUP(Transaction[[#This Row],[ProductID_Clean]],Product[],1,FALSE),"Invalid ID")</f>
        <v>P-FS-004</v>
      </c>
      <c r="L704" t="str">
        <f>TRIM(SUBSTITUTE(SUBSTITUTE(SUBSTITUTE(SUBSTITUTE(UPPER(Transaction[[#This Row],[Region]]),"EMEA REGION","EMEA"),"APAC REGION","APAC"),"NORTH AMERICA","N. AMERICA"),"N .AMERICA","N.AMERICA"))</f>
        <v>N. AMERICA</v>
      </c>
      <c r="M704" t="s">
        <v>20</v>
      </c>
      <c r="N704" t="s">
        <v>21</v>
      </c>
      <c r="O70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704" t="s">
        <v>22</v>
      </c>
      <c r="Q704" t="str">
        <f>IF(TRIM(Transaction[[#This Row],[SalesChannel]])="","Missing Value",TRIM(Transaction[[#This Row],[SalesChannel]]))</f>
        <v>Direct</v>
      </c>
      <c r="R704" s="4">
        <v>1</v>
      </c>
      <c r="S704" s="4" t="str">
        <f>IF(Transaction[[#This Row],[Quantity]]&lt;0,"Negative-review","Valid")</f>
        <v>Valid</v>
      </c>
      <c r="T704">
        <v>2600.35</v>
      </c>
      <c r="U70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2600.35</v>
      </c>
      <c r="V704">
        <v>3200</v>
      </c>
      <c r="W704">
        <v>3200</v>
      </c>
      <c r="X70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704">
        <f>IF(Transaction[[#This Row],[GrossRevenue_Check]]="Invalid",Transaction[[#This Row],[ListPrice]]*Transaction[[#This Row],[Quantity]],Transaction[[#This Row],[GrossRevenue_Clean]])</f>
        <v>3200</v>
      </c>
      <c r="Z704" t="str">
        <f>IF(Transaction[[#This Row],[GrossRevenue_Clean]]=Transaction[[#This Row],[ListPrice]]*Transaction[[#This Row],[Quantity]],"Valid","Invalid")</f>
        <v>Valid</v>
      </c>
      <c r="AA704">
        <v>599.65</v>
      </c>
      <c r="AB70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599.65</v>
      </c>
      <c r="AC704">
        <f>IF(Transaction[[#This Row],[DiscountAmount_Check2]]="Invalid",Transaction[[#This Row],[GrossRevenue_Analytical]]-Transaction[[#This Row],[NetRevenue_Analytical]],Transaction[[#This Row],[DiscountAmount_Clean]])</f>
        <v>599.65</v>
      </c>
      <c r="AD704">
        <v>2600.35</v>
      </c>
      <c r="AE704" t="str">
        <f>IF(ROUND(Transaction[[#This Row],[GrossRevenue_Analytical]]-Transaction[[#This Row],[NetRevenue_Analytical]],2)=ROUND(Transaction[[#This Row],[DiscountAmount_Clean]],2),"Valid","Invalid")</f>
        <v>Valid</v>
      </c>
      <c r="AF70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2600.35</v>
      </c>
      <c r="AG704">
        <f>IF(Transaction[[#This Row],[NetRevenue_Check]]="Invalid",(Transaction[[#This Row],[Quantity]]*Transaction[[#This Row],[UnitPrice_Clean]]),Transaction[[#This Row],[NetRevenue_Clean]])</f>
        <v>2600.35</v>
      </c>
      <c r="AH704" t="str">
        <f>IF(Transaction[[#This Row],[Quantity]]*Transaction[[#This Row],[UnitPrice_Clean]]=Transaction[[#This Row],[NetRevenue_Clean]],"Valid","Invalid")</f>
        <v>Valid</v>
      </c>
      <c r="AI704" t="s">
        <v>23</v>
      </c>
      <c r="AJ704" t="s">
        <v>24</v>
      </c>
      <c r="AK704" t="str">
        <f>IF(Transaction[[#This Row],[Salesperson]]="","Missing Value",TRIM(PROPER(Transaction[[#This Row],[Salesperson]])))</f>
        <v>Garcia-Em</v>
      </c>
      <c r="AL704" t="s">
        <v>25</v>
      </c>
      <c r="AM704" t="str">
        <f>IF(Transaction[[#This Row],[ContractType]]="","Missing Value",Transaction[[#This Row],[ContractType]])</f>
        <v>Frame Agreement</v>
      </c>
      <c r="AN704" t="s">
        <v>26</v>
      </c>
    </row>
    <row r="705" spans="1:40" x14ac:dyDescent="0.25">
      <c r="A705" t="s">
        <v>2981</v>
      </c>
      <c r="B705" s="1">
        <v>45796</v>
      </c>
      <c r="C70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70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70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05" s="2">
        <f>IFERROR(DATE(Transaction[[#This Row],[TransactionDateY]],Transaction[[#This Row],[TransactionDateM]],Transaction[[#This Row],[TransactionDateD]]),"Missing Value")</f>
        <v>45796</v>
      </c>
      <c r="G705" t="s">
        <v>473</v>
      </c>
      <c r="H705" t="str">
        <f>IFERROR(VLOOKUP(Transaction[[#This Row],[CustomerID]],Custumer[],1,0),IF(LEN(Transaction[[#This Row],[CustomerID]])=7,LEFT(Transaction[[#This Row],[CustomerID]],6),"Invalid ID"))</f>
        <v>C-1016</v>
      </c>
      <c r="I705" t="s">
        <v>103</v>
      </c>
      <c r="J705" t="str">
        <f>TRIM(UPPER(Transaction[[#This Row],[ProductID]]))</f>
        <v>P-FS-005</v>
      </c>
      <c r="K705" t="str">
        <f>IFERROR(VLOOKUP(Transaction[[#This Row],[ProductID_Clean]],Product[],1,FALSE),"Invalid ID")</f>
        <v>P-FS-005</v>
      </c>
      <c r="L705" t="str">
        <f>TRIM(SUBSTITUTE(SUBSTITUTE(SUBSTITUTE(SUBSTITUTE(UPPER(Transaction[[#This Row],[Region]]),"EMEA REGION","EMEA"),"APAC REGION","APAC"),"NORTH AMERICA","N. AMERICA"),"N .AMERICA","N.AMERICA"))</f>
        <v>APAC</v>
      </c>
      <c r="M705" t="s">
        <v>30</v>
      </c>
      <c r="N705" t="s">
        <v>21</v>
      </c>
      <c r="O70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705" t="s">
        <v>40</v>
      </c>
      <c r="Q705" t="str">
        <f>IF(TRIM(Transaction[[#This Row],[SalesChannel]])="","Missing Value",TRIM(Transaction[[#This Row],[SalesChannel]]))</f>
        <v>Distributor</v>
      </c>
      <c r="R705" s="4">
        <v>1</v>
      </c>
      <c r="S705" s="4" t="str">
        <f>IF(Transaction[[#This Row],[Quantity]]&lt;0,"Negative-review","Valid")</f>
        <v>Valid</v>
      </c>
      <c r="T705">
        <v>663.48</v>
      </c>
      <c r="U70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663.48</v>
      </c>
      <c r="V705">
        <v>950</v>
      </c>
      <c r="W705">
        <v>950</v>
      </c>
      <c r="X70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705">
        <f>IF(Transaction[[#This Row],[GrossRevenue_Check]]="Invalid",Transaction[[#This Row],[ListPrice]]*Transaction[[#This Row],[Quantity]],Transaction[[#This Row],[GrossRevenue_Clean]])</f>
        <v>950</v>
      </c>
      <c r="Z705" t="str">
        <f>IF(Transaction[[#This Row],[GrossRevenue_Clean]]=Transaction[[#This Row],[ListPrice]]*Transaction[[#This Row],[Quantity]],"Valid","Invalid")</f>
        <v>Valid</v>
      </c>
      <c r="AA705">
        <v>286.52</v>
      </c>
      <c r="AB70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286.52</v>
      </c>
      <c r="AC705">
        <f>IF(Transaction[[#This Row],[DiscountAmount_Check2]]="Invalid",Transaction[[#This Row],[GrossRevenue_Analytical]]-Transaction[[#This Row],[NetRevenue_Analytical]],Transaction[[#This Row],[DiscountAmount_Clean]])</f>
        <v>286.52</v>
      </c>
      <c r="AD705">
        <v>663.48</v>
      </c>
      <c r="AE705" t="str">
        <f>IF(ROUND(Transaction[[#This Row],[GrossRevenue_Analytical]]-Transaction[[#This Row],[NetRevenue_Analytical]],2)=ROUND(Transaction[[#This Row],[DiscountAmount_Clean]],2),"Valid","Invalid")</f>
        <v>Valid</v>
      </c>
      <c r="AF705">
        <f>VALUE(IF(ISNUMBER(Transaction[[#This Row],[NetRevenue]]),Transaction[[#This Row],[NetRevenue]],IFERROR(IF(FIND("$",Transaction[[#This Row],[NetRevenue]])&gt;0,MID(Transaction[[#This Row],[NetRevenue]],2,10)),Transaction[[#This Row],[NetRevenue]])))</f>
        <v>663.48</v>
      </c>
      <c r="AG705">
        <f>IF(Transaction[[#This Row],[NetRevenue_Check]]="Invalid",(Transaction[[#This Row],[Quantity]]*Transaction[[#This Row],[UnitPrice_Clean]]),Transaction[[#This Row],[NetRevenue_Clean]])</f>
        <v>663.48</v>
      </c>
      <c r="AH705" t="str">
        <f>IF(Transaction[[#This Row],[Quantity]]*Transaction[[#This Row],[UnitPrice_Clean]]=Transaction[[#This Row],[NetRevenue_Clean]],"Valid","Invalid")</f>
        <v>Valid</v>
      </c>
      <c r="AI705" t="s">
        <v>23</v>
      </c>
      <c r="AJ705" t="s">
        <v>488</v>
      </c>
      <c r="AK705" t="str">
        <f>IF(Transaction[[#This Row],[Salesperson]]="","Missing Value",TRIM(PROPER(Transaction[[#This Row],[Salesperson]])))</f>
        <v>Rivera</v>
      </c>
      <c r="AL705" t="s">
        <v>25</v>
      </c>
      <c r="AM705" t="str">
        <f>IF(Transaction[[#This Row],[ContractType]]="","Missing Value",Transaction[[#This Row],[ContractType]])</f>
        <v>Frame Agreement</v>
      </c>
      <c r="AN705" t="s">
        <v>26</v>
      </c>
    </row>
    <row r="706" spans="1:40" x14ac:dyDescent="0.25">
      <c r="A706" t="s">
        <v>2336</v>
      </c>
      <c r="B706" s="1">
        <v>45734</v>
      </c>
      <c r="C70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70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70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06" s="2">
        <f>IFERROR(DATE(Transaction[[#This Row],[TransactionDateY]],Transaction[[#This Row],[TransactionDateM]],Transaction[[#This Row],[TransactionDateD]]),"Missing Value")</f>
        <v>45734</v>
      </c>
      <c r="G706" t="s">
        <v>271</v>
      </c>
      <c r="H706" t="str">
        <f>IFERROR(VLOOKUP(Transaction[[#This Row],[CustomerID]],Custumer[],1,0),IF(LEN(Transaction[[#This Row],[CustomerID]])=7,LEFT(Transaction[[#This Row],[CustomerID]],6),"Invalid ID"))</f>
        <v>C-1113</v>
      </c>
      <c r="I706" t="s">
        <v>226</v>
      </c>
      <c r="J706" t="str">
        <f>TRIM(UPPER(Transaction[[#This Row],[ProductID]]))</f>
        <v>P-SA-002</v>
      </c>
      <c r="K706" t="str">
        <f>IFERROR(VLOOKUP(Transaction[[#This Row],[ProductID_Clean]],Product[],1,FALSE),"Invalid ID")</f>
        <v>P-SA-002</v>
      </c>
      <c r="L706" t="str">
        <f>TRIM(SUBSTITUTE(SUBSTITUTE(SUBSTITUTE(SUBSTITUTE(UPPER(Transaction[[#This Row],[Region]]),"EMEA REGION","EMEA"),"APAC REGION","APAC"),"NORTH AMERICA","N. AMERICA"),"N .AMERICA","N.AMERICA"))</f>
        <v>N. AMERICA</v>
      </c>
      <c r="M706" t="s">
        <v>20</v>
      </c>
      <c r="N706" t="s">
        <v>31</v>
      </c>
      <c r="O70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706" t="s">
        <v>181</v>
      </c>
      <c r="Q706" t="str">
        <f>IF(TRIM(Transaction[[#This Row],[SalesChannel]])="","Missing Value",TRIM(Transaction[[#This Row],[SalesChannel]]))</f>
        <v>Partner Portal</v>
      </c>
      <c r="R706" s="4">
        <v>1</v>
      </c>
      <c r="S706" s="4" t="str">
        <f>IF(Transaction[[#This Row],[Quantity]]&lt;0,"Negative-review","Valid")</f>
        <v>Valid</v>
      </c>
      <c r="T706">
        <v>8754.5300000000007</v>
      </c>
      <c r="U70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8754.5300000000007</v>
      </c>
      <c r="V706">
        <v>9800</v>
      </c>
      <c r="W706">
        <v>9800</v>
      </c>
      <c r="X70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706">
        <f>IF(Transaction[[#This Row],[GrossRevenue_Check]]="Invalid",Transaction[[#This Row],[ListPrice]]*Transaction[[#This Row],[Quantity]],Transaction[[#This Row],[GrossRevenue_Clean]])</f>
        <v>9800</v>
      </c>
      <c r="Z706" t="str">
        <f>IF(Transaction[[#This Row],[GrossRevenue_Clean]]=Transaction[[#This Row],[ListPrice]]*Transaction[[#This Row],[Quantity]],"Valid","Invalid")</f>
        <v>Valid</v>
      </c>
      <c r="AA706">
        <v>1045.47</v>
      </c>
      <c r="AB70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1045.47</v>
      </c>
      <c r="AC706">
        <f>IF(Transaction[[#This Row],[DiscountAmount_Check2]]="Invalid",Transaction[[#This Row],[GrossRevenue_Analytical]]-Transaction[[#This Row],[NetRevenue_Analytical]],Transaction[[#This Row],[DiscountAmount_Clean]])</f>
        <v>1045.47</v>
      </c>
      <c r="AD706">
        <v>8754.5300000000007</v>
      </c>
      <c r="AE706" t="str">
        <f>IF(ROUND(Transaction[[#This Row],[GrossRevenue_Analytical]]-Transaction[[#This Row],[NetRevenue_Analytical]],2)=ROUND(Transaction[[#This Row],[DiscountAmount_Clean]],2),"Valid","Invalid")</f>
        <v>Valid</v>
      </c>
      <c r="AF706">
        <f>VALUE(IF(ISNUMBER(Transaction[[#This Row],[NetRevenue]]),Transaction[[#This Row],[NetRevenue]],IFERROR(IF(FIND("$",Transaction[[#This Row],[NetRevenue]])&gt;0,MID(Transaction[[#This Row],[NetRevenue]],2,10)),Transaction[[#This Row],[NetRevenue]])))</f>
        <v>8754.5300000000007</v>
      </c>
      <c r="AG706">
        <f>IF(Transaction[[#This Row],[NetRevenue_Check]]="Invalid",(Transaction[[#This Row],[Quantity]]*Transaction[[#This Row],[UnitPrice_Clean]]),Transaction[[#This Row],[NetRevenue_Clean]])</f>
        <v>8754.5300000000007</v>
      </c>
      <c r="AH706" t="str">
        <f>IF(Transaction[[#This Row],[Quantity]]*Transaction[[#This Row],[UnitPrice_Clean]]=Transaction[[#This Row],[NetRevenue_Clean]],"Valid","Invalid")</f>
        <v>Valid</v>
      </c>
      <c r="AI706" t="s">
        <v>23</v>
      </c>
      <c r="AJ706" t="s">
        <v>1024</v>
      </c>
      <c r="AK706" t="str">
        <f>IF(Transaction[[#This Row],[Salesperson]]="","Missing Value",TRIM(PROPER(Transaction[[#This Row],[Salesperson]])))</f>
        <v>Kennedy</v>
      </c>
      <c r="AL706" t="s">
        <v>34</v>
      </c>
      <c r="AM706" t="str">
        <f>IF(Transaction[[#This Row],[ContractType]]="","Missing Value",Transaction[[#This Row],[ContractType]])</f>
        <v>Annual License</v>
      </c>
      <c r="AN706" t="s">
        <v>35</v>
      </c>
    </row>
    <row r="707" spans="1:40" x14ac:dyDescent="0.25">
      <c r="A707" t="s">
        <v>1854</v>
      </c>
      <c r="B707" t="s">
        <v>1855</v>
      </c>
      <c r="C70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70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29</v>
      </c>
      <c r="E70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07" s="2">
        <f>IFERROR(DATE(Transaction[[#This Row],[TransactionDateY]],Transaction[[#This Row],[TransactionDateM]],Transaction[[#This Row],[TransactionDateD]]),"Missing Value")</f>
        <v>45837</v>
      </c>
      <c r="G707" t="s">
        <v>405</v>
      </c>
      <c r="H707" t="str">
        <f>IFERROR(VLOOKUP(Transaction[[#This Row],[CustomerID]],Custumer[],1,0),IF(LEN(Transaction[[#This Row],[CustomerID]])=7,LEFT(Transaction[[#This Row],[CustomerID]],6),"Invalid ID"))</f>
        <v>C-1163</v>
      </c>
      <c r="I707" t="s">
        <v>46</v>
      </c>
      <c r="J707" t="str">
        <f>TRIM(UPPER(Transaction[[#This Row],[ProductID]]))</f>
        <v>P-SI-006</v>
      </c>
      <c r="K707" t="str">
        <f>IFERROR(VLOOKUP(Transaction[[#This Row],[ProductID_Clean]],Product[],1,FALSE),"Invalid ID")</f>
        <v>P-SI-006</v>
      </c>
      <c r="L707" t="str">
        <f>TRIM(SUBSTITUTE(SUBSTITUTE(SUBSTITUTE(SUBSTITUTE(UPPER(Transaction[[#This Row],[Region]]),"EMEA REGION","EMEA"),"APAC REGION","APAC"),"NORTH AMERICA","N. AMERICA"),"N .AMERICA","N.AMERICA"))</f>
        <v>APAC</v>
      </c>
      <c r="M707" t="s">
        <v>30</v>
      </c>
      <c r="N707" t="s">
        <v>53</v>
      </c>
      <c r="O70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07" t="s">
        <v>22</v>
      </c>
      <c r="Q707" t="str">
        <f>IF(TRIM(Transaction[[#This Row],[SalesChannel]])="","Missing Value",TRIM(Transaction[[#This Row],[SalesChannel]]))</f>
        <v>Direct</v>
      </c>
      <c r="R707" s="4">
        <v>5</v>
      </c>
      <c r="S707" s="4" t="str">
        <f>IF(Transaction[[#This Row],[Quantity]]&lt;0,"Negative-review","Valid")</f>
        <v>Valid</v>
      </c>
      <c r="T707">
        <v>165.1</v>
      </c>
      <c r="U70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165.1</v>
      </c>
      <c r="V707">
        <v>215</v>
      </c>
      <c r="W707">
        <v>1075</v>
      </c>
      <c r="X70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1075</v>
      </c>
      <c r="Y707">
        <f>IF(Transaction[[#This Row],[GrossRevenue_Check]]="Invalid",Transaction[[#This Row],[ListPrice]]*Transaction[[#This Row],[Quantity]],Transaction[[#This Row],[GrossRevenue_Clean]])</f>
        <v>1075</v>
      </c>
      <c r="Z707" t="str">
        <f>IF(Transaction[[#This Row],[GrossRevenue_Clean]]=Transaction[[#This Row],[ListPrice]]*Transaction[[#This Row],[Quantity]],"Valid","Invalid")</f>
        <v>Valid</v>
      </c>
      <c r="AA707">
        <v>249.5</v>
      </c>
      <c r="AB70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249.5</v>
      </c>
      <c r="AC707">
        <f>IF(Transaction[[#This Row],[DiscountAmount_Check2]]="Invalid",Transaction[[#This Row],[GrossRevenue_Analytical]]-Transaction[[#This Row],[NetRevenue_Analytical]],Transaction[[#This Row],[DiscountAmount_Clean]])</f>
        <v>249.5</v>
      </c>
      <c r="AD707">
        <v>825.5</v>
      </c>
      <c r="AE707" t="str">
        <f>IF(ROUND(Transaction[[#This Row],[GrossRevenue_Analytical]]-Transaction[[#This Row],[NetRevenue_Analytical]],2)=ROUND(Transaction[[#This Row],[DiscountAmount_Clean]],2),"Valid","Invalid")</f>
        <v>Valid</v>
      </c>
      <c r="AF707">
        <f>VALUE(IF(ISNUMBER(Transaction[[#This Row],[NetRevenue]]),Transaction[[#This Row],[NetRevenue]],IFERROR(IF(FIND("$",Transaction[[#This Row],[NetRevenue]])&gt;0,MID(Transaction[[#This Row],[NetRevenue]],2,10)),Transaction[[#This Row],[NetRevenue]])))</f>
        <v>825.5</v>
      </c>
      <c r="AG707">
        <f>IF(Transaction[[#This Row],[NetRevenue_Check]]="Invalid",(Transaction[[#This Row],[Quantity]]*Transaction[[#This Row],[UnitPrice_Clean]]),Transaction[[#This Row],[NetRevenue_Clean]])</f>
        <v>825.5</v>
      </c>
      <c r="AH707" t="str">
        <f>IF(Transaction[[#This Row],[Quantity]]*Transaction[[#This Row],[UnitPrice_Clean]]=Transaction[[#This Row],[NetRevenue_Clean]],"Valid","Invalid")</f>
        <v>Valid</v>
      </c>
      <c r="AI707" t="s">
        <v>23</v>
      </c>
      <c r="AJ707" t="s">
        <v>1856</v>
      </c>
      <c r="AK707" t="str">
        <f>IF(Transaction[[#This Row],[Salesperson]]="","Missing Value",TRIM(PROPER(Transaction[[#This Row],[Salesperson]])))</f>
        <v>Maldonado</v>
      </c>
      <c r="AL707" t="s">
        <v>42</v>
      </c>
      <c r="AM707" t="str">
        <f>IF(Transaction[[#This Row],[ContractType]]="","Missing Value",Transaction[[#This Row],[ContractType]])</f>
        <v>Standard PO</v>
      </c>
      <c r="AN707" t="s">
        <v>65</v>
      </c>
    </row>
    <row r="708" spans="1:40" x14ac:dyDescent="0.25">
      <c r="A708" t="s">
        <v>587</v>
      </c>
      <c r="B708" s="1">
        <v>45788</v>
      </c>
      <c r="C70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70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70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08" s="2">
        <f>IFERROR(DATE(Transaction[[#This Row],[TransactionDateY]],Transaction[[#This Row],[TransactionDateM]],Transaction[[#This Row],[TransactionDateD]]),"Missing Value")</f>
        <v>45788</v>
      </c>
      <c r="G708" t="s">
        <v>541</v>
      </c>
      <c r="H708" t="str">
        <f>IFERROR(VLOOKUP(Transaction[[#This Row],[CustomerID]],Custumer[],1,0),IF(LEN(Transaction[[#This Row],[CustomerID]])=7,LEFT(Transaction[[#This Row],[CustomerID]],6),"Invalid ID"))</f>
        <v>C-1075</v>
      </c>
      <c r="I708" t="s">
        <v>111</v>
      </c>
      <c r="J708" t="str">
        <f>TRIM(UPPER(Transaction[[#This Row],[ProductID]]))</f>
        <v>P-SA-004</v>
      </c>
      <c r="K708" t="str">
        <f>IFERROR(VLOOKUP(Transaction[[#This Row],[ProductID_Clean]],Product[],1,FALSE),"Invalid ID")</f>
        <v>P-SA-004</v>
      </c>
      <c r="L708" t="str">
        <f>TRIM(SUBSTITUTE(SUBSTITUTE(SUBSTITUTE(SUBSTITUTE(UPPER(Transaction[[#This Row],[Region]]),"EMEA REGION","EMEA"),"APAC REGION","APAC"),"NORTH AMERICA","N. AMERICA"),"N .AMERICA","N.AMERICA"))</f>
        <v>N. AMERICA</v>
      </c>
      <c r="M708" t="s">
        <v>20</v>
      </c>
      <c r="N708" t="s">
        <v>31</v>
      </c>
      <c r="O70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708" t="s">
        <v>420</v>
      </c>
      <c r="Q708" t="str">
        <f>IF(TRIM(Transaction[[#This Row],[SalesChannel]])="","Missing Value",TRIM(Transaction[[#This Row],[SalesChannel]]))</f>
        <v>partner portal</v>
      </c>
      <c r="R708" s="4">
        <v>1</v>
      </c>
      <c r="S708" s="4" t="str">
        <f>IF(Transaction[[#This Row],[Quantity]]&lt;0,"Negative-review","Valid")</f>
        <v>Valid</v>
      </c>
      <c r="T708">
        <v>1376.78</v>
      </c>
      <c r="U70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1376.78</v>
      </c>
      <c r="V708">
        <v>1650</v>
      </c>
      <c r="W708">
        <v>1650</v>
      </c>
      <c r="X70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708">
        <f>IF(Transaction[[#This Row],[GrossRevenue_Check]]="Invalid",Transaction[[#This Row],[ListPrice]]*Transaction[[#This Row],[Quantity]],Transaction[[#This Row],[GrossRevenue_Clean]])</f>
        <v>1650</v>
      </c>
      <c r="Z708" t="str">
        <f>IF(Transaction[[#This Row],[GrossRevenue_Clean]]=Transaction[[#This Row],[ListPrice]]*Transaction[[#This Row],[Quantity]],"Valid","Invalid")</f>
        <v>Valid</v>
      </c>
      <c r="AA708">
        <v>273.22000000000003</v>
      </c>
      <c r="AB70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273.22000000000003</v>
      </c>
      <c r="AC708">
        <f>IF(Transaction[[#This Row],[DiscountAmount_Check2]]="Invalid",Transaction[[#This Row],[GrossRevenue_Analytical]]-Transaction[[#This Row],[NetRevenue_Analytical]],Transaction[[#This Row],[DiscountAmount_Clean]])</f>
        <v>273.22000000000003</v>
      </c>
      <c r="AD708">
        <v>1376.78</v>
      </c>
      <c r="AE708" t="str">
        <f>IF(ROUND(Transaction[[#This Row],[GrossRevenue_Analytical]]-Transaction[[#This Row],[NetRevenue_Analytical]],2)=ROUND(Transaction[[#This Row],[DiscountAmount_Clean]],2),"Valid","Invalid")</f>
        <v>Valid</v>
      </c>
      <c r="AF70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1376.78</v>
      </c>
      <c r="AG708">
        <f>IF(Transaction[[#This Row],[NetRevenue_Check]]="Invalid",(Transaction[[#This Row],[Quantity]]*Transaction[[#This Row],[UnitPrice_Clean]]),Transaction[[#This Row],[NetRevenue_Clean]])</f>
        <v>1376.78</v>
      </c>
      <c r="AH708" t="str">
        <f>IF(Transaction[[#This Row],[Quantity]]*Transaction[[#This Row],[UnitPrice_Clean]]=Transaction[[#This Row],[NetRevenue_Clean]],"Valid","Invalid")</f>
        <v>Valid</v>
      </c>
      <c r="AI708" t="s">
        <v>23</v>
      </c>
      <c r="AJ708" t="s">
        <v>588</v>
      </c>
      <c r="AK708" t="str">
        <f>IF(Transaction[[#This Row],[Salesperson]]="","Missing Value",TRIM(PROPER(Transaction[[#This Row],[Salesperson]])))</f>
        <v>Taylor</v>
      </c>
      <c r="AL708" t="s">
        <v>34</v>
      </c>
      <c r="AM708" t="str">
        <f>IF(Transaction[[#This Row],[ContractType]]="","Missing Value",Transaction[[#This Row],[ContractType]])</f>
        <v>Annual License</v>
      </c>
      <c r="AN708" t="s">
        <v>49</v>
      </c>
    </row>
    <row r="709" spans="1:40" x14ac:dyDescent="0.25">
      <c r="A709" t="s">
        <v>1204</v>
      </c>
      <c r="B709" s="1">
        <v>45689</v>
      </c>
      <c r="C70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70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70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09" s="2">
        <f>IFERROR(DATE(Transaction[[#This Row],[TransactionDateY]],Transaction[[#This Row],[TransactionDateM]],Transaction[[#This Row],[TransactionDateD]]),"Missing Value")</f>
        <v>45689</v>
      </c>
      <c r="G709" t="s">
        <v>110</v>
      </c>
      <c r="H709" t="str">
        <f>IFERROR(VLOOKUP(Transaction[[#This Row],[CustomerID]],Custumer[],1,0),IF(LEN(Transaction[[#This Row],[CustomerID]])=7,LEFT(Transaction[[#This Row],[CustomerID]],6),"Invalid ID"))</f>
        <v>C-1100</v>
      </c>
      <c r="I709" t="s">
        <v>117</v>
      </c>
      <c r="J709" t="str">
        <f>TRIM(UPPER(Transaction[[#This Row],[ProductID]]))</f>
        <v>P-SI-007</v>
      </c>
      <c r="K709" t="str">
        <f>IFERROR(VLOOKUP(Transaction[[#This Row],[ProductID_Clean]],Product[],1,FALSE),"Invalid ID")</f>
        <v>P-SI-007</v>
      </c>
      <c r="L709" t="str">
        <f>TRIM(SUBSTITUTE(SUBSTITUTE(SUBSTITUTE(SUBSTITUTE(UPPER(Transaction[[#This Row],[Region]]),"EMEA REGION","EMEA"),"APAC REGION","APAC"),"NORTH AMERICA","N. AMERICA"),"N .AMERICA","N.AMERICA"))</f>
        <v>EMEA</v>
      </c>
      <c r="M709" t="s">
        <v>177</v>
      </c>
      <c r="N709" t="s">
        <v>53</v>
      </c>
      <c r="O70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09" t="s">
        <v>40</v>
      </c>
      <c r="Q709" t="str">
        <f>IF(TRIM(Transaction[[#This Row],[SalesChannel]])="","Missing Value",TRIM(Transaction[[#This Row],[SalesChannel]]))</f>
        <v>Distributor</v>
      </c>
      <c r="R709" s="4">
        <v>3</v>
      </c>
      <c r="S709" s="4" t="str">
        <f>IF(Transaction[[#This Row],[Quantity]]&lt;0,"Negative-review","Valid")</f>
        <v>Valid</v>
      </c>
      <c r="T709">
        <v>779.56</v>
      </c>
      <c r="U70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779.56</v>
      </c>
      <c r="V709">
        <v>980</v>
      </c>
      <c r="W709">
        <v>2940</v>
      </c>
      <c r="X70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2940</v>
      </c>
      <c r="Y709">
        <f>IF(Transaction[[#This Row],[GrossRevenue_Check]]="Invalid",Transaction[[#This Row],[ListPrice]]*Transaction[[#This Row],[Quantity]],Transaction[[#This Row],[GrossRevenue_Clean]])</f>
        <v>2940</v>
      </c>
      <c r="Z709" t="str">
        <f>IF(Transaction[[#This Row],[GrossRevenue_Clean]]=Transaction[[#This Row],[ListPrice]]*Transaction[[#This Row],[Quantity]],"Valid","Invalid")</f>
        <v>Valid</v>
      </c>
      <c r="AA709">
        <v>601.32000000000005</v>
      </c>
      <c r="AB70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601.32000000000005</v>
      </c>
      <c r="AC709">
        <f>IF(Transaction[[#This Row],[DiscountAmount_Check2]]="Invalid",Transaction[[#This Row],[GrossRevenue_Analytical]]-Transaction[[#This Row],[NetRevenue_Analytical]],Transaction[[#This Row],[DiscountAmount_Clean]])</f>
        <v>601.32000000000005</v>
      </c>
      <c r="AD709">
        <v>2338.6799999999998</v>
      </c>
      <c r="AE709" t="str">
        <f>IF(ROUND(Transaction[[#This Row],[GrossRevenue_Analytical]]-Transaction[[#This Row],[NetRevenue_Analytical]],2)=ROUND(Transaction[[#This Row],[DiscountAmount_Clean]],2),"Valid","Invalid")</f>
        <v>Valid</v>
      </c>
      <c r="AF70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2338.6799999999998</v>
      </c>
      <c r="AG709">
        <f>IF(Transaction[[#This Row],[NetRevenue_Check]]="Invalid",(Transaction[[#This Row],[Quantity]]*Transaction[[#This Row],[UnitPrice_Clean]]),Transaction[[#This Row],[NetRevenue_Clean]])</f>
        <v>2338.6799999999998</v>
      </c>
      <c r="AH709" t="str">
        <f>IF(Transaction[[#This Row],[Quantity]]*Transaction[[#This Row],[UnitPrice_Clean]]=Transaction[[#This Row],[NetRevenue_Clean]],"Valid","Invalid")</f>
        <v>Valid</v>
      </c>
      <c r="AI709" t="s">
        <v>128</v>
      </c>
      <c r="AJ709" t="s">
        <v>1205</v>
      </c>
      <c r="AK709" t="str">
        <f>IF(Transaction[[#This Row],[Salesperson]]="","Missing Value",TRIM(PROPER(Transaction[[#This Row],[Salesperson]])))</f>
        <v>Oconnell</v>
      </c>
      <c r="AL709" t="s">
        <v>25</v>
      </c>
      <c r="AM709" t="str">
        <f>IF(Transaction[[#This Row],[ContractType]]="","Missing Value",Transaction[[#This Row],[ContractType]])</f>
        <v>Frame Agreement</v>
      </c>
      <c r="AN709" t="s">
        <v>43</v>
      </c>
    </row>
    <row r="710" spans="1:40" x14ac:dyDescent="0.25">
      <c r="A710" t="s">
        <v>1134</v>
      </c>
      <c r="B710" s="1">
        <v>45693</v>
      </c>
      <c r="C71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71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71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10" s="2">
        <f>IFERROR(DATE(Transaction[[#This Row],[TransactionDateY]],Transaction[[#This Row],[TransactionDateM]],Transaction[[#This Row],[TransactionDateD]]),"Missing Value")</f>
        <v>45693</v>
      </c>
      <c r="G710" t="s">
        <v>476</v>
      </c>
      <c r="H710" t="str">
        <f>IFERROR(VLOOKUP(Transaction[[#This Row],[CustomerID]],Custumer[],1,0),IF(LEN(Transaction[[#This Row],[CustomerID]])=7,LEFT(Transaction[[#This Row],[CustomerID]],6),"Invalid ID"))</f>
        <v>C-1174</v>
      </c>
      <c r="I710" t="s">
        <v>46</v>
      </c>
      <c r="J710" t="str">
        <f>TRIM(UPPER(Transaction[[#This Row],[ProductID]]))</f>
        <v>P-SI-006</v>
      </c>
      <c r="K710" t="str">
        <f>IFERROR(VLOOKUP(Transaction[[#This Row],[ProductID_Clean]],Product[],1,FALSE),"Invalid ID")</f>
        <v>P-SI-006</v>
      </c>
      <c r="L710" t="str">
        <f>TRIM(SUBSTITUTE(SUBSTITUTE(SUBSTITUTE(SUBSTITUTE(UPPER(Transaction[[#This Row],[Region]]),"EMEA REGION","EMEA"),"APAC REGION","APAC"),"NORTH AMERICA","N. AMERICA"),"N .AMERICA","N.AMERICA"))</f>
        <v>N. AMERICA</v>
      </c>
      <c r="M710" t="s">
        <v>168</v>
      </c>
      <c r="N710" t="s">
        <v>53</v>
      </c>
      <c r="O71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10" t="s">
        <v>32</v>
      </c>
      <c r="Q710" t="str">
        <f>IF(TRIM(Transaction[[#This Row],[SalesChannel]])="","Missing Value",TRIM(Transaction[[#This Row],[SalesChannel]]))</f>
        <v>Direct</v>
      </c>
      <c r="R710" s="4">
        <v>1</v>
      </c>
      <c r="S710" s="4" t="str">
        <f>IF(Transaction[[#This Row],[Quantity]]&lt;0,"Negative-review","Valid")</f>
        <v>Valid</v>
      </c>
      <c r="T710" t="s">
        <v>1135</v>
      </c>
      <c r="U71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170.41</v>
      </c>
      <c r="V710">
        <v>215</v>
      </c>
      <c r="W710">
        <v>215</v>
      </c>
      <c r="X71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710">
        <f>IF(Transaction[[#This Row],[GrossRevenue_Check]]="Invalid",Transaction[[#This Row],[ListPrice]]*Transaction[[#This Row],[Quantity]],Transaction[[#This Row],[GrossRevenue_Clean]])</f>
        <v>215</v>
      </c>
      <c r="Z710" t="str">
        <f>IF(Transaction[[#This Row],[GrossRevenue_Clean]]=Transaction[[#This Row],[ListPrice]]*Transaction[[#This Row],[Quantity]],"Valid","Invalid")</f>
        <v>Valid</v>
      </c>
      <c r="AA710">
        <v>44.59</v>
      </c>
      <c r="AB71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44.59</v>
      </c>
      <c r="AC710">
        <f>IF(Transaction[[#This Row],[DiscountAmount_Check2]]="Invalid",Transaction[[#This Row],[GrossRevenue_Analytical]]-Transaction[[#This Row],[NetRevenue_Analytical]],Transaction[[#This Row],[DiscountAmount_Clean]])</f>
        <v>44.59</v>
      </c>
      <c r="AD710">
        <v>170.41</v>
      </c>
      <c r="AE710" t="str">
        <f>IF(ROUND(Transaction[[#This Row],[GrossRevenue_Analytical]]-Transaction[[#This Row],[NetRevenue_Analytical]],2)=ROUND(Transaction[[#This Row],[DiscountAmount_Clean]],2),"Valid","Invalid")</f>
        <v>Valid</v>
      </c>
      <c r="AF71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170.41</v>
      </c>
      <c r="AG710">
        <f>IF(Transaction[[#This Row],[NetRevenue_Check]]="Invalid",(Transaction[[#This Row],[Quantity]]*Transaction[[#This Row],[UnitPrice_Clean]]),Transaction[[#This Row],[NetRevenue_Clean]])</f>
        <v>170.41</v>
      </c>
      <c r="AH710" t="str">
        <f>IF(Transaction[[#This Row],[Quantity]]*Transaction[[#This Row],[UnitPrice_Clean]]=Transaction[[#This Row],[NetRevenue_Clean]],"Valid","Invalid")</f>
        <v>Valid</v>
      </c>
      <c r="AI710" t="s">
        <v>23</v>
      </c>
      <c r="AJ710" t="s">
        <v>1136</v>
      </c>
      <c r="AK710" t="str">
        <f>IF(Transaction[[#This Row],[Salesperson]]="","Missing Value",TRIM(PROPER(Transaction[[#This Row],[Salesperson]])))</f>
        <v>Spence</v>
      </c>
      <c r="AL710" t="s">
        <v>42</v>
      </c>
      <c r="AM710" t="str">
        <f>IF(Transaction[[#This Row],[ContractType]]="","Missing Value",Transaction[[#This Row],[ContractType]])</f>
        <v>Standard PO</v>
      </c>
      <c r="AN710" t="s">
        <v>35</v>
      </c>
    </row>
    <row r="711" spans="1:40" x14ac:dyDescent="0.25">
      <c r="A711" t="s">
        <v>1849</v>
      </c>
      <c r="B711" s="1">
        <v>45784</v>
      </c>
      <c r="C71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71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71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11" s="2">
        <f>IFERROR(DATE(Transaction[[#This Row],[TransactionDateY]],Transaction[[#This Row],[TransactionDateM]],Transaction[[#This Row],[TransactionDateD]]),"Missing Value")</f>
        <v>45784</v>
      </c>
      <c r="G711" t="s">
        <v>200</v>
      </c>
      <c r="H711" t="str">
        <f>IFERROR(VLOOKUP(Transaction[[#This Row],[CustomerID]],Custumer[],1,0),IF(LEN(Transaction[[#This Row],[CustomerID]])=7,LEFT(Transaction[[#This Row],[CustomerID]],6),"Invalid ID"))</f>
        <v>C-1070</v>
      </c>
      <c r="I711" t="s">
        <v>111</v>
      </c>
      <c r="J711" t="str">
        <f>TRIM(UPPER(Transaction[[#This Row],[ProductID]]))</f>
        <v>P-SA-004</v>
      </c>
      <c r="K711" t="str">
        <f>IFERROR(VLOOKUP(Transaction[[#This Row],[ProductID_Clean]],Product[],1,FALSE),"Invalid ID")</f>
        <v>P-SA-004</v>
      </c>
      <c r="L711" t="str">
        <f>TRIM(SUBSTITUTE(SUBSTITUTE(SUBSTITUTE(SUBSTITUTE(UPPER(Transaction[[#This Row],[Region]]),"EMEA REGION","EMEA"),"APAC REGION","APAC"),"NORTH AMERICA","N. AMERICA"),"N .AMERICA","N.AMERICA"))</f>
        <v>EMEA</v>
      </c>
      <c r="M711" t="s">
        <v>76</v>
      </c>
      <c r="N711" t="s">
        <v>31</v>
      </c>
      <c r="O71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711" t="s">
        <v>22</v>
      </c>
      <c r="Q711" t="str">
        <f>IF(TRIM(Transaction[[#This Row],[SalesChannel]])="","Missing Value",TRIM(Transaction[[#This Row],[SalesChannel]]))</f>
        <v>Direct</v>
      </c>
      <c r="R711" s="4">
        <v>1</v>
      </c>
      <c r="S711" s="4" t="str">
        <f>IF(Transaction[[#This Row],[Quantity]]&lt;0,"Negative-review","Valid")</f>
        <v>Valid</v>
      </c>
      <c r="T711">
        <v>1479.09</v>
      </c>
      <c r="U71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1479.09</v>
      </c>
      <c r="V711">
        <v>1650</v>
      </c>
      <c r="W711">
        <v>1650</v>
      </c>
      <c r="X71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711">
        <f>IF(Transaction[[#This Row],[GrossRevenue_Check]]="Invalid",Transaction[[#This Row],[ListPrice]]*Transaction[[#This Row],[Quantity]],Transaction[[#This Row],[GrossRevenue_Clean]])</f>
        <v>1650</v>
      </c>
      <c r="Z711" t="str">
        <f>IF(Transaction[[#This Row],[GrossRevenue_Clean]]=Transaction[[#This Row],[ListPrice]]*Transaction[[#This Row],[Quantity]],"Valid","Invalid")</f>
        <v>Valid</v>
      </c>
      <c r="AA711">
        <v>170.91</v>
      </c>
      <c r="AB71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170.91</v>
      </c>
      <c r="AC711">
        <f>IF(Transaction[[#This Row],[DiscountAmount_Check2]]="Invalid",Transaction[[#This Row],[GrossRevenue_Analytical]]-Transaction[[#This Row],[NetRevenue_Analytical]],Transaction[[#This Row],[DiscountAmount_Clean]])</f>
        <v>170.91</v>
      </c>
      <c r="AD711">
        <v>1479.09</v>
      </c>
      <c r="AE711" t="str">
        <f>IF(ROUND(Transaction[[#This Row],[GrossRevenue_Analytical]]-Transaction[[#This Row],[NetRevenue_Analytical]],2)=ROUND(Transaction[[#This Row],[DiscountAmount_Clean]],2),"Valid","Invalid")</f>
        <v>Valid</v>
      </c>
      <c r="AF71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1479.09</v>
      </c>
      <c r="AG711">
        <f>IF(Transaction[[#This Row],[NetRevenue_Check]]="Invalid",(Transaction[[#This Row],[Quantity]]*Transaction[[#This Row],[UnitPrice_Clean]]),Transaction[[#This Row],[NetRevenue_Clean]])</f>
        <v>1479.09</v>
      </c>
      <c r="AH711" t="str">
        <f>IF(Transaction[[#This Row],[Quantity]]*Transaction[[#This Row],[UnitPrice_Clean]]=Transaction[[#This Row],[NetRevenue_Clean]],"Valid","Invalid")</f>
        <v>Valid</v>
      </c>
      <c r="AI711" t="s">
        <v>23</v>
      </c>
      <c r="AJ711" t="s">
        <v>389</v>
      </c>
      <c r="AK711" t="str">
        <f>IF(Transaction[[#This Row],[Salesperson]]="","Missing Value",TRIM(PROPER(Transaction[[#This Row],[Salesperson]])))</f>
        <v>Moore</v>
      </c>
      <c r="AL711" t="s">
        <v>34</v>
      </c>
      <c r="AM711" t="str">
        <f>IF(Transaction[[#This Row],[ContractType]]="","Missing Value",Transaction[[#This Row],[ContractType]])</f>
        <v>Annual License</v>
      </c>
      <c r="AN711" t="s">
        <v>35</v>
      </c>
    </row>
    <row r="712" spans="1:40" x14ac:dyDescent="0.25">
      <c r="A712" t="s">
        <v>2810</v>
      </c>
      <c r="B712" t="s">
        <v>934</v>
      </c>
      <c r="C71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71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71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12" s="2">
        <f>IFERROR(DATE(Transaction[[#This Row],[TransactionDateY]],Transaction[[#This Row],[TransactionDateM]],Transaction[[#This Row],[TransactionDateD]]),"Missing Value")</f>
        <v>45750</v>
      </c>
      <c r="G712" t="s">
        <v>284</v>
      </c>
      <c r="H712" t="str">
        <f>IFERROR(VLOOKUP(Transaction[[#This Row],[CustomerID]],Custumer[],1,0),IF(LEN(Transaction[[#This Row],[CustomerID]])=7,LEFT(Transaction[[#This Row],[CustomerID]],6),"Invalid ID"))</f>
        <v>C-1101</v>
      </c>
      <c r="I712" t="s">
        <v>258</v>
      </c>
      <c r="J712" t="str">
        <f>TRIM(UPPER(Transaction[[#This Row],[ProductID]]))</f>
        <v>P-SA-003</v>
      </c>
      <c r="K712" t="str">
        <f>IFERROR(VLOOKUP(Transaction[[#This Row],[ProductID_Clean]],Product[],1,FALSE),"Invalid ID")</f>
        <v>P-SA-003</v>
      </c>
      <c r="L712" t="str">
        <f>TRIM(SUBSTITUTE(SUBSTITUTE(SUBSTITUTE(SUBSTITUTE(UPPER(Transaction[[#This Row],[Region]]),"EMEA REGION","EMEA"),"APAC REGION","APAC"),"NORTH AMERICA","N. AMERICA"),"N .AMERICA","N.AMERICA"))</f>
        <v>EMEA</v>
      </c>
      <c r="M712" t="s">
        <v>76</v>
      </c>
      <c r="N712" t="s">
        <v>31</v>
      </c>
      <c r="O71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712" t="s">
        <v>181</v>
      </c>
      <c r="Q712" t="str">
        <f>IF(TRIM(Transaction[[#This Row],[SalesChannel]])="","Missing Value",TRIM(Transaction[[#This Row],[SalesChannel]]))</f>
        <v>Partner Portal</v>
      </c>
      <c r="R712" s="4">
        <v>3</v>
      </c>
      <c r="S712" s="4" t="str">
        <f>IF(Transaction[[#This Row],[Quantity]]&lt;0,"Negative-review","Valid")</f>
        <v>Valid</v>
      </c>
      <c r="T712">
        <v>2239.48</v>
      </c>
      <c r="U71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2239.48</v>
      </c>
      <c r="V712">
        <v>2750</v>
      </c>
      <c r="W712">
        <v>8250</v>
      </c>
      <c r="X71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8250</v>
      </c>
      <c r="Y712">
        <f>IF(Transaction[[#This Row],[GrossRevenue_Check]]="Invalid",Transaction[[#This Row],[ListPrice]]*Transaction[[#This Row],[Quantity]],Transaction[[#This Row],[GrossRevenue_Clean]])</f>
        <v>8250</v>
      </c>
      <c r="Z712" t="str">
        <f>IF(Transaction[[#This Row],[GrossRevenue_Clean]]=Transaction[[#This Row],[ListPrice]]*Transaction[[#This Row],[Quantity]],"Valid","Invalid")</f>
        <v>Valid</v>
      </c>
      <c r="AB71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712">
        <f>IF(Transaction[[#This Row],[DiscountAmount_Check2]]="Invalid",Transaction[[#This Row],[GrossRevenue_Analytical]]-Transaction[[#This Row],[NetRevenue_Analytical]],Transaction[[#This Row],[DiscountAmount_Clean]])</f>
        <v>1531.5600000000004</v>
      </c>
      <c r="AD712">
        <v>6718.44</v>
      </c>
      <c r="AE712" t="str">
        <f>IF(ROUND(Transaction[[#This Row],[GrossRevenue_Analytical]]-Transaction[[#This Row],[NetRevenue_Analytical]],2)=ROUND(Transaction[[#This Row],[DiscountAmount_Clean]],2),"Valid","Invalid")</f>
        <v>Invalid</v>
      </c>
      <c r="AF712">
        <f>VALUE(IF(ISNUMBER(Transaction[[#This Row],[NetRevenue]]),Transaction[[#This Row],[NetRevenue]],IFERROR(IF(FIND("$",Transaction[[#This Row],[NetRevenue]])&gt;0,MID(Transaction[[#This Row],[NetRevenue]],2,10)),Transaction[[#This Row],[NetRevenue]])))</f>
        <v>6718.44</v>
      </c>
      <c r="AG712">
        <f>IF(Transaction[[#This Row],[NetRevenue_Check]]="Invalid",(Transaction[[#This Row],[Quantity]]*Transaction[[#This Row],[UnitPrice_Clean]]),Transaction[[#This Row],[NetRevenue_Clean]])</f>
        <v>6718.44</v>
      </c>
      <c r="AH712" t="str">
        <f>IF(Transaction[[#This Row],[Quantity]]*Transaction[[#This Row],[UnitPrice_Clean]]=Transaction[[#This Row],[NetRevenue_Clean]],"Valid","Invalid")</f>
        <v>Valid</v>
      </c>
      <c r="AI712" t="s">
        <v>99</v>
      </c>
      <c r="AJ712" t="s">
        <v>2811</v>
      </c>
      <c r="AK712" t="str">
        <f>IF(Transaction[[#This Row],[Salesperson]]="","Missing Value",TRIM(PROPER(Transaction[[#This Row],[Salesperson]])))</f>
        <v>Delgado-Em</v>
      </c>
      <c r="AL712" t="s">
        <v>34</v>
      </c>
      <c r="AM712" t="str">
        <f>IF(Transaction[[#This Row],[ContractType]]="","Missing Value",Transaction[[#This Row],[ContractType]])</f>
        <v>Annual License</v>
      </c>
      <c r="AN712" t="s">
        <v>35</v>
      </c>
    </row>
    <row r="713" spans="1:40" x14ac:dyDescent="0.25">
      <c r="A713" t="s">
        <v>1544</v>
      </c>
      <c r="B713" s="1">
        <v>45804</v>
      </c>
      <c r="C71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71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71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13" s="2">
        <f>IFERROR(DATE(Transaction[[#This Row],[TransactionDateY]],Transaction[[#This Row],[TransactionDateM]],Transaction[[#This Row],[TransactionDateD]]),"Missing Value")</f>
        <v>45804</v>
      </c>
      <c r="G713" t="s">
        <v>1152</v>
      </c>
      <c r="H713" t="str">
        <f>IFERROR(VLOOKUP(Transaction[[#This Row],[CustomerID]],Custumer[],1,0),IF(LEN(Transaction[[#This Row],[CustomerID]])=7,LEFT(Transaction[[#This Row],[CustomerID]],6),"Invalid ID"))</f>
        <v>C-1178</v>
      </c>
      <c r="I713" t="s">
        <v>121</v>
      </c>
      <c r="J713" t="str">
        <f>TRIM(UPPER(Transaction[[#This Row],[ProductID]]))</f>
        <v>P-FS-001</v>
      </c>
      <c r="K713" t="str">
        <f>IFERROR(VLOOKUP(Transaction[[#This Row],[ProductID_Clean]],Product[],1,FALSE),"Invalid ID")</f>
        <v>P-FS-001</v>
      </c>
      <c r="L713" t="str">
        <f>TRIM(SUBSTITUTE(SUBSTITUTE(SUBSTITUTE(SUBSTITUTE(UPPER(Transaction[[#This Row],[Region]]),"EMEA REGION","EMEA"),"APAC REGION","APAC"),"NORTH AMERICA","N. AMERICA"),"N .AMERICA","N.AMERICA"))</f>
        <v>EMEA</v>
      </c>
      <c r="M713" t="s">
        <v>76</v>
      </c>
      <c r="N713" t="s">
        <v>771</v>
      </c>
      <c r="O71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Q713" t="str">
        <f>IF(TRIM(Transaction[[#This Row],[SalesChannel]])="","Missing Value",TRIM(Transaction[[#This Row],[SalesChannel]]))</f>
        <v>Missing Value</v>
      </c>
      <c r="R713" s="4">
        <v>1</v>
      </c>
      <c r="S713" s="4" t="str">
        <f>IF(Transaction[[#This Row],[Quantity]]&lt;0,"Negative-review","Valid")</f>
        <v>Valid</v>
      </c>
      <c r="T713">
        <v>1522</v>
      </c>
      <c r="U71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1522</v>
      </c>
      <c r="V713">
        <v>1850</v>
      </c>
      <c r="W713">
        <v>1850</v>
      </c>
      <c r="X71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713">
        <f>IF(Transaction[[#This Row],[GrossRevenue_Check]]="Invalid",Transaction[[#This Row],[ListPrice]]*Transaction[[#This Row],[Quantity]],Transaction[[#This Row],[GrossRevenue_Clean]])</f>
        <v>1850</v>
      </c>
      <c r="Z713" t="str">
        <f>IF(Transaction[[#This Row],[GrossRevenue_Clean]]=Transaction[[#This Row],[ListPrice]]*Transaction[[#This Row],[Quantity]],"Valid","Invalid")</f>
        <v>Valid</v>
      </c>
      <c r="AA713">
        <v>328</v>
      </c>
      <c r="AB71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328</v>
      </c>
      <c r="AC713">
        <f>IF(Transaction[[#This Row],[DiscountAmount_Check2]]="Invalid",Transaction[[#This Row],[GrossRevenue_Analytical]]-Transaction[[#This Row],[NetRevenue_Analytical]],Transaction[[#This Row],[DiscountAmount_Clean]])</f>
        <v>328</v>
      </c>
      <c r="AD713">
        <v>1522</v>
      </c>
      <c r="AE713" t="str">
        <f>IF(ROUND(Transaction[[#This Row],[GrossRevenue_Analytical]]-Transaction[[#This Row],[NetRevenue_Analytical]],2)=ROUND(Transaction[[#This Row],[DiscountAmount_Clean]],2),"Valid","Invalid")</f>
        <v>Valid</v>
      </c>
      <c r="AF71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1522</v>
      </c>
      <c r="AG713">
        <f>IF(Transaction[[#This Row],[NetRevenue_Check]]="Invalid",(Transaction[[#This Row],[Quantity]]*Transaction[[#This Row],[UnitPrice_Clean]]),Transaction[[#This Row],[NetRevenue_Clean]])</f>
        <v>1522</v>
      </c>
      <c r="AH713" t="str">
        <f>IF(Transaction[[#This Row],[Quantity]]*Transaction[[#This Row],[UnitPrice_Clean]]=Transaction[[#This Row],[NetRevenue_Clean]],"Valid","Invalid")</f>
        <v>Valid</v>
      </c>
      <c r="AI713" t="s">
        <v>23</v>
      </c>
      <c r="AJ713" t="s">
        <v>1545</v>
      </c>
      <c r="AK713" t="str">
        <f>IF(Transaction[[#This Row],[Salesperson]]="","Missing Value",TRIM(PROPER(Transaction[[#This Row],[Salesperson]])))</f>
        <v>Gilmore-Em</v>
      </c>
      <c r="AL713" t="s">
        <v>42</v>
      </c>
      <c r="AM713" t="str">
        <f>IF(Transaction[[#This Row],[ContractType]]="","Missing Value",Transaction[[#This Row],[ContractType]])</f>
        <v>Standard PO</v>
      </c>
      <c r="AN713" t="s">
        <v>49</v>
      </c>
    </row>
    <row r="714" spans="1:40" x14ac:dyDescent="0.25">
      <c r="A714" t="s">
        <v>1358</v>
      </c>
      <c r="B714" t="s">
        <v>1359</v>
      </c>
      <c r="C71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71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71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14" s="2">
        <f>IFERROR(DATE(Transaction[[#This Row],[TransactionDateY]],Transaction[[#This Row],[TransactionDateM]],Transaction[[#This Row],[TransactionDateD]]),"Missing Value")</f>
        <v>45691</v>
      </c>
      <c r="G714" t="s">
        <v>621</v>
      </c>
      <c r="H714" t="str">
        <f>IFERROR(VLOOKUP(Transaction[[#This Row],[CustomerID]],Custumer[],1,0),IF(LEN(Transaction[[#This Row],[CustomerID]])=7,LEFT(Transaction[[#This Row],[CustomerID]],6),"Invalid ID"))</f>
        <v>C-1064</v>
      </c>
      <c r="I714" t="s">
        <v>46</v>
      </c>
      <c r="J714" t="str">
        <f>TRIM(UPPER(Transaction[[#This Row],[ProductID]]))</f>
        <v>P-SI-006</v>
      </c>
      <c r="K714" t="str">
        <f>IFERROR(VLOOKUP(Transaction[[#This Row],[ProductID_Clean]],Product[],1,FALSE),"Invalid ID")</f>
        <v>P-SI-006</v>
      </c>
      <c r="L714" t="str">
        <f>TRIM(SUBSTITUTE(SUBSTITUTE(SUBSTITUTE(SUBSTITUTE(UPPER(Transaction[[#This Row],[Region]]),"EMEA REGION","EMEA"),"APAC REGION","APAC"),"NORTH AMERICA","N. AMERICA"),"N .AMERICA","N.AMERICA"))</f>
        <v>N. AMERICA</v>
      </c>
      <c r="M714" t="s">
        <v>20</v>
      </c>
      <c r="N714" t="s">
        <v>47</v>
      </c>
      <c r="O71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14" t="s">
        <v>40</v>
      </c>
      <c r="Q714" t="str">
        <f>IF(TRIM(Transaction[[#This Row],[SalesChannel]])="","Missing Value",TRIM(Transaction[[#This Row],[SalesChannel]]))</f>
        <v>Distributor</v>
      </c>
      <c r="R714" s="4">
        <v>4</v>
      </c>
      <c r="S714" s="4" t="str">
        <f>IF(Transaction[[#This Row],[Quantity]]&lt;0,"Negative-review","Valid")</f>
        <v>Valid</v>
      </c>
      <c r="T714">
        <v>151.93</v>
      </c>
      <c r="U71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151.93</v>
      </c>
      <c r="V714">
        <v>215</v>
      </c>
      <c r="W714">
        <v>860</v>
      </c>
      <c r="X71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860</v>
      </c>
      <c r="Y714">
        <f>IF(Transaction[[#This Row],[GrossRevenue_Check]]="Invalid",Transaction[[#This Row],[ListPrice]]*Transaction[[#This Row],[Quantity]],Transaction[[#This Row],[GrossRevenue_Clean]])</f>
        <v>860</v>
      </c>
      <c r="Z714" t="str">
        <f>IF(Transaction[[#This Row],[GrossRevenue_Clean]]=Transaction[[#This Row],[ListPrice]]*Transaction[[#This Row],[Quantity]],"Valid","Invalid")</f>
        <v>Valid</v>
      </c>
      <c r="AA714">
        <v>252.28</v>
      </c>
      <c r="AB71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252.28</v>
      </c>
      <c r="AC714">
        <f>IF(Transaction[[#This Row],[DiscountAmount_Check2]]="Invalid",Transaction[[#This Row],[GrossRevenue_Analytical]]-Transaction[[#This Row],[NetRevenue_Analytical]],Transaction[[#This Row],[DiscountAmount_Clean]])</f>
        <v>252.28</v>
      </c>
      <c r="AD714">
        <v>607.72</v>
      </c>
      <c r="AE714" t="str">
        <f>IF(ROUND(Transaction[[#This Row],[GrossRevenue_Analytical]]-Transaction[[#This Row],[NetRevenue_Analytical]],2)=ROUND(Transaction[[#This Row],[DiscountAmount_Clean]],2),"Valid","Invalid")</f>
        <v>Valid</v>
      </c>
      <c r="AF714">
        <f>VALUE(IF(ISNUMBER(Transaction[[#This Row],[NetRevenue]]),Transaction[[#This Row],[NetRevenue]],IFERROR(IF(FIND("$",Transaction[[#This Row],[NetRevenue]])&gt;0,MID(Transaction[[#This Row],[NetRevenue]],2,10)),Transaction[[#This Row],[NetRevenue]])))</f>
        <v>607.72</v>
      </c>
      <c r="AG714">
        <f>IF(Transaction[[#This Row],[NetRevenue_Check]]="Invalid",(Transaction[[#This Row],[Quantity]]*Transaction[[#This Row],[UnitPrice_Clean]]),Transaction[[#This Row],[NetRevenue_Clean]])</f>
        <v>607.72</v>
      </c>
      <c r="AH714" t="str">
        <f>IF(Transaction[[#This Row],[Quantity]]*Transaction[[#This Row],[UnitPrice_Clean]]=Transaction[[#This Row],[NetRevenue_Clean]],"Valid","Invalid")</f>
        <v>Valid</v>
      </c>
      <c r="AI714" t="s">
        <v>23</v>
      </c>
      <c r="AJ714" t="s">
        <v>1360</v>
      </c>
      <c r="AK714" t="str">
        <f>IF(Transaction[[#This Row],[Salesperson]]="","Missing Value",TRIM(PROPER(Transaction[[#This Row],[Salesperson]])))</f>
        <v>Alvarez-Em</v>
      </c>
      <c r="AL714" t="s">
        <v>42</v>
      </c>
      <c r="AM714" t="str">
        <f>IF(Transaction[[#This Row],[ContractType]]="","Missing Value",Transaction[[#This Row],[ContractType]])</f>
        <v>Standard PO</v>
      </c>
      <c r="AN714" t="s">
        <v>35</v>
      </c>
    </row>
    <row r="715" spans="1:40" x14ac:dyDescent="0.25">
      <c r="A715" t="s">
        <v>1319</v>
      </c>
      <c r="B715" s="1">
        <v>45680</v>
      </c>
      <c r="C71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71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71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15" s="2">
        <f>IFERROR(DATE(Transaction[[#This Row],[TransactionDateY]],Transaction[[#This Row],[TransactionDateM]],Transaction[[#This Row],[TransactionDateD]]),"Missing Value")</f>
        <v>45680</v>
      </c>
      <c r="G715" t="s">
        <v>580</v>
      </c>
      <c r="H715" t="str">
        <f>IFERROR(VLOOKUP(Transaction[[#This Row],[CustomerID]],Custumer[],1,0),IF(LEN(Transaction[[#This Row],[CustomerID]])=7,LEFT(Transaction[[#This Row],[CustomerID]],6),"Invalid ID"))</f>
        <v>C-1053</v>
      </c>
      <c r="I715" t="s">
        <v>97</v>
      </c>
      <c r="J715" t="str">
        <f>TRIM(UPPER(Transaction[[#This Row],[ProductID]]))</f>
        <v>P-SI-001</v>
      </c>
      <c r="K715" t="str">
        <f>IFERROR(VLOOKUP(Transaction[[#This Row],[ProductID_Clean]],Product[],1,FALSE),"Invalid ID")</f>
        <v>P-SI-001</v>
      </c>
      <c r="L715" t="str">
        <f>TRIM(SUBSTITUTE(SUBSTITUTE(SUBSTITUTE(SUBSTITUTE(UPPER(Transaction[[#This Row],[Region]]),"EMEA REGION","EMEA"),"APAC REGION","APAC"),"NORTH AMERICA","N. AMERICA"),"N .AMERICA","N.AMERICA"))</f>
        <v>LATIN AMERICA</v>
      </c>
      <c r="M715" t="s">
        <v>82</v>
      </c>
      <c r="N715" t="s">
        <v>53</v>
      </c>
      <c r="O71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15" t="s">
        <v>22</v>
      </c>
      <c r="Q715" t="str">
        <f>IF(TRIM(Transaction[[#This Row],[SalesChannel]])="","Missing Value",TRIM(Transaction[[#This Row],[SalesChannel]]))</f>
        <v>Direct</v>
      </c>
      <c r="R715" s="4">
        <v>4</v>
      </c>
      <c r="S715" s="4" t="str">
        <f>IF(Transaction[[#This Row],[Quantity]]&lt;0,"Negative-review","Valid")</f>
        <v>Valid</v>
      </c>
      <c r="T715">
        <v>391.01</v>
      </c>
      <c r="U71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391.01</v>
      </c>
      <c r="V715">
        <v>485</v>
      </c>
      <c r="W715">
        <v>1940</v>
      </c>
      <c r="X71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1940</v>
      </c>
      <c r="Y715">
        <f>IF(Transaction[[#This Row],[GrossRevenue_Check]]="Invalid",Transaction[[#This Row],[ListPrice]]*Transaction[[#This Row],[Quantity]],Transaction[[#This Row],[GrossRevenue_Clean]])</f>
        <v>1940</v>
      </c>
      <c r="Z715" t="str">
        <f>IF(Transaction[[#This Row],[GrossRevenue_Clean]]=Transaction[[#This Row],[ListPrice]]*Transaction[[#This Row],[Quantity]],"Valid","Invalid")</f>
        <v>Valid</v>
      </c>
      <c r="AA715">
        <v>375.96</v>
      </c>
      <c r="AB71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375.96</v>
      </c>
      <c r="AC715">
        <f>IF(Transaction[[#This Row],[DiscountAmount_Check2]]="Invalid",Transaction[[#This Row],[GrossRevenue_Analytical]]-Transaction[[#This Row],[NetRevenue_Analytical]],Transaction[[#This Row],[DiscountAmount_Clean]])</f>
        <v>375.96</v>
      </c>
      <c r="AD715">
        <v>1564.04</v>
      </c>
      <c r="AE715" t="str">
        <f>IF(ROUND(Transaction[[#This Row],[GrossRevenue_Analytical]]-Transaction[[#This Row],[NetRevenue_Analytical]],2)=ROUND(Transaction[[#This Row],[DiscountAmount_Clean]],2),"Valid","Invalid")</f>
        <v>Valid</v>
      </c>
      <c r="AF71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1564.04</v>
      </c>
      <c r="AG715">
        <f>IF(Transaction[[#This Row],[NetRevenue_Check]]="Invalid",(Transaction[[#This Row],[Quantity]]*Transaction[[#This Row],[UnitPrice_Clean]]),Transaction[[#This Row],[NetRevenue_Clean]])</f>
        <v>1564.04</v>
      </c>
      <c r="AH715" t="str">
        <f>IF(Transaction[[#This Row],[Quantity]]*Transaction[[#This Row],[UnitPrice_Clean]]=Transaction[[#This Row],[NetRevenue_Clean]],"Valid","Invalid")</f>
        <v>Valid</v>
      </c>
      <c r="AI715" t="s">
        <v>23</v>
      </c>
      <c r="AJ715" t="s">
        <v>89</v>
      </c>
      <c r="AK715" t="str">
        <f>IF(Transaction[[#This Row],[Salesperson]]="","Missing Value",TRIM(PROPER(Transaction[[#This Row],[Salesperson]])))</f>
        <v>Santos</v>
      </c>
      <c r="AL715" t="s">
        <v>55</v>
      </c>
      <c r="AM715" t="str">
        <f>IF(Transaction[[#This Row],[ContractType]]="","Missing Value",Transaction[[#This Row],[ContractType]])</f>
        <v>Spot</v>
      </c>
      <c r="AN715" t="s">
        <v>35</v>
      </c>
    </row>
    <row r="716" spans="1:40" x14ac:dyDescent="0.25">
      <c r="A716" t="s">
        <v>667</v>
      </c>
      <c r="B716" s="1">
        <v>45737</v>
      </c>
      <c r="C71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71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71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16" s="2">
        <f>IFERROR(DATE(Transaction[[#This Row],[TransactionDateY]],Transaction[[#This Row],[TransactionDateM]],Transaction[[#This Row],[TransactionDateD]]),"Missing Value")</f>
        <v>45737</v>
      </c>
      <c r="G716" t="s">
        <v>613</v>
      </c>
      <c r="H716" t="str">
        <f>IFERROR(VLOOKUP(Transaction[[#This Row],[CustomerID]],Custumer[],1,0),IF(LEN(Transaction[[#This Row],[CustomerID]])=7,LEFT(Transaction[[#This Row],[CustomerID]],6),"Invalid ID"))</f>
        <v>C-1166</v>
      </c>
      <c r="I716" t="s">
        <v>58</v>
      </c>
      <c r="J716" t="str">
        <f>TRIM(UPPER(Transaction[[#This Row],[ProductID]]))</f>
        <v>P-SI-005</v>
      </c>
      <c r="K716" t="str">
        <f>IFERROR(VLOOKUP(Transaction[[#This Row],[ProductID_Clean]],Product[],1,FALSE),"Invalid ID")</f>
        <v>P-SI-005</v>
      </c>
      <c r="L716" t="str">
        <f>TRIM(SUBSTITUTE(SUBSTITUTE(SUBSTITUTE(SUBSTITUTE(UPPER(Transaction[[#This Row],[Region]]),"EMEA REGION","EMEA"),"APAC REGION","APAC"),"NORTH AMERICA","N. AMERICA"),"N .AMERICA","N.AMERICA"))</f>
        <v>N. AMERICA</v>
      </c>
      <c r="M716" t="s">
        <v>20</v>
      </c>
      <c r="N716" t="s">
        <v>272</v>
      </c>
      <c r="O71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16" t="s">
        <v>22</v>
      </c>
      <c r="Q716" t="str">
        <f>IF(TRIM(Transaction[[#This Row],[SalesChannel]])="","Missing Value",TRIM(Transaction[[#This Row],[SalesChannel]]))</f>
        <v>Direct</v>
      </c>
      <c r="R716" s="4">
        <v>3</v>
      </c>
      <c r="S716" s="4" t="str">
        <f>IF(Transaction[[#This Row],[Quantity]]&lt;0,"Negative-review","Valid")</f>
        <v>Valid</v>
      </c>
      <c r="T716">
        <v>1125.31</v>
      </c>
      <c r="U71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1125.31</v>
      </c>
      <c r="V716">
        <v>1120</v>
      </c>
      <c r="W716" t="s">
        <v>668</v>
      </c>
      <c r="X71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3360</v>
      </c>
      <c r="Y716">
        <f>IF(Transaction[[#This Row],[GrossRevenue_Check]]="Invalid",Transaction[[#This Row],[ListPrice]]*Transaction[[#This Row],[Quantity]],Transaction[[#This Row],[GrossRevenue_Clean]])</f>
        <v>3360</v>
      </c>
      <c r="Z716" t="str">
        <f>IF(Transaction[[#This Row],[GrossRevenue_Clean]]=Transaction[[#This Row],[ListPrice]]*Transaction[[#This Row],[Quantity]],"Valid","Invalid")</f>
        <v>Valid</v>
      </c>
      <c r="AA716">
        <v>-15.93</v>
      </c>
      <c r="AB71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-15.93</v>
      </c>
      <c r="AC716">
        <f>IF(Transaction[[#This Row],[DiscountAmount_Check2]]="Invalid",Transaction[[#This Row],[GrossRevenue_Analytical]]-Transaction[[#This Row],[NetRevenue_Analytical]],Transaction[[#This Row],[DiscountAmount_Clean]])</f>
        <v>-15.93</v>
      </c>
      <c r="AD716">
        <v>3375.93</v>
      </c>
      <c r="AE716" t="str">
        <f>IF(ROUND(Transaction[[#This Row],[GrossRevenue_Analytical]]-Transaction[[#This Row],[NetRevenue_Analytical]],2)=ROUND(Transaction[[#This Row],[DiscountAmount_Clean]],2),"Valid","Invalid")</f>
        <v>Valid</v>
      </c>
      <c r="AF716">
        <f>VALUE(IF(ISNUMBER(Transaction[[#This Row],[NetRevenue]]),Transaction[[#This Row],[NetRevenue]],IFERROR(IF(FIND("$",Transaction[[#This Row],[NetRevenue]])&gt;0,MID(Transaction[[#This Row],[NetRevenue]],2,10)),Transaction[[#This Row],[NetRevenue]])))</f>
        <v>3375.93</v>
      </c>
      <c r="AG716">
        <f>IF(Transaction[[#This Row],[NetRevenue_Check]]="Invalid",(Transaction[[#This Row],[Quantity]]*Transaction[[#This Row],[UnitPrice_Clean]]),Transaction[[#This Row],[NetRevenue_Clean]])</f>
        <v>3375.93</v>
      </c>
      <c r="AH716" t="str">
        <f>IF(Transaction[[#This Row],[Quantity]]*Transaction[[#This Row],[UnitPrice_Clean]]=Transaction[[#This Row],[NetRevenue_Clean]],"Valid","Invalid")</f>
        <v>Valid</v>
      </c>
      <c r="AI716" t="s">
        <v>23</v>
      </c>
      <c r="AJ716" t="s">
        <v>669</v>
      </c>
      <c r="AK716" t="str">
        <f>IF(Transaction[[#This Row],[Salesperson]]="","Missing Value",TRIM(PROPER(Transaction[[#This Row],[Salesperson]])))</f>
        <v>Avila-Na</v>
      </c>
      <c r="AL716" t="s">
        <v>42</v>
      </c>
      <c r="AM716" t="str">
        <f>IF(Transaction[[#This Row],[ContractType]]="","Missing Value",Transaction[[#This Row],[ContractType]])</f>
        <v>Standard PO</v>
      </c>
      <c r="AN716" t="s">
        <v>65</v>
      </c>
    </row>
    <row r="717" spans="1:40" x14ac:dyDescent="0.25">
      <c r="A717" t="s">
        <v>2872</v>
      </c>
      <c r="B717" s="1">
        <v>45753</v>
      </c>
      <c r="C71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71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71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17" s="2">
        <f>IFERROR(DATE(Transaction[[#This Row],[TransactionDateY]],Transaction[[#This Row],[TransactionDateM]],Transaction[[#This Row],[TransactionDateD]]),"Missing Value")</f>
        <v>45753</v>
      </c>
      <c r="G717" t="s">
        <v>1578</v>
      </c>
      <c r="H717" t="str">
        <f>IFERROR(VLOOKUP(Transaction[[#This Row],[CustomerID]],Custumer[],1,0),IF(LEN(Transaction[[#This Row],[CustomerID]])=7,LEFT(Transaction[[#This Row],[CustomerID]],6),"Invalid ID"))</f>
        <v>C-1031</v>
      </c>
      <c r="I717" t="s">
        <v>111</v>
      </c>
      <c r="J717" t="str">
        <f>TRIM(UPPER(Transaction[[#This Row],[ProductID]]))</f>
        <v>P-SA-004</v>
      </c>
      <c r="K717" t="str">
        <f>IFERROR(VLOOKUP(Transaction[[#This Row],[ProductID_Clean]],Product[],1,FALSE),"Invalid ID")</f>
        <v>P-SA-004</v>
      </c>
      <c r="L717" t="str">
        <f>TRIM(SUBSTITUTE(SUBSTITUTE(SUBSTITUTE(SUBSTITUTE(UPPER(Transaction[[#This Row],[Region]]),"EMEA REGION","EMEA"),"APAC REGION","APAC"),"NORTH AMERICA","N. AMERICA"),"N .AMERICA","N.AMERICA"))</f>
        <v>N. AMERICA</v>
      </c>
      <c r="M717" t="s">
        <v>204</v>
      </c>
      <c r="N717" t="s">
        <v>31</v>
      </c>
      <c r="O71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717" t="s">
        <v>93</v>
      </c>
      <c r="Q717" t="str">
        <f>IF(TRIM(Transaction[[#This Row],[SalesChannel]])="","Missing Value",TRIM(Transaction[[#This Row],[SalesChannel]]))</f>
        <v>direct</v>
      </c>
      <c r="R717" s="4">
        <v>1</v>
      </c>
      <c r="S717" s="4" t="str">
        <f>IF(Transaction[[#This Row],[Quantity]]&lt;0,"Negative-review","Valid")</f>
        <v>Valid</v>
      </c>
      <c r="T717">
        <v>1451.44</v>
      </c>
      <c r="U71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1451.44</v>
      </c>
      <c r="V717">
        <v>1650</v>
      </c>
      <c r="W717">
        <v>1650</v>
      </c>
      <c r="X71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717">
        <f>IF(Transaction[[#This Row],[GrossRevenue_Check]]="Invalid",Transaction[[#This Row],[ListPrice]]*Transaction[[#This Row],[Quantity]],Transaction[[#This Row],[GrossRevenue_Clean]])</f>
        <v>1650</v>
      </c>
      <c r="Z717" t="str">
        <f>IF(Transaction[[#This Row],[GrossRevenue_Clean]]=Transaction[[#This Row],[ListPrice]]*Transaction[[#This Row],[Quantity]],"Valid","Invalid")</f>
        <v>Valid</v>
      </c>
      <c r="AB71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717">
        <f>IF(Transaction[[#This Row],[DiscountAmount_Check2]]="Invalid",Transaction[[#This Row],[GrossRevenue_Analytical]]-Transaction[[#This Row],[NetRevenue_Analytical]],Transaction[[#This Row],[DiscountAmount_Clean]])</f>
        <v>198.55999999999995</v>
      </c>
      <c r="AD717">
        <v>1451.44</v>
      </c>
      <c r="AE717" t="str">
        <f>IF(ROUND(Transaction[[#This Row],[GrossRevenue_Analytical]]-Transaction[[#This Row],[NetRevenue_Analytical]],2)=ROUND(Transaction[[#This Row],[DiscountAmount_Clean]],2),"Valid","Invalid")</f>
        <v>Invalid</v>
      </c>
      <c r="AF71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1451.44</v>
      </c>
      <c r="AG717">
        <f>IF(Transaction[[#This Row],[NetRevenue_Check]]="Invalid",(Transaction[[#This Row],[Quantity]]*Transaction[[#This Row],[UnitPrice_Clean]]),Transaction[[#This Row],[NetRevenue_Clean]])</f>
        <v>1451.44</v>
      </c>
      <c r="AH717" t="str">
        <f>IF(Transaction[[#This Row],[Quantity]]*Transaction[[#This Row],[UnitPrice_Clean]]=Transaction[[#This Row],[NetRevenue_Clean]],"Valid","Invalid")</f>
        <v>Valid</v>
      </c>
      <c r="AI717" t="s">
        <v>23</v>
      </c>
      <c r="AJ717" t="s">
        <v>2873</v>
      </c>
      <c r="AK717" t="str">
        <f>IF(Transaction[[#This Row],[Salesperson]]="","Missing Value",TRIM(PROPER(Transaction[[#This Row],[Salesperson]])))</f>
        <v>Palmer</v>
      </c>
      <c r="AL717" t="s">
        <v>113</v>
      </c>
      <c r="AM717" t="str">
        <f>IF(Transaction[[#This Row],[ContractType]]="","Missing Value",Transaction[[#This Row],[ContractType]])</f>
        <v>Subscription</v>
      </c>
      <c r="AN717" t="s">
        <v>65</v>
      </c>
    </row>
    <row r="718" spans="1:40" x14ac:dyDescent="0.25">
      <c r="A718" t="s">
        <v>747</v>
      </c>
      <c r="B718" s="1">
        <v>45763</v>
      </c>
      <c r="C71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71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71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18" s="2">
        <f>IFERROR(DATE(Transaction[[#This Row],[TransactionDateY]],Transaction[[#This Row],[TransactionDateM]],Transaction[[#This Row],[TransactionDateD]]),"Missing Value")</f>
        <v>45763</v>
      </c>
      <c r="G718" t="s">
        <v>360</v>
      </c>
      <c r="H718" t="str">
        <f>IFERROR(VLOOKUP(Transaction[[#This Row],[CustomerID]],Custumer[],1,0),IF(LEN(Transaction[[#This Row],[CustomerID]])=7,LEFT(Transaction[[#This Row],[CustomerID]],6),"Invalid ID"))</f>
        <v>C-1067</v>
      </c>
      <c r="I718" t="s">
        <v>58</v>
      </c>
      <c r="J718" t="str">
        <f>TRIM(UPPER(Transaction[[#This Row],[ProductID]]))</f>
        <v>P-SI-005</v>
      </c>
      <c r="K718" t="str">
        <f>IFERROR(VLOOKUP(Transaction[[#This Row],[ProductID_Clean]],Product[],1,FALSE),"Invalid ID")</f>
        <v>P-SI-005</v>
      </c>
      <c r="L718" t="str">
        <f>TRIM(SUBSTITUTE(SUBSTITUTE(SUBSTITUTE(SUBSTITUTE(UPPER(Transaction[[#This Row],[Region]]),"EMEA REGION","EMEA"),"APAC REGION","APAC"),"NORTH AMERICA","N. AMERICA"),"N .AMERICA","N.AMERICA"))</f>
        <v>APAC</v>
      </c>
      <c r="M718" t="s">
        <v>122</v>
      </c>
      <c r="N718" t="s">
        <v>53</v>
      </c>
      <c r="O71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18" t="s">
        <v>22</v>
      </c>
      <c r="Q718" t="str">
        <f>IF(TRIM(Transaction[[#This Row],[SalesChannel]])="","Missing Value",TRIM(Transaction[[#This Row],[SalesChannel]]))</f>
        <v>Direct</v>
      </c>
      <c r="R718" s="4">
        <v>12</v>
      </c>
      <c r="S718" s="4" t="str">
        <f>IF(Transaction[[#This Row],[Quantity]]&lt;0,"Negative-review","Valid")</f>
        <v>Valid</v>
      </c>
      <c r="T718">
        <v>891.67</v>
      </c>
      <c r="U71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891.67</v>
      </c>
      <c r="V718">
        <v>1120</v>
      </c>
      <c r="W718">
        <v>13440</v>
      </c>
      <c r="X71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13440</v>
      </c>
      <c r="Y718">
        <f>IF(Transaction[[#This Row],[GrossRevenue_Check]]="Invalid",Transaction[[#This Row],[ListPrice]]*Transaction[[#This Row],[Quantity]],Transaction[[#This Row],[GrossRevenue_Clean]])</f>
        <v>13440</v>
      </c>
      <c r="Z718" t="str">
        <f>IF(Transaction[[#This Row],[GrossRevenue_Clean]]=Transaction[[#This Row],[ListPrice]]*Transaction[[#This Row],[Quantity]],"Valid","Invalid")</f>
        <v>Valid</v>
      </c>
      <c r="AA718">
        <v>2739.96</v>
      </c>
      <c r="AB71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2739.96</v>
      </c>
      <c r="AC718">
        <f>IF(Transaction[[#This Row],[DiscountAmount_Check2]]="Invalid",Transaction[[#This Row],[GrossRevenue_Analytical]]-Transaction[[#This Row],[NetRevenue_Analytical]],Transaction[[#This Row],[DiscountAmount_Clean]])</f>
        <v>2739.96</v>
      </c>
      <c r="AD718">
        <v>10700.04</v>
      </c>
      <c r="AE718" t="str">
        <f>IF(ROUND(Transaction[[#This Row],[GrossRevenue_Analytical]]-Transaction[[#This Row],[NetRevenue_Analytical]],2)=ROUND(Transaction[[#This Row],[DiscountAmount_Clean]],2),"Valid","Invalid")</f>
        <v>Valid</v>
      </c>
      <c r="AF71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10700.04</v>
      </c>
      <c r="AG718">
        <f>IF(Transaction[[#This Row],[NetRevenue_Check]]="Invalid",(Transaction[[#This Row],[Quantity]]*Transaction[[#This Row],[UnitPrice_Clean]]),Transaction[[#This Row],[NetRevenue_Clean]])</f>
        <v>10700.04</v>
      </c>
      <c r="AH718" t="str">
        <f>IF(Transaction[[#This Row],[Quantity]]*Transaction[[#This Row],[UnitPrice_Clean]]=Transaction[[#This Row],[NetRevenue_Clean]],"Valid","Invalid")</f>
        <v>Valid</v>
      </c>
      <c r="AI718" t="s">
        <v>23</v>
      </c>
      <c r="AK718" t="str">
        <f>IF(Transaction[[#This Row],[Salesperson]]="","Missing Value",TRIM(PROPER(Transaction[[#This Row],[Salesperson]])))</f>
        <v>Missing Value</v>
      </c>
      <c r="AL718" t="s">
        <v>42</v>
      </c>
      <c r="AM718" t="str">
        <f>IF(Transaction[[#This Row],[ContractType]]="","Missing Value",Transaction[[#This Row],[ContractType]])</f>
        <v>Standard PO</v>
      </c>
      <c r="AN718" t="s">
        <v>43</v>
      </c>
    </row>
    <row r="719" spans="1:40" x14ac:dyDescent="0.25">
      <c r="A719" t="s">
        <v>999</v>
      </c>
      <c r="B719" s="1">
        <v>45805</v>
      </c>
      <c r="C71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71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71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19" s="2">
        <f>IFERROR(DATE(Transaction[[#This Row],[TransactionDateY]],Transaction[[#This Row],[TransactionDateM]],Transaction[[#This Row],[TransactionDateD]]),"Missing Value")</f>
        <v>45805</v>
      </c>
      <c r="G719" t="s">
        <v>1000</v>
      </c>
      <c r="H719" t="str">
        <f>IFERROR(VLOOKUP(Transaction[[#This Row],[CustomerID]],Custumer[],1,0),IF(LEN(Transaction[[#This Row],[CustomerID]])=7,LEFT(Transaction[[#This Row],[CustomerID]],6),"Invalid ID"))</f>
        <v>C-1137</v>
      </c>
      <c r="I719" t="s">
        <v>29</v>
      </c>
      <c r="J719" t="str">
        <f>TRIM(UPPER(Transaction[[#This Row],[ProductID]]))</f>
        <v>P-SA-001</v>
      </c>
      <c r="K719" t="str">
        <f>IFERROR(VLOOKUP(Transaction[[#This Row],[ProductID_Clean]],Product[],1,FALSE),"Invalid ID")</f>
        <v>P-SA-001</v>
      </c>
      <c r="L719" t="str">
        <f>TRIM(SUBSTITUTE(SUBSTITUTE(SUBSTITUTE(SUBSTITUTE(UPPER(Transaction[[#This Row],[Region]]),"EMEA REGION","EMEA"),"APAC REGION","APAC"),"NORTH AMERICA","N. AMERICA"),"N .AMERICA","N.AMERICA"))</f>
        <v>N. AMERICA</v>
      </c>
      <c r="M719" t="s">
        <v>20</v>
      </c>
      <c r="N719" t="s">
        <v>31</v>
      </c>
      <c r="O71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719" t="s">
        <v>22</v>
      </c>
      <c r="Q719" t="str">
        <f>IF(TRIM(Transaction[[#This Row],[SalesChannel]])="","Missing Value",TRIM(Transaction[[#This Row],[SalesChannel]]))</f>
        <v>Direct</v>
      </c>
      <c r="R719" s="4">
        <v>1</v>
      </c>
      <c r="S719" s="4" t="str">
        <f>IF(Transaction[[#This Row],[Quantity]]&lt;0,"Negative-review","Valid")</f>
        <v>Valid</v>
      </c>
      <c r="T719">
        <v>3986.95</v>
      </c>
      <c r="U71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3986.95</v>
      </c>
      <c r="V719">
        <v>4200</v>
      </c>
      <c r="W719">
        <v>4200</v>
      </c>
      <c r="X71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719">
        <f>IF(Transaction[[#This Row],[GrossRevenue_Check]]="Invalid",Transaction[[#This Row],[ListPrice]]*Transaction[[#This Row],[Quantity]],Transaction[[#This Row],[GrossRevenue_Clean]])</f>
        <v>4200</v>
      </c>
      <c r="Z719" t="str">
        <f>IF(Transaction[[#This Row],[GrossRevenue_Clean]]=Transaction[[#This Row],[ListPrice]]*Transaction[[#This Row],[Quantity]],"Valid","Invalid")</f>
        <v>Valid</v>
      </c>
      <c r="AA719">
        <v>213.05</v>
      </c>
      <c r="AB71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213.05</v>
      </c>
      <c r="AC719">
        <f>IF(Transaction[[#This Row],[DiscountAmount_Check2]]="Invalid",Transaction[[#This Row],[GrossRevenue_Analytical]]-Transaction[[#This Row],[NetRevenue_Analytical]],Transaction[[#This Row],[DiscountAmount_Clean]])</f>
        <v>213.05</v>
      </c>
      <c r="AD719">
        <v>3986.95</v>
      </c>
      <c r="AE719" t="str">
        <f>IF(ROUND(Transaction[[#This Row],[GrossRevenue_Analytical]]-Transaction[[#This Row],[NetRevenue_Analytical]],2)=ROUND(Transaction[[#This Row],[DiscountAmount_Clean]],2),"Valid","Invalid")</f>
        <v>Valid</v>
      </c>
      <c r="AF719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3986.95</v>
      </c>
      <c r="AG719">
        <f>IF(Transaction[[#This Row],[NetRevenue_Check]]="Invalid",(Transaction[[#This Row],[Quantity]]*Transaction[[#This Row],[UnitPrice_Clean]]),Transaction[[#This Row],[NetRevenue_Clean]])</f>
        <v>3986.95</v>
      </c>
      <c r="AH719" t="str">
        <f>IF(Transaction[[#This Row],[Quantity]]*Transaction[[#This Row],[UnitPrice_Clean]]=Transaction[[#This Row],[NetRevenue_Clean]],"Valid","Invalid")</f>
        <v>Valid</v>
      </c>
      <c r="AI719" t="s">
        <v>23</v>
      </c>
      <c r="AJ719" t="s">
        <v>888</v>
      </c>
      <c r="AK719" t="str">
        <f>IF(Transaction[[#This Row],[Salesperson]]="","Missing Value",TRIM(PROPER(Transaction[[#This Row],[Salesperson]])))</f>
        <v>Brown</v>
      </c>
      <c r="AL719" t="s">
        <v>34</v>
      </c>
      <c r="AM719" t="str">
        <f>IF(Transaction[[#This Row],[ContractType]]="","Missing Value",Transaction[[#This Row],[ContractType]])</f>
        <v>Annual License</v>
      </c>
      <c r="AN719" t="s">
        <v>26</v>
      </c>
    </row>
    <row r="720" spans="1:40" x14ac:dyDescent="0.25">
      <c r="A720" t="s">
        <v>2052</v>
      </c>
      <c r="B720" s="1">
        <v>45822</v>
      </c>
      <c r="C72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72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72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20" s="2">
        <f>IFERROR(DATE(Transaction[[#This Row],[TransactionDateY]],Transaction[[#This Row],[TransactionDateM]],Transaction[[#This Row],[TransactionDateD]]),"Missing Value")</f>
        <v>45822</v>
      </c>
      <c r="G720" t="s">
        <v>172</v>
      </c>
      <c r="H720" t="str">
        <f>IFERROR(VLOOKUP(Transaction[[#This Row],[CustomerID]],Custumer[],1,0),IF(LEN(Transaction[[#This Row],[CustomerID]])=7,LEFT(Transaction[[#This Row],[CustomerID]],6),"Invalid ID"))</f>
        <v>C-1099</v>
      </c>
      <c r="I720" t="s">
        <v>62</v>
      </c>
      <c r="J720" t="str">
        <f>TRIM(UPPER(Transaction[[#This Row],[ProductID]]))</f>
        <v>P-SI-004</v>
      </c>
      <c r="K720" t="str">
        <f>IFERROR(VLOOKUP(Transaction[[#This Row],[ProductID_Clean]],Product[],1,FALSE),"Invalid ID")</f>
        <v>P-SI-004</v>
      </c>
      <c r="L720" t="str">
        <f>TRIM(SUBSTITUTE(SUBSTITUTE(SUBSTITUTE(SUBSTITUTE(UPPER(Transaction[[#This Row],[Region]]),"EMEA REGION","EMEA"),"APAC REGION","APAC"),"NORTH AMERICA","N. AMERICA"),"N .AMERICA","N.AMERICA"))</f>
        <v>EMEA</v>
      </c>
      <c r="M720" t="s">
        <v>76</v>
      </c>
      <c r="N720" t="s">
        <v>53</v>
      </c>
      <c r="O72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20" t="s">
        <v>40</v>
      </c>
      <c r="Q720" t="str">
        <f>IF(TRIM(Transaction[[#This Row],[SalesChannel]])="","Missing Value",TRIM(Transaction[[#This Row],[SalesChannel]]))</f>
        <v>Distributor</v>
      </c>
      <c r="R720" s="4">
        <v>12</v>
      </c>
      <c r="S720" s="4" t="str">
        <f>IF(Transaction[[#This Row],[Quantity]]&lt;0,"Negative-review","Valid")</f>
        <v>Valid</v>
      </c>
      <c r="T720">
        <v>1953.94</v>
      </c>
      <c r="U72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1953.94</v>
      </c>
      <c r="V720">
        <v>2450</v>
      </c>
      <c r="W720">
        <v>29400</v>
      </c>
      <c r="X72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29400</v>
      </c>
      <c r="Y720">
        <f>IF(Transaction[[#This Row],[GrossRevenue_Check]]="Invalid",Transaction[[#This Row],[ListPrice]]*Transaction[[#This Row],[Quantity]],Transaction[[#This Row],[GrossRevenue_Clean]])</f>
        <v>29400</v>
      </c>
      <c r="Z720" t="str">
        <f>IF(Transaction[[#This Row],[GrossRevenue_Clean]]=Transaction[[#This Row],[ListPrice]]*Transaction[[#This Row],[Quantity]],"Valid","Invalid")</f>
        <v>Valid</v>
      </c>
      <c r="AA720">
        <v>5952.72</v>
      </c>
      <c r="AB72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5952.72</v>
      </c>
      <c r="AC720">
        <f>IF(Transaction[[#This Row],[DiscountAmount_Check2]]="Invalid",Transaction[[#This Row],[GrossRevenue_Analytical]]-Transaction[[#This Row],[NetRevenue_Analytical]],Transaction[[#This Row],[DiscountAmount_Clean]])</f>
        <v>5952.72</v>
      </c>
      <c r="AD720">
        <v>23447.279999999999</v>
      </c>
      <c r="AE720" t="str">
        <f>IF(ROUND(Transaction[[#This Row],[GrossRevenue_Analytical]]-Transaction[[#This Row],[NetRevenue_Analytical]],2)=ROUND(Transaction[[#This Row],[DiscountAmount_Clean]],2),"Valid","Invalid")</f>
        <v>Valid</v>
      </c>
      <c r="AF72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23447.279999999999</v>
      </c>
      <c r="AG720">
        <f>IF(Transaction[[#This Row],[NetRevenue_Check]]="Invalid",(Transaction[[#This Row],[Quantity]]*Transaction[[#This Row],[UnitPrice_Clean]]),Transaction[[#This Row],[NetRevenue_Clean]])</f>
        <v>23447.279999999999</v>
      </c>
      <c r="AH720" t="str">
        <f>IF(Transaction[[#This Row],[Quantity]]*Transaction[[#This Row],[UnitPrice_Clean]]=Transaction[[#This Row],[NetRevenue_Clean]],"Valid","Invalid")</f>
        <v>Valid</v>
      </c>
      <c r="AI720" t="s">
        <v>23</v>
      </c>
      <c r="AJ720" t="s">
        <v>2053</v>
      </c>
      <c r="AK720" t="str">
        <f>IF(Transaction[[#This Row],[Salesperson]]="","Missing Value",TRIM(PROPER(Transaction[[#This Row],[Salesperson]])))</f>
        <v>Mack</v>
      </c>
      <c r="AL720" t="s">
        <v>42</v>
      </c>
      <c r="AM720" t="str">
        <f>IF(Transaction[[#This Row],[ContractType]]="","Missing Value",Transaction[[#This Row],[ContractType]])</f>
        <v>Standard PO</v>
      </c>
      <c r="AN720" t="s">
        <v>43</v>
      </c>
    </row>
    <row r="721" spans="1:40" x14ac:dyDescent="0.25">
      <c r="A721" t="s">
        <v>2057</v>
      </c>
      <c r="B721" s="1">
        <v>45756</v>
      </c>
      <c r="C72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72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72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21" s="2">
        <f>IFERROR(DATE(Transaction[[#This Row],[TransactionDateY]],Transaction[[#This Row],[TransactionDateM]],Transaction[[#This Row],[TransactionDateD]]),"Missing Value")</f>
        <v>45756</v>
      </c>
      <c r="G721" t="s">
        <v>2040</v>
      </c>
      <c r="H721" t="str">
        <f>IFERROR(VLOOKUP(Transaction[[#This Row],[CustomerID]],Custumer[],1,0),IF(LEN(Transaction[[#This Row],[CustomerID]])=7,LEFT(Transaction[[#This Row],[CustomerID]],6),"Invalid ID"))</f>
        <v>C-1146</v>
      </c>
      <c r="I721" t="s">
        <v>97</v>
      </c>
      <c r="J721" t="str">
        <f>TRIM(UPPER(Transaction[[#This Row],[ProductID]]))</f>
        <v>P-SI-001</v>
      </c>
      <c r="K721" t="str">
        <f>IFERROR(VLOOKUP(Transaction[[#This Row],[ProductID_Clean]],Product[],1,FALSE),"Invalid ID")</f>
        <v>P-SI-001</v>
      </c>
      <c r="L721" t="str">
        <f>TRIM(SUBSTITUTE(SUBSTITUTE(SUBSTITUTE(SUBSTITUTE(UPPER(Transaction[[#This Row],[Region]]),"EMEA REGION","EMEA"),"APAC REGION","APAC"),"NORTH AMERICA","N. AMERICA"),"N .AMERICA","N.AMERICA"))</f>
        <v>N. AMERICA</v>
      </c>
      <c r="M721" t="s">
        <v>204</v>
      </c>
      <c r="N721" t="s">
        <v>53</v>
      </c>
      <c r="O72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21" t="s">
        <v>181</v>
      </c>
      <c r="Q721" t="str">
        <f>IF(TRIM(Transaction[[#This Row],[SalesChannel]])="","Missing Value",TRIM(Transaction[[#This Row],[SalesChannel]]))</f>
        <v>Partner Portal</v>
      </c>
      <c r="R721" s="4">
        <v>4</v>
      </c>
      <c r="S721" s="4" t="str">
        <f>IF(Transaction[[#This Row],[Quantity]]&lt;0,"Negative-review","Valid")</f>
        <v>Valid</v>
      </c>
      <c r="T721">
        <v>427.57</v>
      </c>
      <c r="U72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427.57</v>
      </c>
      <c r="V721">
        <v>485</v>
      </c>
      <c r="W721">
        <v>1940</v>
      </c>
      <c r="X72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1940</v>
      </c>
      <c r="Y721">
        <f>IF(Transaction[[#This Row],[GrossRevenue_Check]]="Invalid",Transaction[[#This Row],[ListPrice]]*Transaction[[#This Row],[Quantity]],Transaction[[#This Row],[GrossRevenue_Clean]])</f>
        <v>1940</v>
      </c>
      <c r="Z721" t="str">
        <f>IF(Transaction[[#This Row],[GrossRevenue_Clean]]=Transaction[[#This Row],[ListPrice]]*Transaction[[#This Row],[Quantity]],"Valid","Invalid")</f>
        <v>Valid</v>
      </c>
      <c r="AB72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721">
        <f>IF(Transaction[[#This Row],[DiscountAmount_Check2]]="Invalid",Transaction[[#This Row],[GrossRevenue_Analytical]]-Transaction[[#This Row],[NetRevenue_Analytical]],Transaction[[#This Row],[DiscountAmount_Clean]])</f>
        <v>229.72000000000003</v>
      </c>
      <c r="AD721">
        <v>1710.28</v>
      </c>
      <c r="AE721" t="str">
        <f>IF(ROUND(Transaction[[#This Row],[GrossRevenue_Analytical]]-Transaction[[#This Row],[NetRevenue_Analytical]],2)=ROUND(Transaction[[#This Row],[DiscountAmount_Clean]],2),"Valid","Invalid")</f>
        <v>Invalid</v>
      </c>
      <c r="AF72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1710.28</v>
      </c>
      <c r="AG721">
        <f>IF(Transaction[[#This Row],[NetRevenue_Check]]="Invalid",(Transaction[[#This Row],[Quantity]]*Transaction[[#This Row],[UnitPrice_Clean]]),Transaction[[#This Row],[NetRevenue_Clean]])</f>
        <v>1710.28</v>
      </c>
      <c r="AH721" t="str">
        <f>IF(Transaction[[#This Row],[Quantity]]*Transaction[[#This Row],[UnitPrice_Clean]]=Transaction[[#This Row],[NetRevenue_Clean]],"Valid","Invalid")</f>
        <v>Valid</v>
      </c>
      <c r="AI721" t="s">
        <v>23</v>
      </c>
      <c r="AJ721" t="s">
        <v>2058</v>
      </c>
      <c r="AK721" t="str">
        <f>IF(Transaction[[#This Row],[Salesperson]]="","Missing Value",TRIM(PROPER(Transaction[[#This Row],[Salesperson]])))</f>
        <v>Cooper</v>
      </c>
      <c r="AM721" t="str">
        <f>IF(Transaction[[#This Row],[ContractType]]="","Missing Value",Transaction[[#This Row],[ContractType]])</f>
        <v>Missing Value</v>
      </c>
      <c r="AN721" t="s">
        <v>26</v>
      </c>
    </row>
    <row r="722" spans="1:40" x14ac:dyDescent="0.25">
      <c r="A722" t="s">
        <v>2958</v>
      </c>
      <c r="B722" s="1">
        <v>45746</v>
      </c>
      <c r="C72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72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72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22" s="2">
        <f>IFERROR(DATE(Transaction[[#This Row],[TransactionDateY]],Transaction[[#This Row],[TransactionDateM]],Transaction[[#This Row],[TransactionDateD]]),"Missing Value")</f>
        <v>45746</v>
      </c>
      <c r="G722" t="s">
        <v>1250</v>
      </c>
      <c r="H722" t="str">
        <f>IFERROR(VLOOKUP(Transaction[[#This Row],[CustomerID]],Custumer[],1,0),IF(LEN(Transaction[[#This Row],[CustomerID]])=7,LEFT(Transaction[[#This Row],[CustomerID]],6),"Invalid ID"))</f>
        <v>C-1168</v>
      </c>
      <c r="I722" t="s">
        <v>1863</v>
      </c>
      <c r="J722" t="str">
        <f>TRIM(UPPER(Transaction[[#This Row],[ProductID]]))</f>
        <v>P-FS-001</v>
      </c>
      <c r="K722" t="str">
        <f>IFERROR(VLOOKUP(Transaction[[#This Row],[ProductID_Clean]],Product[],1,FALSE),"Invalid ID")</f>
        <v>P-FS-001</v>
      </c>
      <c r="L722" t="str">
        <f>TRIM(SUBSTITUTE(SUBSTITUTE(SUBSTITUTE(SUBSTITUTE(UPPER(Transaction[[#This Row],[Region]]),"EMEA REGION","EMEA"),"APAC REGION","APAC"),"NORTH AMERICA","N. AMERICA"),"N .AMERICA","N.AMERICA"))</f>
        <v>LATIN AMERICA</v>
      </c>
      <c r="M722" t="s">
        <v>82</v>
      </c>
      <c r="N722" t="s">
        <v>21</v>
      </c>
      <c r="O722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722" t="s">
        <v>22</v>
      </c>
      <c r="Q722" t="str">
        <f>IF(TRIM(Transaction[[#This Row],[SalesChannel]])="","Missing Value",TRIM(Transaction[[#This Row],[SalesChannel]]))</f>
        <v>Direct</v>
      </c>
      <c r="R722" s="4">
        <v>1</v>
      </c>
      <c r="S722" s="4" t="str">
        <f>IF(Transaction[[#This Row],[Quantity]]&lt;0,"Negative-review","Valid")</f>
        <v>Valid</v>
      </c>
      <c r="T722">
        <v>1351.25</v>
      </c>
      <c r="U72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1351.25</v>
      </c>
      <c r="V722">
        <v>1850</v>
      </c>
      <c r="W722">
        <v>1850</v>
      </c>
      <c r="X72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722">
        <f>IF(Transaction[[#This Row],[GrossRevenue_Check]]="Invalid",Transaction[[#This Row],[ListPrice]]*Transaction[[#This Row],[Quantity]],Transaction[[#This Row],[GrossRevenue_Clean]])</f>
        <v>1850</v>
      </c>
      <c r="Z722" t="str">
        <f>IF(Transaction[[#This Row],[GrossRevenue_Clean]]=Transaction[[#This Row],[ListPrice]]*Transaction[[#This Row],[Quantity]],"Valid","Invalid")</f>
        <v>Valid</v>
      </c>
      <c r="AA722">
        <v>498.75</v>
      </c>
      <c r="AB72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498.75</v>
      </c>
      <c r="AC722">
        <f>IF(Transaction[[#This Row],[DiscountAmount_Check2]]="Invalid",Transaction[[#This Row],[GrossRevenue_Analytical]]-Transaction[[#This Row],[NetRevenue_Analytical]],Transaction[[#This Row],[DiscountAmount_Clean]])</f>
        <v>498.75</v>
      </c>
      <c r="AD722">
        <v>1351.25</v>
      </c>
      <c r="AE722" t="str">
        <f>IF(ROUND(Transaction[[#This Row],[GrossRevenue_Analytical]]-Transaction[[#This Row],[NetRevenue_Analytical]],2)=ROUND(Transaction[[#This Row],[DiscountAmount_Clean]],2),"Valid","Invalid")</f>
        <v>Valid</v>
      </c>
      <c r="AF72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1351.25</v>
      </c>
      <c r="AG722">
        <f>IF(Transaction[[#This Row],[NetRevenue_Check]]="Invalid",(Transaction[[#This Row],[Quantity]]*Transaction[[#This Row],[UnitPrice_Clean]]),Transaction[[#This Row],[NetRevenue_Clean]])</f>
        <v>1351.25</v>
      </c>
      <c r="AH722" t="str">
        <f>IF(Transaction[[#This Row],[Quantity]]*Transaction[[#This Row],[UnitPrice_Clean]]=Transaction[[#This Row],[NetRevenue_Clean]],"Valid","Invalid")</f>
        <v>Valid</v>
      </c>
      <c r="AI722" t="s">
        <v>23</v>
      </c>
      <c r="AJ722" t="s">
        <v>2535</v>
      </c>
      <c r="AK722" t="str">
        <f>IF(Transaction[[#This Row],[Salesperson]]="","Missing Value",TRIM(PROPER(Transaction[[#This Row],[Salesperson]])))</f>
        <v>Hall-Em</v>
      </c>
      <c r="AL722" t="s">
        <v>42</v>
      </c>
      <c r="AM722" t="str">
        <f>IF(Transaction[[#This Row],[ContractType]]="","Missing Value",Transaction[[#This Row],[ContractType]])</f>
        <v>Standard PO</v>
      </c>
      <c r="AN722" t="s">
        <v>43</v>
      </c>
    </row>
    <row r="723" spans="1:40" x14ac:dyDescent="0.25">
      <c r="A723" t="s">
        <v>1005</v>
      </c>
      <c r="B723" s="1">
        <v>45821</v>
      </c>
      <c r="C72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72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72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23" s="2">
        <f>IFERROR(DATE(Transaction[[#This Row],[TransactionDateY]],Transaction[[#This Row],[TransactionDateM]],Transaction[[#This Row],[TransactionDateD]]),"Missing Value")</f>
        <v>45821</v>
      </c>
      <c r="G723" t="s">
        <v>826</v>
      </c>
      <c r="H723" t="str">
        <f>IFERROR(VLOOKUP(Transaction[[#This Row],[CustomerID]],Custumer[],1,0),IF(LEN(Transaction[[#This Row],[CustomerID]])=7,LEFT(Transaction[[#This Row],[CustomerID]],6),"Invalid ID"))</f>
        <v>C-1182</v>
      </c>
      <c r="I723" t="s">
        <v>97</v>
      </c>
      <c r="J723" t="str">
        <f>TRIM(UPPER(Transaction[[#This Row],[ProductID]]))</f>
        <v>P-SI-001</v>
      </c>
      <c r="K723" t="str">
        <f>IFERROR(VLOOKUP(Transaction[[#This Row],[ProductID_Clean]],Product[],1,FALSE),"Invalid ID")</f>
        <v>P-SI-001</v>
      </c>
      <c r="L723" t="str">
        <f>TRIM(SUBSTITUTE(SUBSTITUTE(SUBSTITUTE(SUBSTITUTE(UPPER(Transaction[[#This Row],[Region]]),"EMEA REGION","EMEA"),"APAC REGION","APAC"),"NORTH AMERICA","N. AMERICA"),"N .AMERICA","N.AMERICA"))</f>
        <v>APAC</v>
      </c>
      <c r="M723" t="s">
        <v>30</v>
      </c>
      <c r="N723" t="s">
        <v>53</v>
      </c>
      <c r="O72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23" t="s">
        <v>181</v>
      </c>
      <c r="Q723" t="str">
        <f>IF(TRIM(Transaction[[#This Row],[SalesChannel]])="","Missing Value",TRIM(Transaction[[#This Row],[SalesChannel]]))</f>
        <v>Partner Portal</v>
      </c>
      <c r="R723" s="4">
        <v>4</v>
      </c>
      <c r="S723" s="4" t="str">
        <f>IF(Transaction[[#This Row],[Quantity]]&lt;0,"Negative-review","Valid")</f>
        <v>Valid</v>
      </c>
      <c r="T723">
        <v>426.67</v>
      </c>
      <c r="U72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426.67</v>
      </c>
      <c r="V723">
        <v>485</v>
      </c>
      <c r="W723">
        <v>1940</v>
      </c>
      <c r="X72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1940</v>
      </c>
      <c r="Y723">
        <f>IF(Transaction[[#This Row],[GrossRevenue_Check]]="Invalid",Transaction[[#This Row],[ListPrice]]*Transaction[[#This Row],[Quantity]],Transaction[[#This Row],[GrossRevenue_Clean]])</f>
        <v>1940</v>
      </c>
      <c r="Z723" t="str">
        <f>IF(Transaction[[#This Row],[GrossRevenue_Clean]]=Transaction[[#This Row],[ListPrice]]*Transaction[[#This Row],[Quantity]],"Valid","Invalid")</f>
        <v>Valid</v>
      </c>
      <c r="AA723">
        <v>233.32</v>
      </c>
      <c r="AB72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233.32</v>
      </c>
      <c r="AC723">
        <f>IF(Transaction[[#This Row],[DiscountAmount_Check2]]="Invalid",Transaction[[#This Row],[GrossRevenue_Analytical]]-Transaction[[#This Row],[NetRevenue_Analytical]],Transaction[[#This Row],[DiscountAmount_Clean]])</f>
        <v>233.32</v>
      </c>
      <c r="AD723">
        <v>1706.68</v>
      </c>
      <c r="AE723" t="str">
        <f>IF(ROUND(Transaction[[#This Row],[GrossRevenue_Analytical]]-Transaction[[#This Row],[NetRevenue_Analytical]],2)=ROUND(Transaction[[#This Row],[DiscountAmount_Clean]],2),"Valid","Invalid")</f>
        <v>Valid</v>
      </c>
      <c r="AF72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1706.68</v>
      </c>
      <c r="AG723">
        <f>IF(Transaction[[#This Row],[NetRevenue_Check]]="Invalid",(Transaction[[#This Row],[Quantity]]*Transaction[[#This Row],[UnitPrice_Clean]]),Transaction[[#This Row],[NetRevenue_Clean]])</f>
        <v>1706.68</v>
      </c>
      <c r="AH723" t="str">
        <f>IF(Transaction[[#This Row],[Quantity]]*Transaction[[#This Row],[UnitPrice_Clean]]=Transaction[[#This Row],[NetRevenue_Clean]],"Valid","Invalid")</f>
        <v>Valid</v>
      </c>
      <c r="AI723" t="s">
        <v>23</v>
      </c>
      <c r="AJ723" t="s">
        <v>1006</v>
      </c>
      <c r="AK723" t="str">
        <f>IF(Transaction[[#This Row],[Salesperson]]="","Missing Value",TRIM(PROPER(Transaction[[#This Row],[Salesperson]])))</f>
        <v>Rodgers-Em</v>
      </c>
      <c r="AL723" t="s">
        <v>25</v>
      </c>
      <c r="AM723" t="str">
        <f>IF(Transaction[[#This Row],[ContractType]]="","Missing Value",Transaction[[#This Row],[ContractType]])</f>
        <v>Frame Agreement</v>
      </c>
      <c r="AN723" t="s">
        <v>65</v>
      </c>
    </row>
    <row r="724" spans="1:40" x14ac:dyDescent="0.25">
      <c r="A724" t="s">
        <v>160</v>
      </c>
      <c r="B724" s="1">
        <v>45704</v>
      </c>
      <c r="C72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72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72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24" s="2">
        <f>IFERROR(DATE(Transaction[[#This Row],[TransactionDateY]],Transaction[[#This Row],[TransactionDateM]],Transaction[[#This Row],[TransactionDateD]]),"Missing Value")</f>
        <v>45704</v>
      </c>
      <c r="G724" t="s">
        <v>131</v>
      </c>
      <c r="H724" t="str">
        <f>IFERROR(VLOOKUP(Transaction[[#This Row],[CustomerID]],Custumer[],1,0),IF(LEN(Transaction[[#This Row],[CustomerID]])=7,LEFT(Transaction[[#This Row],[CustomerID]],6),"Invalid ID"))</f>
        <v>C-1034</v>
      </c>
      <c r="I724" t="s">
        <v>71</v>
      </c>
      <c r="J724" t="str">
        <f>TRIM(UPPER(Transaction[[#This Row],[ProductID]]))</f>
        <v>P-SI-003</v>
      </c>
      <c r="K724" t="str">
        <f>IFERROR(VLOOKUP(Transaction[[#This Row],[ProductID_Clean]],Product[],1,FALSE),"Invalid ID")</f>
        <v>P-SI-003</v>
      </c>
      <c r="L724" t="str">
        <f>TRIM(SUBSTITUTE(SUBSTITUTE(SUBSTITUTE(SUBSTITUTE(UPPER(Transaction[[#This Row],[Region]]),"EMEA REGION","EMEA"),"APAC REGION","APAC"),"NORTH AMERICA","N. AMERICA"),"N .AMERICA","N.AMERICA"))</f>
        <v>N. AMERICA</v>
      </c>
      <c r="M724" t="s">
        <v>20</v>
      </c>
      <c r="N724" t="s">
        <v>53</v>
      </c>
      <c r="O72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24" t="s">
        <v>40</v>
      </c>
      <c r="Q724" t="str">
        <f>IF(TRIM(Transaction[[#This Row],[SalesChannel]])="","Missing Value",TRIM(Transaction[[#This Row],[SalesChannel]]))</f>
        <v>Distributor</v>
      </c>
      <c r="R724" s="4">
        <v>5</v>
      </c>
      <c r="S724" s="4" t="str">
        <f>IF(Transaction[[#This Row],[Quantity]]&lt;0,"Negative-review","Valid")</f>
        <v>Valid</v>
      </c>
      <c r="T724">
        <v>1660.45</v>
      </c>
      <c r="U72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1660.45</v>
      </c>
      <c r="V724">
        <v>1890</v>
      </c>
      <c r="W724">
        <v>9450</v>
      </c>
      <c r="X72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9450</v>
      </c>
      <c r="Y724">
        <f>IF(Transaction[[#This Row],[GrossRevenue_Check]]="Invalid",Transaction[[#This Row],[ListPrice]]*Transaction[[#This Row],[Quantity]],Transaction[[#This Row],[GrossRevenue_Clean]])</f>
        <v>9450</v>
      </c>
      <c r="Z724" t="str">
        <f>IF(Transaction[[#This Row],[GrossRevenue_Clean]]=Transaction[[#This Row],[ListPrice]]*Transaction[[#This Row],[Quantity]],"Valid","Invalid")</f>
        <v>Valid</v>
      </c>
      <c r="AA724">
        <v>1147.75</v>
      </c>
      <c r="AB72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1147.75</v>
      </c>
      <c r="AC724">
        <f>IF(Transaction[[#This Row],[DiscountAmount_Check2]]="Invalid",Transaction[[#This Row],[GrossRevenue_Analytical]]-Transaction[[#This Row],[NetRevenue_Analytical]],Transaction[[#This Row],[DiscountAmount_Clean]])</f>
        <v>1147.75</v>
      </c>
      <c r="AD724">
        <v>8302.25</v>
      </c>
      <c r="AE724" t="str">
        <f>IF(ROUND(Transaction[[#This Row],[GrossRevenue_Analytical]]-Transaction[[#This Row],[NetRevenue_Analytical]],2)=ROUND(Transaction[[#This Row],[DiscountAmount_Clean]],2),"Valid","Invalid")</f>
        <v>Valid</v>
      </c>
      <c r="AF724">
        <f>VALUE(IF(ISNUMBER(Transaction[[#This Row],[NetRevenue]]),Transaction[[#This Row],[NetRevenue]],IFERROR(IF(FIND("$",Transaction[[#This Row],[NetRevenue]])&gt;0,MID(Transaction[[#This Row],[NetRevenue]],2,10)),Transaction[[#This Row],[NetRevenue]])))</f>
        <v>8302.25</v>
      </c>
      <c r="AG724">
        <f>IF(Transaction[[#This Row],[NetRevenue_Check]]="Invalid",(Transaction[[#This Row],[Quantity]]*Transaction[[#This Row],[UnitPrice_Clean]]),Transaction[[#This Row],[NetRevenue_Clean]])</f>
        <v>8302.25</v>
      </c>
      <c r="AH724" t="str">
        <f>IF(Transaction[[#This Row],[Quantity]]*Transaction[[#This Row],[UnitPrice_Clean]]=Transaction[[#This Row],[NetRevenue_Clean]],"Valid","Invalid")</f>
        <v>Valid</v>
      </c>
      <c r="AI724" t="s">
        <v>23</v>
      </c>
      <c r="AJ724" t="s">
        <v>161</v>
      </c>
      <c r="AK724" t="str">
        <f>IF(Transaction[[#This Row],[Salesperson]]="","Missing Value",TRIM(PROPER(Transaction[[#This Row],[Salesperson]])))</f>
        <v>Jefferson</v>
      </c>
      <c r="AL724" t="s">
        <v>55</v>
      </c>
      <c r="AM724" t="str">
        <f>IF(Transaction[[#This Row],[ContractType]]="","Missing Value",Transaction[[#This Row],[ContractType]])</f>
        <v>Spot</v>
      </c>
      <c r="AN724" t="s">
        <v>26</v>
      </c>
    </row>
    <row r="725" spans="1:40" x14ac:dyDescent="0.25">
      <c r="A725" t="s">
        <v>1709</v>
      </c>
      <c r="B725" s="1">
        <v>45768</v>
      </c>
      <c r="C72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72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72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25" s="2">
        <f>IFERROR(DATE(Transaction[[#This Row],[TransactionDateY]],Transaction[[#This Row],[TransactionDateM]],Transaction[[#This Row],[TransactionDateD]]),"Missing Value")</f>
        <v>45768</v>
      </c>
      <c r="G725" t="s">
        <v>1321</v>
      </c>
      <c r="H725" t="str">
        <f>IFERROR(VLOOKUP(Transaction[[#This Row],[CustomerID]],Custumer[],1,0),IF(LEN(Transaction[[#This Row],[CustomerID]])=7,LEFT(Transaction[[#This Row],[CustomerID]],6),"Invalid ID"))</f>
        <v>C-1066</v>
      </c>
      <c r="I725" t="s">
        <v>71</v>
      </c>
      <c r="J725" t="str">
        <f>TRIM(UPPER(Transaction[[#This Row],[ProductID]]))</f>
        <v>P-SI-003</v>
      </c>
      <c r="K725" t="str">
        <f>IFERROR(VLOOKUP(Transaction[[#This Row],[ProductID_Clean]],Product[],1,FALSE),"Invalid ID")</f>
        <v>P-SI-003</v>
      </c>
      <c r="L725" t="str">
        <f>TRIM(SUBSTITUTE(SUBSTITUTE(SUBSTITUTE(SUBSTITUTE(UPPER(Transaction[[#This Row],[Region]]),"EMEA REGION","EMEA"),"APAC REGION","APAC"),"NORTH AMERICA","N. AMERICA"),"N .AMERICA","N.AMERICA"))</f>
        <v>EMEA</v>
      </c>
      <c r="M725" t="s">
        <v>87</v>
      </c>
      <c r="N725" t="s">
        <v>53</v>
      </c>
      <c r="O72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25" t="s">
        <v>40</v>
      </c>
      <c r="Q725" t="str">
        <f>IF(TRIM(Transaction[[#This Row],[SalesChannel]])="","Missing Value",TRIM(Transaction[[#This Row],[SalesChannel]]))</f>
        <v>Distributor</v>
      </c>
      <c r="R725" s="4">
        <v>1</v>
      </c>
      <c r="S725" s="4" t="str">
        <f>IF(Transaction[[#This Row],[Quantity]]&lt;0,"Negative-review","Valid")</f>
        <v>Valid</v>
      </c>
      <c r="T725">
        <v>1626.95</v>
      </c>
      <c r="U72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1626.95</v>
      </c>
      <c r="V725">
        <v>1890</v>
      </c>
      <c r="W725">
        <v>1890</v>
      </c>
      <c r="X72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725">
        <f>IF(Transaction[[#This Row],[GrossRevenue_Check]]="Invalid",Transaction[[#This Row],[ListPrice]]*Transaction[[#This Row],[Quantity]],Transaction[[#This Row],[GrossRevenue_Clean]])</f>
        <v>1890</v>
      </c>
      <c r="Z725" t="str">
        <f>IF(Transaction[[#This Row],[GrossRevenue_Clean]]=Transaction[[#This Row],[ListPrice]]*Transaction[[#This Row],[Quantity]],"Valid","Invalid")</f>
        <v>Valid</v>
      </c>
      <c r="AA725">
        <v>263.05</v>
      </c>
      <c r="AB72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263.05</v>
      </c>
      <c r="AC725">
        <f>IF(Transaction[[#This Row],[DiscountAmount_Check2]]="Invalid",Transaction[[#This Row],[GrossRevenue_Analytical]]-Transaction[[#This Row],[NetRevenue_Analytical]],Transaction[[#This Row],[DiscountAmount_Clean]])</f>
        <v>263.05</v>
      </c>
      <c r="AD725">
        <v>1626.95</v>
      </c>
      <c r="AE725" t="str">
        <f>IF(ROUND(Transaction[[#This Row],[GrossRevenue_Analytical]]-Transaction[[#This Row],[NetRevenue_Analytical]],2)=ROUND(Transaction[[#This Row],[DiscountAmount_Clean]],2),"Valid","Invalid")</f>
        <v>Valid</v>
      </c>
      <c r="AF72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1626.95</v>
      </c>
      <c r="AG725">
        <f>IF(Transaction[[#This Row],[NetRevenue_Check]]="Invalid",(Transaction[[#This Row],[Quantity]]*Transaction[[#This Row],[UnitPrice_Clean]]),Transaction[[#This Row],[NetRevenue_Clean]])</f>
        <v>1626.95</v>
      </c>
      <c r="AH725" t="str">
        <f>IF(Transaction[[#This Row],[Quantity]]*Transaction[[#This Row],[UnitPrice_Clean]]=Transaction[[#This Row],[NetRevenue_Clean]],"Valid","Invalid")</f>
        <v>Valid</v>
      </c>
      <c r="AI725" t="s">
        <v>23</v>
      </c>
      <c r="AJ725" t="s">
        <v>997</v>
      </c>
      <c r="AK725" t="str">
        <f>IF(Transaction[[#This Row],[Salesperson]]="","Missing Value",TRIM(PROPER(Transaction[[#This Row],[Salesperson]])))</f>
        <v>Johnson-Em</v>
      </c>
      <c r="AL725" t="s">
        <v>42</v>
      </c>
      <c r="AM725" t="str">
        <f>IF(Transaction[[#This Row],[ContractType]]="","Missing Value",Transaction[[#This Row],[ContractType]])</f>
        <v>Standard PO</v>
      </c>
      <c r="AN725" t="s">
        <v>26</v>
      </c>
    </row>
    <row r="726" spans="1:40" x14ac:dyDescent="0.25">
      <c r="A726" t="s">
        <v>567</v>
      </c>
      <c r="B726" s="1">
        <v>45672</v>
      </c>
      <c r="C72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72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72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26" s="2">
        <f>IFERROR(DATE(Transaction[[#This Row],[TransactionDateY]],Transaction[[#This Row],[TransactionDateM]],Transaction[[#This Row],[TransactionDateD]]),"Missing Value")</f>
        <v>45672</v>
      </c>
      <c r="G726" t="s">
        <v>568</v>
      </c>
      <c r="H726" t="str">
        <f>IFERROR(VLOOKUP(Transaction[[#This Row],[CustomerID]],Custumer[],1,0),IF(LEN(Transaction[[#This Row],[CustomerID]])=7,LEFT(Transaction[[#This Row],[CustomerID]],6),"Invalid ID"))</f>
        <v>C-1087</v>
      </c>
      <c r="I726" t="s">
        <v>117</v>
      </c>
      <c r="J726" t="str">
        <f>TRIM(UPPER(Transaction[[#This Row],[ProductID]]))</f>
        <v>P-SI-007</v>
      </c>
      <c r="K726" t="str">
        <f>IFERROR(VLOOKUP(Transaction[[#This Row],[ProductID_Clean]],Product[],1,FALSE),"Invalid ID")</f>
        <v>P-SI-007</v>
      </c>
      <c r="L726" t="str">
        <f>TRIM(SUBSTITUTE(SUBSTITUTE(SUBSTITUTE(SUBSTITUTE(UPPER(Transaction[[#This Row],[Region]]),"EMEA REGION","EMEA"),"APAC REGION","APAC"),"NORTH AMERICA","N. AMERICA"),"N .AMERICA","N.AMERICA"))</f>
        <v>APAC</v>
      </c>
      <c r="M726" t="s">
        <v>30</v>
      </c>
      <c r="N726" t="s">
        <v>53</v>
      </c>
      <c r="O72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26" t="s">
        <v>22</v>
      </c>
      <c r="Q726" t="str">
        <f>IF(TRIM(Transaction[[#This Row],[SalesChannel]])="","Missing Value",TRIM(Transaction[[#This Row],[SalesChannel]]))</f>
        <v>Direct</v>
      </c>
      <c r="R726" s="4">
        <v>2</v>
      </c>
      <c r="S726" s="4" t="str">
        <f>IF(Transaction[[#This Row],[Quantity]]&lt;0,"Negative-review","Valid")</f>
        <v>Valid</v>
      </c>
      <c r="T726">
        <v>898.75</v>
      </c>
      <c r="U72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898.75</v>
      </c>
      <c r="V726">
        <v>980</v>
      </c>
      <c r="W726">
        <v>1960</v>
      </c>
      <c r="X72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</v>
      </c>
      <c r="Y726">
        <f>IF(Transaction[[#This Row],[GrossRevenue_Check]]="Invalid",Transaction[[#This Row],[ListPrice]]*Transaction[[#This Row],[Quantity]],Transaction[[#This Row],[GrossRevenue_Clean]])</f>
        <v>1960</v>
      </c>
      <c r="Z726" t="str">
        <f>IF(Transaction[[#This Row],[GrossRevenue_Clean]]=Transaction[[#This Row],[ListPrice]]*Transaction[[#This Row],[Quantity]],"Valid","Invalid")</f>
        <v>Valid</v>
      </c>
      <c r="AA726">
        <v>162.5</v>
      </c>
      <c r="AB72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162.5</v>
      </c>
      <c r="AC726">
        <f>IF(Transaction[[#This Row],[DiscountAmount_Check2]]="Invalid",Transaction[[#This Row],[GrossRevenue_Analytical]]-Transaction[[#This Row],[NetRevenue_Analytical]],Transaction[[#This Row],[DiscountAmount_Clean]])</f>
        <v>162.5</v>
      </c>
      <c r="AD726">
        <v>1797.5</v>
      </c>
      <c r="AE726" t="str">
        <f>IF(ROUND(Transaction[[#This Row],[GrossRevenue_Analytical]]-Transaction[[#This Row],[NetRevenue_Analytical]],2)=ROUND(Transaction[[#This Row],[DiscountAmount_Clean]],2),"Valid","Invalid")</f>
        <v>Valid</v>
      </c>
      <c r="AF72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1797.5</v>
      </c>
      <c r="AG726">
        <f>IF(Transaction[[#This Row],[NetRevenue_Check]]="Invalid",(Transaction[[#This Row],[Quantity]]*Transaction[[#This Row],[UnitPrice_Clean]]),Transaction[[#This Row],[NetRevenue_Clean]])</f>
        <v>1797.5</v>
      </c>
      <c r="AH726" t="str">
        <f>IF(Transaction[[#This Row],[Quantity]]*Transaction[[#This Row],[UnitPrice_Clean]]=Transaction[[#This Row],[NetRevenue_Clean]],"Valid","Invalid")</f>
        <v>Valid</v>
      </c>
      <c r="AI726" t="s">
        <v>23</v>
      </c>
      <c r="AJ726" t="s">
        <v>569</v>
      </c>
      <c r="AK726" t="str">
        <f>IF(Transaction[[#This Row],[Salesperson]]="","Missing Value",TRIM(PROPER(Transaction[[#This Row],[Salesperson]])))</f>
        <v>Dorsey</v>
      </c>
      <c r="AL726" t="s">
        <v>42</v>
      </c>
      <c r="AM726" t="str">
        <f>IF(Transaction[[#This Row],[ContractType]]="","Missing Value",Transaction[[#This Row],[ContractType]])</f>
        <v>Standard PO</v>
      </c>
      <c r="AN726" t="s">
        <v>49</v>
      </c>
    </row>
    <row r="727" spans="1:40" x14ac:dyDescent="0.25">
      <c r="A727" t="s">
        <v>1698</v>
      </c>
      <c r="B727" s="1">
        <v>45790</v>
      </c>
      <c r="C72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72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72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27" s="2">
        <f>IFERROR(DATE(Transaction[[#This Row],[TransactionDateY]],Transaction[[#This Row],[TransactionDateM]],Transaction[[#This Row],[TransactionDateD]]),"Missing Value")</f>
        <v>45790</v>
      </c>
      <c r="G727" t="s">
        <v>300</v>
      </c>
      <c r="H727" t="str">
        <f>IFERROR(VLOOKUP(Transaction[[#This Row],[CustomerID]],Custumer[],1,0),IF(LEN(Transaction[[#This Row],[CustomerID]])=7,LEFT(Transaction[[#This Row],[CustomerID]],6),"Invalid ID"))</f>
        <v>C-1089</v>
      </c>
      <c r="I727" t="s">
        <v>92</v>
      </c>
      <c r="J727" t="str">
        <f>TRIM(UPPER(Transaction[[#This Row],[ProductID]]))</f>
        <v>P-SI-008</v>
      </c>
      <c r="K727" t="str">
        <f>IFERROR(VLOOKUP(Transaction[[#This Row],[ProductID_Clean]],Product[],1,FALSE),"Invalid ID")</f>
        <v>P-SI-008</v>
      </c>
      <c r="L727" t="str">
        <f>TRIM(SUBSTITUTE(SUBSTITUTE(SUBSTITUTE(SUBSTITUTE(UPPER(Transaction[[#This Row],[Region]]),"EMEA REGION","EMEA"),"APAC REGION","APAC"),"NORTH AMERICA","N. AMERICA"),"N .AMERICA","N.AMERICA"))</f>
        <v>LATIN AMERICA</v>
      </c>
      <c r="M727" t="s">
        <v>82</v>
      </c>
      <c r="N727" t="s">
        <v>53</v>
      </c>
      <c r="O72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27" t="s">
        <v>181</v>
      </c>
      <c r="Q727" t="str">
        <f>IF(TRIM(Transaction[[#This Row],[SalesChannel]])="","Missing Value",TRIM(Transaction[[#This Row],[SalesChannel]]))</f>
        <v>Partner Portal</v>
      </c>
      <c r="R727" s="4">
        <v>1</v>
      </c>
      <c r="S727" s="4" t="str">
        <f>IF(Transaction[[#This Row],[Quantity]]&lt;0,"Negative-review","Valid")</f>
        <v>Valid</v>
      </c>
      <c r="T727">
        <v>810.03</v>
      </c>
      <c r="U72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810.03</v>
      </c>
      <c r="V727">
        <v>950</v>
      </c>
      <c r="W727">
        <v>950</v>
      </c>
      <c r="X72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727">
        <f>IF(Transaction[[#This Row],[GrossRevenue_Check]]="Invalid",Transaction[[#This Row],[ListPrice]]*Transaction[[#This Row],[Quantity]],Transaction[[#This Row],[GrossRevenue_Clean]])</f>
        <v>950</v>
      </c>
      <c r="Z727" t="str">
        <f>IF(Transaction[[#This Row],[GrossRevenue_Clean]]=Transaction[[#This Row],[ListPrice]]*Transaction[[#This Row],[Quantity]],"Valid","Invalid")</f>
        <v>Valid</v>
      </c>
      <c r="AA727">
        <v>139.97</v>
      </c>
      <c r="AB72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139.97</v>
      </c>
      <c r="AC727">
        <f>IF(Transaction[[#This Row],[DiscountAmount_Check2]]="Invalid",Transaction[[#This Row],[GrossRevenue_Analytical]]-Transaction[[#This Row],[NetRevenue_Analytical]],Transaction[[#This Row],[DiscountAmount_Clean]])</f>
        <v>139.97</v>
      </c>
      <c r="AD727">
        <v>810.03</v>
      </c>
      <c r="AE727" t="str">
        <f>IF(ROUND(Transaction[[#This Row],[GrossRevenue_Analytical]]-Transaction[[#This Row],[NetRevenue_Analytical]],2)=ROUND(Transaction[[#This Row],[DiscountAmount_Clean]],2),"Valid","Invalid")</f>
        <v>Valid</v>
      </c>
      <c r="AF727">
        <f>VALUE(IF(ISNUMBER(Transaction[[#This Row],[NetRevenue]]),Transaction[[#This Row],[NetRevenue]],IFERROR(IF(FIND("$",Transaction[[#This Row],[NetRevenue]])&gt;0,MID(Transaction[[#This Row],[NetRevenue]],2,10)),Transaction[[#This Row],[NetRevenue]])))</f>
        <v>810.03</v>
      </c>
      <c r="AG727">
        <f>IF(Transaction[[#This Row],[NetRevenue_Check]]="Invalid",(Transaction[[#This Row],[Quantity]]*Transaction[[#This Row],[UnitPrice_Clean]]),Transaction[[#This Row],[NetRevenue_Clean]])</f>
        <v>810.03</v>
      </c>
      <c r="AH727" t="str">
        <f>IF(Transaction[[#This Row],[Quantity]]*Transaction[[#This Row],[UnitPrice_Clean]]=Transaction[[#This Row],[NetRevenue_Clean]],"Valid","Invalid")</f>
        <v>Valid</v>
      </c>
      <c r="AI727" t="s">
        <v>23</v>
      </c>
      <c r="AJ727" t="s">
        <v>1699</v>
      </c>
      <c r="AK727" t="str">
        <f>IF(Transaction[[#This Row],[Salesperson]]="","Missing Value",TRIM(PROPER(Transaction[[#This Row],[Salesperson]])))</f>
        <v>Butler</v>
      </c>
      <c r="AL727" t="s">
        <v>25</v>
      </c>
      <c r="AM727" t="str">
        <f>IF(Transaction[[#This Row],[ContractType]]="","Missing Value",Transaction[[#This Row],[ContractType]])</f>
        <v>Frame Agreement</v>
      </c>
      <c r="AN727" t="s">
        <v>49</v>
      </c>
    </row>
    <row r="728" spans="1:40" x14ac:dyDescent="0.25">
      <c r="A728" t="s">
        <v>2887</v>
      </c>
      <c r="B728" s="1">
        <v>45735</v>
      </c>
      <c r="C72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72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72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28" s="2">
        <f>IFERROR(DATE(Transaction[[#This Row],[TransactionDateY]],Transaction[[#This Row],[TransactionDateM]],Transaction[[#This Row],[TransactionDateD]]),"Missing Value")</f>
        <v>45735</v>
      </c>
      <c r="G728" t="s">
        <v>218</v>
      </c>
      <c r="H728" t="str">
        <f>IFERROR(VLOOKUP(Transaction[[#This Row],[CustomerID]],Custumer[],1,0),IF(LEN(Transaction[[#This Row],[CustomerID]])=7,LEFT(Transaction[[#This Row],[CustomerID]],6),"Invalid ID"))</f>
        <v>C-1098</v>
      </c>
      <c r="I728" t="s">
        <v>121</v>
      </c>
      <c r="J728" t="str">
        <f>TRIM(UPPER(Transaction[[#This Row],[ProductID]]))</f>
        <v>P-FS-001</v>
      </c>
      <c r="K728" t="str">
        <f>IFERROR(VLOOKUP(Transaction[[#This Row],[ProductID_Clean]],Product[],1,FALSE),"Invalid ID")</f>
        <v>P-FS-001</v>
      </c>
      <c r="L728" t="str">
        <f>TRIM(SUBSTITUTE(SUBSTITUTE(SUBSTITUTE(SUBSTITUTE(UPPER(Transaction[[#This Row],[Region]]),"EMEA REGION","EMEA"),"APAC REGION","APAC"),"NORTH AMERICA","N. AMERICA"),"N .AMERICA","N.AMERICA"))</f>
        <v>N. AMERICA</v>
      </c>
      <c r="M728" t="s">
        <v>204</v>
      </c>
      <c r="N728" t="s">
        <v>21</v>
      </c>
      <c r="O728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728" t="s">
        <v>22</v>
      </c>
      <c r="Q728" t="str">
        <f>IF(TRIM(Transaction[[#This Row],[SalesChannel]])="","Missing Value",TRIM(Transaction[[#This Row],[SalesChannel]]))</f>
        <v>Direct</v>
      </c>
      <c r="R728" s="4">
        <v>1</v>
      </c>
      <c r="S728" s="4" t="str">
        <f>IF(Transaction[[#This Row],[Quantity]]&lt;0,"Negative-review","Valid")</f>
        <v>Valid</v>
      </c>
      <c r="T728">
        <v>1538.58</v>
      </c>
      <c r="U72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1538.58</v>
      </c>
      <c r="V728">
        <v>1850</v>
      </c>
      <c r="W728" t="s">
        <v>648</v>
      </c>
      <c r="X72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728">
        <f>IF(Transaction[[#This Row],[GrossRevenue_Check]]="Invalid",Transaction[[#This Row],[ListPrice]]*Transaction[[#This Row],[Quantity]],Transaction[[#This Row],[GrossRevenue_Clean]])</f>
        <v>1850</v>
      </c>
      <c r="Z728" t="str">
        <f>IF(Transaction[[#This Row],[GrossRevenue_Clean]]=Transaction[[#This Row],[ListPrice]]*Transaction[[#This Row],[Quantity]],"Valid","Invalid")</f>
        <v>Valid</v>
      </c>
      <c r="AA728">
        <v>311.42</v>
      </c>
      <c r="AB72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311.42</v>
      </c>
      <c r="AC728">
        <f>IF(Transaction[[#This Row],[DiscountAmount_Check2]]="Invalid",Transaction[[#This Row],[GrossRevenue_Analytical]]-Transaction[[#This Row],[NetRevenue_Analytical]],Transaction[[#This Row],[DiscountAmount_Clean]])</f>
        <v>311.42</v>
      </c>
      <c r="AD728">
        <v>1538.58</v>
      </c>
      <c r="AE728" t="str">
        <f>IF(ROUND(Transaction[[#This Row],[GrossRevenue_Analytical]]-Transaction[[#This Row],[NetRevenue_Analytical]],2)=ROUND(Transaction[[#This Row],[DiscountAmount_Clean]],2),"Valid","Invalid")</f>
        <v>Valid</v>
      </c>
      <c r="AF72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1538.58</v>
      </c>
      <c r="AG728">
        <f>IF(Transaction[[#This Row],[NetRevenue_Check]]="Invalid",(Transaction[[#This Row],[Quantity]]*Transaction[[#This Row],[UnitPrice_Clean]]),Transaction[[#This Row],[NetRevenue_Clean]])</f>
        <v>1538.58</v>
      </c>
      <c r="AH728" t="str">
        <f>IF(Transaction[[#This Row],[Quantity]]*Transaction[[#This Row],[UnitPrice_Clean]]=Transaction[[#This Row],[NetRevenue_Clean]],"Valid","Invalid")</f>
        <v>Valid</v>
      </c>
      <c r="AI728" t="s">
        <v>23</v>
      </c>
      <c r="AJ728" t="s">
        <v>2888</v>
      </c>
      <c r="AK728" t="str">
        <f>IF(Transaction[[#This Row],[Salesperson]]="","Missing Value",TRIM(PROPER(Transaction[[#This Row],[Salesperson]])))</f>
        <v>Monroe</v>
      </c>
      <c r="AL728" t="s">
        <v>55</v>
      </c>
      <c r="AM728" t="str">
        <f>IF(Transaction[[#This Row],[ContractType]]="","Missing Value",Transaction[[#This Row],[ContractType]])</f>
        <v>Spot</v>
      </c>
      <c r="AN728" t="s">
        <v>65</v>
      </c>
    </row>
    <row r="729" spans="1:40" x14ac:dyDescent="0.25">
      <c r="A729" t="s">
        <v>2487</v>
      </c>
      <c r="B729" t="s">
        <v>2488</v>
      </c>
      <c r="C72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72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72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29" s="2">
        <f>IFERROR(DATE(Transaction[[#This Row],[TransactionDateY]],Transaction[[#This Row],[TransactionDateM]],Transaction[[#This Row],[TransactionDateD]]),"Missing Value")</f>
        <v>45699</v>
      </c>
      <c r="G729" t="s">
        <v>1143</v>
      </c>
      <c r="H729" t="str">
        <f>IFERROR(VLOOKUP(Transaction[[#This Row],[CustomerID]],Custumer[],1,0),IF(LEN(Transaction[[#This Row],[CustomerID]])=7,LEFT(Transaction[[#This Row],[CustomerID]],6),"Invalid ID"))</f>
        <v>C-1114</v>
      </c>
      <c r="I729" t="s">
        <v>97</v>
      </c>
      <c r="J729" t="str">
        <f>TRIM(UPPER(Transaction[[#This Row],[ProductID]]))</f>
        <v>P-SI-001</v>
      </c>
      <c r="K729" t="str">
        <f>IFERROR(VLOOKUP(Transaction[[#This Row],[ProductID_Clean]],Product[],1,FALSE),"Invalid ID")</f>
        <v>P-SI-001</v>
      </c>
      <c r="L729" t="str">
        <f>TRIM(SUBSTITUTE(SUBSTITUTE(SUBSTITUTE(SUBSTITUTE(UPPER(Transaction[[#This Row],[Region]]),"EMEA REGION","EMEA"),"APAC REGION","APAC"),"NORTH AMERICA","N. AMERICA"),"N .AMERICA","N.AMERICA"))</f>
        <v>N. AMERICA</v>
      </c>
      <c r="M729" t="s">
        <v>20</v>
      </c>
      <c r="N729" t="s">
        <v>53</v>
      </c>
      <c r="O72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29" t="s">
        <v>22</v>
      </c>
      <c r="Q729" t="str">
        <f>IF(TRIM(Transaction[[#This Row],[SalesChannel]])="","Missing Value",TRIM(Transaction[[#This Row],[SalesChannel]]))</f>
        <v>Direct</v>
      </c>
      <c r="R729" s="4">
        <v>4</v>
      </c>
      <c r="S729" s="4" t="str">
        <f>IF(Transaction[[#This Row],[Quantity]]&lt;0,"Negative-review","Valid")</f>
        <v>Valid</v>
      </c>
      <c r="T729">
        <v>480.83</v>
      </c>
      <c r="U72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480.83</v>
      </c>
      <c r="V729">
        <v>485</v>
      </c>
      <c r="W729">
        <v>1940</v>
      </c>
      <c r="X72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1940</v>
      </c>
      <c r="Y729">
        <f>IF(Transaction[[#This Row],[GrossRevenue_Check]]="Invalid",Transaction[[#This Row],[ListPrice]]*Transaction[[#This Row],[Quantity]],Transaction[[#This Row],[GrossRevenue_Clean]])</f>
        <v>1940</v>
      </c>
      <c r="Z729" t="str">
        <f>IF(Transaction[[#This Row],[GrossRevenue_Clean]]=Transaction[[#This Row],[ListPrice]]*Transaction[[#This Row],[Quantity]],"Valid","Invalid")</f>
        <v>Valid</v>
      </c>
      <c r="AA729">
        <v>16.68</v>
      </c>
      <c r="AB72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16.68</v>
      </c>
      <c r="AC729">
        <f>IF(Transaction[[#This Row],[DiscountAmount_Check2]]="Invalid",Transaction[[#This Row],[GrossRevenue_Analytical]]-Transaction[[#This Row],[NetRevenue_Analytical]],Transaction[[#This Row],[DiscountAmount_Clean]])</f>
        <v>16.68</v>
      </c>
      <c r="AD729">
        <v>1923.32</v>
      </c>
      <c r="AE729" t="str">
        <f>IF(ROUND(Transaction[[#This Row],[GrossRevenue_Analytical]]-Transaction[[#This Row],[NetRevenue_Analytical]],2)=ROUND(Transaction[[#This Row],[DiscountAmount_Clean]],2),"Valid","Invalid")</f>
        <v>Valid</v>
      </c>
      <c r="AF72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1923.32</v>
      </c>
      <c r="AG729">
        <f>IF(Transaction[[#This Row],[NetRevenue_Check]]="Invalid",(Transaction[[#This Row],[Quantity]]*Transaction[[#This Row],[UnitPrice_Clean]]),Transaction[[#This Row],[NetRevenue_Clean]])</f>
        <v>1923.32</v>
      </c>
      <c r="AH729" t="str">
        <f>IF(Transaction[[#This Row],[Quantity]]*Transaction[[#This Row],[UnitPrice_Clean]]=Transaction[[#This Row],[NetRevenue_Clean]],"Valid","Invalid")</f>
        <v>Valid</v>
      </c>
      <c r="AI729" t="s">
        <v>23</v>
      </c>
      <c r="AJ729" t="s">
        <v>1397</v>
      </c>
      <c r="AK729" t="str">
        <f>IF(Transaction[[#This Row],[Salesperson]]="","Missing Value",TRIM(PROPER(Transaction[[#This Row],[Salesperson]])))</f>
        <v>Peck</v>
      </c>
      <c r="AL729" t="s">
        <v>42</v>
      </c>
      <c r="AM729" t="str">
        <f>IF(Transaction[[#This Row],[ContractType]]="","Missing Value",Transaction[[#This Row],[ContractType]])</f>
        <v>Standard PO</v>
      </c>
      <c r="AN729" t="s">
        <v>35</v>
      </c>
    </row>
    <row r="730" spans="1:40" x14ac:dyDescent="0.25">
      <c r="A730" t="s">
        <v>996</v>
      </c>
      <c r="C73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73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73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730" s="2" t="str">
        <f>IFERROR(DATE(Transaction[[#This Row],[TransactionDateY]],Transaction[[#This Row],[TransactionDateM]],Transaction[[#This Row],[TransactionDateD]]),"Missing Value")</f>
        <v>Missing Value</v>
      </c>
      <c r="G730" t="s">
        <v>195</v>
      </c>
      <c r="H730" t="str">
        <f>IFERROR(VLOOKUP(Transaction[[#This Row],[CustomerID]],Custumer[],1,0),IF(LEN(Transaction[[#This Row],[CustomerID]])=7,LEFT(Transaction[[#This Row],[CustomerID]],6),"Invalid ID"))</f>
        <v>C-1015</v>
      </c>
      <c r="I730" t="s">
        <v>46</v>
      </c>
      <c r="J730" t="str">
        <f>TRIM(UPPER(Transaction[[#This Row],[ProductID]]))</f>
        <v>P-SI-006</v>
      </c>
      <c r="K730" t="str">
        <f>IFERROR(VLOOKUP(Transaction[[#This Row],[ProductID_Clean]],Product[],1,FALSE),"Invalid ID")</f>
        <v>P-SI-006</v>
      </c>
      <c r="L730" t="str">
        <f>TRIM(SUBSTITUTE(SUBSTITUTE(SUBSTITUTE(SUBSTITUTE(UPPER(Transaction[[#This Row],[Region]]),"EMEA REGION","EMEA"),"APAC REGION","APAC"),"NORTH AMERICA","N. AMERICA"),"N .AMERICA","N.AMERICA"))</f>
        <v>N. AMERICA</v>
      </c>
      <c r="M730" t="s">
        <v>20</v>
      </c>
      <c r="N730" t="s">
        <v>53</v>
      </c>
      <c r="O73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30" t="s">
        <v>40</v>
      </c>
      <c r="Q730" t="str">
        <f>IF(TRIM(Transaction[[#This Row],[SalesChannel]])="","Missing Value",TRIM(Transaction[[#This Row],[SalesChannel]]))</f>
        <v>Distributor</v>
      </c>
      <c r="R730" s="4">
        <v>1</v>
      </c>
      <c r="S730" s="4" t="str">
        <f>IF(Transaction[[#This Row],[Quantity]]&lt;0,"Negative-review","Valid")</f>
        <v>Valid</v>
      </c>
      <c r="T730">
        <v>137.47999999999999</v>
      </c>
      <c r="U73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137.47999999999999</v>
      </c>
      <c r="V730">
        <v>215</v>
      </c>
      <c r="W730">
        <v>215</v>
      </c>
      <c r="X73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730">
        <f>IF(Transaction[[#This Row],[GrossRevenue_Check]]="Invalid",Transaction[[#This Row],[ListPrice]]*Transaction[[#This Row],[Quantity]],Transaction[[#This Row],[GrossRevenue_Clean]])</f>
        <v>215</v>
      </c>
      <c r="Z730" t="str">
        <f>IF(Transaction[[#This Row],[GrossRevenue_Clean]]=Transaction[[#This Row],[ListPrice]]*Transaction[[#This Row],[Quantity]],"Valid","Invalid")</f>
        <v>Valid</v>
      </c>
      <c r="AA730">
        <v>77.52</v>
      </c>
      <c r="AB73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77.52</v>
      </c>
      <c r="AC730">
        <f>IF(Transaction[[#This Row],[DiscountAmount_Check2]]="Invalid",Transaction[[#This Row],[GrossRevenue_Analytical]]-Transaction[[#This Row],[NetRevenue_Analytical]],Transaction[[#This Row],[DiscountAmount_Clean]])</f>
        <v>77.52</v>
      </c>
      <c r="AD730">
        <v>137.47999999999999</v>
      </c>
      <c r="AE730" t="str">
        <f>IF(ROUND(Transaction[[#This Row],[GrossRevenue_Analytical]]-Transaction[[#This Row],[NetRevenue_Analytical]],2)=ROUND(Transaction[[#This Row],[DiscountAmount_Clean]],2),"Valid","Invalid")</f>
        <v>Valid</v>
      </c>
      <c r="AF73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137.47999999999999</v>
      </c>
      <c r="AG730">
        <f>IF(Transaction[[#This Row],[NetRevenue_Check]]="Invalid",(Transaction[[#This Row],[Quantity]]*Transaction[[#This Row],[UnitPrice_Clean]]),Transaction[[#This Row],[NetRevenue_Clean]])</f>
        <v>137.47999999999999</v>
      </c>
      <c r="AH730" t="str">
        <f>IF(Transaction[[#This Row],[Quantity]]*Transaction[[#This Row],[UnitPrice_Clean]]=Transaction[[#This Row],[NetRevenue_Clean]],"Valid","Invalid")</f>
        <v>Valid</v>
      </c>
      <c r="AI730" t="s">
        <v>23</v>
      </c>
      <c r="AJ730" t="s">
        <v>997</v>
      </c>
      <c r="AK730" t="str">
        <f>IF(Transaction[[#This Row],[Salesperson]]="","Missing Value",TRIM(PROPER(Transaction[[#This Row],[Salesperson]])))</f>
        <v>Johnson-Em</v>
      </c>
      <c r="AL730" t="s">
        <v>55</v>
      </c>
      <c r="AM730" t="str">
        <f>IF(Transaction[[#This Row],[ContractType]]="","Missing Value",Transaction[[#This Row],[ContractType]])</f>
        <v>Spot</v>
      </c>
      <c r="AN730" t="s">
        <v>26</v>
      </c>
    </row>
    <row r="731" spans="1:40" x14ac:dyDescent="0.25">
      <c r="A731" t="s">
        <v>2129</v>
      </c>
      <c r="B731" s="1">
        <v>45730</v>
      </c>
      <c r="C73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73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73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31" s="2">
        <f>IFERROR(DATE(Transaction[[#This Row],[TransactionDateY]],Transaction[[#This Row],[TransactionDateM]],Transaction[[#This Row],[TransactionDateD]]),"Missing Value")</f>
        <v>45730</v>
      </c>
      <c r="G731" t="s">
        <v>208</v>
      </c>
      <c r="H731" t="str">
        <f>IFERROR(VLOOKUP(Transaction[[#This Row],[CustomerID]],Custumer[],1,0),IF(LEN(Transaction[[#This Row],[CustomerID]])=7,LEFT(Transaction[[#This Row],[CustomerID]],6),"Invalid ID"))</f>
        <v>C-1076</v>
      </c>
      <c r="I731" t="s">
        <v>29</v>
      </c>
      <c r="J731" t="str">
        <f>TRIM(UPPER(Transaction[[#This Row],[ProductID]]))</f>
        <v>P-SA-001</v>
      </c>
      <c r="K731" t="str">
        <f>IFERROR(VLOOKUP(Transaction[[#This Row],[ProductID_Clean]],Product[],1,FALSE),"Invalid ID")</f>
        <v>P-SA-001</v>
      </c>
      <c r="L731" t="str">
        <f>TRIM(SUBSTITUTE(SUBSTITUTE(SUBSTITUTE(SUBSTITUTE(UPPER(Transaction[[#This Row],[Region]]),"EMEA REGION","EMEA"),"APAC REGION","APAC"),"NORTH AMERICA","N. AMERICA"),"N .AMERICA","N.AMERICA"))</f>
        <v>APAC</v>
      </c>
      <c r="M731" t="s">
        <v>30</v>
      </c>
      <c r="N731" t="s">
        <v>31</v>
      </c>
      <c r="O73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731" t="s">
        <v>22</v>
      </c>
      <c r="Q731" t="str">
        <f>IF(TRIM(Transaction[[#This Row],[SalesChannel]])="","Missing Value",TRIM(Transaction[[#This Row],[SalesChannel]]))</f>
        <v>Direct</v>
      </c>
      <c r="R731" s="4">
        <v>1</v>
      </c>
      <c r="S731" s="4" t="str">
        <f>IF(Transaction[[#This Row],[Quantity]]&lt;0,"Negative-review","Valid")</f>
        <v>Valid</v>
      </c>
      <c r="T731">
        <v>3176.76</v>
      </c>
      <c r="U73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3176.76</v>
      </c>
      <c r="V731">
        <v>4200</v>
      </c>
      <c r="W731">
        <v>4200</v>
      </c>
      <c r="X73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731">
        <f>IF(Transaction[[#This Row],[GrossRevenue_Check]]="Invalid",Transaction[[#This Row],[ListPrice]]*Transaction[[#This Row],[Quantity]],Transaction[[#This Row],[GrossRevenue_Clean]])</f>
        <v>4200</v>
      </c>
      <c r="Z731" t="str">
        <f>IF(Transaction[[#This Row],[GrossRevenue_Clean]]=Transaction[[#This Row],[ListPrice]]*Transaction[[#This Row],[Quantity]],"Valid","Invalid")</f>
        <v>Valid</v>
      </c>
      <c r="AA731">
        <v>1023.24</v>
      </c>
      <c r="AB73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1023.24</v>
      </c>
      <c r="AC731">
        <f>IF(Transaction[[#This Row],[DiscountAmount_Check2]]="Invalid",Transaction[[#This Row],[GrossRevenue_Analytical]]-Transaction[[#This Row],[NetRevenue_Analytical]],Transaction[[#This Row],[DiscountAmount_Clean]])</f>
        <v>1023.24</v>
      </c>
      <c r="AD731">
        <v>3176.76</v>
      </c>
      <c r="AE731" t="str">
        <f>IF(ROUND(Transaction[[#This Row],[GrossRevenue_Analytical]]-Transaction[[#This Row],[NetRevenue_Analytical]],2)=ROUND(Transaction[[#This Row],[DiscountAmount_Clean]],2),"Valid","Invalid")</f>
        <v>Valid</v>
      </c>
      <c r="AF731">
        <f>VALUE(IF(ISNUMBER(Transaction[[#This Row],[NetRevenue]]),Transaction[[#This Row],[NetRevenue]],IFERROR(IF(FIND("$",Transaction[[#This Row],[NetRevenue]])&gt;0,MID(Transaction[[#This Row],[NetRevenue]],2,10)),Transaction[[#This Row],[NetRevenue]])))</f>
        <v>3176.76</v>
      </c>
      <c r="AG731">
        <f>IF(Transaction[[#This Row],[NetRevenue_Check]]="Invalid",(Transaction[[#This Row],[Quantity]]*Transaction[[#This Row],[UnitPrice_Clean]]),Transaction[[#This Row],[NetRevenue_Clean]])</f>
        <v>3176.76</v>
      </c>
      <c r="AH731" t="str">
        <f>IF(Transaction[[#This Row],[Quantity]]*Transaction[[#This Row],[UnitPrice_Clean]]=Transaction[[#This Row],[NetRevenue_Clean]],"Valid","Invalid")</f>
        <v>Valid</v>
      </c>
      <c r="AI731" t="s">
        <v>99</v>
      </c>
      <c r="AJ731" t="s">
        <v>2130</v>
      </c>
      <c r="AK731" t="str">
        <f>IF(Transaction[[#This Row],[Salesperson]]="","Missing Value",TRIM(PROPER(Transaction[[#This Row],[Salesperson]])))</f>
        <v>Huff</v>
      </c>
      <c r="AL731" t="s">
        <v>34</v>
      </c>
      <c r="AM731" t="str">
        <f>IF(Transaction[[#This Row],[ContractType]]="","Missing Value",Transaction[[#This Row],[ContractType]])</f>
        <v>Annual License</v>
      </c>
      <c r="AN731" t="s">
        <v>49</v>
      </c>
    </row>
    <row r="732" spans="1:40" x14ac:dyDescent="0.25">
      <c r="A732" t="s">
        <v>2976</v>
      </c>
      <c r="B732" t="s">
        <v>2977</v>
      </c>
      <c r="C73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73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73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32" s="2">
        <f>IFERROR(DATE(Transaction[[#This Row],[TransactionDateY]],Transaction[[#This Row],[TransactionDateM]],Transaction[[#This Row],[TransactionDateD]]),"Missing Value")</f>
        <v>45722</v>
      </c>
      <c r="G732" t="s">
        <v>1017</v>
      </c>
      <c r="H732" t="str">
        <f>IFERROR(VLOOKUP(Transaction[[#This Row],[CustomerID]],Custumer[],1,0),IF(LEN(Transaction[[#This Row],[CustomerID]])=7,LEFT(Transaction[[#This Row],[CustomerID]],6),"Invalid ID"))</f>
        <v>C-1124</v>
      </c>
      <c r="I732" t="s">
        <v>71</v>
      </c>
      <c r="J732" t="str">
        <f>TRIM(UPPER(Transaction[[#This Row],[ProductID]]))</f>
        <v>P-SI-003</v>
      </c>
      <c r="K732" t="str">
        <f>IFERROR(VLOOKUP(Transaction[[#This Row],[ProductID_Clean]],Product[],1,FALSE),"Invalid ID")</f>
        <v>P-SI-003</v>
      </c>
      <c r="L732" t="str">
        <f>TRIM(SUBSTITUTE(SUBSTITUTE(SUBSTITUTE(SUBSTITUTE(UPPER(Transaction[[#This Row],[Region]]),"EMEA REGION","EMEA"),"APAC REGION","APAC"),"NORTH AMERICA","N. AMERICA"),"N .AMERICA","N.AMERICA"))</f>
        <v>N. AMERICA</v>
      </c>
      <c r="M732" t="s">
        <v>20</v>
      </c>
      <c r="N732" t="s">
        <v>47</v>
      </c>
      <c r="O73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32" t="s">
        <v>40</v>
      </c>
      <c r="Q732" t="str">
        <f>IF(TRIM(Transaction[[#This Row],[SalesChannel]])="","Missing Value",TRIM(Transaction[[#This Row],[SalesChannel]]))</f>
        <v>Distributor</v>
      </c>
      <c r="R732" s="4">
        <v>1</v>
      </c>
      <c r="S732" s="4" t="str">
        <f>IF(Transaction[[#This Row],[Quantity]]&lt;0,"Negative-review","Valid")</f>
        <v>Valid</v>
      </c>
      <c r="T732">
        <v>1508.68</v>
      </c>
      <c r="U73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1508.68</v>
      </c>
      <c r="V732">
        <v>1890</v>
      </c>
      <c r="W732">
        <v>1890</v>
      </c>
      <c r="X73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732">
        <f>IF(Transaction[[#This Row],[GrossRevenue_Check]]="Invalid",Transaction[[#This Row],[ListPrice]]*Transaction[[#This Row],[Quantity]],Transaction[[#This Row],[GrossRevenue_Clean]])</f>
        <v>1890</v>
      </c>
      <c r="Z732" t="str">
        <f>IF(Transaction[[#This Row],[GrossRevenue_Clean]]=Transaction[[#This Row],[ListPrice]]*Transaction[[#This Row],[Quantity]],"Valid","Invalid")</f>
        <v>Valid</v>
      </c>
      <c r="AA732">
        <v>381.32</v>
      </c>
      <c r="AB73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381.32</v>
      </c>
      <c r="AC732">
        <f>IF(Transaction[[#This Row],[DiscountAmount_Check2]]="Invalid",Transaction[[#This Row],[GrossRevenue_Analytical]]-Transaction[[#This Row],[NetRevenue_Analytical]],Transaction[[#This Row],[DiscountAmount_Clean]])</f>
        <v>381.32</v>
      </c>
      <c r="AD732">
        <v>1508.68</v>
      </c>
      <c r="AE732" t="str">
        <f>IF(ROUND(Transaction[[#This Row],[GrossRevenue_Analytical]]-Transaction[[#This Row],[NetRevenue_Analytical]],2)=ROUND(Transaction[[#This Row],[DiscountAmount_Clean]],2),"Valid","Invalid")</f>
        <v>Valid</v>
      </c>
      <c r="AF73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1508.68</v>
      </c>
      <c r="AG732">
        <f>IF(Transaction[[#This Row],[NetRevenue_Check]]="Invalid",(Transaction[[#This Row],[Quantity]]*Transaction[[#This Row],[UnitPrice_Clean]]),Transaction[[#This Row],[NetRevenue_Clean]])</f>
        <v>1508.68</v>
      </c>
      <c r="AH732" t="str">
        <f>IF(Transaction[[#This Row],[Quantity]]*Transaction[[#This Row],[UnitPrice_Clean]]=Transaction[[#This Row],[NetRevenue_Clean]],"Valid","Invalid")</f>
        <v>Valid</v>
      </c>
      <c r="AI732" t="s">
        <v>23</v>
      </c>
      <c r="AJ732" t="s">
        <v>2978</v>
      </c>
      <c r="AK732" t="str">
        <f>IF(Transaction[[#This Row],[Salesperson]]="","Missing Value",TRIM(PROPER(Transaction[[#This Row],[Salesperson]])))</f>
        <v>French</v>
      </c>
      <c r="AL732" t="s">
        <v>42</v>
      </c>
      <c r="AM732" t="str">
        <f>IF(Transaction[[#This Row],[ContractType]]="","Missing Value",Transaction[[#This Row],[ContractType]])</f>
        <v>Standard PO</v>
      </c>
      <c r="AN732" t="s">
        <v>65</v>
      </c>
    </row>
    <row r="733" spans="1:40" x14ac:dyDescent="0.25">
      <c r="A733" t="s">
        <v>1776</v>
      </c>
      <c r="B733" t="s">
        <v>256</v>
      </c>
      <c r="C73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73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73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33" s="2">
        <f>IFERROR(DATE(Transaction[[#This Row],[TransactionDateY]],Transaction[[#This Row],[TransactionDateM]],Transaction[[#This Row],[TransactionDateD]]),"Missing Value")</f>
        <v>45820</v>
      </c>
      <c r="G733" t="s">
        <v>1152</v>
      </c>
      <c r="H733" t="str">
        <f>IFERROR(VLOOKUP(Transaction[[#This Row],[CustomerID]],Custumer[],1,0),IF(LEN(Transaction[[#This Row],[CustomerID]])=7,LEFT(Transaction[[#This Row],[CustomerID]],6),"Invalid ID"))</f>
        <v>C-1178</v>
      </c>
      <c r="I733" t="s">
        <v>52</v>
      </c>
      <c r="J733" t="str">
        <f>TRIM(UPPER(Transaction[[#This Row],[ProductID]]))</f>
        <v>P-SI-002</v>
      </c>
      <c r="K733" t="str">
        <f>IFERROR(VLOOKUP(Transaction[[#This Row],[ProductID_Clean]],Product[],1,FALSE),"Invalid ID")</f>
        <v>P-SI-002</v>
      </c>
      <c r="L733" t="str">
        <f>TRIM(SUBSTITUTE(SUBSTITUTE(SUBSTITUTE(SUBSTITUTE(UPPER(Transaction[[#This Row],[Region]]),"EMEA REGION","EMEA"),"APAC REGION","APAC"),"NORTH AMERICA","N. AMERICA"),"N .AMERICA","N.AMERICA"))</f>
        <v>EMEA</v>
      </c>
      <c r="M733" t="s">
        <v>76</v>
      </c>
      <c r="N733" t="s">
        <v>53</v>
      </c>
      <c r="O73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Q733" t="str">
        <f>IF(TRIM(Transaction[[#This Row],[SalesChannel]])="","Missing Value",TRIM(Transaction[[#This Row],[SalesChannel]]))</f>
        <v>Missing Value</v>
      </c>
      <c r="R733" s="4">
        <v>3</v>
      </c>
      <c r="S733" s="4" t="str">
        <f>IF(Transaction[[#This Row],[Quantity]]&lt;0,"Negative-review","Valid")</f>
        <v>Valid</v>
      </c>
      <c r="T733">
        <v>651.53</v>
      </c>
      <c r="U73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651.53</v>
      </c>
      <c r="V733">
        <v>725</v>
      </c>
      <c r="W733">
        <v>2175</v>
      </c>
      <c r="X73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2175</v>
      </c>
      <c r="Y733">
        <f>IF(Transaction[[#This Row],[GrossRevenue_Check]]="Invalid",Transaction[[#This Row],[ListPrice]]*Transaction[[#This Row],[Quantity]],Transaction[[#This Row],[GrossRevenue_Clean]])</f>
        <v>2175</v>
      </c>
      <c r="Z733" t="str">
        <f>IF(Transaction[[#This Row],[GrossRevenue_Clean]]=Transaction[[#This Row],[ListPrice]]*Transaction[[#This Row],[Quantity]],"Valid","Invalid")</f>
        <v>Valid</v>
      </c>
      <c r="AA733" t="s">
        <v>1777</v>
      </c>
      <c r="AB73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220.41</v>
      </c>
      <c r="AC733">
        <f>IF(Transaction[[#This Row],[DiscountAmount_Check2]]="Invalid",Transaction[[#This Row],[GrossRevenue_Analytical]]-Transaction[[#This Row],[NetRevenue_Analytical]],Transaction[[#This Row],[DiscountAmount_Clean]])</f>
        <v>220.41</v>
      </c>
      <c r="AD733">
        <v>1954.59</v>
      </c>
      <c r="AE733" t="str">
        <f>IF(ROUND(Transaction[[#This Row],[GrossRevenue_Analytical]]-Transaction[[#This Row],[NetRevenue_Analytical]],2)=ROUND(Transaction[[#This Row],[DiscountAmount_Clean]],2),"Valid","Invalid")</f>
        <v>Valid</v>
      </c>
      <c r="AF73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1954.59</v>
      </c>
      <c r="AG733">
        <f>IF(Transaction[[#This Row],[NetRevenue_Check]]="Invalid",(Transaction[[#This Row],[Quantity]]*Transaction[[#This Row],[UnitPrice_Clean]]),Transaction[[#This Row],[NetRevenue_Clean]])</f>
        <v>1954.59</v>
      </c>
      <c r="AH733" t="str">
        <f>IF(Transaction[[#This Row],[Quantity]]*Transaction[[#This Row],[UnitPrice_Clean]]=Transaction[[#This Row],[NetRevenue_Clean]],"Valid","Invalid")</f>
        <v>Valid</v>
      </c>
      <c r="AI733" t="s">
        <v>23</v>
      </c>
      <c r="AJ733" t="s">
        <v>976</v>
      </c>
      <c r="AK733" t="str">
        <f>IF(Transaction[[#This Row],[Salesperson]]="","Missing Value",TRIM(PROPER(Transaction[[#This Row],[Salesperson]])))</f>
        <v>Lopez-Em</v>
      </c>
      <c r="AL733" t="s">
        <v>25</v>
      </c>
      <c r="AM733" t="str">
        <f>IF(Transaction[[#This Row],[ContractType]]="","Missing Value",Transaction[[#This Row],[ContractType]])</f>
        <v>Frame Agreement</v>
      </c>
      <c r="AN733" t="s">
        <v>49</v>
      </c>
    </row>
    <row r="734" spans="1:40" x14ac:dyDescent="0.25">
      <c r="A734" t="s">
        <v>884</v>
      </c>
      <c r="B734" s="1">
        <v>45728</v>
      </c>
      <c r="C73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73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73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34" s="2">
        <f>IFERROR(DATE(Transaction[[#This Row],[TransactionDateY]],Transaction[[#This Row],[TransactionDateM]],Transaction[[#This Row],[TransactionDateD]]),"Missing Value")</f>
        <v>45728</v>
      </c>
      <c r="G734" t="s">
        <v>172</v>
      </c>
      <c r="H734" t="str">
        <f>IFERROR(VLOOKUP(Transaction[[#This Row],[CustomerID]],Custumer[],1,0),IF(LEN(Transaction[[#This Row],[CustomerID]])=7,LEFT(Transaction[[#This Row],[CustomerID]],6),"Invalid ID"))</f>
        <v>C-1099</v>
      </c>
      <c r="I734" t="s">
        <v>62</v>
      </c>
      <c r="J734" t="str">
        <f>TRIM(UPPER(Transaction[[#This Row],[ProductID]]))</f>
        <v>P-SI-004</v>
      </c>
      <c r="K734" t="str">
        <f>IFERROR(VLOOKUP(Transaction[[#This Row],[ProductID_Clean]],Product[],1,FALSE),"Invalid ID")</f>
        <v>P-SI-004</v>
      </c>
      <c r="L734" t="str">
        <f>TRIM(SUBSTITUTE(SUBSTITUTE(SUBSTITUTE(SUBSTITUTE(UPPER(Transaction[[#This Row],[Region]]),"EMEA REGION","EMEA"),"APAC REGION","APAC"),"NORTH AMERICA","N. AMERICA"),"N .AMERICA","N.AMERICA"))</f>
        <v>EMEA</v>
      </c>
      <c r="M734" t="s">
        <v>76</v>
      </c>
      <c r="N734" t="s">
        <v>53</v>
      </c>
      <c r="O73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34" t="s">
        <v>40</v>
      </c>
      <c r="Q734" t="str">
        <f>IF(TRIM(Transaction[[#This Row],[SalesChannel]])="","Missing Value",TRIM(Transaction[[#This Row],[SalesChannel]]))</f>
        <v>Distributor</v>
      </c>
      <c r="R734" s="4">
        <v>1</v>
      </c>
      <c r="S734" s="4" t="str">
        <f>IF(Transaction[[#This Row],[Quantity]]&lt;0,"Negative-review","Valid")</f>
        <v>Valid</v>
      </c>
      <c r="T734">
        <v>2166.65</v>
      </c>
      <c r="U73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2166.65</v>
      </c>
      <c r="V734">
        <v>2450</v>
      </c>
      <c r="W734">
        <v>2450</v>
      </c>
      <c r="X73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734">
        <f>IF(Transaction[[#This Row],[GrossRevenue_Check]]="Invalid",Transaction[[#This Row],[ListPrice]]*Transaction[[#This Row],[Quantity]],Transaction[[#This Row],[GrossRevenue_Clean]])</f>
        <v>2450</v>
      </c>
      <c r="Z734" t="str">
        <f>IF(Transaction[[#This Row],[GrossRevenue_Clean]]=Transaction[[#This Row],[ListPrice]]*Transaction[[#This Row],[Quantity]],"Valid","Invalid")</f>
        <v>Valid</v>
      </c>
      <c r="AA734">
        <v>283.35000000000002</v>
      </c>
      <c r="AB73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283.35000000000002</v>
      </c>
      <c r="AC734">
        <f>IF(Transaction[[#This Row],[DiscountAmount_Check2]]="Invalid",Transaction[[#This Row],[GrossRevenue_Analytical]]-Transaction[[#This Row],[NetRevenue_Analytical]],Transaction[[#This Row],[DiscountAmount_Clean]])</f>
        <v>283.35000000000002</v>
      </c>
      <c r="AD734">
        <v>2166.65</v>
      </c>
      <c r="AE734" t="str">
        <f>IF(ROUND(Transaction[[#This Row],[GrossRevenue_Analytical]]-Transaction[[#This Row],[NetRevenue_Analytical]],2)=ROUND(Transaction[[#This Row],[DiscountAmount_Clean]],2),"Valid","Invalid")</f>
        <v>Valid</v>
      </c>
      <c r="AF73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2166.65</v>
      </c>
      <c r="AG734">
        <f>IF(Transaction[[#This Row],[NetRevenue_Check]]="Invalid",(Transaction[[#This Row],[Quantity]]*Transaction[[#This Row],[UnitPrice_Clean]]),Transaction[[#This Row],[NetRevenue_Clean]])</f>
        <v>2166.65</v>
      </c>
      <c r="AH734" t="str">
        <f>IF(Transaction[[#This Row],[Quantity]]*Transaction[[#This Row],[UnitPrice_Clean]]=Transaction[[#This Row],[NetRevenue_Clean]],"Valid","Invalid")</f>
        <v>Valid</v>
      </c>
      <c r="AI734" t="s">
        <v>23</v>
      </c>
      <c r="AJ734" t="s">
        <v>885</v>
      </c>
      <c r="AK734" t="str">
        <f>IF(Transaction[[#This Row],[Salesperson]]="","Missing Value",TRIM(PROPER(Transaction[[#This Row],[Salesperson]])))</f>
        <v>Curry</v>
      </c>
      <c r="AL734" t="s">
        <v>42</v>
      </c>
      <c r="AM734" t="str">
        <f>IF(Transaction[[#This Row],[ContractType]]="","Missing Value",Transaction[[#This Row],[ContractType]])</f>
        <v>Standard PO</v>
      </c>
      <c r="AN734" t="s">
        <v>43</v>
      </c>
    </row>
    <row r="735" spans="1:40" x14ac:dyDescent="0.25">
      <c r="A735" t="s">
        <v>1989</v>
      </c>
      <c r="B735" s="1">
        <v>45818</v>
      </c>
      <c r="C73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73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73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35" s="2">
        <f>IFERROR(DATE(Transaction[[#This Row],[TransactionDateY]],Transaction[[#This Row],[TransactionDateM]],Transaction[[#This Row],[TransactionDateD]]),"Missing Value")</f>
        <v>45818</v>
      </c>
      <c r="G735" t="s">
        <v>385</v>
      </c>
      <c r="H735" t="str">
        <f>IFERROR(VLOOKUP(Transaction[[#This Row],[CustomerID]],Custumer[],1,0),IF(LEN(Transaction[[#This Row],[CustomerID]])=7,LEFT(Transaction[[#This Row],[CustomerID]],6),"Invalid ID"))</f>
        <v>C-1084</v>
      </c>
      <c r="I735" t="s">
        <v>46</v>
      </c>
      <c r="J735" t="str">
        <f>TRIM(UPPER(Transaction[[#This Row],[ProductID]]))</f>
        <v>P-SI-006</v>
      </c>
      <c r="K735" t="str">
        <f>IFERROR(VLOOKUP(Transaction[[#This Row],[ProductID_Clean]],Product[],1,FALSE),"Invalid ID")</f>
        <v>P-SI-006</v>
      </c>
      <c r="L735" t="str">
        <f>TRIM(SUBSTITUTE(SUBSTITUTE(SUBSTITUTE(SUBSTITUTE(UPPER(Transaction[[#This Row],[Region]]),"EMEA REGION","EMEA"),"APAC REGION","APAC"),"NORTH AMERICA","N. AMERICA"),"N .AMERICA","N.AMERICA"))</f>
        <v>N. AMERICA</v>
      </c>
      <c r="M735" t="s">
        <v>20</v>
      </c>
      <c r="N735" t="s">
        <v>53</v>
      </c>
      <c r="O73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35" t="s">
        <v>40</v>
      </c>
      <c r="Q735" t="str">
        <f>IF(TRIM(Transaction[[#This Row],[SalesChannel]])="","Missing Value",TRIM(Transaction[[#This Row],[SalesChannel]]))</f>
        <v>Distributor</v>
      </c>
      <c r="R735" s="4">
        <v>1</v>
      </c>
      <c r="S735" s="4" t="str">
        <f>IF(Transaction[[#This Row],[Quantity]]&lt;0,"Negative-review","Valid")</f>
        <v>Valid</v>
      </c>
      <c r="T735">
        <v>165.8</v>
      </c>
      <c r="U73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165.8</v>
      </c>
      <c r="V735">
        <v>215</v>
      </c>
      <c r="W735">
        <v>215</v>
      </c>
      <c r="X73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735">
        <f>IF(Transaction[[#This Row],[GrossRevenue_Check]]="Invalid",Transaction[[#This Row],[ListPrice]]*Transaction[[#This Row],[Quantity]],Transaction[[#This Row],[GrossRevenue_Clean]])</f>
        <v>215</v>
      </c>
      <c r="Z735" t="str">
        <f>IF(Transaction[[#This Row],[GrossRevenue_Clean]]=Transaction[[#This Row],[ListPrice]]*Transaction[[#This Row],[Quantity]],"Valid","Invalid")</f>
        <v>Valid</v>
      </c>
      <c r="AA735">
        <v>49.2</v>
      </c>
      <c r="AB73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49.2</v>
      </c>
      <c r="AC735">
        <f>IF(Transaction[[#This Row],[DiscountAmount_Check2]]="Invalid",Transaction[[#This Row],[GrossRevenue_Analytical]]-Transaction[[#This Row],[NetRevenue_Analytical]],Transaction[[#This Row],[DiscountAmount_Clean]])</f>
        <v>49.2</v>
      </c>
      <c r="AD735">
        <v>165.8</v>
      </c>
      <c r="AE735" t="str">
        <f>IF(ROUND(Transaction[[#This Row],[GrossRevenue_Analytical]]-Transaction[[#This Row],[NetRevenue_Analytical]],2)=ROUND(Transaction[[#This Row],[DiscountAmount_Clean]],2),"Valid","Invalid")</f>
        <v>Valid</v>
      </c>
      <c r="AF73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165.8</v>
      </c>
      <c r="AG735">
        <f>IF(Transaction[[#This Row],[NetRevenue_Check]]="Invalid",(Transaction[[#This Row],[Quantity]]*Transaction[[#This Row],[UnitPrice_Clean]]),Transaction[[#This Row],[NetRevenue_Clean]])</f>
        <v>165.8</v>
      </c>
      <c r="AH735" t="str">
        <f>IF(Transaction[[#This Row],[Quantity]]*Transaction[[#This Row],[UnitPrice_Clean]]=Transaction[[#This Row],[NetRevenue_Clean]],"Valid","Invalid")</f>
        <v>Valid</v>
      </c>
      <c r="AI735" t="s">
        <v>23</v>
      </c>
      <c r="AJ735" t="s">
        <v>1990</v>
      </c>
      <c r="AK735" t="str">
        <f>IF(Transaction[[#This Row],[Salesperson]]="","Missing Value",TRIM(PROPER(Transaction[[#This Row],[Salesperson]])))</f>
        <v>Brennan</v>
      </c>
      <c r="AL735" t="s">
        <v>42</v>
      </c>
      <c r="AM735" t="str">
        <f>IF(Transaction[[#This Row],[ContractType]]="","Missing Value",Transaction[[#This Row],[ContractType]])</f>
        <v>Standard PO</v>
      </c>
      <c r="AN735" t="s">
        <v>43</v>
      </c>
    </row>
    <row r="736" spans="1:40" x14ac:dyDescent="0.25">
      <c r="A736" t="s">
        <v>2275</v>
      </c>
      <c r="B736" s="1">
        <v>45815</v>
      </c>
      <c r="C73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73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73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36" s="2">
        <f>IFERROR(DATE(Transaction[[#This Row],[TransactionDateY]],Transaction[[#This Row],[TransactionDateM]],Transaction[[#This Row],[TransactionDateD]]),"Missing Value")</f>
        <v>45815</v>
      </c>
      <c r="G736" t="s">
        <v>565</v>
      </c>
      <c r="H736" t="str">
        <f>IFERROR(VLOOKUP(Transaction[[#This Row],[CustomerID]],Custumer[],1,0),IF(LEN(Transaction[[#This Row],[CustomerID]])=7,LEFT(Transaction[[#This Row],[CustomerID]],6),"Invalid ID"))</f>
        <v>C-1007</v>
      </c>
      <c r="I736" t="s">
        <v>268</v>
      </c>
      <c r="J736" t="str">
        <f>TRIM(UPPER(Transaction[[#This Row],[ProductID]]))</f>
        <v>P-FS-002</v>
      </c>
      <c r="K736" t="str">
        <f>IFERROR(VLOOKUP(Transaction[[#This Row],[ProductID_Clean]],Product[],1,FALSE),"Invalid ID")</f>
        <v>P-FS-002</v>
      </c>
      <c r="L736" t="str">
        <f>TRIM(SUBSTITUTE(SUBSTITUTE(SUBSTITUTE(SUBSTITUTE(UPPER(Transaction[[#This Row],[Region]]),"EMEA REGION","EMEA"),"APAC REGION","APAC"),"NORTH AMERICA","N. AMERICA"),"N .AMERICA","N.AMERICA"))</f>
        <v>N. AMERICA</v>
      </c>
      <c r="M736" t="s">
        <v>20</v>
      </c>
      <c r="N736" t="s">
        <v>318</v>
      </c>
      <c r="O73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736" t="s">
        <v>22</v>
      </c>
      <c r="Q736" t="str">
        <f>IF(TRIM(Transaction[[#This Row],[SalesChannel]])="","Missing Value",TRIM(Transaction[[#This Row],[SalesChannel]]))</f>
        <v>Direct</v>
      </c>
      <c r="R736" s="4">
        <v>1</v>
      </c>
      <c r="S736" s="4" t="str">
        <f>IF(Transaction[[#This Row],[Quantity]]&lt;0,"Negative-review","Valid")</f>
        <v>Valid</v>
      </c>
      <c r="T736">
        <v>2099.7800000000002</v>
      </c>
      <c r="U73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2099.7800000000002</v>
      </c>
      <c r="V736">
        <v>2400</v>
      </c>
      <c r="W736">
        <v>2400</v>
      </c>
      <c r="X73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736">
        <f>IF(Transaction[[#This Row],[GrossRevenue_Check]]="Invalid",Transaction[[#This Row],[ListPrice]]*Transaction[[#This Row],[Quantity]],Transaction[[#This Row],[GrossRevenue_Clean]])</f>
        <v>2400</v>
      </c>
      <c r="Z736" t="str">
        <f>IF(Transaction[[#This Row],[GrossRevenue_Clean]]=Transaction[[#This Row],[ListPrice]]*Transaction[[#This Row],[Quantity]],"Valid","Invalid")</f>
        <v>Valid</v>
      </c>
      <c r="AA736">
        <v>300.22000000000003</v>
      </c>
      <c r="AB73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300.22000000000003</v>
      </c>
      <c r="AC736">
        <f>IF(Transaction[[#This Row],[DiscountAmount_Check2]]="Invalid",Transaction[[#This Row],[GrossRevenue_Analytical]]-Transaction[[#This Row],[NetRevenue_Analytical]],Transaction[[#This Row],[DiscountAmount_Clean]])</f>
        <v>300.22000000000003</v>
      </c>
      <c r="AD736">
        <v>2099.7800000000002</v>
      </c>
      <c r="AE736" t="str">
        <f>IF(ROUND(Transaction[[#This Row],[GrossRevenue_Analytical]]-Transaction[[#This Row],[NetRevenue_Analytical]],2)=ROUND(Transaction[[#This Row],[DiscountAmount_Clean]],2),"Valid","Invalid")</f>
        <v>Valid</v>
      </c>
      <c r="AF736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2099.7800000000002</v>
      </c>
      <c r="AG736">
        <f>IF(Transaction[[#This Row],[NetRevenue_Check]]="Invalid",(Transaction[[#This Row],[Quantity]]*Transaction[[#This Row],[UnitPrice_Clean]]),Transaction[[#This Row],[NetRevenue_Clean]])</f>
        <v>2099.7800000000002</v>
      </c>
      <c r="AH736" t="str">
        <f>IF(Transaction[[#This Row],[Quantity]]*Transaction[[#This Row],[UnitPrice_Clean]]=Transaction[[#This Row],[NetRevenue_Clean]],"Valid","Invalid")</f>
        <v>Valid</v>
      </c>
      <c r="AI736" t="s">
        <v>23</v>
      </c>
      <c r="AJ736" t="s">
        <v>1404</v>
      </c>
      <c r="AK736" t="str">
        <f>IF(Transaction[[#This Row],[Salesperson]]="","Missing Value",TRIM(PROPER(Transaction[[#This Row],[Salesperson]])))</f>
        <v>Roberts-Em</v>
      </c>
      <c r="AL736" t="s">
        <v>224</v>
      </c>
      <c r="AM736" t="str">
        <f>IF(Transaction[[#This Row],[ContractType]]="","Missing Value",Transaction[[#This Row],[ContractType]])</f>
        <v>Annual</v>
      </c>
      <c r="AN736" t="s">
        <v>35</v>
      </c>
    </row>
    <row r="737" spans="1:40" x14ac:dyDescent="0.25">
      <c r="A737" t="s">
        <v>2051</v>
      </c>
      <c r="B737" s="1">
        <v>45681</v>
      </c>
      <c r="C73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73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73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37" s="2">
        <f>IFERROR(DATE(Transaction[[#This Row],[TransactionDateY]],Transaction[[#This Row],[TransactionDateM]],Transaction[[#This Row],[TransactionDateD]]),"Missing Value")</f>
        <v>45681</v>
      </c>
      <c r="G737" t="s">
        <v>1385</v>
      </c>
      <c r="H737" t="str">
        <f>IFERROR(VLOOKUP(Transaction[[#This Row],[CustomerID]],Custumer[],1,0),IF(LEN(Transaction[[#This Row],[CustomerID]])=7,LEFT(Transaction[[#This Row],[CustomerID]],6),"Invalid ID"))</f>
        <v>C-1022</v>
      </c>
      <c r="I737" t="s">
        <v>29</v>
      </c>
      <c r="J737" t="str">
        <f>TRIM(UPPER(Transaction[[#This Row],[ProductID]]))</f>
        <v>P-SA-001</v>
      </c>
      <c r="K737" t="str">
        <f>IFERROR(VLOOKUP(Transaction[[#This Row],[ProductID_Clean]],Product[],1,FALSE),"Invalid ID")</f>
        <v>P-SA-001</v>
      </c>
      <c r="L737" t="str">
        <f>TRIM(SUBSTITUTE(SUBSTITUTE(SUBSTITUTE(SUBSTITUTE(UPPER(Transaction[[#This Row],[Region]]),"EMEA REGION","EMEA"),"APAC REGION","APAC"),"NORTH AMERICA","N. AMERICA"),"N .AMERICA","N.AMERICA"))</f>
        <v>N. AMERICA</v>
      </c>
      <c r="M737" t="s">
        <v>20</v>
      </c>
      <c r="N737" t="s">
        <v>31</v>
      </c>
      <c r="O73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737" t="s">
        <v>40</v>
      </c>
      <c r="Q737" t="str">
        <f>IF(TRIM(Transaction[[#This Row],[SalesChannel]])="","Missing Value",TRIM(Transaction[[#This Row],[SalesChannel]]))</f>
        <v>Distributor</v>
      </c>
      <c r="R737" s="4">
        <v>1</v>
      </c>
      <c r="S737" s="4" t="str">
        <f>IF(Transaction[[#This Row],[Quantity]]&lt;0,"Negative-review","Valid")</f>
        <v>Valid</v>
      </c>
      <c r="T737">
        <v>3699.04</v>
      </c>
      <c r="U73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3699.04</v>
      </c>
      <c r="V737">
        <v>4200</v>
      </c>
      <c r="W737">
        <v>4200</v>
      </c>
      <c r="X73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737">
        <f>IF(Transaction[[#This Row],[GrossRevenue_Check]]="Invalid",Transaction[[#This Row],[ListPrice]]*Transaction[[#This Row],[Quantity]],Transaction[[#This Row],[GrossRevenue_Clean]])</f>
        <v>4200</v>
      </c>
      <c r="Z737" t="str">
        <f>IF(Transaction[[#This Row],[GrossRevenue_Clean]]=Transaction[[#This Row],[ListPrice]]*Transaction[[#This Row],[Quantity]],"Valid","Invalid")</f>
        <v>Valid</v>
      </c>
      <c r="AA737">
        <v>500.96</v>
      </c>
      <c r="AB73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500.96</v>
      </c>
      <c r="AC737">
        <f>IF(Transaction[[#This Row],[DiscountAmount_Check2]]="Invalid",Transaction[[#This Row],[GrossRevenue_Analytical]]-Transaction[[#This Row],[NetRevenue_Analytical]],Transaction[[#This Row],[DiscountAmount_Clean]])</f>
        <v>500.96</v>
      </c>
      <c r="AD737">
        <v>3699.04</v>
      </c>
      <c r="AE737" t="str">
        <f>IF(ROUND(Transaction[[#This Row],[GrossRevenue_Analytical]]-Transaction[[#This Row],[NetRevenue_Analytical]],2)=ROUND(Transaction[[#This Row],[DiscountAmount_Clean]],2),"Valid","Invalid")</f>
        <v>Valid</v>
      </c>
      <c r="AF73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3699.04</v>
      </c>
      <c r="AG737">
        <f>IF(Transaction[[#This Row],[NetRevenue_Check]]="Invalid",(Transaction[[#This Row],[Quantity]]*Transaction[[#This Row],[UnitPrice_Clean]]),Transaction[[#This Row],[NetRevenue_Clean]])</f>
        <v>3699.04</v>
      </c>
      <c r="AH737" t="str">
        <f>IF(Transaction[[#This Row],[Quantity]]*Transaction[[#This Row],[UnitPrice_Clean]]=Transaction[[#This Row],[NetRevenue_Clean]],"Valid","Invalid")</f>
        <v>Valid</v>
      </c>
      <c r="AI737" t="s">
        <v>23</v>
      </c>
      <c r="AJ737" t="s">
        <v>997</v>
      </c>
      <c r="AK737" t="str">
        <f>IF(Transaction[[#This Row],[Salesperson]]="","Missing Value",TRIM(PROPER(Transaction[[#This Row],[Salesperson]])))</f>
        <v>Johnson-Em</v>
      </c>
      <c r="AM737" t="str">
        <f>IF(Transaction[[#This Row],[ContractType]]="","Missing Value",Transaction[[#This Row],[ContractType]])</f>
        <v>Missing Value</v>
      </c>
      <c r="AN737" t="s">
        <v>49</v>
      </c>
    </row>
    <row r="738" spans="1:40" x14ac:dyDescent="0.25">
      <c r="A738" t="s">
        <v>2100</v>
      </c>
      <c r="B738" s="1">
        <v>45822</v>
      </c>
      <c r="C73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73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73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38" s="2">
        <f>IFERROR(DATE(Transaction[[#This Row],[TransactionDateY]],Transaction[[#This Row],[TransactionDateM]],Transaction[[#This Row],[TransactionDateD]]),"Missing Value")</f>
        <v>45822</v>
      </c>
      <c r="G738" t="s">
        <v>357</v>
      </c>
      <c r="H738" t="str">
        <f>IFERROR(VLOOKUP(Transaction[[#This Row],[CustomerID]],Custumer[],1,0),IF(LEN(Transaction[[#This Row],[CustomerID]])=7,LEFT(Transaction[[#This Row],[CustomerID]],6),"Invalid ID"))</f>
        <v>C-1078</v>
      </c>
      <c r="I738" t="s">
        <v>62</v>
      </c>
      <c r="J738" t="str">
        <f>TRIM(UPPER(Transaction[[#This Row],[ProductID]]))</f>
        <v>P-SI-004</v>
      </c>
      <c r="K738" t="str">
        <f>IFERROR(VLOOKUP(Transaction[[#This Row],[ProductID_Clean]],Product[],1,FALSE),"Invalid ID")</f>
        <v>P-SI-004</v>
      </c>
      <c r="L738" t="str">
        <f>TRIM(SUBSTITUTE(SUBSTITUTE(SUBSTITUTE(SUBSTITUTE(UPPER(Transaction[[#This Row],[Region]]),"EMEA REGION","EMEA"),"APAC REGION","APAC"),"NORTH AMERICA","N. AMERICA"),"N .AMERICA","N.AMERICA"))</f>
        <v>N. AMERICA</v>
      </c>
      <c r="M738" t="s">
        <v>168</v>
      </c>
      <c r="N738" t="s">
        <v>53</v>
      </c>
      <c r="O73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38" t="s">
        <v>181</v>
      </c>
      <c r="Q738" t="str">
        <f>IF(TRIM(Transaction[[#This Row],[SalesChannel]])="","Missing Value",TRIM(Transaction[[#This Row],[SalesChannel]]))</f>
        <v>Partner Portal</v>
      </c>
      <c r="R738" s="4">
        <v>4</v>
      </c>
      <c r="S738" s="4" t="str">
        <f>IF(Transaction[[#This Row],[Quantity]]&lt;0,"Negative-review","Valid")</f>
        <v>Valid</v>
      </c>
      <c r="T738">
        <v>1982.98</v>
      </c>
      <c r="U73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1982.98</v>
      </c>
      <c r="V738">
        <v>2450</v>
      </c>
      <c r="W738">
        <v>9800</v>
      </c>
      <c r="X73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738">
        <f>IF(Transaction[[#This Row],[GrossRevenue_Check]]="Invalid",Transaction[[#This Row],[ListPrice]]*Transaction[[#This Row],[Quantity]],Transaction[[#This Row],[GrossRevenue_Clean]])</f>
        <v>9800</v>
      </c>
      <c r="Z738" t="str">
        <f>IF(Transaction[[#This Row],[GrossRevenue_Clean]]=Transaction[[#This Row],[ListPrice]]*Transaction[[#This Row],[Quantity]],"Valid","Invalid")</f>
        <v>Valid</v>
      </c>
      <c r="AA738">
        <v>1868.08</v>
      </c>
      <c r="AB73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1868.08</v>
      </c>
      <c r="AC738">
        <f>IF(Transaction[[#This Row],[DiscountAmount_Check2]]="Invalid",Transaction[[#This Row],[GrossRevenue_Analytical]]-Transaction[[#This Row],[NetRevenue_Analytical]],Transaction[[#This Row],[DiscountAmount_Clean]])</f>
        <v>1868.08</v>
      </c>
      <c r="AD738">
        <v>7931.92</v>
      </c>
      <c r="AE738" t="str">
        <f>IF(ROUND(Transaction[[#This Row],[GrossRevenue_Analytical]]-Transaction[[#This Row],[NetRevenue_Analytical]],2)=ROUND(Transaction[[#This Row],[DiscountAmount_Clean]],2),"Valid","Invalid")</f>
        <v>Valid</v>
      </c>
      <c r="AF738">
        <f>VALUE(IF(ISNUMBER(Transaction[[#This Row],[NetRevenue]]),Transaction[[#This Row],[NetRevenue]],IFERROR(IF(FIND("$",Transaction[[#This Row],[NetRevenue]])&gt;0,MID(Transaction[[#This Row],[NetRevenue]],2,10)),Transaction[[#This Row],[NetRevenue]])))</f>
        <v>7931.92</v>
      </c>
      <c r="AG738">
        <f>IF(Transaction[[#This Row],[NetRevenue_Check]]="Invalid",(Transaction[[#This Row],[Quantity]]*Transaction[[#This Row],[UnitPrice_Clean]]),Transaction[[#This Row],[NetRevenue_Clean]])</f>
        <v>7931.92</v>
      </c>
      <c r="AH738" t="str">
        <f>IF(Transaction[[#This Row],[Quantity]]*Transaction[[#This Row],[UnitPrice_Clean]]=Transaction[[#This Row],[NetRevenue_Clean]],"Valid","Invalid")</f>
        <v>Valid</v>
      </c>
      <c r="AI738" t="s">
        <v>23</v>
      </c>
      <c r="AK738" t="str">
        <f>IF(Transaction[[#This Row],[Salesperson]]="","Missing Value",TRIM(PROPER(Transaction[[#This Row],[Salesperson]])))</f>
        <v>Missing Value</v>
      </c>
      <c r="AL738" t="s">
        <v>42</v>
      </c>
      <c r="AM738" t="str">
        <f>IF(Transaction[[#This Row],[ContractType]]="","Missing Value",Transaction[[#This Row],[ContractType]])</f>
        <v>Standard PO</v>
      </c>
      <c r="AN738" t="s">
        <v>26</v>
      </c>
    </row>
    <row r="739" spans="1:40" x14ac:dyDescent="0.25">
      <c r="A739" t="s">
        <v>1183</v>
      </c>
      <c r="B739" s="1">
        <v>45809</v>
      </c>
      <c r="C73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73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73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39" s="2">
        <f>IFERROR(DATE(Transaction[[#This Row],[TransactionDateY]],Transaction[[#This Row],[TransactionDateM]],Transaction[[#This Row],[TransactionDateD]]),"Missing Value")</f>
        <v>45809</v>
      </c>
      <c r="G739" t="s">
        <v>647</v>
      </c>
      <c r="H739" t="str">
        <f>IFERROR(VLOOKUP(Transaction[[#This Row],[CustomerID]],Custumer[],1,0),IF(LEN(Transaction[[#This Row],[CustomerID]])=7,LEFT(Transaction[[#This Row],[CustomerID]],6),"Invalid ID"))</f>
        <v>C-1085</v>
      </c>
      <c r="I739" t="s">
        <v>46</v>
      </c>
      <c r="J739" t="str">
        <f>TRIM(UPPER(Transaction[[#This Row],[ProductID]]))</f>
        <v>P-SI-006</v>
      </c>
      <c r="K739" t="str">
        <f>IFERROR(VLOOKUP(Transaction[[#This Row],[ProductID_Clean]],Product[],1,FALSE),"Invalid ID")</f>
        <v>P-SI-006</v>
      </c>
      <c r="L739" t="str">
        <f>TRIM(SUBSTITUTE(SUBSTITUTE(SUBSTITUTE(SUBSTITUTE(UPPER(Transaction[[#This Row],[Region]]),"EMEA REGION","EMEA"),"APAC REGION","APAC"),"NORTH AMERICA","N. AMERICA"),"N .AMERICA","N.AMERICA"))</f>
        <v>APAC</v>
      </c>
      <c r="M739" t="s">
        <v>30</v>
      </c>
      <c r="N739" t="s">
        <v>53</v>
      </c>
      <c r="O73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39" t="s">
        <v>22</v>
      </c>
      <c r="Q739" t="str">
        <f>IF(TRIM(Transaction[[#This Row],[SalesChannel]])="","Missing Value",TRIM(Transaction[[#This Row],[SalesChannel]]))</f>
        <v>Direct</v>
      </c>
      <c r="R739" s="4">
        <v>10</v>
      </c>
      <c r="S739" s="4" t="str">
        <f>IF(Transaction[[#This Row],[Quantity]]&lt;0,"Negative-review","Valid")</f>
        <v>Valid</v>
      </c>
      <c r="T739">
        <v>159.38</v>
      </c>
      <c r="U73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159.38</v>
      </c>
      <c r="V739">
        <v>215</v>
      </c>
      <c r="W739">
        <v>2150</v>
      </c>
      <c r="X73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2150</v>
      </c>
      <c r="Y739">
        <f>IF(Transaction[[#This Row],[GrossRevenue_Check]]="Invalid",Transaction[[#This Row],[ListPrice]]*Transaction[[#This Row],[Quantity]],Transaction[[#This Row],[GrossRevenue_Clean]])</f>
        <v>2150</v>
      </c>
      <c r="Z739" t="str">
        <f>IF(Transaction[[#This Row],[GrossRevenue_Clean]]=Transaction[[#This Row],[ListPrice]]*Transaction[[#This Row],[Quantity]],"Valid","Invalid")</f>
        <v>Valid</v>
      </c>
      <c r="AA739">
        <v>556.20000000000005</v>
      </c>
      <c r="AB73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556.20000000000005</v>
      </c>
      <c r="AC739">
        <f>IF(Transaction[[#This Row],[DiscountAmount_Check2]]="Invalid",Transaction[[#This Row],[GrossRevenue_Analytical]]-Transaction[[#This Row],[NetRevenue_Analytical]],Transaction[[#This Row],[DiscountAmount_Clean]])</f>
        <v>556.20000000000005</v>
      </c>
      <c r="AD739">
        <v>1593.8</v>
      </c>
      <c r="AE739" t="str">
        <f>IF(ROUND(Transaction[[#This Row],[GrossRevenue_Analytical]]-Transaction[[#This Row],[NetRevenue_Analytical]],2)=ROUND(Transaction[[#This Row],[DiscountAmount_Clean]],2),"Valid","Invalid")</f>
        <v>Valid</v>
      </c>
      <c r="AF73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1593.8</v>
      </c>
      <c r="AG739">
        <f>IF(Transaction[[#This Row],[NetRevenue_Check]]="Invalid",(Transaction[[#This Row],[Quantity]]*Transaction[[#This Row],[UnitPrice_Clean]]),Transaction[[#This Row],[NetRevenue_Clean]])</f>
        <v>1593.8</v>
      </c>
      <c r="AH739" t="str">
        <f>IF(Transaction[[#This Row],[Quantity]]*Transaction[[#This Row],[UnitPrice_Clean]]=Transaction[[#This Row],[NetRevenue_Clean]],"Valid","Invalid")</f>
        <v>Valid</v>
      </c>
      <c r="AI739" t="s">
        <v>23</v>
      </c>
      <c r="AJ739" t="s">
        <v>1184</v>
      </c>
      <c r="AK739" t="str">
        <f>IF(Transaction[[#This Row],[Salesperson]]="","Missing Value",TRIM(PROPER(Transaction[[#This Row],[Salesperson]])))</f>
        <v>Morrison-Em</v>
      </c>
      <c r="AL739" t="s">
        <v>25</v>
      </c>
      <c r="AM739" t="str">
        <f>IF(Transaction[[#This Row],[ContractType]]="","Missing Value",Transaction[[#This Row],[ContractType]])</f>
        <v>Frame Agreement</v>
      </c>
      <c r="AN739" t="s">
        <v>26</v>
      </c>
    </row>
    <row r="740" spans="1:40" x14ac:dyDescent="0.25">
      <c r="A740" t="s">
        <v>260</v>
      </c>
      <c r="B740" t="s">
        <v>261</v>
      </c>
      <c r="C74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74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09</v>
      </c>
      <c r="E74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40" s="2">
        <f>IFERROR(DATE(Transaction[[#This Row],[TransactionDateY]],Transaction[[#This Row],[TransactionDateM]],Transaction[[#This Row],[TransactionDateD]]),"Missing Value")</f>
        <v>45697</v>
      </c>
      <c r="G740" t="s">
        <v>262</v>
      </c>
      <c r="H740" t="str">
        <f>IFERROR(VLOOKUP(Transaction[[#This Row],[CustomerID]],Custumer[],1,0),IF(LEN(Transaction[[#This Row],[CustomerID]])=7,LEFT(Transaction[[#This Row],[CustomerID]],6),"Invalid ID"))</f>
        <v>C-1148</v>
      </c>
      <c r="I740" t="s">
        <v>97</v>
      </c>
      <c r="J740" t="str">
        <f>TRIM(UPPER(Transaction[[#This Row],[ProductID]]))</f>
        <v>P-SI-001</v>
      </c>
      <c r="K740" t="str">
        <f>IFERROR(VLOOKUP(Transaction[[#This Row],[ProductID_Clean]],Product[],1,FALSE),"Invalid ID")</f>
        <v>P-SI-001</v>
      </c>
      <c r="L740" t="str">
        <f>TRIM(SUBSTITUTE(SUBSTITUTE(SUBSTITUTE(SUBSTITUTE(UPPER(Transaction[[#This Row],[Region]]),"EMEA REGION","EMEA"),"APAC REGION","APAC"),"NORTH AMERICA","N. AMERICA"),"N .AMERICA","N.AMERICA"))</f>
        <v>N. AMERICA</v>
      </c>
      <c r="M740" t="s">
        <v>20</v>
      </c>
      <c r="N740" t="s">
        <v>53</v>
      </c>
      <c r="O74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40" t="s">
        <v>22</v>
      </c>
      <c r="Q740" t="str">
        <f>IF(TRIM(Transaction[[#This Row],[SalesChannel]])="","Missing Value",TRIM(Transaction[[#This Row],[SalesChannel]]))</f>
        <v>Direct</v>
      </c>
      <c r="R740" s="4">
        <v>8</v>
      </c>
      <c r="S740" s="4" t="str">
        <f>IF(Transaction[[#This Row],[Quantity]]&lt;0,"Negative-review","Valid")</f>
        <v>Valid</v>
      </c>
      <c r="T740">
        <v>465.05</v>
      </c>
      <c r="U74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465.05</v>
      </c>
      <c r="V740">
        <v>485</v>
      </c>
      <c r="W740" t="s">
        <v>263</v>
      </c>
      <c r="X74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3880</v>
      </c>
      <c r="Y740">
        <f>IF(Transaction[[#This Row],[GrossRevenue_Check]]="Invalid",Transaction[[#This Row],[ListPrice]]*Transaction[[#This Row],[Quantity]],Transaction[[#This Row],[GrossRevenue_Clean]])</f>
        <v>3880</v>
      </c>
      <c r="Z740" t="str">
        <f>IF(Transaction[[#This Row],[GrossRevenue_Clean]]=Transaction[[#This Row],[ListPrice]]*Transaction[[#This Row],[Quantity]],"Valid","Invalid")</f>
        <v>Valid</v>
      </c>
      <c r="AA740">
        <v>159.6</v>
      </c>
      <c r="AB74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159.6</v>
      </c>
      <c r="AC740">
        <f>IF(Transaction[[#This Row],[DiscountAmount_Check2]]="Invalid",Transaction[[#This Row],[GrossRevenue_Analytical]]-Transaction[[#This Row],[NetRevenue_Analytical]],Transaction[[#This Row],[DiscountAmount_Clean]])</f>
        <v>159.6</v>
      </c>
      <c r="AD740">
        <v>3720.4</v>
      </c>
      <c r="AE740" t="str">
        <f>IF(ROUND(Transaction[[#This Row],[GrossRevenue_Analytical]]-Transaction[[#This Row],[NetRevenue_Analytical]],2)=ROUND(Transaction[[#This Row],[DiscountAmount_Clean]],2),"Valid","Invalid")</f>
        <v>Valid</v>
      </c>
      <c r="AF740">
        <f>VALUE(IF(ISNUMBER(Transaction[[#This Row],[NetRevenue]]),Transaction[[#This Row],[NetRevenue]],IFERROR(IF(FIND("$",Transaction[[#This Row],[NetRevenue]])&gt;0,MID(Transaction[[#This Row],[NetRevenue]],2,10)),Transaction[[#This Row],[NetRevenue]])))</f>
        <v>3720.4</v>
      </c>
      <c r="AG740">
        <f>IF(Transaction[[#This Row],[NetRevenue_Check]]="Invalid",(Transaction[[#This Row],[Quantity]]*Transaction[[#This Row],[UnitPrice_Clean]]),Transaction[[#This Row],[NetRevenue_Clean]])</f>
        <v>3720.4</v>
      </c>
      <c r="AH740" t="str">
        <f>IF(Transaction[[#This Row],[Quantity]]*Transaction[[#This Row],[UnitPrice_Clean]]=Transaction[[#This Row],[NetRevenue_Clean]],"Valid","Invalid")</f>
        <v>Valid</v>
      </c>
      <c r="AI740" t="s">
        <v>23</v>
      </c>
      <c r="AJ740" t="s">
        <v>264</v>
      </c>
      <c r="AK740" t="str">
        <f>IF(Transaction[[#This Row],[Salesperson]]="","Missing Value",TRIM(PROPER(Transaction[[#This Row],[Salesperson]])))</f>
        <v>Hebert</v>
      </c>
      <c r="AL740" t="s">
        <v>25</v>
      </c>
      <c r="AM740" t="str">
        <f>IF(Transaction[[#This Row],[ContractType]]="","Missing Value",Transaction[[#This Row],[ContractType]])</f>
        <v>Frame Agreement</v>
      </c>
      <c r="AN740" t="s">
        <v>65</v>
      </c>
    </row>
    <row r="741" spans="1:40" x14ac:dyDescent="0.25">
      <c r="A741" t="s">
        <v>2116</v>
      </c>
      <c r="B741" s="1">
        <v>45826</v>
      </c>
      <c r="C74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74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74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41" s="2">
        <f>IFERROR(DATE(Transaction[[#This Row],[TransactionDateY]],Transaction[[#This Row],[TransactionDateM]],Transaction[[#This Row],[TransactionDateD]]),"Missing Value")</f>
        <v>45826</v>
      </c>
      <c r="G741" t="s">
        <v>784</v>
      </c>
      <c r="H741" t="str">
        <f>IFERROR(VLOOKUP(Transaction[[#This Row],[CustomerID]],Custumer[],1,0),IF(LEN(Transaction[[#This Row],[CustomerID]])=7,LEFT(Transaction[[#This Row],[CustomerID]],6),"Invalid ID"))</f>
        <v>C-1159</v>
      </c>
      <c r="I741" t="s">
        <v>46</v>
      </c>
      <c r="J741" t="str">
        <f>TRIM(UPPER(Transaction[[#This Row],[ProductID]]))</f>
        <v>P-SI-006</v>
      </c>
      <c r="K741" t="str">
        <f>IFERROR(VLOOKUP(Transaction[[#This Row],[ProductID_Clean]],Product[],1,FALSE),"Invalid ID")</f>
        <v>P-SI-006</v>
      </c>
      <c r="L741" t="str">
        <f>TRIM(SUBSTITUTE(SUBSTITUTE(SUBSTITUTE(SUBSTITUTE(UPPER(Transaction[[#This Row],[Region]]),"EMEA REGION","EMEA"),"APAC REGION","APAC"),"NORTH AMERICA","N. AMERICA"),"N .AMERICA","N.AMERICA"))</f>
        <v>EMEA</v>
      </c>
      <c r="M741" t="s">
        <v>177</v>
      </c>
      <c r="N741" t="s">
        <v>53</v>
      </c>
      <c r="O74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41" t="s">
        <v>32</v>
      </c>
      <c r="Q741" t="str">
        <f>IF(TRIM(Transaction[[#This Row],[SalesChannel]])="","Missing Value",TRIM(Transaction[[#This Row],[SalesChannel]]))</f>
        <v>Direct</v>
      </c>
      <c r="R741" s="4">
        <v>2</v>
      </c>
      <c r="S741" s="4" t="str">
        <f>IF(Transaction[[#This Row],[Quantity]]&lt;0,"Negative-review","Valid")</f>
        <v>Valid</v>
      </c>
      <c r="T741">
        <v>197.94</v>
      </c>
      <c r="U74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197.94</v>
      </c>
      <c r="V741">
        <v>215</v>
      </c>
      <c r="W741">
        <v>430</v>
      </c>
      <c r="X74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741">
        <f>IF(Transaction[[#This Row],[GrossRevenue_Check]]="Invalid",Transaction[[#This Row],[ListPrice]]*Transaction[[#This Row],[Quantity]],Transaction[[#This Row],[GrossRevenue_Clean]])</f>
        <v>430</v>
      </c>
      <c r="Z741" t="str">
        <f>IF(Transaction[[#This Row],[GrossRevenue_Clean]]=Transaction[[#This Row],[ListPrice]]*Transaction[[#This Row],[Quantity]],"Valid","Invalid")</f>
        <v>Valid</v>
      </c>
      <c r="AA741">
        <v>34.119999999999997</v>
      </c>
      <c r="AB74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34.119999999999997</v>
      </c>
      <c r="AC741">
        <f>IF(Transaction[[#This Row],[DiscountAmount_Check2]]="Invalid",Transaction[[#This Row],[GrossRevenue_Analytical]]-Transaction[[#This Row],[NetRevenue_Analytical]],Transaction[[#This Row],[DiscountAmount_Clean]])</f>
        <v>34.119999999999997</v>
      </c>
      <c r="AD741">
        <v>395.88</v>
      </c>
      <c r="AE741" t="str">
        <f>IF(ROUND(Transaction[[#This Row],[GrossRevenue_Analytical]]-Transaction[[#This Row],[NetRevenue_Analytical]],2)=ROUND(Transaction[[#This Row],[DiscountAmount_Clean]],2),"Valid","Invalid")</f>
        <v>Valid</v>
      </c>
      <c r="AF741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395.88</v>
      </c>
      <c r="AG741">
        <f>IF(Transaction[[#This Row],[NetRevenue_Check]]="Invalid",(Transaction[[#This Row],[Quantity]]*Transaction[[#This Row],[UnitPrice_Clean]]),Transaction[[#This Row],[NetRevenue_Clean]])</f>
        <v>395.88</v>
      </c>
      <c r="AH741" t="str">
        <f>IF(Transaction[[#This Row],[Quantity]]*Transaction[[#This Row],[UnitPrice_Clean]]=Transaction[[#This Row],[NetRevenue_Clean]],"Valid","Invalid")</f>
        <v>Valid</v>
      </c>
      <c r="AI741" t="s">
        <v>23</v>
      </c>
      <c r="AJ741" t="s">
        <v>2117</v>
      </c>
      <c r="AK741" t="str">
        <f>IF(Transaction[[#This Row],[Salesperson]]="","Missing Value",TRIM(PROPER(Transaction[[#This Row],[Salesperson]])))</f>
        <v>Rogers-Em</v>
      </c>
      <c r="AL741" t="s">
        <v>25</v>
      </c>
      <c r="AM741" t="str">
        <f>IF(Transaction[[#This Row],[ContractType]]="","Missing Value",Transaction[[#This Row],[ContractType]])</f>
        <v>Frame Agreement</v>
      </c>
      <c r="AN741" t="s">
        <v>49</v>
      </c>
    </row>
    <row r="742" spans="1:40" x14ac:dyDescent="0.25">
      <c r="A742" t="s">
        <v>105</v>
      </c>
      <c r="B742" t="s">
        <v>106</v>
      </c>
      <c r="C74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74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04</v>
      </c>
      <c r="E74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42" s="2">
        <f>IFERROR(DATE(Transaction[[#This Row],[TransactionDateY]],Transaction[[#This Row],[TransactionDateM]],Transaction[[#This Row],[TransactionDateD]]),"Missing Value")</f>
        <v>45812</v>
      </c>
      <c r="G742" t="s">
        <v>86</v>
      </c>
      <c r="H742" t="str">
        <f>IFERROR(VLOOKUP(Transaction[[#This Row],[CustomerID]],Custumer[],1,0),IF(LEN(Transaction[[#This Row],[CustomerID]])=7,LEFT(Transaction[[#This Row],[CustomerID]],6),"Invalid ID"))</f>
        <v>C-1177</v>
      </c>
      <c r="I742" t="s">
        <v>92</v>
      </c>
      <c r="J742" t="str">
        <f>TRIM(UPPER(Transaction[[#This Row],[ProductID]]))</f>
        <v>P-SI-008</v>
      </c>
      <c r="K742" t="str">
        <f>IFERROR(VLOOKUP(Transaction[[#This Row],[ProductID_Clean]],Product[],1,FALSE),"Invalid ID")</f>
        <v>P-SI-008</v>
      </c>
      <c r="L742" t="str">
        <f>TRIM(SUBSTITUTE(SUBSTITUTE(SUBSTITUTE(SUBSTITUTE(UPPER(Transaction[[#This Row],[Region]]),"EMEA REGION","EMEA"),"APAC REGION","APAC"),"NORTH AMERICA","N. AMERICA"),"N .AMERICA","N.AMERICA"))</f>
        <v>EMEA</v>
      </c>
      <c r="M742" t="s">
        <v>76</v>
      </c>
      <c r="N742" t="s">
        <v>53</v>
      </c>
      <c r="O74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42" t="s">
        <v>22</v>
      </c>
      <c r="Q742" t="str">
        <f>IF(TRIM(Transaction[[#This Row],[SalesChannel]])="","Missing Value",TRIM(Transaction[[#This Row],[SalesChannel]]))</f>
        <v>Direct</v>
      </c>
      <c r="R742" s="4">
        <v>5</v>
      </c>
      <c r="S742" s="4" t="str">
        <f>IF(Transaction[[#This Row],[Quantity]]&lt;0,"Negative-review","Valid")</f>
        <v>Valid</v>
      </c>
      <c r="T742">
        <v>853.85</v>
      </c>
      <c r="U74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853.85</v>
      </c>
      <c r="V742">
        <v>950</v>
      </c>
      <c r="W742">
        <v>4750</v>
      </c>
      <c r="X74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4750</v>
      </c>
      <c r="Y742">
        <f>IF(Transaction[[#This Row],[GrossRevenue_Check]]="Invalid",Transaction[[#This Row],[ListPrice]]*Transaction[[#This Row],[Quantity]],Transaction[[#This Row],[GrossRevenue_Clean]])</f>
        <v>4750</v>
      </c>
      <c r="Z742" t="str">
        <f>IF(Transaction[[#This Row],[GrossRevenue_Clean]]=Transaction[[#This Row],[ListPrice]]*Transaction[[#This Row],[Quantity]],"Valid","Invalid")</f>
        <v>Valid</v>
      </c>
      <c r="AA742">
        <v>480.75</v>
      </c>
      <c r="AB74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480.75</v>
      </c>
      <c r="AC742">
        <f>IF(Transaction[[#This Row],[DiscountAmount_Check2]]="Invalid",Transaction[[#This Row],[GrossRevenue_Analytical]]-Transaction[[#This Row],[NetRevenue_Analytical]],Transaction[[#This Row],[DiscountAmount_Clean]])</f>
        <v>480.75</v>
      </c>
      <c r="AD742">
        <v>4269.25</v>
      </c>
      <c r="AE742" t="str">
        <f>IF(ROUND(Transaction[[#This Row],[GrossRevenue_Analytical]]-Transaction[[#This Row],[NetRevenue_Analytical]],2)=ROUND(Transaction[[#This Row],[DiscountAmount_Clean]],2),"Valid","Invalid")</f>
        <v>Valid</v>
      </c>
      <c r="AF742">
        <f>VALUE(IF(ISNUMBER(Transaction[[#This Row],[NetRevenue]]),Transaction[[#This Row],[NetRevenue]],IFERROR(IF(FIND("$",Transaction[[#This Row],[NetRevenue]])&gt;0,MID(Transaction[[#This Row],[NetRevenue]],2,10)),Transaction[[#This Row],[NetRevenue]])))</f>
        <v>4269.25</v>
      </c>
      <c r="AG742">
        <f>IF(Transaction[[#This Row],[NetRevenue_Check]]="Invalid",(Transaction[[#This Row],[Quantity]]*Transaction[[#This Row],[UnitPrice_Clean]]),Transaction[[#This Row],[NetRevenue_Clean]])</f>
        <v>4269.25</v>
      </c>
      <c r="AH742" t="str">
        <f>IF(Transaction[[#This Row],[Quantity]]*Transaction[[#This Row],[UnitPrice_Clean]]=Transaction[[#This Row],[NetRevenue_Clean]],"Valid","Invalid")</f>
        <v>Valid</v>
      </c>
      <c r="AI742" t="s">
        <v>99</v>
      </c>
      <c r="AJ742" t="s">
        <v>107</v>
      </c>
      <c r="AK742" t="str">
        <f>IF(Transaction[[#This Row],[Salesperson]]="","Missing Value",TRIM(PROPER(Transaction[[#This Row],[Salesperson]])))</f>
        <v>Gibson</v>
      </c>
      <c r="AL742" t="s">
        <v>42</v>
      </c>
      <c r="AM742" t="str">
        <f>IF(Transaction[[#This Row],[ContractType]]="","Missing Value",Transaction[[#This Row],[ContractType]])</f>
        <v>Standard PO</v>
      </c>
      <c r="AN742" t="s">
        <v>49</v>
      </c>
    </row>
    <row r="743" spans="1:40" x14ac:dyDescent="0.25">
      <c r="A743" t="s">
        <v>2387</v>
      </c>
      <c r="B743" s="1">
        <v>45802</v>
      </c>
      <c r="C74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74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74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43" s="2">
        <f>IFERROR(DATE(Transaction[[#This Row],[TransactionDateY]],Transaction[[#This Row],[TransactionDateM]],Transaction[[#This Row],[TransactionDateD]]),"Missing Value")</f>
        <v>45802</v>
      </c>
      <c r="G743" t="s">
        <v>1154</v>
      </c>
      <c r="H743" t="str">
        <f>IFERROR(VLOOKUP(Transaction[[#This Row],[CustomerID]],Custumer[],1,0),IF(LEN(Transaction[[#This Row],[CustomerID]])=7,LEFT(Transaction[[#This Row],[CustomerID]],6),"Invalid ID"))</f>
        <v>C-1014</v>
      </c>
      <c r="I743" t="s">
        <v>97</v>
      </c>
      <c r="J743" t="str">
        <f>TRIM(UPPER(Transaction[[#This Row],[ProductID]]))</f>
        <v>P-SI-001</v>
      </c>
      <c r="K743" t="str">
        <f>IFERROR(VLOOKUP(Transaction[[#This Row],[ProductID_Clean]],Product[],1,FALSE),"Invalid ID")</f>
        <v>P-SI-001</v>
      </c>
      <c r="L743" t="str">
        <f>TRIM(SUBSTITUTE(SUBSTITUTE(SUBSTITUTE(SUBSTITUTE(UPPER(Transaction[[#This Row],[Region]]),"EMEA REGION","EMEA"),"APAC REGION","APAC"),"NORTH AMERICA","N. AMERICA"),"N .AMERICA","N.AMERICA"))</f>
        <v>N. AMERICA</v>
      </c>
      <c r="M743" t="s">
        <v>20</v>
      </c>
      <c r="N743" t="s">
        <v>47</v>
      </c>
      <c r="O74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43" t="s">
        <v>40</v>
      </c>
      <c r="Q743" t="str">
        <f>IF(TRIM(Transaction[[#This Row],[SalesChannel]])="","Missing Value",TRIM(Transaction[[#This Row],[SalesChannel]]))</f>
        <v>Distributor</v>
      </c>
      <c r="R743" s="4">
        <v>8</v>
      </c>
      <c r="S743" s="4" t="str">
        <f>IF(Transaction[[#This Row],[Quantity]]&lt;0,"Negative-review","Valid")</f>
        <v>Valid</v>
      </c>
      <c r="T743">
        <v>439.84</v>
      </c>
      <c r="U74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439.84</v>
      </c>
      <c r="V743">
        <v>485</v>
      </c>
      <c r="W743">
        <v>3880</v>
      </c>
      <c r="X74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3880</v>
      </c>
      <c r="Y743">
        <f>IF(Transaction[[#This Row],[GrossRevenue_Check]]="Invalid",Transaction[[#This Row],[ListPrice]]*Transaction[[#This Row],[Quantity]],Transaction[[#This Row],[GrossRevenue_Clean]])</f>
        <v>3880</v>
      </c>
      <c r="Z743" t="str">
        <f>IF(Transaction[[#This Row],[GrossRevenue_Clean]]=Transaction[[#This Row],[ListPrice]]*Transaction[[#This Row],[Quantity]],"Valid","Invalid")</f>
        <v>Valid</v>
      </c>
      <c r="AA743">
        <v>361.28</v>
      </c>
      <c r="AB74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361.28</v>
      </c>
      <c r="AC743">
        <f>IF(Transaction[[#This Row],[DiscountAmount_Check2]]="Invalid",Transaction[[#This Row],[GrossRevenue_Analytical]]-Transaction[[#This Row],[NetRevenue_Analytical]],Transaction[[#This Row],[DiscountAmount_Clean]])</f>
        <v>361.28</v>
      </c>
      <c r="AD743">
        <v>3518.72</v>
      </c>
      <c r="AE743" t="str">
        <f>IF(ROUND(Transaction[[#This Row],[GrossRevenue_Analytical]]-Transaction[[#This Row],[NetRevenue_Analytical]],2)=ROUND(Transaction[[#This Row],[DiscountAmount_Clean]],2),"Valid","Invalid")</f>
        <v>Valid</v>
      </c>
      <c r="AF74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3518.72</v>
      </c>
      <c r="AG743">
        <f>IF(Transaction[[#This Row],[NetRevenue_Check]]="Invalid",(Transaction[[#This Row],[Quantity]]*Transaction[[#This Row],[UnitPrice_Clean]]),Transaction[[#This Row],[NetRevenue_Clean]])</f>
        <v>3518.72</v>
      </c>
      <c r="AH743" t="str">
        <f>IF(Transaction[[#This Row],[Quantity]]*Transaction[[#This Row],[UnitPrice_Clean]]=Transaction[[#This Row],[NetRevenue_Clean]],"Valid","Invalid")</f>
        <v>Valid</v>
      </c>
      <c r="AI743" t="s">
        <v>23</v>
      </c>
      <c r="AJ743" t="s">
        <v>2388</v>
      </c>
      <c r="AK743" t="str">
        <f>IF(Transaction[[#This Row],[Salesperson]]="","Missing Value",TRIM(PROPER(Transaction[[#This Row],[Salesperson]])))</f>
        <v>Davidson</v>
      </c>
      <c r="AL743" t="s">
        <v>42</v>
      </c>
      <c r="AM743" t="str">
        <f>IF(Transaction[[#This Row],[ContractType]]="","Missing Value",Transaction[[#This Row],[ContractType]])</f>
        <v>Standard PO</v>
      </c>
      <c r="AN743" t="s">
        <v>35</v>
      </c>
    </row>
    <row r="744" spans="1:40" x14ac:dyDescent="0.25">
      <c r="A744" t="s">
        <v>1890</v>
      </c>
      <c r="B744" s="1">
        <v>45665</v>
      </c>
      <c r="C74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74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74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44" s="2">
        <f>IFERROR(DATE(Transaction[[#This Row],[TransactionDateY]],Transaction[[#This Row],[TransactionDateM]],Transaction[[#This Row],[TransactionDateD]]),"Missing Value")</f>
        <v>45665</v>
      </c>
      <c r="G744" t="s">
        <v>110</v>
      </c>
      <c r="H744" t="str">
        <f>IFERROR(VLOOKUP(Transaction[[#This Row],[CustomerID]],Custumer[],1,0),IF(LEN(Transaction[[#This Row],[CustomerID]])=7,LEFT(Transaction[[#This Row],[CustomerID]],6),"Invalid ID"))</f>
        <v>C-1100</v>
      </c>
      <c r="I744" t="s">
        <v>19</v>
      </c>
      <c r="J744" t="str">
        <f>TRIM(UPPER(Transaction[[#This Row],[ProductID]]))</f>
        <v>P-FS-004</v>
      </c>
      <c r="K744" t="str">
        <f>IFERROR(VLOOKUP(Transaction[[#This Row],[ProductID_Clean]],Product[],1,FALSE),"Invalid ID")</f>
        <v>P-FS-004</v>
      </c>
      <c r="L744" t="str">
        <f>TRIM(SUBSTITUTE(SUBSTITUTE(SUBSTITUTE(SUBSTITUTE(UPPER(Transaction[[#This Row],[Region]]),"EMEA REGION","EMEA"),"APAC REGION","APAC"),"NORTH AMERICA","N. AMERICA"),"N .AMERICA","N.AMERICA"))</f>
        <v>EMEA</v>
      </c>
      <c r="M744" t="s">
        <v>76</v>
      </c>
      <c r="N744" t="s">
        <v>21</v>
      </c>
      <c r="O74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744" t="s">
        <v>40</v>
      </c>
      <c r="Q744" t="str">
        <f>IF(TRIM(Transaction[[#This Row],[SalesChannel]])="","Missing Value",TRIM(Transaction[[#This Row],[SalesChannel]]))</f>
        <v>Distributor</v>
      </c>
      <c r="R744" s="4">
        <v>1</v>
      </c>
      <c r="S744" s="4" t="str">
        <f>IF(Transaction[[#This Row],[Quantity]]&lt;0,"Negative-review","Valid")</f>
        <v>Valid</v>
      </c>
      <c r="T744">
        <v>2461.85</v>
      </c>
      <c r="U74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2461.85</v>
      </c>
      <c r="V744">
        <v>3200</v>
      </c>
      <c r="W744">
        <v>3200</v>
      </c>
      <c r="X74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744">
        <f>IF(Transaction[[#This Row],[GrossRevenue_Check]]="Invalid",Transaction[[#This Row],[ListPrice]]*Transaction[[#This Row],[Quantity]],Transaction[[#This Row],[GrossRevenue_Clean]])</f>
        <v>3200</v>
      </c>
      <c r="Z744" t="str">
        <f>IF(Transaction[[#This Row],[GrossRevenue_Clean]]=Transaction[[#This Row],[ListPrice]]*Transaction[[#This Row],[Quantity]],"Valid","Invalid")</f>
        <v>Valid</v>
      </c>
      <c r="AA744">
        <v>738.15</v>
      </c>
      <c r="AB74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738.15</v>
      </c>
      <c r="AC744">
        <f>IF(Transaction[[#This Row],[DiscountAmount_Check2]]="Invalid",Transaction[[#This Row],[GrossRevenue_Analytical]]-Transaction[[#This Row],[NetRevenue_Analytical]],Transaction[[#This Row],[DiscountAmount_Clean]])</f>
        <v>738.15</v>
      </c>
      <c r="AD744">
        <v>2461.85</v>
      </c>
      <c r="AE744" t="str">
        <f>IF(ROUND(Transaction[[#This Row],[GrossRevenue_Analytical]]-Transaction[[#This Row],[NetRevenue_Analytical]],2)=ROUND(Transaction[[#This Row],[DiscountAmount_Clean]],2),"Valid","Invalid")</f>
        <v>Valid</v>
      </c>
      <c r="AF74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2461.85</v>
      </c>
      <c r="AG744">
        <f>IF(Transaction[[#This Row],[NetRevenue_Check]]="Invalid",(Transaction[[#This Row],[Quantity]]*Transaction[[#This Row],[UnitPrice_Clean]]),Transaction[[#This Row],[NetRevenue_Clean]])</f>
        <v>2461.85</v>
      </c>
      <c r="AH744" t="str">
        <f>IF(Transaction[[#This Row],[Quantity]]*Transaction[[#This Row],[UnitPrice_Clean]]=Transaction[[#This Row],[NetRevenue_Clean]],"Valid","Invalid")</f>
        <v>Valid</v>
      </c>
      <c r="AI744" t="s">
        <v>23</v>
      </c>
      <c r="AJ744" t="s">
        <v>1317</v>
      </c>
      <c r="AK744" t="str">
        <f>IF(Transaction[[#This Row],[Salesperson]]="","Missing Value",TRIM(PROPER(Transaction[[#This Row],[Salesperson]])))</f>
        <v>Warren</v>
      </c>
      <c r="AL744" t="s">
        <v>55</v>
      </c>
      <c r="AM744" t="str">
        <f>IF(Transaction[[#This Row],[ContractType]]="","Missing Value",Transaction[[#This Row],[ContractType]])</f>
        <v>Spot</v>
      </c>
      <c r="AN744" t="s">
        <v>43</v>
      </c>
    </row>
    <row r="745" spans="1:40" x14ac:dyDescent="0.25">
      <c r="A745" t="s">
        <v>2852</v>
      </c>
      <c r="B745" t="s">
        <v>2853</v>
      </c>
      <c r="C74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74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74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45" s="2">
        <f>IFERROR(DATE(Transaction[[#This Row],[TransactionDateY]],Transaction[[#This Row],[TransactionDateM]],Transaction[[#This Row],[TransactionDateD]]),"Missing Value")</f>
        <v>45669</v>
      </c>
      <c r="G745" t="s">
        <v>733</v>
      </c>
      <c r="H745" t="str">
        <f>IFERROR(VLOOKUP(Transaction[[#This Row],[CustomerID]],Custumer[],1,0),IF(LEN(Transaction[[#This Row],[CustomerID]])=7,LEFT(Transaction[[#This Row],[CustomerID]],6),"Invalid ID"))</f>
        <v>C-1017</v>
      </c>
      <c r="I745" t="s">
        <v>29</v>
      </c>
      <c r="J745" t="str">
        <f>TRIM(UPPER(Transaction[[#This Row],[ProductID]]))</f>
        <v>P-SA-001</v>
      </c>
      <c r="K745" t="str">
        <f>IFERROR(VLOOKUP(Transaction[[#This Row],[ProductID_Clean]],Product[],1,FALSE),"Invalid ID")</f>
        <v>P-SA-001</v>
      </c>
      <c r="L745" t="str">
        <f>TRIM(SUBSTITUTE(SUBSTITUTE(SUBSTITUTE(SUBSTITUTE(UPPER(Transaction[[#This Row],[Region]]),"EMEA REGION","EMEA"),"APAC REGION","APAC"),"NORTH AMERICA","N. AMERICA"),"N .AMERICA","N.AMERICA"))</f>
        <v>EMEA</v>
      </c>
      <c r="M745" t="s">
        <v>76</v>
      </c>
      <c r="N745" t="s">
        <v>31</v>
      </c>
      <c r="O74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745" t="s">
        <v>22</v>
      </c>
      <c r="Q745" t="str">
        <f>IF(TRIM(Transaction[[#This Row],[SalesChannel]])="","Missing Value",TRIM(Transaction[[#This Row],[SalesChannel]]))</f>
        <v>Direct</v>
      </c>
      <c r="R745" s="4">
        <v>2</v>
      </c>
      <c r="S745" s="4" t="str">
        <f>IF(Transaction[[#This Row],[Quantity]]&lt;0,"Negative-review","Valid")</f>
        <v>Valid</v>
      </c>
      <c r="T745">
        <v>3914.62</v>
      </c>
      <c r="U74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3914.62</v>
      </c>
      <c r="V745">
        <v>4200</v>
      </c>
      <c r="W745">
        <v>8400</v>
      </c>
      <c r="X74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8400</v>
      </c>
      <c r="Y745">
        <f>IF(Transaction[[#This Row],[GrossRevenue_Check]]="Invalid",Transaction[[#This Row],[ListPrice]]*Transaction[[#This Row],[Quantity]],Transaction[[#This Row],[GrossRevenue_Clean]])</f>
        <v>8400</v>
      </c>
      <c r="Z745" t="str">
        <f>IF(Transaction[[#This Row],[GrossRevenue_Clean]]=Transaction[[#This Row],[ListPrice]]*Transaction[[#This Row],[Quantity]],"Valid","Invalid")</f>
        <v>Valid</v>
      </c>
      <c r="AA745">
        <v>570.76</v>
      </c>
      <c r="AB74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570.76</v>
      </c>
      <c r="AC745">
        <f>IF(Transaction[[#This Row],[DiscountAmount_Check2]]="Invalid",Transaction[[#This Row],[GrossRevenue_Analytical]]-Transaction[[#This Row],[NetRevenue_Analytical]],Transaction[[#This Row],[DiscountAmount_Clean]])</f>
        <v>570.76</v>
      </c>
      <c r="AD745">
        <v>7829.24</v>
      </c>
      <c r="AE745" t="str">
        <f>IF(ROUND(Transaction[[#This Row],[GrossRevenue_Analytical]]-Transaction[[#This Row],[NetRevenue_Analytical]],2)=ROUND(Transaction[[#This Row],[DiscountAmount_Clean]],2),"Valid","Invalid")</f>
        <v>Valid</v>
      </c>
      <c r="AF745">
        <f>VALUE(IF(ISNUMBER(Transaction[[#This Row],[NetRevenue]]),Transaction[[#This Row],[NetRevenue]],IFERROR(IF(FIND("$",Transaction[[#This Row],[NetRevenue]])&gt;0,MID(Transaction[[#This Row],[NetRevenue]],2,10)),Transaction[[#This Row],[NetRevenue]])))</f>
        <v>7829.24</v>
      </c>
      <c r="AG745">
        <f>IF(Transaction[[#This Row],[NetRevenue_Check]]="Invalid",(Transaction[[#This Row],[Quantity]]*Transaction[[#This Row],[UnitPrice_Clean]]),Transaction[[#This Row],[NetRevenue_Clean]])</f>
        <v>7829.24</v>
      </c>
      <c r="AH745" t="str">
        <f>IF(Transaction[[#This Row],[Quantity]]*Transaction[[#This Row],[UnitPrice_Clean]]=Transaction[[#This Row],[NetRevenue_Clean]],"Valid","Invalid")</f>
        <v>Valid</v>
      </c>
      <c r="AI745" t="s">
        <v>23</v>
      </c>
      <c r="AJ745" t="s">
        <v>2854</v>
      </c>
      <c r="AK745" t="str">
        <f>IF(Transaction[[#This Row],[Salesperson]]="","Missing Value",TRIM(PROPER(Transaction[[#This Row],[Salesperson]])))</f>
        <v>Small-Ap</v>
      </c>
      <c r="AL745" t="s">
        <v>34</v>
      </c>
      <c r="AM745" t="str">
        <f>IF(Transaction[[#This Row],[ContractType]]="","Missing Value",Transaction[[#This Row],[ContractType]])</f>
        <v>Annual License</v>
      </c>
      <c r="AN745" t="s">
        <v>26</v>
      </c>
    </row>
    <row r="746" spans="1:40" x14ac:dyDescent="0.25">
      <c r="A746" t="s">
        <v>1248</v>
      </c>
      <c r="B746" s="1">
        <v>45805</v>
      </c>
      <c r="C74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74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74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46" s="2">
        <f>IFERROR(DATE(Transaction[[#This Row],[TransactionDateY]],Transaction[[#This Row],[TransactionDateM]],Transaction[[#This Row],[TransactionDateD]]),"Missing Value")</f>
        <v>45805</v>
      </c>
      <c r="G746" t="s">
        <v>239</v>
      </c>
      <c r="H746" t="str">
        <f>IFERROR(VLOOKUP(Transaction[[#This Row],[CustomerID]],Custumer[],1,0),IF(LEN(Transaction[[#This Row],[CustomerID]])=7,LEFT(Transaction[[#This Row],[CustomerID]],6),"Invalid ID"))</f>
        <v>C-1092</v>
      </c>
      <c r="I746" t="s">
        <v>92</v>
      </c>
      <c r="J746" t="str">
        <f>TRIM(UPPER(Transaction[[#This Row],[ProductID]]))</f>
        <v>P-SI-008</v>
      </c>
      <c r="K746" t="str">
        <f>IFERROR(VLOOKUP(Transaction[[#This Row],[ProductID_Clean]],Product[],1,FALSE),"Invalid ID")</f>
        <v>P-SI-008</v>
      </c>
      <c r="L746" t="str">
        <f>TRIM(SUBSTITUTE(SUBSTITUTE(SUBSTITUTE(SUBSTITUTE(UPPER(Transaction[[#This Row],[Region]]),"EMEA REGION","EMEA"),"APAC REGION","APAC"),"NORTH AMERICA","N. AMERICA"),"N .AMERICA","N.AMERICA"))</f>
        <v>N. AMERICA</v>
      </c>
      <c r="M746" t="s">
        <v>20</v>
      </c>
      <c r="N746" t="s">
        <v>53</v>
      </c>
      <c r="O74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46" t="s">
        <v>77</v>
      </c>
      <c r="Q746" t="str">
        <f>IF(TRIM(Transaction[[#This Row],[SalesChannel]])="","Missing Value",TRIM(Transaction[[#This Row],[SalesChannel]]))</f>
        <v>distributor</v>
      </c>
      <c r="R746" s="4">
        <v>5</v>
      </c>
      <c r="S746" s="4" t="str">
        <f>IF(Transaction[[#This Row],[Quantity]]&lt;0,"Negative-review","Valid")</f>
        <v>Valid</v>
      </c>
      <c r="T746">
        <v>793.37</v>
      </c>
      <c r="U74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793.37</v>
      </c>
      <c r="V746">
        <v>950</v>
      </c>
      <c r="W746">
        <v>4750</v>
      </c>
      <c r="X74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4750</v>
      </c>
      <c r="Y746">
        <f>IF(Transaction[[#This Row],[GrossRevenue_Check]]="Invalid",Transaction[[#This Row],[ListPrice]]*Transaction[[#This Row],[Quantity]],Transaction[[#This Row],[GrossRevenue_Clean]])</f>
        <v>4750</v>
      </c>
      <c r="Z746" t="str">
        <f>IF(Transaction[[#This Row],[GrossRevenue_Clean]]=Transaction[[#This Row],[ListPrice]]*Transaction[[#This Row],[Quantity]],"Valid","Invalid")</f>
        <v>Valid</v>
      </c>
      <c r="AA746">
        <v>783.15</v>
      </c>
      <c r="AB74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783.15</v>
      </c>
      <c r="AC746">
        <f>IF(Transaction[[#This Row],[DiscountAmount_Check2]]="Invalid",Transaction[[#This Row],[GrossRevenue_Analytical]]-Transaction[[#This Row],[NetRevenue_Analytical]],Transaction[[#This Row],[DiscountAmount_Clean]])</f>
        <v>783.15</v>
      </c>
      <c r="AD746">
        <v>3966.85</v>
      </c>
      <c r="AE746" t="str">
        <f>IF(ROUND(Transaction[[#This Row],[GrossRevenue_Analytical]]-Transaction[[#This Row],[NetRevenue_Analytical]],2)=ROUND(Transaction[[#This Row],[DiscountAmount_Clean]],2),"Valid","Invalid")</f>
        <v>Valid</v>
      </c>
      <c r="AF746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3966.85</v>
      </c>
      <c r="AG746">
        <f>IF(Transaction[[#This Row],[NetRevenue_Check]]="Invalid",(Transaction[[#This Row],[Quantity]]*Transaction[[#This Row],[UnitPrice_Clean]]),Transaction[[#This Row],[NetRevenue_Clean]])</f>
        <v>3966.85</v>
      </c>
      <c r="AH746" t="str">
        <f>IF(Transaction[[#This Row],[Quantity]]*Transaction[[#This Row],[UnitPrice_Clean]]=Transaction[[#This Row],[NetRevenue_Clean]],"Valid","Invalid")</f>
        <v>Valid</v>
      </c>
      <c r="AI746" t="s">
        <v>23</v>
      </c>
      <c r="AJ746" t="s">
        <v>430</v>
      </c>
      <c r="AK746" t="str">
        <f>IF(Transaction[[#This Row],[Salesperson]]="","Missing Value",TRIM(PROPER(Transaction[[#This Row],[Salesperson]])))</f>
        <v>Anderson</v>
      </c>
      <c r="AL746" t="s">
        <v>25</v>
      </c>
      <c r="AM746" t="str">
        <f>IF(Transaction[[#This Row],[ContractType]]="","Missing Value",Transaction[[#This Row],[ContractType]])</f>
        <v>Frame Agreement</v>
      </c>
      <c r="AN746" t="s">
        <v>43</v>
      </c>
    </row>
    <row r="747" spans="1:40" x14ac:dyDescent="0.25">
      <c r="A747" t="s">
        <v>194</v>
      </c>
      <c r="B747" s="1">
        <v>45804</v>
      </c>
      <c r="C74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74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74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47" s="2">
        <f>IFERROR(DATE(Transaction[[#This Row],[TransactionDateY]],Transaction[[#This Row],[TransactionDateM]],Transaction[[#This Row],[TransactionDateD]]),"Missing Value")</f>
        <v>45804</v>
      </c>
      <c r="G747" t="s">
        <v>195</v>
      </c>
      <c r="H747" t="str">
        <f>IFERROR(VLOOKUP(Transaction[[#This Row],[CustomerID]],Custumer[],1,0),IF(LEN(Transaction[[#This Row],[CustomerID]])=7,LEFT(Transaction[[#This Row],[CustomerID]],6),"Invalid ID"))</f>
        <v>C-1015</v>
      </c>
      <c r="I747" t="s">
        <v>196</v>
      </c>
      <c r="J747" t="str">
        <f>TRIM(UPPER(Transaction[[#This Row],[ProductID]]))</f>
        <v>P-SI-002</v>
      </c>
      <c r="K747" t="str">
        <f>IFERROR(VLOOKUP(Transaction[[#This Row],[ProductID_Clean]],Product[],1,FALSE),"Invalid ID")</f>
        <v>P-SI-002</v>
      </c>
      <c r="L747" t="str">
        <f>TRIM(SUBSTITUTE(SUBSTITUTE(SUBSTITUTE(SUBSTITUTE(UPPER(Transaction[[#This Row],[Region]]),"EMEA REGION","EMEA"),"APAC REGION","APAC"),"NORTH AMERICA","N. AMERICA"),"N .AMERICA","N.AMERICA"))</f>
        <v>N. AMERICA</v>
      </c>
      <c r="M747" t="s">
        <v>20</v>
      </c>
      <c r="N747" t="s">
        <v>53</v>
      </c>
      <c r="O74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47" t="s">
        <v>40</v>
      </c>
      <c r="Q747" t="str">
        <f>IF(TRIM(Transaction[[#This Row],[SalesChannel]])="","Missing Value",TRIM(Transaction[[#This Row],[SalesChannel]]))</f>
        <v>Distributor</v>
      </c>
      <c r="R747" s="4">
        <v>1</v>
      </c>
      <c r="S747" s="4" t="str">
        <f>IF(Transaction[[#This Row],[Quantity]]&lt;0,"Negative-review","Valid")</f>
        <v>Valid</v>
      </c>
      <c r="T747">
        <v>550.67999999999995</v>
      </c>
      <c r="U74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550.67999999999995</v>
      </c>
      <c r="V747">
        <v>725</v>
      </c>
      <c r="W747">
        <v>725</v>
      </c>
      <c r="X74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747">
        <f>IF(Transaction[[#This Row],[GrossRevenue_Check]]="Invalid",Transaction[[#This Row],[ListPrice]]*Transaction[[#This Row],[Quantity]],Transaction[[#This Row],[GrossRevenue_Clean]])</f>
        <v>725</v>
      </c>
      <c r="Z747" t="str">
        <f>IF(Transaction[[#This Row],[GrossRevenue_Clean]]=Transaction[[#This Row],[ListPrice]]*Transaction[[#This Row],[Quantity]],"Valid","Invalid")</f>
        <v>Valid</v>
      </c>
      <c r="AA747">
        <v>174.32</v>
      </c>
      <c r="AB74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174.32</v>
      </c>
      <c r="AC747">
        <f>IF(Transaction[[#This Row],[DiscountAmount_Check2]]="Invalid",Transaction[[#This Row],[GrossRevenue_Analytical]]-Transaction[[#This Row],[NetRevenue_Analytical]],Transaction[[#This Row],[DiscountAmount_Clean]])</f>
        <v>174.32</v>
      </c>
      <c r="AD747">
        <v>550.67999999999995</v>
      </c>
      <c r="AE747" t="str">
        <f>IF(ROUND(Transaction[[#This Row],[GrossRevenue_Analytical]]-Transaction[[#This Row],[NetRevenue_Analytical]],2)=ROUND(Transaction[[#This Row],[DiscountAmount_Clean]],2),"Valid","Invalid")</f>
        <v>Valid</v>
      </c>
      <c r="AF747">
        <f>VALUE(IF(ISNUMBER(Transaction[[#This Row],[NetRevenue]]),Transaction[[#This Row],[NetRevenue]],IFERROR(IF(FIND("$",Transaction[[#This Row],[NetRevenue]])&gt;0,MID(Transaction[[#This Row],[NetRevenue]],2,10)),Transaction[[#This Row],[NetRevenue]])))</f>
        <v>550.67999999999995</v>
      </c>
      <c r="AG747">
        <f>IF(Transaction[[#This Row],[NetRevenue_Check]]="Invalid",(Transaction[[#This Row],[Quantity]]*Transaction[[#This Row],[UnitPrice_Clean]]),Transaction[[#This Row],[NetRevenue_Clean]])</f>
        <v>550.67999999999995</v>
      </c>
      <c r="AH747" t="str">
        <f>IF(Transaction[[#This Row],[Quantity]]*Transaction[[#This Row],[UnitPrice_Clean]]=Transaction[[#This Row],[NetRevenue_Clean]],"Valid","Invalid")</f>
        <v>Valid</v>
      </c>
      <c r="AI747" t="s">
        <v>23</v>
      </c>
      <c r="AJ747" t="s">
        <v>197</v>
      </c>
      <c r="AK747" t="str">
        <f>IF(Transaction[[#This Row],[Salesperson]]="","Missing Value",TRIM(PROPER(Transaction[[#This Row],[Salesperson]])))</f>
        <v>Gordon-Ap</v>
      </c>
      <c r="AL747" t="s">
        <v>42</v>
      </c>
      <c r="AM747" t="str">
        <f>IF(Transaction[[#This Row],[ContractType]]="","Missing Value",Transaction[[#This Row],[ContractType]])</f>
        <v>Standard PO</v>
      </c>
      <c r="AN747" t="s">
        <v>26</v>
      </c>
    </row>
    <row r="748" spans="1:40" x14ac:dyDescent="0.25">
      <c r="A748" t="s">
        <v>545</v>
      </c>
      <c r="B748" t="s">
        <v>546</v>
      </c>
      <c r="C74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74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74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48" s="2">
        <f>IFERROR(DATE(Transaction[[#This Row],[TransactionDateY]],Transaction[[#This Row],[TransactionDateM]],Transaction[[#This Row],[TransactionDateD]]),"Missing Value")</f>
        <v>45761</v>
      </c>
      <c r="G748" t="s">
        <v>250</v>
      </c>
      <c r="H748" t="str">
        <f>IFERROR(VLOOKUP(Transaction[[#This Row],[CustomerID]],Custumer[],1,0),IF(LEN(Transaction[[#This Row],[CustomerID]])=7,LEFT(Transaction[[#This Row],[CustomerID]],6),"Invalid ID"))</f>
        <v>C-1043</v>
      </c>
      <c r="I748" t="s">
        <v>62</v>
      </c>
      <c r="J748" t="str">
        <f>TRIM(UPPER(Transaction[[#This Row],[ProductID]]))</f>
        <v>P-SI-004</v>
      </c>
      <c r="K748" t="str">
        <f>IFERROR(VLOOKUP(Transaction[[#This Row],[ProductID_Clean]],Product[],1,FALSE),"Invalid ID")</f>
        <v>P-SI-004</v>
      </c>
      <c r="L748" t="str">
        <f>TRIM(SUBSTITUTE(SUBSTITUTE(SUBSTITUTE(SUBSTITUTE(UPPER(Transaction[[#This Row],[Region]]),"EMEA REGION","EMEA"),"APAC REGION","APAC"),"NORTH AMERICA","N. AMERICA"),"N .AMERICA","N.AMERICA"))</f>
        <v>EMEA</v>
      </c>
      <c r="M748" t="s">
        <v>76</v>
      </c>
      <c r="N748" t="s">
        <v>53</v>
      </c>
      <c r="O74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48" t="s">
        <v>22</v>
      </c>
      <c r="Q748" t="str">
        <f>IF(TRIM(Transaction[[#This Row],[SalesChannel]])="","Missing Value",TRIM(Transaction[[#This Row],[SalesChannel]]))</f>
        <v>Direct</v>
      </c>
      <c r="R748" s="4">
        <v>5</v>
      </c>
      <c r="S748" s="4" t="str">
        <f>IF(Transaction[[#This Row],[Quantity]]&lt;0,"Negative-review","Valid")</f>
        <v>Valid</v>
      </c>
      <c r="T748" t="s">
        <v>547</v>
      </c>
      <c r="U74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2304.71</v>
      </c>
      <c r="V748">
        <v>2450</v>
      </c>
      <c r="W748">
        <v>12250</v>
      </c>
      <c r="X74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12250</v>
      </c>
      <c r="Y748">
        <f>IF(Transaction[[#This Row],[GrossRevenue_Check]]="Invalid",Transaction[[#This Row],[ListPrice]]*Transaction[[#This Row],[Quantity]],Transaction[[#This Row],[GrossRevenue_Clean]])</f>
        <v>12250</v>
      </c>
      <c r="Z748" t="str">
        <f>IF(Transaction[[#This Row],[GrossRevenue_Clean]]=Transaction[[#This Row],[ListPrice]]*Transaction[[#This Row],[Quantity]],"Valid","Invalid")</f>
        <v>Valid</v>
      </c>
      <c r="AB74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748">
        <f>IF(Transaction[[#This Row],[DiscountAmount_Check2]]="Invalid",Transaction[[#This Row],[GrossRevenue_Analytical]]-Transaction[[#This Row],[NetRevenue_Analytical]],Transaction[[#This Row],[DiscountAmount_Clean]])</f>
        <v>726.45000000000073</v>
      </c>
      <c r="AD748">
        <v>11523.55</v>
      </c>
      <c r="AE748" t="str">
        <f>IF(ROUND(Transaction[[#This Row],[GrossRevenue_Analytical]]-Transaction[[#This Row],[NetRevenue_Analytical]],2)=ROUND(Transaction[[#This Row],[DiscountAmount_Clean]],2),"Valid","Invalid")</f>
        <v>Invalid</v>
      </c>
      <c r="AF74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11523.55</v>
      </c>
      <c r="AG748">
        <f>IF(Transaction[[#This Row],[NetRevenue_Check]]="Invalid",(Transaction[[#This Row],[Quantity]]*Transaction[[#This Row],[UnitPrice_Clean]]),Transaction[[#This Row],[NetRevenue_Clean]])</f>
        <v>11523.55</v>
      </c>
      <c r="AH748" t="str">
        <f>IF(Transaction[[#This Row],[Quantity]]*Transaction[[#This Row],[UnitPrice_Clean]]=Transaction[[#This Row],[NetRevenue_Clean]],"Valid","Invalid")</f>
        <v>Valid</v>
      </c>
      <c r="AI748" t="s">
        <v>23</v>
      </c>
      <c r="AK748" t="str">
        <f>IF(Transaction[[#This Row],[Salesperson]]="","Missing Value",TRIM(PROPER(Transaction[[#This Row],[Salesperson]])))</f>
        <v>Missing Value</v>
      </c>
      <c r="AL748" t="s">
        <v>42</v>
      </c>
      <c r="AM748" t="str">
        <f>IF(Transaction[[#This Row],[ContractType]]="","Missing Value",Transaction[[#This Row],[ContractType]])</f>
        <v>Standard PO</v>
      </c>
      <c r="AN748" t="s">
        <v>35</v>
      </c>
    </row>
    <row r="749" spans="1:40" x14ac:dyDescent="0.25">
      <c r="A749" t="s">
        <v>723</v>
      </c>
      <c r="B749" s="1">
        <v>45818</v>
      </c>
      <c r="C74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74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74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49" s="2">
        <f>IFERROR(DATE(Transaction[[#This Row],[TransactionDateY]],Transaction[[#This Row],[TransactionDateM]],Transaction[[#This Row],[TransactionDateD]]),"Missing Value")</f>
        <v>45818</v>
      </c>
      <c r="G749" t="s">
        <v>470</v>
      </c>
      <c r="H749" t="str">
        <f>IFERROR(VLOOKUP(Transaction[[#This Row],[CustomerID]],Custumer[],1,0),IF(LEN(Transaction[[#This Row],[CustomerID]])=7,LEFT(Transaction[[#This Row],[CustomerID]],6),"Invalid ID"))</f>
        <v>C-1151</v>
      </c>
      <c r="I749" t="s">
        <v>226</v>
      </c>
      <c r="J749" t="str">
        <f>TRIM(UPPER(Transaction[[#This Row],[ProductID]]))</f>
        <v>P-SA-002</v>
      </c>
      <c r="K749" t="str">
        <f>IFERROR(VLOOKUP(Transaction[[#This Row],[ProductID_Clean]],Product[],1,FALSE),"Invalid ID")</f>
        <v>P-SA-002</v>
      </c>
      <c r="L749" t="str">
        <f>TRIM(SUBSTITUTE(SUBSTITUTE(SUBSTITUTE(SUBSTITUTE(UPPER(Transaction[[#This Row],[Region]]),"EMEA REGION","EMEA"),"APAC REGION","APAC"),"NORTH AMERICA","N. AMERICA"),"N .AMERICA","N.AMERICA"))</f>
        <v>LATIN AMERICA</v>
      </c>
      <c r="M749" t="s">
        <v>724</v>
      </c>
      <c r="N749" t="s">
        <v>31</v>
      </c>
      <c r="O74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749" t="s">
        <v>40</v>
      </c>
      <c r="Q749" t="str">
        <f>IF(TRIM(Transaction[[#This Row],[SalesChannel]])="","Missing Value",TRIM(Transaction[[#This Row],[SalesChannel]]))</f>
        <v>Distributor</v>
      </c>
      <c r="R749" s="4">
        <v>3</v>
      </c>
      <c r="S749" s="4" t="str">
        <f>IF(Transaction[[#This Row],[Quantity]]&lt;0,"Negative-review","Valid")</f>
        <v>Valid</v>
      </c>
      <c r="T749">
        <v>8087.39</v>
      </c>
      <c r="U74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8087.39</v>
      </c>
      <c r="V749">
        <v>9800</v>
      </c>
      <c r="W749">
        <v>29400</v>
      </c>
      <c r="X74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29400</v>
      </c>
      <c r="Y749">
        <f>IF(Transaction[[#This Row],[GrossRevenue_Check]]="Invalid",Transaction[[#This Row],[ListPrice]]*Transaction[[#This Row],[Quantity]],Transaction[[#This Row],[GrossRevenue_Clean]])</f>
        <v>29400</v>
      </c>
      <c r="Z749" t="str">
        <f>IF(Transaction[[#This Row],[GrossRevenue_Clean]]=Transaction[[#This Row],[ListPrice]]*Transaction[[#This Row],[Quantity]],"Valid","Invalid")</f>
        <v>Valid</v>
      </c>
      <c r="AA749">
        <v>5137.83</v>
      </c>
      <c r="AB74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5137.83</v>
      </c>
      <c r="AC749">
        <f>IF(Transaction[[#This Row],[DiscountAmount_Check2]]="Invalid",Transaction[[#This Row],[GrossRevenue_Analytical]]-Transaction[[#This Row],[NetRevenue_Analytical]],Transaction[[#This Row],[DiscountAmount_Clean]])</f>
        <v>5137.83</v>
      </c>
      <c r="AD749">
        <v>24262.17</v>
      </c>
      <c r="AE749" t="str">
        <f>IF(ROUND(Transaction[[#This Row],[GrossRevenue_Analytical]]-Transaction[[#This Row],[NetRevenue_Analytical]],2)=ROUND(Transaction[[#This Row],[DiscountAmount_Clean]],2),"Valid","Invalid")</f>
        <v>Valid</v>
      </c>
      <c r="AF74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24262.17</v>
      </c>
      <c r="AG749">
        <f>IF(Transaction[[#This Row],[NetRevenue_Check]]="Invalid",(Transaction[[#This Row],[Quantity]]*Transaction[[#This Row],[UnitPrice_Clean]]),Transaction[[#This Row],[NetRevenue_Clean]])</f>
        <v>24262.17</v>
      </c>
      <c r="AH749" t="str">
        <f>IF(Transaction[[#This Row],[Quantity]]*Transaction[[#This Row],[UnitPrice_Clean]]=Transaction[[#This Row],[NetRevenue_Clean]],"Valid","Invalid")</f>
        <v>Valid</v>
      </c>
      <c r="AI749" t="s">
        <v>23</v>
      </c>
      <c r="AJ749" t="s">
        <v>725</v>
      </c>
      <c r="AK749" t="str">
        <f>IF(Transaction[[#This Row],[Salesperson]]="","Missing Value",TRIM(PROPER(Transaction[[#This Row],[Salesperson]])))</f>
        <v>Lamb-Em</v>
      </c>
      <c r="AL749" t="s">
        <v>34</v>
      </c>
      <c r="AM749" t="str">
        <f>IF(Transaction[[#This Row],[ContractType]]="","Missing Value",Transaction[[#This Row],[ContractType]])</f>
        <v>Annual License</v>
      </c>
      <c r="AN749" t="s">
        <v>49</v>
      </c>
    </row>
    <row r="750" spans="1:40" x14ac:dyDescent="0.25">
      <c r="A750" t="s">
        <v>3047</v>
      </c>
      <c r="B750" s="1">
        <v>45732</v>
      </c>
      <c r="C75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75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75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50" s="2">
        <f>IFERROR(DATE(Transaction[[#This Row],[TransactionDateY]],Transaction[[#This Row],[TransactionDateM]],Transaction[[#This Row],[TransactionDateD]]),"Missing Value")</f>
        <v>45732</v>
      </c>
      <c r="G750" t="s">
        <v>1871</v>
      </c>
      <c r="H750" t="str">
        <f>IFERROR(VLOOKUP(Transaction[[#This Row],[CustomerID]],Custumer[],1,0),IF(LEN(Transaction[[#This Row],[CustomerID]])=7,LEFT(Transaction[[#This Row],[CustomerID]],6),"Invalid ID"))</f>
        <v>C-1096</v>
      </c>
      <c r="I750" t="s">
        <v>75</v>
      </c>
      <c r="J750" t="str">
        <f>TRIM(UPPER(Transaction[[#This Row],[ProductID]]))</f>
        <v>P-SA-005</v>
      </c>
      <c r="K750" t="str">
        <f>IFERROR(VLOOKUP(Transaction[[#This Row],[ProductID_Clean]],Product[],1,FALSE),"Invalid ID")</f>
        <v>P-SA-005</v>
      </c>
      <c r="L750" t="str">
        <f>TRIM(SUBSTITUTE(SUBSTITUTE(SUBSTITUTE(SUBSTITUTE(UPPER(Transaction[[#This Row],[Region]]),"EMEA REGION","EMEA"),"APAC REGION","APAC"),"NORTH AMERICA","N. AMERICA"),"N .AMERICA","N.AMERICA"))</f>
        <v>N. AMERICA</v>
      </c>
      <c r="M750" t="s">
        <v>20</v>
      </c>
      <c r="N750" t="s">
        <v>31</v>
      </c>
      <c r="O750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750" t="s">
        <v>93</v>
      </c>
      <c r="Q750" t="str">
        <f>IF(TRIM(Transaction[[#This Row],[SalesChannel]])="","Missing Value",TRIM(Transaction[[#This Row],[SalesChannel]]))</f>
        <v>direct</v>
      </c>
      <c r="R750" s="4">
        <v>1</v>
      </c>
      <c r="S750" s="4" t="str">
        <f>IF(Transaction[[#This Row],[Quantity]]&lt;0,"Negative-review","Valid")</f>
        <v>Valid</v>
      </c>
      <c r="T750" t="s">
        <v>3048</v>
      </c>
      <c r="U75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3056.81</v>
      </c>
      <c r="V750">
        <v>3200</v>
      </c>
      <c r="W750">
        <v>3200</v>
      </c>
      <c r="X75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750">
        <f>IF(Transaction[[#This Row],[GrossRevenue_Check]]="Invalid",Transaction[[#This Row],[ListPrice]]*Transaction[[#This Row],[Quantity]],Transaction[[#This Row],[GrossRevenue_Clean]])</f>
        <v>3200</v>
      </c>
      <c r="Z750" t="str">
        <f>IF(Transaction[[#This Row],[GrossRevenue_Clean]]=Transaction[[#This Row],[ListPrice]]*Transaction[[#This Row],[Quantity]],"Valid","Invalid")</f>
        <v>Valid</v>
      </c>
      <c r="AA750">
        <v>143.19</v>
      </c>
      <c r="AB75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143.19</v>
      </c>
      <c r="AC750">
        <f>IF(Transaction[[#This Row],[DiscountAmount_Check2]]="Invalid",Transaction[[#This Row],[GrossRevenue_Analytical]]-Transaction[[#This Row],[NetRevenue_Analytical]],Transaction[[#This Row],[DiscountAmount_Clean]])</f>
        <v>143.19</v>
      </c>
      <c r="AD750">
        <v>3056.81</v>
      </c>
      <c r="AE750" t="str">
        <f>IF(ROUND(Transaction[[#This Row],[GrossRevenue_Analytical]]-Transaction[[#This Row],[NetRevenue_Analytical]],2)=ROUND(Transaction[[#This Row],[DiscountAmount_Clean]],2),"Valid","Invalid")</f>
        <v>Valid</v>
      </c>
      <c r="AF750">
        <f>VALUE(IF(ISNUMBER(Transaction[[#This Row],[NetRevenue]]),Transaction[[#This Row],[NetRevenue]],IFERROR(IF(FIND("$",Transaction[[#This Row],[NetRevenue]])&gt;0,MID(Transaction[[#This Row],[NetRevenue]],2,10)),Transaction[[#This Row],[NetRevenue]])))</f>
        <v>3056.81</v>
      </c>
      <c r="AG750">
        <f>IF(Transaction[[#This Row],[NetRevenue_Check]]="Invalid",(Transaction[[#This Row],[Quantity]]*Transaction[[#This Row],[UnitPrice_Clean]]),Transaction[[#This Row],[NetRevenue_Clean]])</f>
        <v>3056.81</v>
      </c>
      <c r="AH750" t="str">
        <f>IF(Transaction[[#This Row],[Quantity]]*Transaction[[#This Row],[UnitPrice_Clean]]=Transaction[[#This Row],[NetRevenue_Clean]],"Valid","Invalid")</f>
        <v>Valid</v>
      </c>
      <c r="AI750" t="s">
        <v>99</v>
      </c>
      <c r="AJ750" t="s">
        <v>3049</v>
      </c>
      <c r="AK750" t="str">
        <f>IF(Transaction[[#This Row],[Salesperson]]="","Missing Value",TRIM(PROPER(Transaction[[#This Row],[Salesperson]])))</f>
        <v>Rivera-Ap</v>
      </c>
      <c r="AL750" t="s">
        <v>34</v>
      </c>
      <c r="AM750" t="str">
        <f>IF(Transaction[[#This Row],[ContractType]]="","Missing Value",Transaction[[#This Row],[ContractType]])</f>
        <v>Annual License</v>
      </c>
      <c r="AN750" t="s">
        <v>65</v>
      </c>
    </row>
    <row r="751" spans="1:40" x14ac:dyDescent="0.25">
      <c r="A751" t="s">
        <v>2839</v>
      </c>
      <c r="B751" s="1">
        <v>45735</v>
      </c>
      <c r="C75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75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75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51" s="2">
        <f>IFERROR(DATE(Transaction[[#This Row],[TransactionDateY]],Transaction[[#This Row],[TransactionDateM]],Transaction[[#This Row],[TransactionDateD]]),"Missing Value")</f>
        <v>45735</v>
      </c>
      <c r="G751" t="s">
        <v>214</v>
      </c>
      <c r="H751" t="str">
        <f>IFERROR(VLOOKUP(Transaction[[#This Row],[CustomerID]],Custumer[],1,0),IF(LEN(Transaction[[#This Row],[CustomerID]])=7,LEFT(Transaction[[#This Row],[CustomerID]],6),"Invalid ID"))</f>
        <v>C-1169</v>
      </c>
      <c r="I751" t="s">
        <v>97</v>
      </c>
      <c r="J751" t="str">
        <f>TRIM(UPPER(Transaction[[#This Row],[ProductID]]))</f>
        <v>P-SI-001</v>
      </c>
      <c r="K751" t="str">
        <f>IFERROR(VLOOKUP(Transaction[[#This Row],[ProductID_Clean]],Product[],1,FALSE),"Invalid ID")</f>
        <v>P-SI-001</v>
      </c>
      <c r="L751" t="str">
        <f>TRIM(SUBSTITUTE(SUBSTITUTE(SUBSTITUTE(SUBSTITUTE(UPPER(Transaction[[#This Row],[Region]]),"EMEA REGION","EMEA"),"APAC REGION","APAC"),"NORTH AMERICA","N. AMERICA"),"N .AMERICA","N.AMERICA"))</f>
        <v>EMEA</v>
      </c>
      <c r="M751" t="s">
        <v>76</v>
      </c>
      <c r="N751" t="s">
        <v>53</v>
      </c>
      <c r="O75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51" t="s">
        <v>22</v>
      </c>
      <c r="Q751" t="str">
        <f>IF(TRIM(Transaction[[#This Row],[SalesChannel]])="","Missing Value",TRIM(Transaction[[#This Row],[SalesChannel]]))</f>
        <v>Direct</v>
      </c>
      <c r="R751" s="4">
        <v>8</v>
      </c>
      <c r="S751" s="4" t="str">
        <f>IF(Transaction[[#This Row],[Quantity]]&lt;0,"Negative-review","Valid")</f>
        <v>Valid</v>
      </c>
      <c r="T751">
        <v>459.7</v>
      </c>
      <c r="U75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459.7</v>
      </c>
      <c r="V751">
        <v>485</v>
      </c>
      <c r="W751">
        <v>3880</v>
      </c>
      <c r="X75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3880</v>
      </c>
      <c r="Y751">
        <f>IF(Transaction[[#This Row],[GrossRevenue_Check]]="Invalid",Transaction[[#This Row],[ListPrice]]*Transaction[[#This Row],[Quantity]],Transaction[[#This Row],[GrossRevenue_Clean]])</f>
        <v>3880</v>
      </c>
      <c r="Z751" t="str">
        <f>IF(Transaction[[#This Row],[GrossRevenue_Clean]]=Transaction[[#This Row],[ListPrice]]*Transaction[[#This Row],[Quantity]],"Valid","Invalid")</f>
        <v>Valid</v>
      </c>
      <c r="AA751">
        <v>202.4</v>
      </c>
      <c r="AB75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202.4</v>
      </c>
      <c r="AC751">
        <f>IF(Transaction[[#This Row],[DiscountAmount_Check2]]="Invalid",Transaction[[#This Row],[GrossRevenue_Analytical]]-Transaction[[#This Row],[NetRevenue_Analytical]],Transaction[[#This Row],[DiscountAmount_Clean]])</f>
        <v>202.4</v>
      </c>
      <c r="AD751">
        <v>3677.6</v>
      </c>
      <c r="AE751" t="str">
        <f>IF(ROUND(Transaction[[#This Row],[GrossRevenue_Analytical]]-Transaction[[#This Row],[NetRevenue_Analytical]],2)=ROUND(Transaction[[#This Row],[DiscountAmount_Clean]],2),"Valid","Invalid")</f>
        <v>Valid</v>
      </c>
      <c r="AF751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3677.6</v>
      </c>
      <c r="AG751">
        <f>IF(Transaction[[#This Row],[NetRevenue_Check]]="Invalid",(Transaction[[#This Row],[Quantity]]*Transaction[[#This Row],[UnitPrice_Clean]]),Transaction[[#This Row],[NetRevenue_Clean]])</f>
        <v>3677.6</v>
      </c>
      <c r="AH751" t="str">
        <f>IF(Transaction[[#This Row],[Quantity]]*Transaction[[#This Row],[UnitPrice_Clean]]=Transaction[[#This Row],[NetRevenue_Clean]],"Valid","Invalid")</f>
        <v>Valid</v>
      </c>
      <c r="AI751" t="s">
        <v>23</v>
      </c>
      <c r="AJ751" t="s">
        <v>2840</v>
      </c>
      <c r="AK751" t="str">
        <f>IF(Transaction[[#This Row],[Salesperson]]="","Missing Value",TRIM(PROPER(Transaction[[#This Row],[Salesperson]])))</f>
        <v>Simon-Na</v>
      </c>
      <c r="AL751" t="s">
        <v>42</v>
      </c>
      <c r="AM751" t="str">
        <f>IF(Transaction[[#This Row],[ContractType]]="","Missing Value",Transaction[[#This Row],[ContractType]])</f>
        <v>Standard PO</v>
      </c>
      <c r="AN751" t="s">
        <v>49</v>
      </c>
    </row>
    <row r="752" spans="1:40" x14ac:dyDescent="0.25">
      <c r="A752" t="s">
        <v>2631</v>
      </c>
      <c r="B752" s="1">
        <v>45720</v>
      </c>
      <c r="C75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75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75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52" s="2">
        <f>IFERROR(DATE(Transaction[[#This Row],[TransactionDateY]],Transaction[[#This Row],[TransactionDateM]],Transaction[[#This Row],[TransactionDateD]]),"Missing Value")</f>
        <v>45720</v>
      </c>
      <c r="G752" t="s">
        <v>351</v>
      </c>
      <c r="H752" t="str">
        <f>IFERROR(VLOOKUP(Transaction[[#This Row],[CustomerID]],Custumer[],1,0),IF(LEN(Transaction[[#This Row],[CustomerID]])=7,LEFT(Transaction[[#This Row],[CustomerID]],6),"Invalid ID"))</f>
        <v>C-1004</v>
      </c>
      <c r="I752" t="s">
        <v>52</v>
      </c>
      <c r="J752" t="str">
        <f>TRIM(UPPER(Transaction[[#This Row],[ProductID]]))</f>
        <v>P-SI-002</v>
      </c>
      <c r="K752" t="str">
        <f>IFERROR(VLOOKUP(Transaction[[#This Row],[ProductID_Clean]],Product[],1,FALSE),"Invalid ID")</f>
        <v>P-SI-002</v>
      </c>
      <c r="L752" t="str">
        <f>TRIM(SUBSTITUTE(SUBSTITUTE(SUBSTITUTE(SUBSTITUTE(UPPER(Transaction[[#This Row],[Region]]),"EMEA REGION","EMEA"),"APAC REGION","APAC"),"NORTH AMERICA","N. AMERICA"),"N .AMERICA","N.AMERICA"))</f>
        <v>N. AMERICA</v>
      </c>
      <c r="M752" t="s">
        <v>20</v>
      </c>
      <c r="N752" t="s">
        <v>47</v>
      </c>
      <c r="O75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52" t="s">
        <v>181</v>
      </c>
      <c r="Q752" t="str">
        <f>IF(TRIM(Transaction[[#This Row],[SalesChannel]])="","Missing Value",TRIM(Transaction[[#This Row],[SalesChannel]]))</f>
        <v>Partner Portal</v>
      </c>
      <c r="R752" s="4">
        <v>3</v>
      </c>
      <c r="S752" s="4" t="str">
        <f>IF(Transaction[[#This Row],[Quantity]]&lt;0,"Negative-review","Valid")</f>
        <v>Valid</v>
      </c>
      <c r="T752">
        <v>647.91</v>
      </c>
      <c r="U75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647.91</v>
      </c>
      <c r="V752">
        <v>725</v>
      </c>
      <c r="W752">
        <v>2175</v>
      </c>
      <c r="X75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2175</v>
      </c>
      <c r="Y752">
        <f>IF(Transaction[[#This Row],[GrossRevenue_Check]]="Invalid",Transaction[[#This Row],[ListPrice]]*Transaction[[#This Row],[Quantity]],Transaction[[#This Row],[GrossRevenue_Clean]])</f>
        <v>2175</v>
      </c>
      <c r="Z752" t="str">
        <f>IF(Transaction[[#This Row],[GrossRevenue_Clean]]=Transaction[[#This Row],[ListPrice]]*Transaction[[#This Row],[Quantity]],"Valid","Invalid")</f>
        <v>Valid</v>
      </c>
      <c r="AA752" t="s">
        <v>2632</v>
      </c>
      <c r="AB75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231.27</v>
      </c>
      <c r="AC752">
        <f>IF(Transaction[[#This Row],[DiscountAmount_Check2]]="Invalid",Transaction[[#This Row],[GrossRevenue_Analytical]]-Transaction[[#This Row],[NetRevenue_Analytical]],Transaction[[#This Row],[DiscountAmount_Clean]])</f>
        <v>231.27</v>
      </c>
      <c r="AD752">
        <v>1943.73</v>
      </c>
      <c r="AE752" t="str">
        <f>IF(ROUND(Transaction[[#This Row],[GrossRevenue_Analytical]]-Transaction[[#This Row],[NetRevenue_Analytical]],2)=ROUND(Transaction[[#This Row],[DiscountAmount_Clean]],2),"Valid","Invalid")</f>
        <v>Valid</v>
      </c>
      <c r="AF75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1943.73</v>
      </c>
      <c r="AG752">
        <f>IF(Transaction[[#This Row],[NetRevenue_Check]]="Invalid",(Transaction[[#This Row],[Quantity]]*Transaction[[#This Row],[UnitPrice_Clean]]),Transaction[[#This Row],[NetRevenue_Clean]])</f>
        <v>1943.73</v>
      </c>
      <c r="AH752" t="str">
        <f>IF(Transaction[[#This Row],[Quantity]]*Transaction[[#This Row],[UnitPrice_Clean]]=Transaction[[#This Row],[NetRevenue_Clean]],"Valid","Invalid")</f>
        <v>Valid</v>
      </c>
      <c r="AI752" t="s">
        <v>23</v>
      </c>
      <c r="AJ752" t="s">
        <v>2633</v>
      </c>
      <c r="AK752" t="str">
        <f>IF(Transaction[[#This Row],[Salesperson]]="","Missing Value",TRIM(PROPER(Transaction[[#This Row],[Salesperson]])))</f>
        <v>Wong-Ap</v>
      </c>
      <c r="AL752" t="s">
        <v>42</v>
      </c>
      <c r="AM752" t="str">
        <f>IF(Transaction[[#This Row],[ContractType]]="","Missing Value",Transaction[[#This Row],[ContractType]])</f>
        <v>Standard PO</v>
      </c>
      <c r="AN752" t="s">
        <v>49</v>
      </c>
    </row>
    <row r="753" spans="1:40" x14ac:dyDescent="0.25">
      <c r="A753" t="s">
        <v>2364</v>
      </c>
      <c r="B753" s="1">
        <v>45761</v>
      </c>
      <c r="C75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75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75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53" s="2">
        <f>IFERROR(DATE(Transaction[[#This Row],[TransactionDateY]],Transaction[[#This Row],[TransactionDateM]],Transaction[[#This Row],[TransactionDateD]]),"Missing Value")</f>
        <v>45761</v>
      </c>
      <c r="G753" t="s">
        <v>126</v>
      </c>
      <c r="H753" t="str">
        <f>IFERROR(VLOOKUP(Transaction[[#This Row],[CustomerID]],Custumer[],1,0),IF(LEN(Transaction[[#This Row],[CustomerID]])=7,LEFT(Transaction[[#This Row],[CustomerID]],6),"Invalid ID"))</f>
        <v>C-1019</v>
      </c>
      <c r="I753" t="s">
        <v>117</v>
      </c>
      <c r="J753" t="str">
        <f>TRIM(UPPER(Transaction[[#This Row],[ProductID]]))</f>
        <v>P-SI-007</v>
      </c>
      <c r="K753" t="str">
        <f>IFERROR(VLOOKUP(Transaction[[#This Row],[ProductID_Clean]],Product[],1,FALSE),"Invalid ID")</f>
        <v>P-SI-007</v>
      </c>
      <c r="L753" t="str">
        <f>TRIM(SUBSTITUTE(SUBSTITUTE(SUBSTITUTE(SUBSTITUTE(UPPER(Transaction[[#This Row],[Region]]),"EMEA REGION","EMEA"),"APAC REGION","APAC"),"NORTH AMERICA","N. AMERICA"),"N .AMERICA","N.AMERICA"))</f>
        <v>APAC</v>
      </c>
      <c r="M753" t="s">
        <v>30</v>
      </c>
      <c r="N753" t="s">
        <v>272</v>
      </c>
      <c r="O75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53" t="s">
        <v>40</v>
      </c>
      <c r="Q753" t="str">
        <f>IF(TRIM(Transaction[[#This Row],[SalesChannel]])="","Missing Value",TRIM(Transaction[[#This Row],[SalesChannel]]))</f>
        <v>Distributor</v>
      </c>
      <c r="R753" s="4">
        <v>4</v>
      </c>
      <c r="S753" s="4" t="str">
        <f>IF(Transaction[[#This Row],[Quantity]]&lt;0,"Negative-review","Valid")</f>
        <v>Valid</v>
      </c>
      <c r="T753">
        <v>828.18</v>
      </c>
      <c r="U75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828.18</v>
      </c>
      <c r="V753">
        <v>980</v>
      </c>
      <c r="W753">
        <v>3920</v>
      </c>
      <c r="X75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3920</v>
      </c>
      <c r="Y753">
        <f>IF(Transaction[[#This Row],[GrossRevenue_Check]]="Invalid",Transaction[[#This Row],[ListPrice]]*Transaction[[#This Row],[Quantity]],Transaction[[#This Row],[GrossRevenue_Clean]])</f>
        <v>3920</v>
      </c>
      <c r="Z753" t="str">
        <f>IF(Transaction[[#This Row],[GrossRevenue_Clean]]=Transaction[[#This Row],[ListPrice]]*Transaction[[#This Row],[Quantity]],"Valid","Invalid")</f>
        <v>Valid</v>
      </c>
      <c r="AA753">
        <v>607.28</v>
      </c>
      <c r="AB75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607.28</v>
      </c>
      <c r="AC753">
        <f>IF(Transaction[[#This Row],[DiscountAmount_Check2]]="Invalid",Transaction[[#This Row],[GrossRevenue_Analytical]]-Transaction[[#This Row],[NetRevenue_Analytical]],Transaction[[#This Row],[DiscountAmount_Clean]])</f>
        <v>607.28</v>
      </c>
      <c r="AD753">
        <v>3312.72</v>
      </c>
      <c r="AE753" t="str">
        <f>IF(ROUND(Transaction[[#This Row],[GrossRevenue_Analytical]]-Transaction[[#This Row],[NetRevenue_Analytical]],2)=ROUND(Transaction[[#This Row],[DiscountAmount_Clean]],2),"Valid","Invalid")</f>
        <v>Valid</v>
      </c>
      <c r="AF75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3312.72</v>
      </c>
      <c r="AG753">
        <f>IF(Transaction[[#This Row],[NetRevenue_Check]]="Invalid",(Transaction[[#This Row],[Quantity]]*Transaction[[#This Row],[UnitPrice_Clean]]),Transaction[[#This Row],[NetRevenue_Clean]])</f>
        <v>3312.72</v>
      </c>
      <c r="AH753" t="str">
        <f>IF(Transaction[[#This Row],[Quantity]]*Transaction[[#This Row],[UnitPrice_Clean]]=Transaction[[#This Row],[NetRevenue_Clean]],"Valid","Invalid")</f>
        <v>Valid</v>
      </c>
      <c r="AI753" t="s">
        <v>23</v>
      </c>
      <c r="AJ753" t="s">
        <v>212</v>
      </c>
      <c r="AK753" t="str">
        <f>IF(Transaction[[#This Row],[Salesperson]]="","Missing Value",TRIM(PROPER(Transaction[[#This Row],[Salesperson]])))</f>
        <v>Higgins</v>
      </c>
      <c r="AL753" t="s">
        <v>25</v>
      </c>
      <c r="AM753" t="str">
        <f>IF(Transaction[[#This Row],[ContractType]]="","Missing Value",Transaction[[#This Row],[ContractType]])</f>
        <v>Frame Agreement</v>
      </c>
      <c r="AN753" t="s">
        <v>49</v>
      </c>
    </row>
    <row r="754" spans="1:40" x14ac:dyDescent="0.25">
      <c r="A754" t="s">
        <v>2749</v>
      </c>
      <c r="B754" s="1">
        <v>45774</v>
      </c>
      <c r="C75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75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75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54" s="2">
        <f>IFERROR(DATE(Transaction[[#This Row],[TransactionDateY]],Transaction[[#This Row],[TransactionDateM]],Transaction[[#This Row],[TransactionDateD]]),"Missing Value")</f>
        <v>45774</v>
      </c>
      <c r="G754" t="s">
        <v>694</v>
      </c>
      <c r="H754" t="str">
        <f>IFERROR(VLOOKUP(Transaction[[#This Row],[CustomerID]],Custumer[],1,0),IF(LEN(Transaction[[#This Row],[CustomerID]])=7,LEFT(Transaction[[#This Row],[CustomerID]],6),"Invalid ID"))</f>
        <v>C-1165</v>
      </c>
      <c r="I754" t="s">
        <v>52</v>
      </c>
      <c r="J754" t="str">
        <f>TRIM(UPPER(Transaction[[#This Row],[ProductID]]))</f>
        <v>P-SI-002</v>
      </c>
      <c r="K754" t="str">
        <f>IFERROR(VLOOKUP(Transaction[[#This Row],[ProductID_Clean]],Product[],1,FALSE),"Invalid ID")</f>
        <v>P-SI-002</v>
      </c>
      <c r="L754" t="str">
        <f>TRIM(SUBSTITUTE(SUBSTITUTE(SUBSTITUTE(SUBSTITUTE(UPPER(Transaction[[#This Row],[Region]]),"EMEA REGION","EMEA"),"APAC REGION","APAC"),"NORTH AMERICA","N. AMERICA"),"N .AMERICA","N.AMERICA"))</f>
        <v>N. AMERICA</v>
      </c>
      <c r="M754" t="s">
        <v>20</v>
      </c>
      <c r="N754" t="s">
        <v>53</v>
      </c>
      <c r="O75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54" t="s">
        <v>22</v>
      </c>
      <c r="Q754" t="str">
        <f>IF(TRIM(Transaction[[#This Row],[SalesChannel]])="","Missing Value",TRIM(Transaction[[#This Row],[SalesChannel]]))</f>
        <v>Direct</v>
      </c>
      <c r="R754" s="4">
        <v>20</v>
      </c>
      <c r="S754" s="4" t="str">
        <f>IF(Transaction[[#This Row],[Quantity]]&lt;0,"Negative-review","Valid")</f>
        <v>Valid</v>
      </c>
      <c r="T754">
        <v>686.97</v>
      </c>
      <c r="U75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686.97</v>
      </c>
      <c r="V754">
        <v>725</v>
      </c>
      <c r="W754">
        <v>14500</v>
      </c>
      <c r="X75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14500</v>
      </c>
      <c r="Y754">
        <f>IF(Transaction[[#This Row],[GrossRevenue_Check]]="Invalid",Transaction[[#This Row],[ListPrice]]*Transaction[[#This Row],[Quantity]],Transaction[[#This Row],[GrossRevenue_Clean]])</f>
        <v>14500</v>
      </c>
      <c r="Z754" t="str">
        <f>IF(Transaction[[#This Row],[GrossRevenue_Clean]]=Transaction[[#This Row],[ListPrice]]*Transaction[[#This Row],[Quantity]],"Valid","Invalid")</f>
        <v>Valid</v>
      </c>
      <c r="AA754">
        <v>760.6</v>
      </c>
      <c r="AB75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760.6</v>
      </c>
      <c r="AC754">
        <f>IF(Transaction[[#This Row],[DiscountAmount_Check2]]="Invalid",Transaction[[#This Row],[GrossRevenue_Analytical]]-Transaction[[#This Row],[NetRevenue_Analytical]],Transaction[[#This Row],[DiscountAmount_Clean]])</f>
        <v>760.6</v>
      </c>
      <c r="AD754">
        <v>13739.4</v>
      </c>
      <c r="AE754" t="str">
        <f>IF(ROUND(Transaction[[#This Row],[GrossRevenue_Analytical]]-Transaction[[#This Row],[NetRevenue_Analytical]],2)=ROUND(Transaction[[#This Row],[DiscountAmount_Clean]],2),"Valid","Invalid")</f>
        <v>Valid</v>
      </c>
      <c r="AF75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13739.4</v>
      </c>
      <c r="AG754">
        <f>IF(Transaction[[#This Row],[NetRevenue_Check]]="Invalid",(Transaction[[#This Row],[Quantity]]*Transaction[[#This Row],[UnitPrice_Clean]]),Transaction[[#This Row],[NetRevenue_Clean]])</f>
        <v>13739.4</v>
      </c>
      <c r="AH754" t="str">
        <f>IF(Transaction[[#This Row],[Quantity]]*Transaction[[#This Row],[UnitPrice_Clean]]=Transaction[[#This Row],[NetRevenue_Clean]],"Valid","Invalid")</f>
        <v>Valid</v>
      </c>
      <c r="AI754" t="s">
        <v>23</v>
      </c>
      <c r="AJ754" t="s">
        <v>465</v>
      </c>
      <c r="AK754" t="str">
        <f>IF(Transaction[[#This Row],[Salesperson]]="","Missing Value",TRIM(PROPER(Transaction[[#This Row],[Salesperson]])))</f>
        <v>Smith</v>
      </c>
      <c r="AL754" t="s">
        <v>42</v>
      </c>
      <c r="AM754" t="str">
        <f>IF(Transaction[[#This Row],[ContractType]]="","Missing Value",Transaction[[#This Row],[ContractType]])</f>
        <v>Standard PO</v>
      </c>
      <c r="AN754" t="s">
        <v>26</v>
      </c>
    </row>
    <row r="755" spans="1:40" x14ac:dyDescent="0.25">
      <c r="A755" t="s">
        <v>1601</v>
      </c>
      <c r="B755" s="1">
        <v>45698</v>
      </c>
      <c r="C75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75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75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55" s="2">
        <f>IFERROR(DATE(Transaction[[#This Row],[TransactionDateY]],Transaction[[#This Row],[TransactionDateM]],Transaction[[#This Row],[TransactionDateD]]),"Missing Value")</f>
        <v>45698</v>
      </c>
      <c r="G755" t="s">
        <v>325</v>
      </c>
      <c r="H755" t="str">
        <f>IFERROR(VLOOKUP(Transaction[[#This Row],[CustomerID]],Custumer[],1,0),IF(LEN(Transaction[[#This Row],[CustomerID]])=7,LEFT(Transaction[[#This Row],[CustomerID]],6),"Invalid ID"))</f>
        <v>C-1030</v>
      </c>
      <c r="I755" t="s">
        <v>92</v>
      </c>
      <c r="J755" t="str">
        <f>TRIM(UPPER(Transaction[[#This Row],[ProductID]]))</f>
        <v>P-SI-008</v>
      </c>
      <c r="K755" t="str">
        <f>IFERROR(VLOOKUP(Transaction[[#This Row],[ProductID_Clean]],Product[],1,FALSE),"Invalid ID")</f>
        <v>P-SI-008</v>
      </c>
      <c r="L755" t="str">
        <f>TRIM(SUBSTITUTE(SUBSTITUTE(SUBSTITUTE(SUBSTITUTE(UPPER(Transaction[[#This Row],[Region]]),"EMEA REGION","EMEA"),"APAC REGION","APAC"),"NORTH AMERICA","N. AMERICA"),"N .AMERICA","N.AMERICA"))</f>
        <v>EMEA</v>
      </c>
      <c r="M755" t="s">
        <v>76</v>
      </c>
      <c r="N755" t="s">
        <v>47</v>
      </c>
      <c r="O75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55" t="s">
        <v>40</v>
      </c>
      <c r="Q755" t="str">
        <f>IF(TRIM(Transaction[[#This Row],[SalesChannel]])="","Missing Value",TRIM(Transaction[[#This Row],[SalesChannel]]))</f>
        <v>Distributor</v>
      </c>
      <c r="R755" s="4">
        <v>10</v>
      </c>
      <c r="S755" s="4" t="str">
        <f>IF(Transaction[[#This Row],[Quantity]]&lt;0,"Negative-review","Valid")</f>
        <v>Valid</v>
      </c>
      <c r="T755">
        <v>869.99</v>
      </c>
      <c r="U75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869.99</v>
      </c>
      <c r="V755">
        <v>950</v>
      </c>
      <c r="W755">
        <v>9500</v>
      </c>
      <c r="X75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9500</v>
      </c>
      <c r="Y755">
        <f>IF(Transaction[[#This Row],[GrossRevenue_Check]]="Invalid",Transaction[[#This Row],[ListPrice]]*Transaction[[#This Row],[Quantity]],Transaction[[#This Row],[GrossRevenue_Clean]])</f>
        <v>9500</v>
      </c>
      <c r="Z755" t="str">
        <f>IF(Transaction[[#This Row],[GrossRevenue_Clean]]=Transaction[[#This Row],[ListPrice]]*Transaction[[#This Row],[Quantity]],"Valid","Invalid")</f>
        <v>Valid</v>
      </c>
      <c r="AA755">
        <v>800.1</v>
      </c>
      <c r="AB75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800.1</v>
      </c>
      <c r="AC755">
        <f>IF(Transaction[[#This Row],[DiscountAmount_Check2]]="Invalid",Transaction[[#This Row],[GrossRevenue_Analytical]]-Transaction[[#This Row],[NetRevenue_Analytical]],Transaction[[#This Row],[DiscountAmount_Clean]])</f>
        <v>800.1</v>
      </c>
      <c r="AD755" t="s">
        <v>1602</v>
      </c>
      <c r="AE755" t="str">
        <f>IF(ROUND(Transaction[[#This Row],[GrossRevenue_Analytical]]-Transaction[[#This Row],[NetRevenue_Analytical]],2)=ROUND(Transaction[[#This Row],[DiscountAmount_Clean]],2),"Valid","Invalid")</f>
        <v>Valid</v>
      </c>
      <c r="AF755">
        <f>VALUE(IF(ISNUMBER(Transaction[[#This Row],[NetRevenue]]),Transaction[[#This Row],[NetRevenue]],IFERROR(IF(FIND("$",Transaction[[#This Row],[NetRevenue]])&gt;0,MID(Transaction[[#This Row],[NetRevenue]],2,10)),Transaction[[#This Row],[NetRevenue]])))</f>
        <v>8699.9</v>
      </c>
      <c r="AG755">
        <f>IF(Transaction[[#This Row],[NetRevenue_Check]]="Invalid",(Transaction[[#This Row],[Quantity]]*Transaction[[#This Row],[UnitPrice_Clean]]),Transaction[[#This Row],[NetRevenue_Clean]])</f>
        <v>8699.9</v>
      </c>
      <c r="AH755" t="str">
        <f>IF(Transaction[[#This Row],[Quantity]]*Transaction[[#This Row],[UnitPrice_Clean]]=Transaction[[#This Row],[NetRevenue_Clean]],"Valid","Invalid")</f>
        <v>Valid</v>
      </c>
      <c r="AI755" t="s">
        <v>23</v>
      </c>
      <c r="AJ755" t="s">
        <v>1603</v>
      </c>
      <c r="AK755" t="str">
        <f>IF(Transaction[[#This Row],[Salesperson]]="","Missing Value",TRIM(PROPER(Transaction[[#This Row],[Salesperson]])))</f>
        <v>Rogers-Na</v>
      </c>
      <c r="AL755" t="s">
        <v>42</v>
      </c>
      <c r="AM755" t="str">
        <f>IF(Transaction[[#This Row],[ContractType]]="","Missing Value",Transaction[[#This Row],[ContractType]])</f>
        <v>Standard PO</v>
      </c>
      <c r="AN755" t="s">
        <v>49</v>
      </c>
    </row>
    <row r="756" spans="1:40" x14ac:dyDescent="0.25">
      <c r="A756" t="s">
        <v>2174</v>
      </c>
      <c r="B756" s="1">
        <v>45764</v>
      </c>
      <c r="C75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75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75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56" s="2">
        <f>IFERROR(DATE(Transaction[[#This Row],[TransactionDateY]],Transaction[[#This Row],[TransactionDateM]],Transaction[[#This Row],[TransactionDateD]]),"Missing Value")</f>
        <v>45764</v>
      </c>
      <c r="G756" t="s">
        <v>571</v>
      </c>
      <c r="H756" t="str">
        <f>IFERROR(VLOOKUP(Transaction[[#This Row],[CustomerID]],Custumer[],1,0),IF(LEN(Transaction[[#This Row],[CustomerID]])=7,LEFT(Transaction[[#This Row],[CustomerID]],6),"Invalid ID"))</f>
        <v>C-1060</v>
      </c>
      <c r="I756" t="s">
        <v>52</v>
      </c>
      <c r="J756" t="str">
        <f>TRIM(UPPER(Transaction[[#This Row],[ProductID]]))</f>
        <v>P-SI-002</v>
      </c>
      <c r="K756" t="str">
        <f>IFERROR(VLOOKUP(Transaction[[#This Row],[ProductID_Clean]],Product[],1,FALSE),"Invalid ID")</f>
        <v>P-SI-002</v>
      </c>
      <c r="L756" t="str">
        <f>TRIM(SUBSTITUTE(SUBSTITUTE(SUBSTITUTE(SUBSTITUTE(UPPER(Transaction[[#This Row],[Region]]),"EMEA REGION","EMEA"),"APAC REGION","APAC"),"NORTH AMERICA","N. AMERICA"),"N .AMERICA","N.AMERICA"))</f>
        <v>APAC</v>
      </c>
      <c r="M756" t="s">
        <v>30</v>
      </c>
      <c r="N756" t="s">
        <v>53</v>
      </c>
      <c r="O75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56" t="s">
        <v>22</v>
      </c>
      <c r="Q756" t="str">
        <f>IF(TRIM(Transaction[[#This Row],[SalesChannel]])="","Missing Value",TRIM(Transaction[[#This Row],[SalesChannel]]))</f>
        <v>Direct</v>
      </c>
      <c r="R756" s="4">
        <v>10</v>
      </c>
      <c r="S756" s="4" t="str">
        <f>IF(Transaction[[#This Row],[Quantity]]&lt;0,"Negative-review","Valid")</f>
        <v>Valid</v>
      </c>
      <c r="T756">
        <v>621.45000000000005</v>
      </c>
      <c r="U75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621.45000000000005</v>
      </c>
      <c r="V756">
        <v>725</v>
      </c>
      <c r="W756">
        <v>7250</v>
      </c>
      <c r="X75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7250</v>
      </c>
      <c r="Y756">
        <f>IF(Transaction[[#This Row],[GrossRevenue_Check]]="Invalid",Transaction[[#This Row],[ListPrice]]*Transaction[[#This Row],[Quantity]],Transaction[[#This Row],[GrossRevenue_Clean]])</f>
        <v>7250</v>
      </c>
      <c r="Z756" t="str">
        <f>IF(Transaction[[#This Row],[GrossRevenue_Clean]]=Transaction[[#This Row],[ListPrice]]*Transaction[[#This Row],[Quantity]],"Valid","Invalid")</f>
        <v>Valid</v>
      </c>
      <c r="AA756">
        <v>1035.5</v>
      </c>
      <c r="AB75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1035.5</v>
      </c>
      <c r="AC756">
        <f>IF(Transaction[[#This Row],[DiscountAmount_Check2]]="Invalid",Transaction[[#This Row],[GrossRevenue_Analytical]]-Transaction[[#This Row],[NetRevenue_Analytical]],Transaction[[#This Row],[DiscountAmount_Clean]])</f>
        <v>1035.5</v>
      </c>
      <c r="AD756">
        <v>6214.5</v>
      </c>
      <c r="AE756" t="str">
        <f>IF(ROUND(Transaction[[#This Row],[GrossRevenue_Analytical]]-Transaction[[#This Row],[NetRevenue_Analytical]],2)=ROUND(Transaction[[#This Row],[DiscountAmount_Clean]],2),"Valid","Invalid")</f>
        <v>Valid</v>
      </c>
      <c r="AF756">
        <f>VALUE(IF(ISNUMBER(Transaction[[#This Row],[NetRevenue]]),Transaction[[#This Row],[NetRevenue]],IFERROR(IF(FIND("$",Transaction[[#This Row],[NetRevenue]])&gt;0,MID(Transaction[[#This Row],[NetRevenue]],2,10)),Transaction[[#This Row],[NetRevenue]])))</f>
        <v>6214.5</v>
      </c>
      <c r="AG756">
        <f>IF(Transaction[[#This Row],[NetRevenue_Check]]="Invalid",(Transaction[[#This Row],[Quantity]]*Transaction[[#This Row],[UnitPrice_Clean]]),Transaction[[#This Row],[NetRevenue_Clean]])</f>
        <v>6214.5</v>
      </c>
      <c r="AH756" t="str">
        <f>IF(Transaction[[#This Row],[Quantity]]*Transaction[[#This Row],[UnitPrice_Clean]]=Transaction[[#This Row],[NetRevenue_Clean]],"Valid","Invalid")</f>
        <v>Valid</v>
      </c>
      <c r="AI756" t="s">
        <v>23</v>
      </c>
      <c r="AJ756" t="s">
        <v>2175</v>
      </c>
      <c r="AK756" t="str">
        <f>IF(Transaction[[#This Row],[Salesperson]]="","Missing Value",TRIM(PROPER(Transaction[[#This Row],[Salesperson]])))</f>
        <v>Phillips-Na</v>
      </c>
      <c r="AL756" t="s">
        <v>25</v>
      </c>
      <c r="AM756" t="str">
        <f>IF(Transaction[[#This Row],[ContractType]]="","Missing Value",Transaction[[#This Row],[ContractType]])</f>
        <v>Frame Agreement</v>
      </c>
      <c r="AN756" t="s">
        <v>43</v>
      </c>
    </row>
    <row r="757" spans="1:40" x14ac:dyDescent="0.25">
      <c r="A757" t="s">
        <v>558</v>
      </c>
      <c r="B757" s="1">
        <v>45776</v>
      </c>
      <c r="C75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75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29</v>
      </c>
      <c r="E75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57" s="2">
        <f>IFERROR(DATE(Transaction[[#This Row],[TransactionDateY]],Transaction[[#This Row],[TransactionDateM]],Transaction[[#This Row],[TransactionDateD]]),"Missing Value")</f>
        <v>45776</v>
      </c>
      <c r="G757" t="s">
        <v>357</v>
      </c>
      <c r="H757" t="str">
        <f>IFERROR(VLOOKUP(Transaction[[#This Row],[CustomerID]],Custumer[],1,0),IF(LEN(Transaction[[#This Row],[CustomerID]])=7,LEFT(Transaction[[#This Row],[CustomerID]],6),"Invalid ID"))</f>
        <v>C-1078</v>
      </c>
      <c r="I757" t="s">
        <v>121</v>
      </c>
      <c r="J757" t="str">
        <f>TRIM(UPPER(Transaction[[#This Row],[ProductID]]))</f>
        <v>P-FS-001</v>
      </c>
      <c r="K757" t="str">
        <f>IFERROR(VLOOKUP(Transaction[[#This Row],[ProductID_Clean]],Product[],1,FALSE),"Invalid ID")</f>
        <v>P-FS-001</v>
      </c>
      <c r="L757" t="str">
        <f>TRIM(SUBSTITUTE(SUBSTITUTE(SUBSTITUTE(SUBSTITUTE(UPPER(Transaction[[#This Row],[Region]]),"EMEA REGION","EMEA"),"APAC REGION","APAC"),"NORTH AMERICA","N. AMERICA"),"N .AMERICA","N.AMERICA"))</f>
        <v>N. AMERICA</v>
      </c>
      <c r="M757" t="s">
        <v>20</v>
      </c>
      <c r="N757" t="s">
        <v>21</v>
      </c>
      <c r="O757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757" t="s">
        <v>40</v>
      </c>
      <c r="Q757" t="str">
        <f>IF(TRIM(Transaction[[#This Row],[SalesChannel]])="","Missing Value",TRIM(Transaction[[#This Row],[SalesChannel]]))</f>
        <v>Distributor</v>
      </c>
      <c r="R757" s="4">
        <v>1</v>
      </c>
      <c r="S757" s="4" t="str">
        <f>IF(Transaction[[#This Row],[Quantity]]&lt;0,"Negative-review","Valid")</f>
        <v>Valid</v>
      </c>
      <c r="T757">
        <v>1451.95</v>
      </c>
      <c r="U75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1451.95</v>
      </c>
      <c r="V757">
        <v>1850</v>
      </c>
      <c r="W757">
        <v>1850</v>
      </c>
      <c r="X75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757">
        <f>IF(Transaction[[#This Row],[GrossRevenue_Check]]="Invalid",Transaction[[#This Row],[ListPrice]]*Transaction[[#This Row],[Quantity]],Transaction[[#This Row],[GrossRevenue_Clean]])</f>
        <v>1850</v>
      </c>
      <c r="Z757" t="str">
        <f>IF(Transaction[[#This Row],[GrossRevenue_Clean]]=Transaction[[#This Row],[ListPrice]]*Transaction[[#This Row],[Quantity]],"Valid","Invalid")</f>
        <v>Valid</v>
      </c>
      <c r="AA757">
        <v>398.05</v>
      </c>
      <c r="AB75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398.05</v>
      </c>
      <c r="AC757">
        <f>IF(Transaction[[#This Row],[DiscountAmount_Check2]]="Invalid",Transaction[[#This Row],[GrossRevenue_Analytical]]-Transaction[[#This Row],[NetRevenue_Analytical]],Transaction[[#This Row],[DiscountAmount_Clean]])</f>
        <v>398.05</v>
      </c>
      <c r="AD757">
        <v>1451.95</v>
      </c>
      <c r="AE757" t="str">
        <f>IF(ROUND(Transaction[[#This Row],[GrossRevenue_Analytical]]-Transaction[[#This Row],[NetRevenue_Analytical]],2)=ROUND(Transaction[[#This Row],[DiscountAmount_Clean]],2),"Valid","Invalid")</f>
        <v>Valid</v>
      </c>
      <c r="AF75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1451.95</v>
      </c>
      <c r="AG757">
        <f>IF(Transaction[[#This Row],[NetRevenue_Check]]="Invalid",(Transaction[[#This Row],[Quantity]]*Transaction[[#This Row],[UnitPrice_Clean]]),Transaction[[#This Row],[NetRevenue_Clean]])</f>
        <v>1451.95</v>
      </c>
      <c r="AH757" t="str">
        <f>IF(Transaction[[#This Row],[Quantity]]*Transaction[[#This Row],[UnitPrice_Clean]]=Transaction[[#This Row],[NetRevenue_Clean]],"Valid","Invalid")</f>
        <v>Valid</v>
      </c>
      <c r="AI757" t="s">
        <v>99</v>
      </c>
      <c r="AJ757" t="s">
        <v>559</v>
      </c>
      <c r="AK757" t="str">
        <f>IF(Transaction[[#This Row],[Salesperson]]="","Missing Value",TRIM(PROPER(Transaction[[#This Row],[Salesperson]])))</f>
        <v>Craig-Em</v>
      </c>
      <c r="AL757" t="s">
        <v>42</v>
      </c>
      <c r="AM757" t="str">
        <f>IF(Transaction[[#This Row],[ContractType]]="","Missing Value",Transaction[[#This Row],[ContractType]])</f>
        <v>Standard PO</v>
      </c>
      <c r="AN757" t="s">
        <v>26</v>
      </c>
    </row>
    <row r="758" spans="1:40" x14ac:dyDescent="0.25">
      <c r="A758" t="s">
        <v>1570</v>
      </c>
      <c r="B758" s="1">
        <v>45694</v>
      </c>
      <c r="C75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75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75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58" s="2">
        <f>IFERROR(DATE(Transaction[[#This Row],[TransactionDateY]],Transaction[[#This Row],[TransactionDateM]],Transaction[[#This Row],[TransactionDateD]]),"Missing Value")</f>
        <v>45694</v>
      </c>
      <c r="G758" t="s">
        <v>1343</v>
      </c>
      <c r="H758" t="str">
        <f>IFERROR(VLOOKUP(Transaction[[#This Row],[CustomerID]],Custumer[],1,0),IF(LEN(Transaction[[#This Row],[CustomerID]])=7,LEFT(Transaction[[#This Row],[CustomerID]],6),"Invalid ID"))</f>
        <v>C-1135</v>
      </c>
      <c r="I758" t="s">
        <v>117</v>
      </c>
      <c r="J758" t="str">
        <f>TRIM(UPPER(Transaction[[#This Row],[ProductID]]))</f>
        <v>P-SI-007</v>
      </c>
      <c r="K758" t="str">
        <f>IFERROR(VLOOKUP(Transaction[[#This Row],[ProductID_Clean]],Product[],1,FALSE),"Invalid ID")</f>
        <v>P-SI-007</v>
      </c>
      <c r="L758" t="str">
        <f>TRIM(SUBSTITUTE(SUBSTITUTE(SUBSTITUTE(SUBSTITUTE(UPPER(Transaction[[#This Row],[Region]]),"EMEA REGION","EMEA"),"APAC REGION","APAC"),"NORTH AMERICA","N. AMERICA"),"N .AMERICA","N.AMERICA"))</f>
        <v>LATIN AMERICA</v>
      </c>
      <c r="M758" t="s">
        <v>82</v>
      </c>
      <c r="N758" t="s">
        <v>47</v>
      </c>
      <c r="O75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58" t="s">
        <v>181</v>
      </c>
      <c r="Q758" t="str">
        <f>IF(TRIM(Transaction[[#This Row],[SalesChannel]])="","Missing Value",TRIM(Transaction[[#This Row],[SalesChannel]]))</f>
        <v>Partner Portal</v>
      </c>
      <c r="R758" s="4">
        <v>4</v>
      </c>
      <c r="S758" s="4" t="str">
        <f>IF(Transaction[[#This Row],[Quantity]]&lt;0,"Negative-review","Valid")</f>
        <v>Valid</v>
      </c>
      <c r="T758">
        <v>777.03</v>
      </c>
      <c r="U75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777.03</v>
      </c>
      <c r="V758">
        <v>980</v>
      </c>
      <c r="W758">
        <v>3920</v>
      </c>
      <c r="X75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3920</v>
      </c>
      <c r="Y758">
        <f>IF(Transaction[[#This Row],[GrossRevenue_Check]]="Invalid",Transaction[[#This Row],[ListPrice]]*Transaction[[#This Row],[Quantity]],Transaction[[#This Row],[GrossRevenue_Clean]])</f>
        <v>3920</v>
      </c>
      <c r="Z758" t="str">
        <f>IF(Transaction[[#This Row],[GrossRevenue_Clean]]=Transaction[[#This Row],[ListPrice]]*Transaction[[#This Row],[Quantity]],"Valid","Invalid")</f>
        <v>Valid</v>
      </c>
      <c r="AA758">
        <v>811.88</v>
      </c>
      <c r="AB75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811.88</v>
      </c>
      <c r="AC758">
        <f>IF(Transaction[[#This Row],[DiscountAmount_Check2]]="Invalid",Transaction[[#This Row],[GrossRevenue_Analytical]]-Transaction[[#This Row],[NetRevenue_Analytical]],Transaction[[#This Row],[DiscountAmount_Clean]])</f>
        <v>811.88</v>
      </c>
      <c r="AD758">
        <v>3108.12</v>
      </c>
      <c r="AE758" t="str">
        <f>IF(ROUND(Transaction[[#This Row],[GrossRevenue_Analytical]]-Transaction[[#This Row],[NetRevenue_Analytical]],2)=ROUND(Transaction[[#This Row],[DiscountAmount_Clean]],2),"Valid","Invalid")</f>
        <v>Valid</v>
      </c>
      <c r="AF758">
        <f>VALUE(IF(ISNUMBER(Transaction[[#This Row],[NetRevenue]]),Transaction[[#This Row],[NetRevenue]],IFERROR(IF(FIND("$",Transaction[[#This Row],[NetRevenue]])&gt;0,MID(Transaction[[#This Row],[NetRevenue]],2,10)),Transaction[[#This Row],[NetRevenue]])))</f>
        <v>3108.12</v>
      </c>
      <c r="AG758">
        <f>IF(Transaction[[#This Row],[NetRevenue_Check]]="Invalid",(Transaction[[#This Row],[Quantity]]*Transaction[[#This Row],[UnitPrice_Clean]]),Transaction[[#This Row],[NetRevenue_Clean]])</f>
        <v>3108.12</v>
      </c>
      <c r="AH758" t="str">
        <f>IF(Transaction[[#This Row],[Quantity]]*Transaction[[#This Row],[UnitPrice_Clean]]=Transaction[[#This Row],[NetRevenue_Clean]],"Valid","Invalid")</f>
        <v>Valid</v>
      </c>
      <c r="AI758" t="s">
        <v>23</v>
      </c>
      <c r="AJ758" t="s">
        <v>1541</v>
      </c>
      <c r="AK758" t="str">
        <f>IF(Transaction[[#This Row],[Salesperson]]="","Missing Value",TRIM(PROPER(Transaction[[#This Row],[Salesperson]])))</f>
        <v>Lee</v>
      </c>
      <c r="AL758" t="s">
        <v>25</v>
      </c>
      <c r="AM758" t="str">
        <f>IF(Transaction[[#This Row],[ContractType]]="","Missing Value",Transaction[[#This Row],[ContractType]])</f>
        <v>Frame Agreement</v>
      </c>
      <c r="AN758" t="s">
        <v>49</v>
      </c>
    </row>
    <row r="759" spans="1:40" x14ac:dyDescent="0.25">
      <c r="A759" t="s">
        <v>1953</v>
      </c>
      <c r="B759" s="1">
        <v>45739</v>
      </c>
      <c r="C75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75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75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59" s="2">
        <f>IFERROR(DATE(Transaction[[#This Row],[TransactionDateY]],Transaction[[#This Row],[TransactionDateM]],Transaction[[#This Row],[TransactionDateD]]),"Missing Value")</f>
        <v>45739</v>
      </c>
      <c r="G759" t="s">
        <v>565</v>
      </c>
      <c r="H759" t="str">
        <f>IFERROR(VLOOKUP(Transaction[[#This Row],[CustomerID]],Custumer[],1,0),IF(LEN(Transaction[[#This Row],[CustomerID]])=7,LEFT(Transaction[[#This Row],[CustomerID]],6),"Invalid ID"))</f>
        <v>C-1007</v>
      </c>
      <c r="I759" t="s">
        <v>46</v>
      </c>
      <c r="J759" t="str">
        <f>TRIM(UPPER(Transaction[[#This Row],[ProductID]]))</f>
        <v>P-SI-006</v>
      </c>
      <c r="K759" t="str">
        <f>IFERROR(VLOOKUP(Transaction[[#This Row],[ProductID_Clean]],Product[],1,FALSE),"Invalid ID")</f>
        <v>P-SI-006</v>
      </c>
      <c r="L759" t="str">
        <f>TRIM(SUBSTITUTE(SUBSTITUTE(SUBSTITUTE(SUBSTITUTE(UPPER(Transaction[[#This Row],[Region]]),"EMEA REGION","EMEA"),"APAC REGION","APAC"),"NORTH AMERICA","N. AMERICA"),"N .AMERICA","N.AMERICA"))</f>
        <v>N. AMERICA</v>
      </c>
      <c r="M759" t="s">
        <v>204</v>
      </c>
      <c r="N759" t="s">
        <v>98</v>
      </c>
      <c r="O75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59" t="s">
        <v>22</v>
      </c>
      <c r="Q759" t="str">
        <f>IF(TRIM(Transaction[[#This Row],[SalesChannel]])="","Missing Value",TRIM(Transaction[[#This Row],[SalesChannel]]))</f>
        <v>Direct</v>
      </c>
      <c r="R759" s="4">
        <v>2</v>
      </c>
      <c r="S759" s="4" t="str">
        <f>IF(Transaction[[#This Row],[Quantity]]&lt;0,"Negative-review","Valid")</f>
        <v>Valid</v>
      </c>
      <c r="T759" t="s">
        <v>1954</v>
      </c>
      <c r="U75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177.01</v>
      </c>
      <c r="V759">
        <v>215</v>
      </c>
      <c r="W759">
        <v>430</v>
      </c>
      <c r="X75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759">
        <f>IF(Transaction[[#This Row],[GrossRevenue_Check]]="Invalid",Transaction[[#This Row],[ListPrice]]*Transaction[[#This Row],[Quantity]],Transaction[[#This Row],[GrossRevenue_Clean]])</f>
        <v>430</v>
      </c>
      <c r="Z759" t="str">
        <f>IF(Transaction[[#This Row],[GrossRevenue_Clean]]=Transaction[[#This Row],[ListPrice]]*Transaction[[#This Row],[Quantity]],"Valid","Invalid")</f>
        <v>Valid</v>
      </c>
      <c r="AA759">
        <v>75.98</v>
      </c>
      <c r="AB75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75.98</v>
      </c>
      <c r="AC759">
        <f>IF(Transaction[[#This Row],[DiscountAmount_Check2]]="Invalid",Transaction[[#This Row],[GrossRevenue_Analytical]]-Transaction[[#This Row],[NetRevenue_Analytical]],Transaction[[#This Row],[DiscountAmount_Clean]])</f>
        <v>75.98</v>
      </c>
      <c r="AD759" t="s">
        <v>1955</v>
      </c>
      <c r="AE759" t="str">
        <f>IF(ROUND(Transaction[[#This Row],[GrossRevenue_Analytical]]-Transaction[[#This Row],[NetRevenue_Analytical]],2)=ROUND(Transaction[[#This Row],[DiscountAmount_Clean]],2),"Valid","Invalid")</f>
        <v>Valid</v>
      </c>
      <c r="AF759">
        <f>VALUE(IF(ISNUMBER(Transaction[[#This Row],[NetRevenue]]),Transaction[[#This Row],[NetRevenue]],IFERROR(IF(FIND("$",Transaction[[#This Row],[NetRevenue]])&gt;0,MID(Transaction[[#This Row],[NetRevenue]],2,10)),Transaction[[#This Row],[NetRevenue]])))</f>
        <v>354.02</v>
      </c>
      <c r="AG759">
        <f>IF(Transaction[[#This Row],[NetRevenue_Check]]="Invalid",(Transaction[[#This Row],[Quantity]]*Transaction[[#This Row],[UnitPrice_Clean]]),Transaction[[#This Row],[NetRevenue_Clean]])</f>
        <v>354.02</v>
      </c>
      <c r="AH759" t="str">
        <f>IF(Transaction[[#This Row],[Quantity]]*Transaction[[#This Row],[UnitPrice_Clean]]=Transaction[[#This Row],[NetRevenue_Clean]],"Valid","Invalid")</f>
        <v>Valid</v>
      </c>
      <c r="AI759" t="s">
        <v>23</v>
      </c>
      <c r="AJ759" t="s">
        <v>1956</v>
      </c>
      <c r="AK759" t="str">
        <f>IF(Transaction[[#This Row],[Salesperson]]="","Missing Value",TRIM(PROPER(Transaction[[#This Row],[Salesperson]])))</f>
        <v>Carr-Ap</v>
      </c>
      <c r="AL759" t="s">
        <v>42</v>
      </c>
      <c r="AM759" t="str">
        <f>IF(Transaction[[#This Row],[ContractType]]="","Missing Value",Transaction[[#This Row],[ContractType]])</f>
        <v>Standard PO</v>
      </c>
      <c r="AN759" t="s">
        <v>35</v>
      </c>
    </row>
    <row r="760" spans="1:40" x14ac:dyDescent="0.25">
      <c r="A760" t="s">
        <v>2263</v>
      </c>
      <c r="B760" s="1">
        <v>45746</v>
      </c>
      <c r="C76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76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76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60" s="2">
        <f>IFERROR(DATE(Transaction[[#This Row],[TransactionDateY]],Transaction[[#This Row],[TransactionDateM]],Transaction[[#This Row],[TransactionDateD]]),"Missing Value")</f>
        <v>45746</v>
      </c>
      <c r="G760" t="s">
        <v>176</v>
      </c>
      <c r="H760" t="str">
        <f>IFERROR(VLOOKUP(Transaction[[#This Row],[CustomerID]],Custumer[],1,0),IF(LEN(Transaction[[#This Row],[CustomerID]])=7,LEFT(Transaction[[#This Row],[CustomerID]],6),"Invalid ID"))</f>
        <v>C-1062</v>
      </c>
      <c r="I760" t="s">
        <v>92</v>
      </c>
      <c r="J760" t="str">
        <f>TRIM(UPPER(Transaction[[#This Row],[ProductID]]))</f>
        <v>P-SI-008</v>
      </c>
      <c r="K760" t="str">
        <f>IFERROR(VLOOKUP(Transaction[[#This Row],[ProductID_Clean]],Product[],1,FALSE),"Invalid ID")</f>
        <v>P-SI-008</v>
      </c>
      <c r="L760" t="str">
        <f>TRIM(SUBSTITUTE(SUBSTITUTE(SUBSTITUTE(SUBSTITUTE(UPPER(Transaction[[#This Row],[Region]]),"EMEA REGION","EMEA"),"APAC REGION","APAC"),"NORTH AMERICA","N. AMERICA"),"N .AMERICA","N.AMERICA"))</f>
        <v>EMEA</v>
      </c>
      <c r="M760" t="s">
        <v>76</v>
      </c>
      <c r="N760" t="s">
        <v>53</v>
      </c>
      <c r="O76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60" t="s">
        <v>22</v>
      </c>
      <c r="Q760" t="str">
        <f>IF(TRIM(Transaction[[#This Row],[SalesChannel]])="","Missing Value",TRIM(Transaction[[#This Row],[SalesChannel]]))</f>
        <v>Direct</v>
      </c>
      <c r="R760" s="4">
        <v>1</v>
      </c>
      <c r="S760" s="4" t="str">
        <f>IF(Transaction[[#This Row],[Quantity]]&lt;0,"Negative-review","Valid")</f>
        <v>Valid</v>
      </c>
      <c r="T760">
        <v>899.59</v>
      </c>
      <c r="U76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899.59</v>
      </c>
      <c r="V760">
        <v>950</v>
      </c>
      <c r="W760" t="s">
        <v>2190</v>
      </c>
      <c r="X76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760">
        <f>IF(Transaction[[#This Row],[GrossRevenue_Check]]="Invalid",Transaction[[#This Row],[ListPrice]]*Transaction[[#This Row],[Quantity]],Transaction[[#This Row],[GrossRevenue_Clean]])</f>
        <v>950</v>
      </c>
      <c r="Z760" t="str">
        <f>IF(Transaction[[#This Row],[GrossRevenue_Clean]]=Transaction[[#This Row],[ListPrice]]*Transaction[[#This Row],[Quantity]],"Valid","Invalid")</f>
        <v>Valid</v>
      </c>
      <c r="AA760">
        <v>50.41</v>
      </c>
      <c r="AB76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50.41</v>
      </c>
      <c r="AC760">
        <f>IF(Transaction[[#This Row],[DiscountAmount_Check2]]="Invalid",Transaction[[#This Row],[GrossRevenue_Analytical]]-Transaction[[#This Row],[NetRevenue_Analytical]],Transaction[[#This Row],[DiscountAmount_Clean]])</f>
        <v>50.41</v>
      </c>
      <c r="AD760" t="s">
        <v>2264</v>
      </c>
      <c r="AE760" t="str">
        <f>IF(ROUND(Transaction[[#This Row],[GrossRevenue_Analytical]]-Transaction[[#This Row],[NetRevenue_Analytical]],2)=ROUND(Transaction[[#This Row],[DiscountAmount_Clean]],2),"Valid","Invalid")</f>
        <v>Valid</v>
      </c>
      <c r="AF760">
        <f>VALUE(IF(ISNUMBER(Transaction[[#This Row],[NetRevenue]]),Transaction[[#This Row],[NetRevenue]],IFERROR(IF(FIND("$",Transaction[[#This Row],[NetRevenue]])&gt;0,MID(Transaction[[#This Row],[NetRevenue]],2,10)),Transaction[[#This Row],[NetRevenue]])))</f>
        <v>899.59</v>
      </c>
      <c r="AG760">
        <f>IF(Transaction[[#This Row],[NetRevenue_Check]]="Invalid",(Transaction[[#This Row],[Quantity]]*Transaction[[#This Row],[UnitPrice_Clean]]),Transaction[[#This Row],[NetRevenue_Clean]])</f>
        <v>899.59</v>
      </c>
      <c r="AH760" t="str">
        <f>IF(Transaction[[#This Row],[Quantity]]*Transaction[[#This Row],[UnitPrice_Clean]]=Transaction[[#This Row],[NetRevenue_Clean]],"Valid","Invalid")</f>
        <v>Valid</v>
      </c>
      <c r="AI760" t="s">
        <v>23</v>
      </c>
      <c r="AJ760" t="s">
        <v>2265</v>
      </c>
      <c r="AK760" t="str">
        <f>IF(Transaction[[#This Row],[Salesperson]]="","Missing Value",TRIM(PROPER(Transaction[[#This Row],[Salesperson]])))</f>
        <v>Fowler</v>
      </c>
      <c r="AL760" t="s">
        <v>25</v>
      </c>
      <c r="AM760" t="str">
        <f>IF(Transaction[[#This Row],[ContractType]]="","Missing Value",Transaction[[#This Row],[ContractType]])</f>
        <v>Frame Agreement</v>
      </c>
      <c r="AN760" t="s">
        <v>65</v>
      </c>
    </row>
    <row r="761" spans="1:40" x14ac:dyDescent="0.25">
      <c r="A761" t="s">
        <v>2537</v>
      </c>
      <c r="B761" s="1">
        <v>45752</v>
      </c>
      <c r="C76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76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76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61" s="2">
        <f>IFERROR(DATE(Transaction[[#This Row],[TransactionDateY]],Transaction[[#This Row],[TransactionDateM]],Transaction[[#This Row],[TransactionDateD]]),"Missing Value")</f>
        <v>45752</v>
      </c>
      <c r="G761" t="s">
        <v>276</v>
      </c>
      <c r="H761" t="str">
        <f>IFERROR(VLOOKUP(Transaction[[#This Row],[CustomerID]],Custumer[],1,0),IF(LEN(Transaction[[#This Row],[CustomerID]])=7,LEFT(Transaction[[#This Row],[CustomerID]],6),"Invalid ID"))</f>
        <v>C-1129</v>
      </c>
      <c r="I761" t="s">
        <v>29</v>
      </c>
      <c r="J761" t="str">
        <f>TRIM(UPPER(Transaction[[#This Row],[ProductID]]))</f>
        <v>P-SA-001</v>
      </c>
      <c r="K761" t="str">
        <f>IFERROR(VLOOKUP(Transaction[[#This Row],[ProductID_Clean]],Product[],1,FALSE),"Invalid ID")</f>
        <v>P-SA-001</v>
      </c>
      <c r="L761" t="str">
        <f>TRIM(SUBSTITUTE(SUBSTITUTE(SUBSTITUTE(SUBSTITUTE(UPPER(Transaction[[#This Row],[Region]]),"EMEA REGION","EMEA"),"APAC REGION","APAC"),"NORTH AMERICA","N. AMERICA"),"N .AMERICA","N.AMERICA"))</f>
        <v>N. AMERICA</v>
      </c>
      <c r="M761" t="s">
        <v>20</v>
      </c>
      <c r="N761" t="s">
        <v>31</v>
      </c>
      <c r="O76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761" t="s">
        <v>32</v>
      </c>
      <c r="Q761" t="str">
        <f>IF(TRIM(Transaction[[#This Row],[SalesChannel]])="","Missing Value",TRIM(Transaction[[#This Row],[SalesChannel]]))</f>
        <v>Direct</v>
      </c>
      <c r="R761" s="4">
        <v>1</v>
      </c>
      <c r="S761" s="4" t="str">
        <f>IF(Transaction[[#This Row],[Quantity]]&lt;0,"Negative-review","Valid")</f>
        <v>Valid</v>
      </c>
      <c r="T761">
        <v>3738.32</v>
      </c>
      <c r="U76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3738.32</v>
      </c>
      <c r="V761">
        <v>4200</v>
      </c>
      <c r="W761">
        <v>4200</v>
      </c>
      <c r="X76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761">
        <f>IF(Transaction[[#This Row],[GrossRevenue_Check]]="Invalid",Transaction[[#This Row],[ListPrice]]*Transaction[[#This Row],[Quantity]],Transaction[[#This Row],[GrossRevenue_Clean]])</f>
        <v>4200</v>
      </c>
      <c r="Z761" t="str">
        <f>IF(Transaction[[#This Row],[GrossRevenue_Clean]]=Transaction[[#This Row],[ListPrice]]*Transaction[[#This Row],[Quantity]],"Valid","Invalid")</f>
        <v>Valid</v>
      </c>
      <c r="AA761">
        <v>461.68</v>
      </c>
      <c r="AB76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461.68</v>
      </c>
      <c r="AC761">
        <f>IF(Transaction[[#This Row],[DiscountAmount_Check2]]="Invalid",Transaction[[#This Row],[GrossRevenue_Analytical]]-Transaction[[#This Row],[NetRevenue_Analytical]],Transaction[[#This Row],[DiscountAmount_Clean]])</f>
        <v>461.68</v>
      </c>
      <c r="AD761">
        <v>3738.32</v>
      </c>
      <c r="AE761" t="str">
        <f>IF(ROUND(Transaction[[#This Row],[GrossRevenue_Analytical]]-Transaction[[#This Row],[NetRevenue_Analytical]],2)=ROUND(Transaction[[#This Row],[DiscountAmount_Clean]],2),"Valid","Invalid")</f>
        <v>Valid</v>
      </c>
      <c r="AF761">
        <f>VALUE(IF(ISNUMBER(Transaction[[#This Row],[NetRevenue]]),Transaction[[#This Row],[NetRevenue]],IFERROR(IF(FIND("$",Transaction[[#This Row],[NetRevenue]])&gt;0,MID(Transaction[[#This Row],[NetRevenue]],2,10)),Transaction[[#This Row],[NetRevenue]])))</f>
        <v>3738.32</v>
      </c>
      <c r="AG761">
        <f>IF(Transaction[[#This Row],[NetRevenue_Check]]="Invalid",(Transaction[[#This Row],[Quantity]]*Transaction[[#This Row],[UnitPrice_Clean]]),Transaction[[#This Row],[NetRevenue_Clean]])</f>
        <v>3738.32</v>
      </c>
      <c r="AH761" t="str">
        <f>IF(Transaction[[#This Row],[Quantity]]*Transaction[[#This Row],[UnitPrice_Clean]]=Transaction[[#This Row],[NetRevenue_Clean]],"Valid","Invalid")</f>
        <v>Valid</v>
      </c>
      <c r="AI761" t="s">
        <v>23</v>
      </c>
      <c r="AJ761" t="s">
        <v>1690</v>
      </c>
      <c r="AK761" t="str">
        <f>IF(Transaction[[#This Row],[Salesperson]]="","Missing Value",TRIM(PROPER(Transaction[[#This Row],[Salesperson]])))</f>
        <v>Sullivan-Em</v>
      </c>
      <c r="AL761" t="s">
        <v>113</v>
      </c>
      <c r="AM761" t="str">
        <f>IF(Transaction[[#This Row],[ContractType]]="","Missing Value",Transaction[[#This Row],[ContractType]])</f>
        <v>Subscription</v>
      </c>
      <c r="AN761" t="s">
        <v>49</v>
      </c>
    </row>
    <row r="762" spans="1:40" x14ac:dyDescent="0.25">
      <c r="A762" t="s">
        <v>2250</v>
      </c>
      <c r="B762" s="1">
        <v>45764</v>
      </c>
      <c r="C76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76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76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62" s="2">
        <f>IFERROR(DATE(Transaction[[#This Row],[TransactionDateY]],Transaction[[#This Row],[TransactionDateM]],Transaction[[#This Row],[TransactionDateD]]),"Missing Value")</f>
        <v>45764</v>
      </c>
      <c r="G762" t="s">
        <v>1395</v>
      </c>
      <c r="H762" t="str">
        <f>IFERROR(VLOOKUP(Transaction[[#This Row],[CustomerID]],Custumer[],1,0),IF(LEN(Transaction[[#This Row],[CustomerID]])=7,LEFT(Transaction[[#This Row],[CustomerID]],6),"Invalid ID"))</f>
        <v>C-1023</v>
      </c>
      <c r="I762" t="s">
        <v>117</v>
      </c>
      <c r="J762" t="str">
        <f>TRIM(UPPER(Transaction[[#This Row],[ProductID]]))</f>
        <v>P-SI-007</v>
      </c>
      <c r="K762" t="str">
        <f>IFERROR(VLOOKUP(Transaction[[#This Row],[ProductID_Clean]],Product[],1,FALSE),"Invalid ID")</f>
        <v>P-SI-007</v>
      </c>
      <c r="L762" t="str">
        <f>TRIM(SUBSTITUTE(SUBSTITUTE(SUBSTITUTE(SUBSTITUTE(UPPER(Transaction[[#This Row],[Region]]),"EMEA REGION","EMEA"),"APAC REGION","APAC"),"NORTH AMERICA","N. AMERICA"),"N .AMERICA","N.AMERICA"))</f>
        <v>N. AMERICA</v>
      </c>
      <c r="M762" t="s">
        <v>20</v>
      </c>
      <c r="N762" t="s">
        <v>53</v>
      </c>
      <c r="O76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62" t="s">
        <v>40</v>
      </c>
      <c r="Q762" t="str">
        <f>IF(TRIM(Transaction[[#This Row],[SalesChannel]])="","Missing Value",TRIM(Transaction[[#This Row],[SalesChannel]]))</f>
        <v>Distributor</v>
      </c>
      <c r="R762" s="4">
        <v>1</v>
      </c>
      <c r="S762" s="4" t="str">
        <f>IF(Transaction[[#This Row],[Quantity]]&lt;0,"Negative-review","Valid")</f>
        <v>Valid</v>
      </c>
      <c r="T762">
        <v>875.24</v>
      </c>
      <c r="U76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875.24</v>
      </c>
      <c r="V762">
        <v>980</v>
      </c>
      <c r="W762">
        <v>980</v>
      </c>
      <c r="X76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762">
        <f>IF(Transaction[[#This Row],[GrossRevenue_Check]]="Invalid",Transaction[[#This Row],[ListPrice]]*Transaction[[#This Row],[Quantity]],Transaction[[#This Row],[GrossRevenue_Clean]])</f>
        <v>980</v>
      </c>
      <c r="Z762" t="str">
        <f>IF(Transaction[[#This Row],[GrossRevenue_Clean]]=Transaction[[#This Row],[ListPrice]]*Transaction[[#This Row],[Quantity]],"Valid","Invalid")</f>
        <v>Valid</v>
      </c>
      <c r="AB76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762">
        <f>IF(Transaction[[#This Row],[DiscountAmount_Check2]]="Invalid",Transaction[[#This Row],[GrossRevenue_Analytical]]-Transaction[[#This Row],[NetRevenue_Analytical]],Transaction[[#This Row],[DiscountAmount_Clean]])</f>
        <v>104.75999999999999</v>
      </c>
      <c r="AD762">
        <v>875.24</v>
      </c>
      <c r="AE762" t="str">
        <f>IF(ROUND(Transaction[[#This Row],[GrossRevenue_Analytical]]-Transaction[[#This Row],[NetRevenue_Analytical]],2)=ROUND(Transaction[[#This Row],[DiscountAmount_Clean]],2),"Valid","Invalid")</f>
        <v>Invalid</v>
      </c>
      <c r="AF762">
        <f>VALUE(IF(ISNUMBER(Transaction[[#This Row],[NetRevenue]]),Transaction[[#This Row],[NetRevenue]],IFERROR(IF(FIND("$",Transaction[[#This Row],[NetRevenue]])&gt;0,MID(Transaction[[#This Row],[NetRevenue]],2,10)),Transaction[[#This Row],[NetRevenue]])))</f>
        <v>875.24</v>
      </c>
      <c r="AG762">
        <f>IF(Transaction[[#This Row],[NetRevenue_Check]]="Invalid",(Transaction[[#This Row],[Quantity]]*Transaction[[#This Row],[UnitPrice_Clean]]),Transaction[[#This Row],[NetRevenue_Clean]])</f>
        <v>875.24</v>
      </c>
      <c r="AH762" t="str">
        <f>IF(Transaction[[#This Row],[Quantity]]*Transaction[[#This Row],[UnitPrice_Clean]]=Transaction[[#This Row],[NetRevenue_Clean]],"Valid","Invalid")</f>
        <v>Valid</v>
      </c>
      <c r="AI762" t="s">
        <v>23</v>
      </c>
      <c r="AJ762" t="s">
        <v>2251</v>
      </c>
      <c r="AK762" t="str">
        <f>IF(Transaction[[#This Row],[Salesperson]]="","Missing Value",TRIM(PROPER(Transaction[[#This Row],[Salesperson]])))</f>
        <v>Gonzales</v>
      </c>
      <c r="AL762" t="s">
        <v>55</v>
      </c>
      <c r="AM762" t="str">
        <f>IF(Transaction[[#This Row],[ContractType]]="","Missing Value",Transaction[[#This Row],[ContractType]])</f>
        <v>Spot</v>
      </c>
      <c r="AN762" t="s">
        <v>49</v>
      </c>
    </row>
    <row r="763" spans="1:40" x14ac:dyDescent="0.25">
      <c r="A763" t="s">
        <v>2128</v>
      </c>
      <c r="B763" s="1">
        <v>45739</v>
      </c>
      <c r="C76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76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76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63" s="2">
        <f>IFERROR(DATE(Transaction[[#This Row],[TransactionDateY]],Transaction[[#This Row],[TransactionDateM]],Transaction[[#This Row],[TransactionDateD]]),"Missing Value")</f>
        <v>45739</v>
      </c>
      <c r="G763" t="s">
        <v>146</v>
      </c>
      <c r="H763" t="str">
        <f>IFERROR(VLOOKUP(Transaction[[#This Row],[CustomerID]],Custumer[],1,0),IF(LEN(Transaction[[#This Row],[CustomerID]])=7,LEFT(Transaction[[#This Row],[CustomerID]],6),"Invalid ID"))</f>
        <v>C-1095</v>
      </c>
      <c r="I763" t="s">
        <v>92</v>
      </c>
      <c r="J763" t="str">
        <f>TRIM(UPPER(Transaction[[#This Row],[ProductID]]))</f>
        <v>P-SI-008</v>
      </c>
      <c r="K763" t="str">
        <f>IFERROR(VLOOKUP(Transaction[[#This Row],[ProductID_Clean]],Product[],1,FALSE),"Invalid ID")</f>
        <v>P-SI-008</v>
      </c>
      <c r="L763" t="str">
        <f>TRIM(SUBSTITUTE(SUBSTITUTE(SUBSTITUTE(SUBSTITUTE(UPPER(Transaction[[#This Row],[Region]]),"EMEA REGION","EMEA"),"APAC REGION","APAC"),"NORTH AMERICA","N. AMERICA"),"N .AMERICA","N.AMERICA"))</f>
        <v>LATIN AMERICA</v>
      </c>
      <c r="M763" t="s">
        <v>82</v>
      </c>
      <c r="N763" t="s">
        <v>53</v>
      </c>
      <c r="O76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63" t="s">
        <v>22</v>
      </c>
      <c r="Q763" t="str">
        <f>IF(TRIM(Transaction[[#This Row],[SalesChannel]])="","Missing Value",TRIM(Transaction[[#This Row],[SalesChannel]]))</f>
        <v>Direct</v>
      </c>
      <c r="R763" s="4">
        <v>5</v>
      </c>
      <c r="S763" s="4" t="str">
        <f>IF(Transaction[[#This Row],[Quantity]]&lt;0,"Negative-review","Valid")</f>
        <v>Valid</v>
      </c>
      <c r="T763">
        <v>736.32</v>
      </c>
      <c r="U76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736.32</v>
      </c>
      <c r="V763">
        <v>950</v>
      </c>
      <c r="W763">
        <v>4750</v>
      </c>
      <c r="X76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4750</v>
      </c>
      <c r="Y763">
        <f>IF(Transaction[[#This Row],[GrossRevenue_Check]]="Invalid",Transaction[[#This Row],[ListPrice]]*Transaction[[#This Row],[Quantity]],Transaction[[#This Row],[GrossRevenue_Clean]])</f>
        <v>4750</v>
      </c>
      <c r="Z763" t="str">
        <f>IF(Transaction[[#This Row],[GrossRevenue_Clean]]=Transaction[[#This Row],[ListPrice]]*Transaction[[#This Row],[Quantity]],"Valid","Invalid")</f>
        <v>Valid</v>
      </c>
      <c r="AA763">
        <v>1068.4000000000001</v>
      </c>
      <c r="AB76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1068.4000000000001</v>
      </c>
      <c r="AC763">
        <f>IF(Transaction[[#This Row],[DiscountAmount_Check2]]="Invalid",Transaction[[#This Row],[GrossRevenue_Analytical]]-Transaction[[#This Row],[NetRevenue_Analytical]],Transaction[[#This Row],[DiscountAmount_Clean]])</f>
        <v>1068.4000000000001</v>
      </c>
      <c r="AD763">
        <v>3681.6</v>
      </c>
      <c r="AE763" t="str">
        <f>IF(ROUND(Transaction[[#This Row],[GrossRevenue_Analytical]]-Transaction[[#This Row],[NetRevenue_Analytical]],2)=ROUND(Transaction[[#This Row],[DiscountAmount_Clean]],2),"Valid","Invalid")</f>
        <v>Valid</v>
      </c>
      <c r="AF76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3681.6</v>
      </c>
      <c r="AG763">
        <f>IF(Transaction[[#This Row],[NetRevenue_Check]]="Invalid",(Transaction[[#This Row],[Quantity]]*Transaction[[#This Row],[UnitPrice_Clean]]),Transaction[[#This Row],[NetRevenue_Clean]])</f>
        <v>3681.6</v>
      </c>
      <c r="AH763" t="str">
        <f>IF(Transaction[[#This Row],[Quantity]]*Transaction[[#This Row],[UnitPrice_Clean]]=Transaction[[#This Row],[NetRevenue_Clean]],"Valid","Invalid")</f>
        <v>Valid</v>
      </c>
      <c r="AI763" t="s">
        <v>23</v>
      </c>
      <c r="AK763" t="str">
        <f>IF(Transaction[[#This Row],[Salesperson]]="","Missing Value",TRIM(PROPER(Transaction[[#This Row],[Salesperson]])))</f>
        <v>Missing Value</v>
      </c>
      <c r="AL763" t="s">
        <v>42</v>
      </c>
      <c r="AM763" t="str">
        <f>IF(Transaction[[#This Row],[ContractType]]="","Missing Value",Transaction[[#This Row],[ContractType]])</f>
        <v>Standard PO</v>
      </c>
      <c r="AN763" t="s">
        <v>49</v>
      </c>
    </row>
    <row r="764" spans="1:40" x14ac:dyDescent="0.25">
      <c r="A764" t="s">
        <v>2267</v>
      </c>
      <c r="B764" t="s">
        <v>2268</v>
      </c>
      <c r="C76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76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76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64" s="2">
        <f>IFERROR(DATE(Transaction[[#This Row],[TransactionDateY]],Transaction[[#This Row],[TransactionDateM]],Transaction[[#This Row],[TransactionDateD]]),"Missing Value")</f>
        <v>45777</v>
      </c>
      <c r="G764" t="s">
        <v>647</v>
      </c>
      <c r="H764" t="str">
        <f>IFERROR(VLOOKUP(Transaction[[#This Row],[CustomerID]],Custumer[],1,0),IF(LEN(Transaction[[#This Row],[CustomerID]])=7,LEFT(Transaction[[#This Row],[CustomerID]],6),"Invalid ID"))</f>
        <v>C-1085</v>
      </c>
      <c r="I764" t="s">
        <v>97</v>
      </c>
      <c r="J764" t="str">
        <f>TRIM(UPPER(Transaction[[#This Row],[ProductID]]))</f>
        <v>P-SI-001</v>
      </c>
      <c r="K764" t="str">
        <f>IFERROR(VLOOKUP(Transaction[[#This Row],[ProductID_Clean]],Product[],1,FALSE),"Invalid ID")</f>
        <v>P-SI-001</v>
      </c>
      <c r="L764" t="str">
        <f>TRIM(SUBSTITUTE(SUBSTITUTE(SUBSTITUTE(SUBSTITUTE(UPPER(Transaction[[#This Row],[Region]]),"EMEA REGION","EMEA"),"APAC REGION","APAC"),"NORTH AMERICA","N. AMERICA"),"N .AMERICA","N.AMERICA"))</f>
        <v>APAC</v>
      </c>
      <c r="M764" t="s">
        <v>30</v>
      </c>
      <c r="N764" t="s">
        <v>47</v>
      </c>
      <c r="O76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64" t="s">
        <v>22</v>
      </c>
      <c r="Q764" t="str">
        <f>IF(TRIM(Transaction[[#This Row],[SalesChannel]])="","Missing Value",TRIM(Transaction[[#This Row],[SalesChannel]]))</f>
        <v>Direct</v>
      </c>
      <c r="R764" s="4">
        <v>5</v>
      </c>
      <c r="S764" s="4" t="str">
        <f>IF(Transaction[[#This Row],[Quantity]]&lt;0,"Negative-review","Valid")</f>
        <v>Valid</v>
      </c>
      <c r="T764">
        <v>381.94</v>
      </c>
      <c r="U76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381.94</v>
      </c>
      <c r="V764">
        <v>485</v>
      </c>
      <c r="W764" t="s">
        <v>2269</v>
      </c>
      <c r="X76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2425</v>
      </c>
      <c r="Y764">
        <f>IF(Transaction[[#This Row],[GrossRevenue_Check]]="Invalid",Transaction[[#This Row],[ListPrice]]*Transaction[[#This Row],[Quantity]],Transaction[[#This Row],[GrossRevenue_Clean]])</f>
        <v>2425</v>
      </c>
      <c r="Z764" t="str">
        <f>IF(Transaction[[#This Row],[GrossRevenue_Clean]]=Transaction[[#This Row],[ListPrice]]*Transaction[[#This Row],[Quantity]],"Valid","Invalid")</f>
        <v>Valid</v>
      </c>
      <c r="AA764">
        <v>515.29999999999995</v>
      </c>
      <c r="AB76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515.29999999999995</v>
      </c>
      <c r="AC764">
        <f>IF(Transaction[[#This Row],[DiscountAmount_Check2]]="Invalid",Transaction[[#This Row],[GrossRevenue_Analytical]]-Transaction[[#This Row],[NetRevenue_Analytical]],Transaction[[#This Row],[DiscountAmount_Clean]])</f>
        <v>515.29999999999995</v>
      </c>
      <c r="AD764">
        <v>1909.7</v>
      </c>
      <c r="AE764" t="str">
        <f>IF(ROUND(Transaction[[#This Row],[GrossRevenue_Analytical]]-Transaction[[#This Row],[NetRevenue_Analytical]],2)=ROUND(Transaction[[#This Row],[DiscountAmount_Clean]],2),"Valid","Invalid")</f>
        <v>Valid</v>
      </c>
      <c r="AF76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1909.7</v>
      </c>
      <c r="AG764">
        <f>IF(Transaction[[#This Row],[NetRevenue_Check]]="Invalid",(Transaction[[#This Row],[Quantity]]*Transaction[[#This Row],[UnitPrice_Clean]]),Transaction[[#This Row],[NetRevenue_Clean]])</f>
        <v>1909.7</v>
      </c>
      <c r="AH764" t="str">
        <f>IF(Transaction[[#This Row],[Quantity]]*Transaction[[#This Row],[UnitPrice_Clean]]=Transaction[[#This Row],[NetRevenue_Clean]],"Valid","Invalid")</f>
        <v>Valid</v>
      </c>
      <c r="AI764" t="s">
        <v>99</v>
      </c>
      <c r="AJ764" t="s">
        <v>2270</v>
      </c>
      <c r="AK764" t="str">
        <f>IF(Transaction[[#This Row],[Salesperson]]="","Missing Value",TRIM(PROPER(Transaction[[#This Row],[Salesperson]])))</f>
        <v>Morales-Na</v>
      </c>
      <c r="AL764" t="s">
        <v>42</v>
      </c>
      <c r="AM764" t="str">
        <f>IF(Transaction[[#This Row],[ContractType]]="","Missing Value",Transaction[[#This Row],[ContractType]])</f>
        <v>Standard PO</v>
      </c>
      <c r="AN764" t="s">
        <v>26</v>
      </c>
    </row>
    <row r="765" spans="1:40" x14ac:dyDescent="0.25">
      <c r="A765" t="s">
        <v>1318</v>
      </c>
      <c r="B765" s="1">
        <v>45721</v>
      </c>
      <c r="C76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76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76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65" s="2">
        <f>IFERROR(DATE(Transaction[[#This Row],[TransactionDateY]],Transaction[[#This Row],[TransactionDateM]],Transaction[[#This Row],[TransactionDateD]]),"Missing Value")</f>
        <v>45721</v>
      </c>
      <c r="G765" t="s">
        <v>919</v>
      </c>
      <c r="H765" t="str">
        <f>IFERROR(VLOOKUP(Transaction[[#This Row],[CustomerID]],Custumer[],1,0),IF(LEN(Transaction[[#This Row],[CustomerID]])=7,LEFT(Transaction[[#This Row],[CustomerID]],6),"Invalid ID"))</f>
        <v>C-1047</v>
      </c>
      <c r="I765" t="s">
        <v>92</v>
      </c>
      <c r="J765" t="str">
        <f>TRIM(UPPER(Transaction[[#This Row],[ProductID]]))</f>
        <v>P-SI-008</v>
      </c>
      <c r="K765" t="str">
        <f>IFERROR(VLOOKUP(Transaction[[#This Row],[ProductID_Clean]],Product[],1,FALSE),"Invalid ID")</f>
        <v>P-SI-008</v>
      </c>
      <c r="L765" t="str">
        <f>TRIM(SUBSTITUTE(SUBSTITUTE(SUBSTITUTE(SUBSTITUTE(UPPER(Transaction[[#This Row],[Region]]),"EMEA REGION","EMEA"),"APAC REGION","APAC"),"NORTH AMERICA","N. AMERICA"),"N .AMERICA","N.AMERICA"))</f>
        <v>EMEA</v>
      </c>
      <c r="M765" t="s">
        <v>76</v>
      </c>
      <c r="N765" t="s">
        <v>53</v>
      </c>
      <c r="O76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65" t="s">
        <v>22</v>
      </c>
      <c r="Q765" t="str">
        <f>IF(TRIM(Transaction[[#This Row],[SalesChannel]])="","Missing Value",TRIM(Transaction[[#This Row],[SalesChannel]]))</f>
        <v>Direct</v>
      </c>
      <c r="R765" s="4">
        <v>10</v>
      </c>
      <c r="S765" s="4" t="str">
        <f>IF(Transaction[[#This Row],[Quantity]]&lt;0,"Negative-review","Valid")</f>
        <v>Valid</v>
      </c>
      <c r="T765">
        <v>854</v>
      </c>
      <c r="U76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854</v>
      </c>
      <c r="V765">
        <v>950</v>
      </c>
      <c r="W765">
        <v>9500</v>
      </c>
      <c r="X76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9500</v>
      </c>
      <c r="Y765">
        <f>IF(Transaction[[#This Row],[GrossRevenue_Check]]="Invalid",Transaction[[#This Row],[ListPrice]]*Transaction[[#This Row],[Quantity]],Transaction[[#This Row],[GrossRevenue_Clean]])</f>
        <v>9500</v>
      </c>
      <c r="Z765" t="str">
        <f>IF(Transaction[[#This Row],[GrossRevenue_Clean]]=Transaction[[#This Row],[ListPrice]]*Transaction[[#This Row],[Quantity]],"Valid","Invalid")</f>
        <v>Valid</v>
      </c>
      <c r="AA765">
        <v>960</v>
      </c>
      <c r="AB76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960</v>
      </c>
      <c r="AC765">
        <f>IF(Transaction[[#This Row],[DiscountAmount_Check2]]="Invalid",Transaction[[#This Row],[GrossRevenue_Analytical]]-Transaction[[#This Row],[NetRevenue_Analytical]],Transaction[[#This Row],[DiscountAmount_Clean]])</f>
        <v>960</v>
      </c>
      <c r="AD765">
        <v>8540</v>
      </c>
      <c r="AE765" t="str">
        <f>IF(ROUND(Transaction[[#This Row],[GrossRevenue_Analytical]]-Transaction[[#This Row],[NetRevenue_Analytical]],2)=ROUND(Transaction[[#This Row],[DiscountAmount_Clean]],2),"Valid","Invalid")</f>
        <v>Valid</v>
      </c>
      <c r="AF765">
        <f>VALUE(IF(ISNUMBER(Transaction[[#This Row],[NetRevenue]]),Transaction[[#This Row],[NetRevenue]],IFERROR(IF(FIND("$",Transaction[[#This Row],[NetRevenue]])&gt;0,MID(Transaction[[#This Row],[NetRevenue]],2,10)),Transaction[[#This Row],[NetRevenue]])))</f>
        <v>8540</v>
      </c>
      <c r="AG765">
        <f>IF(Transaction[[#This Row],[NetRevenue_Check]]="Invalid",(Transaction[[#This Row],[Quantity]]*Transaction[[#This Row],[UnitPrice_Clean]]),Transaction[[#This Row],[NetRevenue_Clean]])</f>
        <v>8540</v>
      </c>
      <c r="AH765" t="str">
        <f>IF(Transaction[[#This Row],[Quantity]]*Transaction[[#This Row],[UnitPrice_Clean]]=Transaction[[#This Row],[NetRevenue_Clean]],"Valid","Invalid")</f>
        <v>Valid</v>
      </c>
      <c r="AI765" t="s">
        <v>23</v>
      </c>
      <c r="AJ765" t="s">
        <v>781</v>
      </c>
      <c r="AK765" t="str">
        <f>IF(Transaction[[#This Row],[Salesperson]]="","Missing Value",TRIM(PROPER(Transaction[[#This Row],[Salesperson]])))</f>
        <v>Davis</v>
      </c>
      <c r="AL765" t="s">
        <v>42</v>
      </c>
      <c r="AM765" t="str">
        <f>IF(Transaction[[#This Row],[ContractType]]="","Missing Value",Transaction[[#This Row],[ContractType]])</f>
        <v>Standard PO</v>
      </c>
      <c r="AN765" t="s">
        <v>26</v>
      </c>
    </row>
    <row r="766" spans="1:40" x14ac:dyDescent="0.25">
      <c r="A766" t="s">
        <v>2947</v>
      </c>
      <c r="B766" s="1">
        <v>45682</v>
      </c>
      <c r="C76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76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76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66" s="2">
        <f>IFERROR(DATE(Transaction[[#This Row],[TransactionDateY]],Transaction[[#This Row],[TransactionDateM]],Transaction[[#This Row],[TransactionDateD]]),"Missing Value")</f>
        <v>45682</v>
      </c>
      <c r="G766" t="s">
        <v>388</v>
      </c>
      <c r="H766" t="str">
        <f>IFERROR(VLOOKUP(Transaction[[#This Row],[CustomerID]],Custumer[],1,0),IF(LEN(Transaction[[#This Row],[CustomerID]])=7,LEFT(Transaction[[#This Row],[CustomerID]],6),"Invalid ID"))</f>
        <v>C-1184</v>
      </c>
      <c r="I766" t="s">
        <v>258</v>
      </c>
      <c r="J766" t="str">
        <f>TRIM(UPPER(Transaction[[#This Row],[ProductID]]))</f>
        <v>P-SA-003</v>
      </c>
      <c r="K766" t="str">
        <f>IFERROR(VLOOKUP(Transaction[[#This Row],[ProductID_Clean]],Product[],1,FALSE),"Invalid ID")</f>
        <v>P-SA-003</v>
      </c>
      <c r="L766" t="str">
        <f>TRIM(SUBSTITUTE(SUBSTITUTE(SUBSTITUTE(SUBSTITUTE(UPPER(Transaction[[#This Row],[Region]]),"EMEA REGION","EMEA"),"APAC REGION","APAC"),"NORTH AMERICA","N. AMERICA"),"N .AMERICA","N.AMERICA"))</f>
        <v>N. AMERICA</v>
      </c>
      <c r="M766" t="s">
        <v>20</v>
      </c>
      <c r="N766" t="s">
        <v>31</v>
      </c>
      <c r="O76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766" t="s">
        <v>22</v>
      </c>
      <c r="Q766" t="str">
        <f>IF(TRIM(Transaction[[#This Row],[SalesChannel]])="","Missing Value",TRIM(Transaction[[#This Row],[SalesChannel]]))</f>
        <v>Direct</v>
      </c>
      <c r="R766" s="4">
        <v>1</v>
      </c>
      <c r="S766" s="4" t="str">
        <f>IF(Transaction[[#This Row],[Quantity]]&lt;0,"Negative-review","Valid")</f>
        <v>Valid</v>
      </c>
      <c r="T766">
        <v>2494.61</v>
      </c>
      <c r="U76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2494.61</v>
      </c>
      <c r="V766">
        <v>2750</v>
      </c>
      <c r="W766">
        <v>2750</v>
      </c>
      <c r="X76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766">
        <f>IF(Transaction[[#This Row],[GrossRevenue_Check]]="Invalid",Transaction[[#This Row],[ListPrice]]*Transaction[[#This Row],[Quantity]],Transaction[[#This Row],[GrossRevenue_Clean]])</f>
        <v>2750</v>
      </c>
      <c r="Z766" t="str">
        <f>IF(Transaction[[#This Row],[GrossRevenue_Clean]]=Transaction[[#This Row],[ListPrice]]*Transaction[[#This Row],[Quantity]],"Valid","Invalid")</f>
        <v>Valid</v>
      </c>
      <c r="AA766">
        <v>255.39</v>
      </c>
      <c r="AB76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255.39</v>
      </c>
      <c r="AC766">
        <f>IF(Transaction[[#This Row],[DiscountAmount_Check2]]="Invalid",Transaction[[#This Row],[GrossRevenue_Analytical]]-Transaction[[#This Row],[NetRevenue_Analytical]],Transaction[[#This Row],[DiscountAmount_Clean]])</f>
        <v>255.39</v>
      </c>
      <c r="AD766">
        <v>2494.61</v>
      </c>
      <c r="AE766" t="str">
        <f>IF(ROUND(Transaction[[#This Row],[GrossRevenue_Analytical]]-Transaction[[#This Row],[NetRevenue_Analytical]],2)=ROUND(Transaction[[#This Row],[DiscountAmount_Clean]],2),"Valid","Invalid")</f>
        <v>Valid</v>
      </c>
      <c r="AF766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2494.61</v>
      </c>
      <c r="AG766">
        <f>IF(Transaction[[#This Row],[NetRevenue_Check]]="Invalid",(Transaction[[#This Row],[Quantity]]*Transaction[[#This Row],[UnitPrice_Clean]]),Transaction[[#This Row],[NetRevenue_Clean]])</f>
        <v>2494.61</v>
      </c>
      <c r="AH766" t="str">
        <f>IF(Transaction[[#This Row],[Quantity]]*Transaction[[#This Row],[UnitPrice_Clean]]=Transaction[[#This Row],[NetRevenue_Clean]],"Valid","Invalid")</f>
        <v>Valid</v>
      </c>
      <c r="AI766" t="s">
        <v>23</v>
      </c>
      <c r="AJ766" t="s">
        <v>2948</v>
      </c>
      <c r="AK766" t="str">
        <f>IF(Transaction[[#This Row],[Salesperson]]="","Missing Value",TRIM(PROPER(Transaction[[#This Row],[Salesperson]])))</f>
        <v>Holden</v>
      </c>
      <c r="AL766" t="s">
        <v>210</v>
      </c>
      <c r="AM766" t="str">
        <f>IF(Transaction[[#This Row],[ContractType]]="","Missing Value",Transaction[[#This Row],[ContractType]])</f>
        <v>Perpetual</v>
      </c>
      <c r="AN766" t="s">
        <v>43</v>
      </c>
    </row>
    <row r="767" spans="1:40" x14ac:dyDescent="0.25">
      <c r="A767" t="s">
        <v>217</v>
      </c>
      <c r="B767" s="1">
        <v>45732</v>
      </c>
      <c r="C76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76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76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67" s="2">
        <f>IFERROR(DATE(Transaction[[#This Row],[TransactionDateY]],Transaction[[#This Row],[TransactionDateM]],Transaction[[#This Row],[TransactionDateD]]),"Missing Value")</f>
        <v>45732</v>
      </c>
      <c r="G767" t="s">
        <v>218</v>
      </c>
      <c r="H767" t="str">
        <f>IFERROR(VLOOKUP(Transaction[[#This Row],[CustomerID]],Custumer[],1,0),IF(LEN(Transaction[[#This Row],[CustomerID]])=7,LEFT(Transaction[[#This Row],[CustomerID]],6),"Invalid ID"))</f>
        <v>C-1098</v>
      </c>
      <c r="I767" t="s">
        <v>121</v>
      </c>
      <c r="J767" t="str">
        <f>TRIM(UPPER(Transaction[[#This Row],[ProductID]]))</f>
        <v>P-FS-001</v>
      </c>
      <c r="K767" t="str">
        <f>IFERROR(VLOOKUP(Transaction[[#This Row],[ProductID_Clean]],Product[],1,FALSE),"Invalid ID")</f>
        <v>P-FS-001</v>
      </c>
      <c r="L767" t="str">
        <f>TRIM(SUBSTITUTE(SUBSTITUTE(SUBSTITUTE(SUBSTITUTE(UPPER(Transaction[[#This Row],[Region]]),"EMEA REGION","EMEA"),"APAC REGION","APAC"),"NORTH AMERICA","N. AMERICA"),"N .AMERICA","N.AMERICA"))</f>
        <v>N. AMERICA</v>
      </c>
      <c r="M767" t="s">
        <v>20</v>
      </c>
      <c r="N767" t="s">
        <v>21</v>
      </c>
      <c r="O767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767" t="s">
        <v>22</v>
      </c>
      <c r="Q767" t="str">
        <f>IF(TRIM(Transaction[[#This Row],[SalesChannel]])="","Missing Value",TRIM(Transaction[[#This Row],[SalesChannel]]))</f>
        <v>Direct</v>
      </c>
      <c r="R767" s="4">
        <v>1</v>
      </c>
      <c r="S767" s="4" t="str">
        <f>IF(Transaction[[#This Row],[Quantity]]&lt;0,"Negative-review","Valid")</f>
        <v>Valid</v>
      </c>
      <c r="T767">
        <v>1549.27</v>
      </c>
      <c r="U76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1549.27</v>
      </c>
      <c r="V767">
        <v>1850</v>
      </c>
      <c r="W767">
        <v>1850</v>
      </c>
      <c r="X76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767">
        <f>IF(Transaction[[#This Row],[GrossRevenue_Check]]="Invalid",Transaction[[#This Row],[ListPrice]]*Transaction[[#This Row],[Quantity]],Transaction[[#This Row],[GrossRevenue_Clean]])</f>
        <v>1850</v>
      </c>
      <c r="Z767" t="str">
        <f>IF(Transaction[[#This Row],[GrossRevenue_Clean]]=Transaction[[#This Row],[ListPrice]]*Transaction[[#This Row],[Quantity]],"Valid","Invalid")</f>
        <v>Valid</v>
      </c>
      <c r="AA767">
        <v>300.73</v>
      </c>
      <c r="AB76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300.73</v>
      </c>
      <c r="AC767">
        <f>IF(Transaction[[#This Row],[DiscountAmount_Check2]]="Invalid",Transaction[[#This Row],[GrossRevenue_Analytical]]-Transaction[[#This Row],[NetRevenue_Analytical]],Transaction[[#This Row],[DiscountAmount_Clean]])</f>
        <v>300.73</v>
      </c>
      <c r="AD767">
        <v>1549.27</v>
      </c>
      <c r="AE767" t="str">
        <f>IF(ROUND(Transaction[[#This Row],[GrossRevenue_Analytical]]-Transaction[[#This Row],[NetRevenue_Analytical]],2)=ROUND(Transaction[[#This Row],[DiscountAmount_Clean]],2),"Valid","Invalid")</f>
        <v>Valid</v>
      </c>
      <c r="AF76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1549.27</v>
      </c>
      <c r="AG767">
        <f>IF(Transaction[[#This Row],[NetRevenue_Check]]="Invalid",(Transaction[[#This Row],[Quantity]]*Transaction[[#This Row],[UnitPrice_Clean]]),Transaction[[#This Row],[NetRevenue_Clean]])</f>
        <v>1549.27</v>
      </c>
      <c r="AH767" t="str">
        <f>IF(Transaction[[#This Row],[Quantity]]*Transaction[[#This Row],[UnitPrice_Clean]]=Transaction[[#This Row],[NetRevenue_Clean]],"Valid","Invalid")</f>
        <v>Valid</v>
      </c>
      <c r="AI767" t="s">
        <v>23</v>
      </c>
      <c r="AJ767" t="s">
        <v>219</v>
      </c>
      <c r="AK767" t="str">
        <f>IF(Transaction[[#This Row],[Salesperson]]="","Missing Value",TRIM(PROPER(Transaction[[#This Row],[Salesperson]])))</f>
        <v>Woods-Na</v>
      </c>
      <c r="AL767" t="s">
        <v>55</v>
      </c>
      <c r="AM767" t="str">
        <f>IF(Transaction[[#This Row],[ContractType]]="","Missing Value",Transaction[[#This Row],[ContractType]])</f>
        <v>Spot</v>
      </c>
      <c r="AN767" t="s">
        <v>65</v>
      </c>
    </row>
    <row r="768" spans="1:40" x14ac:dyDescent="0.25">
      <c r="A768" t="s">
        <v>554</v>
      </c>
      <c r="B768" s="1">
        <v>45815</v>
      </c>
      <c r="C76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76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76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68" s="2">
        <f>IFERROR(DATE(Transaction[[#This Row],[TransactionDateY]],Transaction[[#This Row],[TransactionDateM]],Transaction[[#This Row],[TransactionDateD]]),"Missing Value")</f>
        <v>45815</v>
      </c>
      <c r="G768" t="s">
        <v>214</v>
      </c>
      <c r="H768" t="str">
        <f>IFERROR(VLOOKUP(Transaction[[#This Row],[CustomerID]],Custumer[],1,0),IF(LEN(Transaction[[#This Row],[CustomerID]])=7,LEFT(Transaction[[#This Row],[CustomerID]],6),"Invalid ID"))</f>
        <v>C-1169</v>
      </c>
      <c r="I768" t="s">
        <v>46</v>
      </c>
      <c r="J768" t="str">
        <f>TRIM(UPPER(Transaction[[#This Row],[ProductID]]))</f>
        <v>P-SI-006</v>
      </c>
      <c r="K768" t="str">
        <f>IFERROR(VLOOKUP(Transaction[[#This Row],[ProductID_Clean]],Product[],1,FALSE),"Invalid ID")</f>
        <v>P-SI-006</v>
      </c>
      <c r="L768" t="str">
        <f>TRIM(SUBSTITUTE(SUBSTITUTE(SUBSTITUTE(SUBSTITUTE(UPPER(Transaction[[#This Row],[Region]]),"EMEA REGION","EMEA"),"APAC REGION","APAC"),"NORTH AMERICA","N. AMERICA"),"N .AMERICA","N.AMERICA"))</f>
        <v>EMEA</v>
      </c>
      <c r="M768" t="s">
        <v>76</v>
      </c>
      <c r="N768" t="s">
        <v>53</v>
      </c>
      <c r="O76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68" t="s">
        <v>420</v>
      </c>
      <c r="Q768" t="str">
        <f>IF(TRIM(Transaction[[#This Row],[SalesChannel]])="","Missing Value",TRIM(Transaction[[#This Row],[SalesChannel]]))</f>
        <v>partner portal</v>
      </c>
      <c r="R768" s="4">
        <v>15</v>
      </c>
      <c r="S768" s="4" t="str">
        <f>IF(Transaction[[#This Row],[Quantity]]&lt;0,"Negative-review","Valid")</f>
        <v>Valid</v>
      </c>
      <c r="T768">
        <v>173.01</v>
      </c>
      <c r="U76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173.01</v>
      </c>
      <c r="V768">
        <v>215</v>
      </c>
      <c r="W768">
        <v>3225</v>
      </c>
      <c r="X76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3225</v>
      </c>
      <c r="Y768">
        <f>IF(Transaction[[#This Row],[GrossRevenue_Check]]="Invalid",Transaction[[#This Row],[ListPrice]]*Transaction[[#This Row],[Quantity]],Transaction[[#This Row],[GrossRevenue_Clean]])</f>
        <v>3225</v>
      </c>
      <c r="Z768" t="str">
        <f>IF(Transaction[[#This Row],[GrossRevenue_Clean]]=Transaction[[#This Row],[ListPrice]]*Transaction[[#This Row],[Quantity]],"Valid","Invalid")</f>
        <v>Valid</v>
      </c>
      <c r="AA768">
        <v>629.85</v>
      </c>
      <c r="AB76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629.85</v>
      </c>
      <c r="AC768">
        <f>IF(Transaction[[#This Row],[DiscountAmount_Check2]]="Invalid",Transaction[[#This Row],[GrossRevenue_Analytical]]-Transaction[[#This Row],[NetRevenue_Analytical]],Transaction[[#This Row],[DiscountAmount_Clean]])</f>
        <v>629.85</v>
      </c>
      <c r="AD768">
        <v>2595.15</v>
      </c>
      <c r="AE768" t="str">
        <f>IF(ROUND(Transaction[[#This Row],[GrossRevenue_Analytical]]-Transaction[[#This Row],[NetRevenue_Analytical]],2)=ROUND(Transaction[[#This Row],[DiscountAmount_Clean]],2),"Valid","Invalid")</f>
        <v>Valid</v>
      </c>
      <c r="AF76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2595.15</v>
      </c>
      <c r="AG768">
        <f>IF(Transaction[[#This Row],[NetRevenue_Check]]="Invalid",(Transaction[[#This Row],[Quantity]]*Transaction[[#This Row],[UnitPrice_Clean]]),Transaction[[#This Row],[NetRevenue_Clean]])</f>
        <v>2595.15</v>
      </c>
      <c r="AH768" t="str">
        <f>IF(Transaction[[#This Row],[Quantity]]*Transaction[[#This Row],[UnitPrice_Clean]]=Transaction[[#This Row],[NetRevenue_Clean]],"Valid","Invalid")</f>
        <v>Valid</v>
      </c>
      <c r="AI768" t="s">
        <v>23</v>
      </c>
      <c r="AJ768" t="s">
        <v>555</v>
      </c>
      <c r="AK768" t="str">
        <f>IF(Transaction[[#This Row],[Salesperson]]="","Missing Value",TRIM(PROPER(Transaction[[#This Row],[Salesperson]])))</f>
        <v>Boyle-Na</v>
      </c>
      <c r="AL768" t="s">
        <v>42</v>
      </c>
      <c r="AM768" t="str">
        <f>IF(Transaction[[#This Row],[ContractType]]="","Missing Value",Transaction[[#This Row],[ContractType]])</f>
        <v>Standard PO</v>
      </c>
      <c r="AN768" t="s">
        <v>49</v>
      </c>
    </row>
    <row r="769" spans="1:40" x14ac:dyDescent="0.25">
      <c r="A769" t="s">
        <v>2874</v>
      </c>
      <c r="B769" t="s">
        <v>2875</v>
      </c>
      <c r="C76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76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76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69" s="2">
        <f>IFERROR(DATE(Transaction[[#This Row],[TransactionDateY]],Transaction[[#This Row],[TransactionDateM]],Transaction[[#This Row],[TransactionDateD]]),"Missing Value")</f>
        <v>45721</v>
      </c>
      <c r="G769" t="s">
        <v>208</v>
      </c>
      <c r="H769" t="str">
        <f>IFERROR(VLOOKUP(Transaction[[#This Row],[CustomerID]],Custumer[],1,0),IF(LEN(Transaction[[#This Row],[CustomerID]])=7,LEFT(Transaction[[#This Row],[CustomerID]],6),"Invalid ID"))</f>
        <v>C-1076</v>
      </c>
      <c r="I769" t="s">
        <v>19</v>
      </c>
      <c r="J769" t="str">
        <f>TRIM(UPPER(Transaction[[#This Row],[ProductID]]))</f>
        <v>P-FS-004</v>
      </c>
      <c r="K769" t="str">
        <f>IFERROR(VLOOKUP(Transaction[[#This Row],[ProductID_Clean]],Product[],1,FALSE),"Invalid ID")</f>
        <v>P-FS-004</v>
      </c>
      <c r="L769" t="str">
        <f>TRIM(SUBSTITUTE(SUBSTITUTE(SUBSTITUTE(SUBSTITUTE(UPPER(Transaction[[#This Row],[Region]]),"EMEA REGION","EMEA"),"APAC REGION","APAC"),"NORTH AMERICA","N. AMERICA"),"N .AMERICA","N.AMERICA"))</f>
        <v>APAC</v>
      </c>
      <c r="M769" t="s">
        <v>122</v>
      </c>
      <c r="N769" t="s">
        <v>21</v>
      </c>
      <c r="O769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769" t="s">
        <v>22</v>
      </c>
      <c r="Q769" t="str">
        <f>IF(TRIM(Transaction[[#This Row],[SalesChannel]])="","Missing Value",TRIM(Transaction[[#This Row],[SalesChannel]]))</f>
        <v>Direct</v>
      </c>
      <c r="R769" s="4">
        <v>1</v>
      </c>
      <c r="S769" s="4" t="str">
        <f>IF(Transaction[[#This Row],[Quantity]]&lt;0,"Negative-review","Valid")</f>
        <v>Valid</v>
      </c>
      <c r="T769">
        <v>2676.34</v>
      </c>
      <c r="U76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2676.34</v>
      </c>
      <c r="V769">
        <v>3200</v>
      </c>
      <c r="W769">
        <v>3200</v>
      </c>
      <c r="X76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769">
        <f>IF(Transaction[[#This Row],[GrossRevenue_Check]]="Invalid",Transaction[[#This Row],[ListPrice]]*Transaction[[#This Row],[Quantity]],Transaction[[#This Row],[GrossRevenue_Clean]])</f>
        <v>3200</v>
      </c>
      <c r="Z769" t="str">
        <f>IF(Transaction[[#This Row],[GrossRevenue_Clean]]=Transaction[[#This Row],[ListPrice]]*Transaction[[#This Row],[Quantity]],"Valid","Invalid")</f>
        <v>Valid</v>
      </c>
      <c r="AA769">
        <v>523.66</v>
      </c>
      <c r="AB76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523.66</v>
      </c>
      <c r="AC769">
        <f>IF(Transaction[[#This Row],[DiscountAmount_Check2]]="Invalid",Transaction[[#This Row],[GrossRevenue_Analytical]]-Transaction[[#This Row],[NetRevenue_Analytical]],Transaction[[#This Row],[DiscountAmount_Clean]])</f>
        <v>523.66</v>
      </c>
      <c r="AD769">
        <v>2676.34</v>
      </c>
      <c r="AE769" t="str">
        <f>IF(ROUND(Transaction[[#This Row],[GrossRevenue_Analytical]]-Transaction[[#This Row],[NetRevenue_Analytical]],2)=ROUND(Transaction[[#This Row],[DiscountAmount_Clean]],2),"Valid","Invalid")</f>
        <v>Valid</v>
      </c>
      <c r="AF76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2676.34</v>
      </c>
      <c r="AG769">
        <f>IF(Transaction[[#This Row],[NetRevenue_Check]]="Invalid",(Transaction[[#This Row],[Quantity]]*Transaction[[#This Row],[UnitPrice_Clean]]),Transaction[[#This Row],[NetRevenue_Clean]])</f>
        <v>2676.34</v>
      </c>
      <c r="AH769" t="str">
        <f>IF(Transaction[[#This Row],[Quantity]]*Transaction[[#This Row],[UnitPrice_Clean]]=Transaction[[#This Row],[NetRevenue_Clean]],"Valid","Invalid")</f>
        <v>Valid</v>
      </c>
      <c r="AI769" t="s">
        <v>23</v>
      </c>
      <c r="AJ769" t="s">
        <v>465</v>
      </c>
      <c r="AK769" t="str">
        <f>IF(Transaction[[#This Row],[Salesperson]]="","Missing Value",TRIM(PROPER(Transaction[[#This Row],[Salesperson]])))</f>
        <v>Smith</v>
      </c>
      <c r="AM769" t="str">
        <f>IF(Transaction[[#This Row],[ContractType]]="","Missing Value",Transaction[[#This Row],[ContractType]])</f>
        <v>Missing Value</v>
      </c>
      <c r="AN769" t="s">
        <v>49</v>
      </c>
    </row>
    <row r="770" spans="1:40" x14ac:dyDescent="0.25">
      <c r="A770" t="s">
        <v>1679</v>
      </c>
      <c r="B770" s="1">
        <v>45741</v>
      </c>
      <c r="C77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77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77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70" s="2">
        <f>IFERROR(DATE(Transaction[[#This Row],[TransactionDateY]],Transaction[[#This Row],[TransactionDateM]],Transaction[[#This Row],[TransactionDateD]]),"Missing Value")</f>
        <v>45741</v>
      </c>
      <c r="G770" t="s">
        <v>1250</v>
      </c>
      <c r="H770" t="str">
        <f>IFERROR(VLOOKUP(Transaction[[#This Row],[CustomerID]],Custumer[],1,0),IF(LEN(Transaction[[#This Row],[CustomerID]])=7,LEFT(Transaction[[#This Row],[CustomerID]],6),"Invalid ID"))</f>
        <v>C-1168</v>
      </c>
      <c r="I770" t="s">
        <v>71</v>
      </c>
      <c r="J770" t="str">
        <f>TRIM(UPPER(Transaction[[#This Row],[ProductID]]))</f>
        <v>P-SI-003</v>
      </c>
      <c r="K770" t="str">
        <f>IFERROR(VLOOKUP(Transaction[[#This Row],[ProductID_Clean]],Product[],1,FALSE),"Invalid ID")</f>
        <v>P-SI-003</v>
      </c>
      <c r="L770" t="str">
        <f>TRIM(SUBSTITUTE(SUBSTITUTE(SUBSTITUTE(SUBSTITUTE(UPPER(Transaction[[#This Row],[Region]]),"EMEA REGION","EMEA"),"APAC REGION","APAC"),"NORTH AMERICA","N. AMERICA"),"N .AMERICA","N.AMERICA"))</f>
        <v>LATIN AMERICA</v>
      </c>
      <c r="M770" t="s">
        <v>82</v>
      </c>
      <c r="N770" t="s">
        <v>53</v>
      </c>
      <c r="O77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70" t="s">
        <v>40</v>
      </c>
      <c r="Q770" t="str">
        <f>IF(TRIM(Transaction[[#This Row],[SalesChannel]])="","Missing Value",TRIM(Transaction[[#This Row],[SalesChannel]]))</f>
        <v>Distributor</v>
      </c>
      <c r="R770" s="4">
        <v>4</v>
      </c>
      <c r="S770" s="4" t="str">
        <f>IF(Transaction[[#This Row],[Quantity]]&lt;0,"Negative-review","Valid")</f>
        <v>Valid</v>
      </c>
      <c r="T770">
        <v>1549.66</v>
      </c>
      <c r="U77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1549.66</v>
      </c>
      <c r="V770">
        <v>1890</v>
      </c>
      <c r="W770">
        <v>7560</v>
      </c>
      <c r="X77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7560</v>
      </c>
      <c r="Y770">
        <f>IF(Transaction[[#This Row],[GrossRevenue_Check]]="Invalid",Transaction[[#This Row],[ListPrice]]*Transaction[[#This Row],[Quantity]],Transaction[[#This Row],[GrossRevenue_Clean]])</f>
        <v>7560</v>
      </c>
      <c r="Z770" t="str">
        <f>IF(Transaction[[#This Row],[GrossRevenue_Clean]]=Transaction[[#This Row],[ListPrice]]*Transaction[[#This Row],[Quantity]],"Valid","Invalid")</f>
        <v>Valid</v>
      </c>
      <c r="AA770">
        <v>1361.36</v>
      </c>
      <c r="AB77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1361.36</v>
      </c>
      <c r="AC770">
        <f>IF(Transaction[[#This Row],[DiscountAmount_Check2]]="Invalid",Transaction[[#This Row],[GrossRevenue_Analytical]]-Transaction[[#This Row],[NetRevenue_Analytical]],Transaction[[#This Row],[DiscountAmount_Clean]])</f>
        <v>1361.36</v>
      </c>
      <c r="AD770">
        <v>6198.64</v>
      </c>
      <c r="AE770" t="str">
        <f>IF(ROUND(Transaction[[#This Row],[GrossRevenue_Analytical]]-Transaction[[#This Row],[NetRevenue_Analytical]],2)=ROUND(Transaction[[#This Row],[DiscountAmount_Clean]],2),"Valid","Invalid")</f>
        <v>Valid</v>
      </c>
      <c r="AF770">
        <f>VALUE(IF(ISNUMBER(Transaction[[#This Row],[NetRevenue]]),Transaction[[#This Row],[NetRevenue]],IFERROR(IF(FIND("$",Transaction[[#This Row],[NetRevenue]])&gt;0,MID(Transaction[[#This Row],[NetRevenue]],2,10)),Transaction[[#This Row],[NetRevenue]])))</f>
        <v>6198.64</v>
      </c>
      <c r="AG770">
        <f>IF(Transaction[[#This Row],[NetRevenue_Check]]="Invalid",(Transaction[[#This Row],[Quantity]]*Transaction[[#This Row],[UnitPrice_Clean]]),Transaction[[#This Row],[NetRevenue_Clean]])</f>
        <v>6198.64</v>
      </c>
      <c r="AH770" t="str">
        <f>IF(Transaction[[#This Row],[Quantity]]*Transaction[[#This Row],[UnitPrice_Clean]]=Transaction[[#This Row],[NetRevenue_Clean]],"Valid","Invalid")</f>
        <v>Valid</v>
      </c>
      <c r="AI770" t="s">
        <v>23</v>
      </c>
      <c r="AJ770" t="s">
        <v>1680</v>
      </c>
      <c r="AK770" t="str">
        <f>IF(Transaction[[#This Row],[Salesperson]]="","Missing Value",TRIM(PROPER(Transaction[[#This Row],[Salesperson]])))</f>
        <v>Reyes-Em</v>
      </c>
      <c r="AL770" t="s">
        <v>42</v>
      </c>
      <c r="AM770" t="str">
        <f>IF(Transaction[[#This Row],[ContractType]]="","Missing Value",Transaction[[#This Row],[ContractType]])</f>
        <v>Standard PO</v>
      </c>
      <c r="AN770" t="s">
        <v>43</v>
      </c>
    </row>
    <row r="771" spans="1:40" x14ac:dyDescent="0.25">
      <c r="A771" t="s">
        <v>2240</v>
      </c>
      <c r="B771" t="s">
        <v>2241</v>
      </c>
      <c r="C77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77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77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71" s="2">
        <f>IFERROR(DATE(Transaction[[#This Row],[TransactionDateY]],Transaction[[#This Row],[TransactionDateM]],Transaction[[#This Row],[TransactionDateD]]),"Missing Value")</f>
        <v>45738</v>
      </c>
      <c r="G771" t="s">
        <v>1592</v>
      </c>
      <c r="H771" t="str">
        <f>IFERROR(VLOOKUP(Transaction[[#This Row],[CustomerID]],Custumer[],1,0),IF(LEN(Transaction[[#This Row],[CustomerID]])=7,LEFT(Transaction[[#This Row],[CustomerID]],6),"Invalid ID"))</f>
        <v>C-1028</v>
      </c>
      <c r="I771" t="s">
        <v>1123</v>
      </c>
      <c r="J771" t="str">
        <f>TRIM(UPPER(Transaction[[#This Row],[ProductID]]))</f>
        <v>P-SA-003</v>
      </c>
      <c r="K771" t="str">
        <f>IFERROR(VLOOKUP(Transaction[[#This Row],[ProductID_Clean]],Product[],1,FALSE),"Invalid ID")</f>
        <v>P-SA-003</v>
      </c>
      <c r="L771" t="str">
        <f>TRIM(SUBSTITUTE(SUBSTITUTE(SUBSTITUTE(SUBSTITUTE(UPPER(Transaction[[#This Row],[Region]]),"EMEA REGION","EMEA"),"APAC REGION","APAC"),"NORTH AMERICA","N. AMERICA"),"N .AMERICA","N.AMERICA"))</f>
        <v>EMEA</v>
      </c>
      <c r="M771" t="s">
        <v>76</v>
      </c>
      <c r="N771" t="s">
        <v>31</v>
      </c>
      <c r="O77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771" t="s">
        <v>22</v>
      </c>
      <c r="Q771" t="str">
        <f>IF(TRIM(Transaction[[#This Row],[SalesChannel]])="","Missing Value",TRIM(Transaction[[#This Row],[SalesChannel]]))</f>
        <v>Direct</v>
      </c>
      <c r="R771" s="4">
        <v>1</v>
      </c>
      <c r="S771" s="4" t="str">
        <f>IF(Transaction[[#This Row],[Quantity]]&lt;0,"Negative-review","Valid")</f>
        <v>Valid</v>
      </c>
      <c r="T771">
        <v>2476.34</v>
      </c>
      <c r="U77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2476.34</v>
      </c>
      <c r="V771">
        <v>2750</v>
      </c>
      <c r="W771">
        <v>2750</v>
      </c>
      <c r="X77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771">
        <f>IF(Transaction[[#This Row],[GrossRevenue_Check]]="Invalid",Transaction[[#This Row],[ListPrice]]*Transaction[[#This Row],[Quantity]],Transaction[[#This Row],[GrossRevenue_Clean]])</f>
        <v>2750</v>
      </c>
      <c r="Z771" t="str">
        <f>IF(Transaction[[#This Row],[GrossRevenue_Clean]]=Transaction[[#This Row],[ListPrice]]*Transaction[[#This Row],[Quantity]],"Valid","Invalid")</f>
        <v>Valid</v>
      </c>
      <c r="AA771">
        <v>273.66000000000003</v>
      </c>
      <c r="AB77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273.66000000000003</v>
      </c>
      <c r="AC771">
        <f>IF(Transaction[[#This Row],[DiscountAmount_Check2]]="Invalid",Transaction[[#This Row],[GrossRevenue_Analytical]]-Transaction[[#This Row],[NetRevenue_Analytical]],Transaction[[#This Row],[DiscountAmount_Clean]])</f>
        <v>273.66000000000003</v>
      </c>
      <c r="AD771">
        <v>2476.34</v>
      </c>
      <c r="AE771" t="str">
        <f>IF(ROUND(Transaction[[#This Row],[GrossRevenue_Analytical]]-Transaction[[#This Row],[NetRevenue_Analytical]],2)=ROUND(Transaction[[#This Row],[DiscountAmount_Clean]],2),"Valid","Invalid")</f>
        <v>Valid</v>
      </c>
      <c r="AF77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2476.34</v>
      </c>
      <c r="AG771">
        <f>IF(Transaction[[#This Row],[NetRevenue_Check]]="Invalid",(Transaction[[#This Row],[Quantity]]*Transaction[[#This Row],[UnitPrice_Clean]]),Transaction[[#This Row],[NetRevenue_Clean]])</f>
        <v>2476.34</v>
      </c>
      <c r="AH771" t="str">
        <f>IF(Transaction[[#This Row],[Quantity]]*Transaction[[#This Row],[UnitPrice_Clean]]=Transaction[[#This Row],[NetRevenue_Clean]],"Valid","Invalid")</f>
        <v>Valid</v>
      </c>
      <c r="AI771" t="s">
        <v>23</v>
      </c>
      <c r="AJ771" t="s">
        <v>1259</v>
      </c>
      <c r="AK771" t="str">
        <f>IF(Transaction[[#This Row],[Salesperson]]="","Missing Value",TRIM(PROPER(Transaction[[#This Row],[Salesperson]])))</f>
        <v>Griffin</v>
      </c>
      <c r="AL771" t="s">
        <v>34</v>
      </c>
      <c r="AM771" t="str">
        <f>IF(Transaction[[#This Row],[ContractType]]="","Missing Value",Transaction[[#This Row],[ContractType]])</f>
        <v>Annual License</v>
      </c>
      <c r="AN771" t="s">
        <v>43</v>
      </c>
    </row>
    <row r="772" spans="1:40" x14ac:dyDescent="0.25">
      <c r="A772" t="s">
        <v>3070</v>
      </c>
      <c r="B772" s="1">
        <v>45698</v>
      </c>
      <c r="C77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77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77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72" s="2">
        <f>IFERROR(DATE(Transaction[[#This Row],[TransactionDateY]],Transaction[[#This Row],[TransactionDateM]],Transaction[[#This Row],[TransactionDateD]]),"Missing Value")</f>
        <v>45698</v>
      </c>
      <c r="G772" t="s">
        <v>247</v>
      </c>
      <c r="H772" t="str">
        <f>IFERROR(VLOOKUP(Transaction[[#This Row],[CustomerID]],Custumer[],1,0),IF(LEN(Transaction[[#This Row],[CustomerID]])=7,LEFT(Transaction[[#This Row],[CustomerID]],6),"Invalid ID"))</f>
        <v>C-1045</v>
      </c>
      <c r="I772" t="s">
        <v>258</v>
      </c>
      <c r="J772" t="str">
        <f>TRIM(UPPER(Transaction[[#This Row],[ProductID]]))</f>
        <v>P-SA-003</v>
      </c>
      <c r="K772" t="str">
        <f>IFERROR(VLOOKUP(Transaction[[#This Row],[ProductID_Clean]],Product[],1,FALSE),"Invalid ID")</f>
        <v>P-SA-003</v>
      </c>
      <c r="L772" t="str">
        <f>TRIM(SUBSTITUTE(SUBSTITUTE(SUBSTITUTE(SUBSTITUTE(UPPER(Transaction[[#This Row],[Region]]),"EMEA REGION","EMEA"),"APAC REGION","APAC"),"NORTH AMERICA","N. AMERICA"),"N .AMERICA","N.AMERICA"))</f>
        <v>EMEA</v>
      </c>
      <c r="M772" t="s">
        <v>76</v>
      </c>
      <c r="N772" t="s">
        <v>31</v>
      </c>
      <c r="O77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772" t="s">
        <v>181</v>
      </c>
      <c r="Q772" t="str">
        <f>IF(TRIM(Transaction[[#This Row],[SalesChannel]])="","Missing Value",TRIM(Transaction[[#This Row],[SalesChannel]]))</f>
        <v>Partner Portal</v>
      </c>
      <c r="R772" s="4">
        <v>1</v>
      </c>
      <c r="S772" s="4" t="str">
        <f>IF(Transaction[[#This Row],[Quantity]]&lt;0,"Negative-review","Valid")</f>
        <v>Valid</v>
      </c>
      <c r="T772">
        <v>2118.13</v>
      </c>
      <c r="U77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2118.13</v>
      </c>
      <c r="V772">
        <v>2750</v>
      </c>
      <c r="W772">
        <v>2750</v>
      </c>
      <c r="X77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772">
        <f>IF(Transaction[[#This Row],[GrossRevenue_Check]]="Invalid",Transaction[[#This Row],[ListPrice]]*Transaction[[#This Row],[Quantity]],Transaction[[#This Row],[GrossRevenue_Clean]])</f>
        <v>2750</v>
      </c>
      <c r="Z772" t="str">
        <f>IF(Transaction[[#This Row],[GrossRevenue_Clean]]=Transaction[[#This Row],[ListPrice]]*Transaction[[#This Row],[Quantity]],"Valid","Invalid")</f>
        <v>Valid</v>
      </c>
      <c r="AA772">
        <v>631.87</v>
      </c>
      <c r="AB77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631.87</v>
      </c>
      <c r="AC772">
        <f>IF(Transaction[[#This Row],[DiscountAmount_Check2]]="Invalid",Transaction[[#This Row],[GrossRevenue_Analytical]]-Transaction[[#This Row],[NetRevenue_Analytical]],Transaction[[#This Row],[DiscountAmount_Clean]])</f>
        <v>631.87</v>
      </c>
      <c r="AD772">
        <v>2118.13</v>
      </c>
      <c r="AE772" t="str">
        <f>IF(ROUND(Transaction[[#This Row],[GrossRevenue_Analytical]]-Transaction[[#This Row],[NetRevenue_Analytical]],2)=ROUND(Transaction[[#This Row],[DiscountAmount_Clean]],2),"Valid","Invalid")</f>
        <v>Valid</v>
      </c>
      <c r="AF77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2118.13</v>
      </c>
      <c r="AG772">
        <f>IF(Transaction[[#This Row],[NetRevenue_Check]]="Invalid",(Transaction[[#This Row],[Quantity]]*Transaction[[#This Row],[UnitPrice_Clean]]),Transaction[[#This Row],[NetRevenue_Clean]])</f>
        <v>2118.13</v>
      </c>
      <c r="AH772" t="str">
        <f>IF(Transaction[[#This Row],[Quantity]]*Transaction[[#This Row],[UnitPrice_Clean]]=Transaction[[#This Row],[NetRevenue_Clean]],"Valid","Invalid")</f>
        <v>Valid</v>
      </c>
      <c r="AI772" t="s">
        <v>23</v>
      </c>
      <c r="AJ772" t="s">
        <v>1242</v>
      </c>
      <c r="AK772" t="str">
        <f>IF(Transaction[[#This Row],[Salesperson]]="","Missing Value",TRIM(PROPER(Transaction[[#This Row],[Salesperson]])))</f>
        <v>Adams-Na</v>
      </c>
      <c r="AL772" t="s">
        <v>34</v>
      </c>
      <c r="AM772" t="str">
        <f>IF(Transaction[[#This Row],[ContractType]]="","Missing Value",Transaction[[#This Row],[ContractType]])</f>
        <v>Annual License</v>
      </c>
      <c r="AN772" t="s">
        <v>35</v>
      </c>
    </row>
    <row r="773" spans="1:40" x14ac:dyDescent="0.25">
      <c r="A773" t="s">
        <v>1341</v>
      </c>
      <c r="B773" s="1">
        <v>45789</v>
      </c>
      <c r="C77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77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77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73" s="2">
        <f>IFERROR(DATE(Transaction[[#This Row],[TransactionDateY]],Transaction[[#This Row],[TransactionDateM]],Transaction[[#This Row],[TransactionDateD]]),"Missing Value")</f>
        <v>45789</v>
      </c>
      <c r="G773" t="s">
        <v>276</v>
      </c>
      <c r="H773" t="str">
        <f>IFERROR(VLOOKUP(Transaction[[#This Row],[CustomerID]],Custumer[],1,0),IF(LEN(Transaction[[#This Row],[CustomerID]])=7,LEFT(Transaction[[#This Row],[CustomerID]],6),"Invalid ID"))</f>
        <v>C-1129</v>
      </c>
      <c r="I773" t="s">
        <v>29</v>
      </c>
      <c r="J773" t="str">
        <f>TRIM(UPPER(Transaction[[#This Row],[ProductID]]))</f>
        <v>P-SA-001</v>
      </c>
      <c r="K773" t="str">
        <f>IFERROR(VLOOKUP(Transaction[[#This Row],[ProductID_Clean]],Product[],1,FALSE),"Invalid ID")</f>
        <v>P-SA-001</v>
      </c>
      <c r="L773" t="str">
        <f>TRIM(SUBSTITUTE(SUBSTITUTE(SUBSTITUTE(SUBSTITUTE(UPPER(Transaction[[#This Row],[Region]]),"EMEA REGION","EMEA"),"APAC REGION","APAC"),"NORTH AMERICA","N. AMERICA"),"N .AMERICA","N.AMERICA"))</f>
        <v>N. AMERICA</v>
      </c>
      <c r="M773" t="s">
        <v>204</v>
      </c>
      <c r="N773" t="s">
        <v>31</v>
      </c>
      <c r="O77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773" t="s">
        <v>22</v>
      </c>
      <c r="Q773" t="str">
        <f>IF(TRIM(Transaction[[#This Row],[SalesChannel]])="","Missing Value",TRIM(Transaction[[#This Row],[SalesChannel]]))</f>
        <v>Direct</v>
      </c>
      <c r="R773" s="4">
        <v>1</v>
      </c>
      <c r="S773" s="4" t="str">
        <f>IF(Transaction[[#This Row],[Quantity]]&lt;0,"Negative-review","Valid")</f>
        <v>Valid</v>
      </c>
      <c r="T773">
        <v>3809.85</v>
      </c>
      <c r="U77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3809.85</v>
      </c>
      <c r="V773">
        <v>4200</v>
      </c>
      <c r="W773">
        <v>4200</v>
      </c>
      <c r="X77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773">
        <f>IF(Transaction[[#This Row],[GrossRevenue_Check]]="Invalid",Transaction[[#This Row],[ListPrice]]*Transaction[[#This Row],[Quantity]],Transaction[[#This Row],[GrossRevenue_Clean]])</f>
        <v>4200</v>
      </c>
      <c r="Z773" t="str">
        <f>IF(Transaction[[#This Row],[GrossRevenue_Clean]]=Transaction[[#This Row],[ListPrice]]*Transaction[[#This Row],[Quantity]],"Valid","Invalid")</f>
        <v>Valid</v>
      </c>
      <c r="AA773">
        <v>390.15</v>
      </c>
      <c r="AB77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390.15</v>
      </c>
      <c r="AC773">
        <f>IF(Transaction[[#This Row],[DiscountAmount_Check2]]="Invalid",Transaction[[#This Row],[GrossRevenue_Analytical]]-Transaction[[#This Row],[NetRevenue_Analytical]],Transaction[[#This Row],[DiscountAmount_Clean]])</f>
        <v>390.15</v>
      </c>
      <c r="AD773">
        <v>3809.85</v>
      </c>
      <c r="AE773" t="str">
        <f>IF(ROUND(Transaction[[#This Row],[GrossRevenue_Analytical]]-Transaction[[#This Row],[NetRevenue_Analytical]],2)=ROUND(Transaction[[#This Row],[DiscountAmount_Clean]],2),"Valid","Invalid")</f>
        <v>Valid</v>
      </c>
      <c r="AF77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3809.85</v>
      </c>
      <c r="AG773">
        <f>IF(Transaction[[#This Row],[NetRevenue_Check]]="Invalid",(Transaction[[#This Row],[Quantity]]*Transaction[[#This Row],[UnitPrice_Clean]]),Transaction[[#This Row],[NetRevenue_Clean]])</f>
        <v>3809.85</v>
      </c>
      <c r="AH773" t="str">
        <f>IF(Transaction[[#This Row],[Quantity]]*Transaction[[#This Row],[UnitPrice_Clean]]=Transaction[[#This Row],[NetRevenue_Clean]],"Valid","Invalid")</f>
        <v>Valid</v>
      </c>
      <c r="AI773" t="s">
        <v>23</v>
      </c>
      <c r="AJ773" t="s">
        <v>701</v>
      </c>
      <c r="AK773" t="str">
        <f>IF(Transaction[[#This Row],[Salesperson]]="","Missing Value",TRIM(PROPER(Transaction[[#This Row],[Salesperson]])))</f>
        <v>Rivera-Na</v>
      </c>
      <c r="AL773" t="s">
        <v>113</v>
      </c>
      <c r="AM773" t="str">
        <f>IF(Transaction[[#This Row],[ContractType]]="","Missing Value",Transaction[[#This Row],[ContractType]])</f>
        <v>Subscription</v>
      </c>
      <c r="AN773" t="s">
        <v>49</v>
      </c>
    </row>
    <row r="774" spans="1:40" x14ac:dyDescent="0.25">
      <c r="A774" t="s">
        <v>623</v>
      </c>
      <c r="B774" t="s">
        <v>624</v>
      </c>
      <c r="C77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77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08</v>
      </c>
      <c r="E77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74" s="2">
        <f>IFERROR(DATE(Transaction[[#This Row],[TransactionDateY]],Transaction[[#This Row],[TransactionDateM]],Transaction[[#This Row],[TransactionDateD]]),"Missing Value")</f>
        <v>45785</v>
      </c>
      <c r="G774" t="s">
        <v>394</v>
      </c>
      <c r="H774" t="str">
        <f>IFERROR(VLOOKUP(Transaction[[#This Row],[CustomerID]],Custumer[],1,0),IF(LEN(Transaction[[#This Row],[CustomerID]])=7,LEFT(Transaction[[#This Row],[CustomerID]],6),"Invalid ID"))</f>
        <v>C-1128</v>
      </c>
      <c r="I774" t="s">
        <v>71</v>
      </c>
      <c r="J774" t="str">
        <f>TRIM(UPPER(Transaction[[#This Row],[ProductID]]))</f>
        <v>P-SI-003</v>
      </c>
      <c r="K774" t="str">
        <f>IFERROR(VLOOKUP(Transaction[[#This Row],[ProductID_Clean]],Product[],1,FALSE),"Invalid ID")</f>
        <v>P-SI-003</v>
      </c>
      <c r="L774" t="str">
        <f>TRIM(SUBSTITUTE(SUBSTITUTE(SUBSTITUTE(SUBSTITUTE(UPPER(Transaction[[#This Row],[Region]]),"EMEA REGION","EMEA"),"APAC REGION","APAC"),"NORTH AMERICA","N. AMERICA"),"N .AMERICA","N.AMERICA"))</f>
        <v>EMEA</v>
      </c>
      <c r="M774" t="s">
        <v>76</v>
      </c>
      <c r="N774" t="s">
        <v>98</v>
      </c>
      <c r="O77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74" t="s">
        <v>22</v>
      </c>
      <c r="Q774" t="str">
        <f>IF(TRIM(Transaction[[#This Row],[SalesChannel]])="","Missing Value",TRIM(Transaction[[#This Row],[SalesChannel]]))</f>
        <v>Direct</v>
      </c>
      <c r="R774" s="4">
        <v>2</v>
      </c>
      <c r="S774" s="4" t="str">
        <f>IF(Transaction[[#This Row],[Quantity]]&lt;0,"Negative-review","Valid")</f>
        <v>Valid</v>
      </c>
      <c r="T774">
        <v>1721.32</v>
      </c>
      <c r="U77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1721.32</v>
      </c>
      <c r="V774">
        <v>1890</v>
      </c>
      <c r="W774">
        <v>3780</v>
      </c>
      <c r="X77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3780</v>
      </c>
      <c r="Y774">
        <f>IF(Transaction[[#This Row],[GrossRevenue_Check]]="Invalid",Transaction[[#This Row],[ListPrice]]*Transaction[[#This Row],[Quantity]],Transaction[[#This Row],[GrossRevenue_Clean]])</f>
        <v>3780</v>
      </c>
      <c r="Z774" t="str">
        <f>IF(Transaction[[#This Row],[GrossRevenue_Clean]]=Transaction[[#This Row],[ListPrice]]*Transaction[[#This Row],[Quantity]],"Valid","Invalid")</f>
        <v>Valid</v>
      </c>
      <c r="AA774">
        <v>337.36</v>
      </c>
      <c r="AB77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337.36</v>
      </c>
      <c r="AC774">
        <f>IF(Transaction[[#This Row],[DiscountAmount_Check2]]="Invalid",Transaction[[#This Row],[GrossRevenue_Analytical]]-Transaction[[#This Row],[NetRevenue_Analytical]],Transaction[[#This Row],[DiscountAmount_Clean]])</f>
        <v>337.36</v>
      </c>
      <c r="AD774">
        <v>3442.64</v>
      </c>
      <c r="AE774" t="str">
        <f>IF(ROUND(Transaction[[#This Row],[GrossRevenue_Analytical]]-Transaction[[#This Row],[NetRevenue_Analytical]],2)=ROUND(Transaction[[#This Row],[DiscountAmount_Clean]],2),"Valid","Invalid")</f>
        <v>Valid</v>
      </c>
      <c r="AF774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3442.64</v>
      </c>
      <c r="AG774">
        <f>IF(Transaction[[#This Row],[NetRevenue_Check]]="Invalid",(Transaction[[#This Row],[Quantity]]*Transaction[[#This Row],[UnitPrice_Clean]]),Transaction[[#This Row],[NetRevenue_Clean]])</f>
        <v>3442.64</v>
      </c>
      <c r="AH774" t="str">
        <f>IF(Transaction[[#This Row],[Quantity]]*Transaction[[#This Row],[UnitPrice_Clean]]=Transaction[[#This Row],[NetRevenue_Clean]],"Valid","Invalid")</f>
        <v>Valid</v>
      </c>
      <c r="AI774" t="s">
        <v>99</v>
      </c>
      <c r="AJ774" t="s">
        <v>625</v>
      </c>
      <c r="AK774" t="str">
        <f>IF(Transaction[[#This Row],[Salesperson]]="","Missing Value",TRIM(PROPER(Transaction[[#This Row],[Salesperson]])))</f>
        <v>Aguilar</v>
      </c>
      <c r="AL774" t="s">
        <v>25</v>
      </c>
      <c r="AM774" t="str">
        <f>IF(Transaction[[#This Row],[ContractType]]="","Missing Value",Transaction[[#This Row],[ContractType]])</f>
        <v>Frame Agreement</v>
      </c>
      <c r="AN774" t="s">
        <v>43</v>
      </c>
    </row>
    <row r="775" spans="1:40" x14ac:dyDescent="0.25">
      <c r="A775" t="s">
        <v>1700</v>
      </c>
      <c r="B775" s="1">
        <v>45785</v>
      </c>
      <c r="C77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77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77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75" s="2">
        <f>IFERROR(DATE(Transaction[[#This Row],[TransactionDateY]],Transaction[[#This Row],[TransactionDateM]],Transaction[[#This Row],[TransactionDateD]]),"Missing Value")</f>
        <v>45785</v>
      </c>
      <c r="G775" t="s">
        <v>146</v>
      </c>
      <c r="H775" t="str">
        <f>IFERROR(VLOOKUP(Transaction[[#This Row],[CustomerID]],Custumer[],1,0),IF(LEN(Transaction[[#This Row],[CustomerID]])=7,LEFT(Transaction[[#This Row],[CustomerID]],6),"Invalid ID"))</f>
        <v>C-1095</v>
      </c>
      <c r="I775" t="s">
        <v>46</v>
      </c>
      <c r="J775" t="str">
        <f>TRIM(UPPER(Transaction[[#This Row],[ProductID]]))</f>
        <v>P-SI-006</v>
      </c>
      <c r="K775" t="str">
        <f>IFERROR(VLOOKUP(Transaction[[#This Row],[ProductID_Clean]],Product[],1,FALSE),"Invalid ID")</f>
        <v>P-SI-006</v>
      </c>
      <c r="L775" t="str">
        <f>TRIM(SUBSTITUTE(SUBSTITUTE(SUBSTITUTE(SUBSTITUTE(UPPER(Transaction[[#This Row],[Region]]),"EMEA REGION","EMEA"),"APAC REGION","APAC"),"NORTH AMERICA","N. AMERICA"),"N .AMERICA","N.AMERICA"))</f>
        <v>LATIN AMERICA</v>
      </c>
      <c r="M775" t="s">
        <v>82</v>
      </c>
      <c r="N775" t="s">
        <v>47</v>
      </c>
      <c r="O77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75" t="s">
        <v>22</v>
      </c>
      <c r="Q775" t="str">
        <f>IF(TRIM(Transaction[[#This Row],[SalesChannel]])="","Missing Value",TRIM(Transaction[[#This Row],[SalesChannel]]))</f>
        <v>Direct</v>
      </c>
      <c r="R775" s="4">
        <v>1</v>
      </c>
      <c r="S775" s="4" t="str">
        <f>IF(Transaction[[#This Row],[Quantity]]&lt;0,"Negative-review","Valid")</f>
        <v>Valid</v>
      </c>
      <c r="T775">
        <v>140.13999999999999</v>
      </c>
      <c r="U77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140.13999999999999</v>
      </c>
      <c r="V775">
        <v>215</v>
      </c>
      <c r="W775">
        <v>215</v>
      </c>
      <c r="X77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775">
        <f>IF(Transaction[[#This Row],[GrossRevenue_Check]]="Invalid",Transaction[[#This Row],[ListPrice]]*Transaction[[#This Row],[Quantity]],Transaction[[#This Row],[GrossRevenue_Clean]])</f>
        <v>215</v>
      </c>
      <c r="Z775" t="str">
        <f>IF(Transaction[[#This Row],[GrossRevenue_Clean]]=Transaction[[#This Row],[ListPrice]]*Transaction[[#This Row],[Quantity]],"Valid","Invalid")</f>
        <v>Valid</v>
      </c>
      <c r="AA775">
        <v>74.86</v>
      </c>
      <c r="AB77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74.86</v>
      </c>
      <c r="AC775">
        <f>IF(Transaction[[#This Row],[DiscountAmount_Check2]]="Invalid",Transaction[[#This Row],[GrossRevenue_Analytical]]-Transaction[[#This Row],[NetRevenue_Analytical]],Transaction[[#This Row],[DiscountAmount_Clean]])</f>
        <v>74.86</v>
      </c>
      <c r="AD775">
        <v>140.13999999999999</v>
      </c>
      <c r="AE775" t="str">
        <f>IF(ROUND(Transaction[[#This Row],[GrossRevenue_Analytical]]-Transaction[[#This Row],[NetRevenue_Analytical]],2)=ROUND(Transaction[[#This Row],[DiscountAmount_Clean]],2),"Valid","Invalid")</f>
        <v>Valid</v>
      </c>
      <c r="AF77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140.13999999999999</v>
      </c>
      <c r="AG775">
        <f>IF(Transaction[[#This Row],[NetRevenue_Check]]="Invalid",(Transaction[[#This Row],[Quantity]]*Transaction[[#This Row],[UnitPrice_Clean]]),Transaction[[#This Row],[NetRevenue_Clean]])</f>
        <v>140.13999999999999</v>
      </c>
      <c r="AH775" t="str">
        <f>IF(Transaction[[#This Row],[Quantity]]*Transaction[[#This Row],[UnitPrice_Clean]]=Transaction[[#This Row],[NetRevenue_Clean]],"Valid","Invalid")</f>
        <v>Valid</v>
      </c>
      <c r="AI775" t="s">
        <v>23</v>
      </c>
      <c r="AJ775" t="s">
        <v>1701</v>
      </c>
      <c r="AK775" t="str">
        <f>IF(Transaction[[#This Row],[Salesperson]]="","Missing Value",TRIM(PROPER(Transaction[[#This Row],[Salesperson]])))</f>
        <v>Berry</v>
      </c>
      <c r="AL775" t="s">
        <v>55</v>
      </c>
      <c r="AM775" t="str">
        <f>IF(Transaction[[#This Row],[ContractType]]="","Missing Value",Transaction[[#This Row],[ContractType]])</f>
        <v>Spot</v>
      </c>
      <c r="AN775" t="s">
        <v>49</v>
      </c>
    </row>
    <row r="776" spans="1:40" x14ac:dyDescent="0.25">
      <c r="A776" t="s">
        <v>2432</v>
      </c>
      <c r="B776" s="1">
        <v>45681</v>
      </c>
      <c r="C77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77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77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76" s="2">
        <f>IFERROR(DATE(Transaction[[#This Row],[TransactionDateY]],Transaction[[#This Row],[TransactionDateM]],Transaction[[#This Row],[TransactionDateD]]),"Missing Value")</f>
        <v>45681</v>
      </c>
      <c r="G776" t="s">
        <v>916</v>
      </c>
      <c r="H776" t="str">
        <f>IFERROR(VLOOKUP(Transaction[[#This Row],[CustomerID]],Custumer[],1,0),IF(LEN(Transaction[[#This Row],[CustomerID]])=7,LEFT(Transaction[[#This Row],[CustomerID]],6),"Invalid ID"))</f>
        <v>C-1106</v>
      </c>
      <c r="I776" t="s">
        <v>92</v>
      </c>
      <c r="J776" t="str">
        <f>TRIM(UPPER(Transaction[[#This Row],[ProductID]]))</f>
        <v>P-SI-008</v>
      </c>
      <c r="K776" t="str">
        <f>IFERROR(VLOOKUP(Transaction[[#This Row],[ProductID_Clean]],Product[],1,FALSE),"Invalid ID")</f>
        <v>P-SI-008</v>
      </c>
      <c r="L776" t="str">
        <f>TRIM(SUBSTITUTE(SUBSTITUTE(SUBSTITUTE(SUBSTITUTE(UPPER(Transaction[[#This Row],[Region]]),"EMEA REGION","EMEA"),"APAC REGION","APAC"),"NORTH AMERICA","N. AMERICA"),"N .AMERICA","N.AMERICA"))</f>
        <v>N. AMERICA</v>
      </c>
      <c r="M776" t="s">
        <v>20</v>
      </c>
      <c r="N776" t="s">
        <v>53</v>
      </c>
      <c r="O77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76" t="s">
        <v>77</v>
      </c>
      <c r="Q776" t="str">
        <f>IF(TRIM(Transaction[[#This Row],[SalesChannel]])="","Missing Value",TRIM(Transaction[[#This Row],[SalesChannel]]))</f>
        <v>distributor</v>
      </c>
      <c r="R776" s="4">
        <v>1</v>
      </c>
      <c r="S776" s="4" t="str">
        <f>IF(Transaction[[#This Row],[Quantity]]&lt;0,"Negative-review","Valid")</f>
        <v>Valid</v>
      </c>
      <c r="T776">
        <v>750.61</v>
      </c>
      <c r="U77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750.61</v>
      </c>
      <c r="V776">
        <v>950</v>
      </c>
      <c r="W776">
        <v>950</v>
      </c>
      <c r="X77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776">
        <f>IF(Transaction[[#This Row],[GrossRevenue_Check]]="Invalid",Transaction[[#This Row],[ListPrice]]*Transaction[[#This Row],[Quantity]],Transaction[[#This Row],[GrossRevenue_Clean]])</f>
        <v>950</v>
      </c>
      <c r="Z776" t="str">
        <f>IF(Transaction[[#This Row],[GrossRevenue_Clean]]=Transaction[[#This Row],[ListPrice]]*Transaction[[#This Row],[Quantity]],"Valid","Invalid")</f>
        <v>Valid</v>
      </c>
      <c r="AA776">
        <v>199.39</v>
      </c>
      <c r="AB77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199.39</v>
      </c>
      <c r="AC776">
        <f>IF(Transaction[[#This Row],[DiscountAmount_Check2]]="Invalid",Transaction[[#This Row],[GrossRevenue_Analytical]]-Transaction[[#This Row],[NetRevenue_Analytical]],Transaction[[#This Row],[DiscountAmount_Clean]])</f>
        <v>199.39</v>
      </c>
      <c r="AD776">
        <v>750.61</v>
      </c>
      <c r="AE776" t="str">
        <f>IF(ROUND(Transaction[[#This Row],[GrossRevenue_Analytical]]-Transaction[[#This Row],[NetRevenue_Analytical]],2)=ROUND(Transaction[[#This Row],[DiscountAmount_Clean]],2),"Valid","Invalid")</f>
        <v>Valid</v>
      </c>
      <c r="AF776">
        <f>VALUE(IF(ISNUMBER(Transaction[[#This Row],[NetRevenue]]),Transaction[[#This Row],[NetRevenue]],IFERROR(IF(FIND("$",Transaction[[#This Row],[NetRevenue]])&gt;0,MID(Transaction[[#This Row],[NetRevenue]],2,10)),Transaction[[#This Row],[NetRevenue]])))</f>
        <v>750.61</v>
      </c>
      <c r="AG776">
        <f>IF(Transaction[[#This Row],[NetRevenue_Check]]="Invalid",(Transaction[[#This Row],[Quantity]]*Transaction[[#This Row],[UnitPrice_Clean]]),Transaction[[#This Row],[NetRevenue_Clean]])</f>
        <v>750.61</v>
      </c>
      <c r="AH776" t="str">
        <f>IF(Transaction[[#This Row],[Quantity]]*Transaction[[#This Row],[UnitPrice_Clean]]=Transaction[[#This Row],[NetRevenue_Clean]],"Valid","Invalid")</f>
        <v>Valid</v>
      </c>
      <c r="AI776" t="s">
        <v>23</v>
      </c>
      <c r="AJ776" t="s">
        <v>2433</v>
      </c>
      <c r="AK776" t="str">
        <f>IF(Transaction[[#This Row],[Salesperson]]="","Missing Value",TRIM(PROPER(Transaction[[#This Row],[Salesperson]])))</f>
        <v>Green-Na</v>
      </c>
      <c r="AL776" t="s">
        <v>55</v>
      </c>
      <c r="AM776" t="str">
        <f>IF(Transaction[[#This Row],[ContractType]]="","Missing Value",Transaction[[#This Row],[ContractType]])</f>
        <v>Spot</v>
      </c>
      <c r="AN776" t="s">
        <v>43</v>
      </c>
    </row>
    <row r="777" spans="1:40" x14ac:dyDescent="0.25">
      <c r="A777" t="s">
        <v>2014</v>
      </c>
      <c r="B777" s="1">
        <v>45787</v>
      </c>
      <c r="C77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77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77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77" s="2">
        <f>IFERROR(DATE(Transaction[[#This Row],[TransactionDateY]],Transaction[[#This Row],[TransactionDateM]],Transaction[[#This Row],[TransactionDateD]]),"Missing Value")</f>
        <v>45787</v>
      </c>
      <c r="G777" t="s">
        <v>250</v>
      </c>
      <c r="H777" t="str">
        <f>IFERROR(VLOOKUP(Transaction[[#This Row],[CustomerID]],Custumer[],1,0),IF(LEN(Transaction[[#This Row],[CustomerID]])=7,LEFT(Transaction[[#This Row],[CustomerID]],6),"Invalid ID"))</f>
        <v>C-1043</v>
      </c>
      <c r="I777" t="s">
        <v>62</v>
      </c>
      <c r="J777" t="str">
        <f>TRIM(UPPER(Transaction[[#This Row],[ProductID]]))</f>
        <v>P-SI-004</v>
      </c>
      <c r="K777" t="str">
        <f>IFERROR(VLOOKUP(Transaction[[#This Row],[ProductID_Clean]],Product[],1,FALSE),"Invalid ID")</f>
        <v>P-SI-004</v>
      </c>
      <c r="L777" t="str">
        <f>TRIM(SUBSTITUTE(SUBSTITUTE(SUBSTITUTE(SUBSTITUTE(UPPER(Transaction[[#This Row],[Region]]),"EMEA REGION","EMEA"),"APAC REGION","APAC"),"NORTH AMERICA","N. AMERICA"),"N .AMERICA","N.AMERICA"))</f>
        <v>EMEA</v>
      </c>
      <c r="M777" t="s">
        <v>76</v>
      </c>
      <c r="N777" t="s">
        <v>272</v>
      </c>
      <c r="O77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77" t="s">
        <v>181</v>
      </c>
      <c r="Q777" t="str">
        <f>IF(TRIM(Transaction[[#This Row],[SalesChannel]])="","Missing Value",TRIM(Transaction[[#This Row],[SalesChannel]]))</f>
        <v>Partner Portal</v>
      </c>
      <c r="R777" s="4">
        <v>1</v>
      </c>
      <c r="S777" s="4" t="str">
        <f>IF(Transaction[[#This Row],[Quantity]]&lt;0,"Negative-review","Valid")</f>
        <v>Valid</v>
      </c>
      <c r="T777">
        <v>2302.29</v>
      </c>
      <c r="U77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2302.29</v>
      </c>
      <c r="V777">
        <v>2450</v>
      </c>
      <c r="W777">
        <v>2450</v>
      </c>
      <c r="X77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777">
        <f>IF(Transaction[[#This Row],[GrossRevenue_Check]]="Invalid",Transaction[[#This Row],[ListPrice]]*Transaction[[#This Row],[Quantity]],Transaction[[#This Row],[GrossRevenue_Clean]])</f>
        <v>2450</v>
      </c>
      <c r="Z777" t="str">
        <f>IF(Transaction[[#This Row],[GrossRevenue_Clean]]=Transaction[[#This Row],[ListPrice]]*Transaction[[#This Row],[Quantity]],"Valid","Invalid")</f>
        <v>Valid</v>
      </c>
      <c r="AA777">
        <v>147.71</v>
      </c>
      <c r="AB77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147.71</v>
      </c>
      <c r="AC777">
        <f>IF(Transaction[[#This Row],[DiscountAmount_Check2]]="Invalid",Transaction[[#This Row],[GrossRevenue_Analytical]]-Transaction[[#This Row],[NetRevenue_Analytical]],Transaction[[#This Row],[DiscountAmount_Clean]])</f>
        <v>147.71</v>
      </c>
      <c r="AD777">
        <v>2302.29</v>
      </c>
      <c r="AE777" t="str">
        <f>IF(ROUND(Transaction[[#This Row],[GrossRevenue_Analytical]]-Transaction[[#This Row],[NetRevenue_Analytical]],2)=ROUND(Transaction[[#This Row],[DiscountAmount_Clean]],2),"Valid","Invalid")</f>
        <v>Valid</v>
      </c>
      <c r="AF777">
        <f>VALUE(IF(ISNUMBER(Transaction[[#This Row],[NetRevenue]]),Transaction[[#This Row],[NetRevenue]],IFERROR(IF(FIND("$",Transaction[[#This Row],[NetRevenue]])&gt;0,MID(Transaction[[#This Row],[NetRevenue]],2,10)),Transaction[[#This Row],[NetRevenue]])))</f>
        <v>2302.29</v>
      </c>
      <c r="AG777">
        <f>IF(Transaction[[#This Row],[NetRevenue_Check]]="Invalid",(Transaction[[#This Row],[Quantity]]*Transaction[[#This Row],[UnitPrice_Clean]]),Transaction[[#This Row],[NetRevenue_Clean]])</f>
        <v>2302.29</v>
      </c>
      <c r="AH777" t="str">
        <f>IF(Transaction[[#This Row],[Quantity]]*Transaction[[#This Row],[UnitPrice_Clean]]=Transaction[[#This Row],[NetRevenue_Clean]],"Valid","Invalid")</f>
        <v>Valid</v>
      </c>
      <c r="AI777" t="s">
        <v>23</v>
      </c>
      <c r="AJ777" t="s">
        <v>2015</v>
      </c>
      <c r="AK777" t="str">
        <f>IF(Transaction[[#This Row],[Salesperson]]="","Missing Value",TRIM(PROPER(Transaction[[#This Row],[Salesperson]])))</f>
        <v>Ward-Na</v>
      </c>
      <c r="AL777" t="s">
        <v>42</v>
      </c>
      <c r="AM777" t="str">
        <f>IF(Transaction[[#This Row],[ContractType]]="","Missing Value",Transaction[[#This Row],[ContractType]])</f>
        <v>Standard PO</v>
      </c>
      <c r="AN777" t="s">
        <v>35</v>
      </c>
    </row>
    <row r="778" spans="1:40" x14ac:dyDescent="0.25">
      <c r="A778" t="s">
        <v>2065</v>
      </c>
      <c r="B778" t="s">
        <v>2066</v>
      </c>
      <c r="C77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77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77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78" s="2">
        <f>IFERROR(DATE(Transaction[[#This Row],[TransactionDateY]],Transaction[[#This Row],[TransactionDateM]],Transaction[[#This Row],[TransactionDateD]]),"Missing Value")</f>
        <v>45767</v>
      </c>
      <c r="G778" t="s">
        <v>1023</v>
      </c>
      <c r="H778" t="str">
        <f>IFERROR(VLOOKUP(Transaction[[#This Row],[CustomerID]],Custumer[],1,0),IF(LEN(Transaction[[#This Row],[CustomerID]])=7,LEFT(Transaction[[#This Row],[CustomerID]],6),"Invalid ID"))</f>
        <v>C-1122</v>
      </c>
      <c r="I778" t="s">
        <v>92</v>
      </c>
      <c r="J778" t="str">
        <f>TRIM(UPPER(Transaction[[#This Row],[ProductID]]))</f>
        <v>P-SI-008</v>
      </c>
      <c r="K778" t="str">
        <f>IFERROR(VLOOKUP(Transaction[[#This Row],[ProductID_Clean]],Product[],1,FALSE),"Invalid ID")</f>
        <v>P-SI-008</v>
      </c>
      <c r="L778" t="str">
        <f>TRIM(SUBSTITUTE(SUBSTITUTE(SUBSTITUTE(SUBSTITUTE(UPPER(Transaction[[#This Row],[Region]]),"EMEA REGION","EMEA"),"APAC REGION","APAC"),"NORTH AMERICA","N. AMERICA"),"N .AMERICA","N.AMERICA"))</f>
        <v>N. AMERICA</v>
      </c>
      <c r="M778" t="s">
        <v>204</v>
      </c>
      <c r="N778" t="s">
        <v>53</v>
      </c>
      <c r="O77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78" t="s">
        <v>22</v>
      </c>
      <c r="Q778" t="str">
        <f>IF(TRIM(Transaction[[#This Row],[SalesChannel]])="","Missing Value",TRIM(Transaction[[#This Row],[SalesChannel]]))</f>
        <v>Direct</v>
      </c>
      <c r="R778" s="4">
        <v>3</v>
      </c>
      <c r="S778" s="4" t="str">
        <f>IF(Transaction[[#This Row],[Quantity]]&lt;0,"Negative-review","Valid")</f>
        <v>Valid</v>
      </c>
      <c r="T778">
        <v>817.13</v>
      </c>
      <c r="U77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817.13</v>
      </c>
      <c r="V778">
        <v>950</v>
      </c>
      <c r="W778">
        <v>2850</v>
      </c>
      <c r="X77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2850</v>
      </c>
      <c r="Y778">
        <f>IF(Transaction[[#This Row],[GrossRevenue_Check]]="Invalid",Transaction[[#This Row],[ListPrice]]*Transaction[[#This Row],[Quantity]],Transaction[[#This Row],[GrossRevenue_Clean]])</f>
        <v>2850</v>
      </c>
      <c r="Z778" t="str">
        <f>IF(Transaction[[#This Row],[GrossRevenue_Clean]]=Transaction[[#This Row],[ListPrice]]*Transaction[[#This Row],[Quantity]],"Valid","Invalid")</f>
        <v>Valid</v>
      </c>
      <c r="AB77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778">
        <f>IF(Transaction[[#This Row],[DiscountAmount_Check2]]="Invalid",Transaction[[#This Row],[GrossRevenue_Analytical]]-Transaction[[#This Row],[NetRevenue_Analytical]],Transaction[[#This Row],[DiscountAmount_Clean]])</f>
        <v>398.61000000000013</v>
      </c>
      <c r="AD778">
        <v>2451.39</v>
      </c>
      <c r="AE778" t="str">
        <f>IF(ROUND(Transaction[[#This Row],[GrossRevenue_Analytical]]-Transaction[[#This Row],[NetRevenue_Analytical]],2)=ROUND(Transaction[[#This Row],[DiscountAmount_Clean]],2),"Valid","Invalid")</f>
        <v>Invalid</v>
      </c>
      <c r="AF77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2451.39</v>
      </c>
      <c r="AG778">
        <f>IF(Transaction[[#This Row],[NetRevenue_Check]]="Invalid",(Transaction[[#This Row],[Quantity]]*Transaction[[#This Row],[UnitPrice_Clean]]),Transaction[[#This Row],[NetRevenue_Clean]])</f>
        <v>2451.39</v>
      </c>
      <c r="AH778" t="str">
        <f>IF(Transaction[[#This Row],[Quantity]]*Transaction[[#This Row],[UnitPrice_Clean]]=Transaction[[#This Row],[NetRevenue_Clean]],"Valid","Invalid")</f>
        <v>Valid</v>
      </c>
      <c r="AI778" t="s">
        <v>23</v>
      </c>
      <c r="AJ778" t="s">
        <v>2067</v>
      </c>
      <c r="AK778" t="str">
        <f>IF(Transaction[[#This Row],[Salesperson]]="","Missing Value",TRIM(PROPER(Transaction[[#This Row],[Salesperson]])))</f>
        <v>Lambert</v>
      </c>
      <c r="AL778" t="s">
        <v>42</v>
      </c>
      <c r="AM778" t="str">
        <f>IF(Transaction[[#This Row],[ContractType]]="","Missing Value",Transaction[[#This Row],[ContractType]])</f>
        <v>Standard PO</v>
      </c>
      <c r="AN778" t="s">
        <v>43</v>
      </c>
    </row>
    <row r="779" spans="1:40" x14ac:dyDescent="0.25">
      <c r="A779" t="s">
        <v>3004</v>
      </c>
      <c r="B779" s="1">
        <v>45807</v>
      </c>
      <c r="C77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77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77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79" s="2">
        <f>IFERROR(DATE(Transaction[[#This Row],[TransactionDateY]],Transaction[[#This Row],[TransactionDateM]],Transaction[[#This Row],[TransactionDateD]]),"Missing Value")</f>
        <v>45807</v>
      </c>
      <c r="G779" t="s">
        <v>146</v>
      </c>
      <c r="H779" t="str">
        <f>IFERROR(VLOOKUP(Transaction[[#This Row],[CustomerID]],Custumer[],1,0),IF(LEN(Transaction[[#This Row],[CustomerID]])=7,LEFT(Transaction[[#This Row],[CustomerID]],6),"Invalid ID"))</f>
        <v>C-1095</v>
      </c>
      <c r="I779" t="s">
        <v>71</v>
      </c>
      <c r="J779" t="str">
        <f>TRIM(UPPER(Transaction[[#This Row],[ProductID]]))</f>
        <v>P-SI-003</v>
      </c>
      <c r="K779" t="str">
        <f>IFERROR(VLOOKUP(Transaction[[#This Row],[ProductID_Clean]],Product[],1,FALSE),"Invalid ID")</f>
        <v>P-SI-003</v>
      </c>
      <c r="L779" t="str">
        <f>TRIM(SUBSTITUTE(SUBSTITUTE(SUBSTITUTE(SUBSTITUTE(UPPER(Transaction[[#This Row],[Region]]),"EMEA REGION","EMEA"),"APAC REGION","APAC"),"NORTH AMERICA","N. AMERICA"),"N .AMERICA","N.AMERICA"))</f>
        <v>LATIN AMERICA</v>
      </c>
      <c r="M779" t="s">
        <v>82</v>
      </c>
      <c r="N779" t="s">
        <v>53</v>
      </c>
      <c r="O77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79" t="s">
        <v>40</v>
      </c>
      <c r="Q779" t="str">
        <f>IF(TRIM(Transaction[[#This Row],[SalesChannel]])="","Missing Value",TRIM(Transaction[[#This Row],[SalesChannel]]))</f>
        <v>Distributor</v>
      </c>
      <c r="R779" s="4">
        <v>12</v>
      </c>
      <c r="S779" s="4" t="str">
        <f>IF(Transaction[[#This Row],[Quantity]]&lt;0,"Negative-review","Valid")</f>
        <v>Valid</v>
      </c>
      <c r="T779">
        <v>1272.17</v>
      </c>
      <c r="U77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1272.17</v>
      </c>
      <c r="V779">
        <v>1890</v>
      </c>
      <c r="W779">
        <v>22680</v>
      </c>
      <c r="X77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22680</v>
      </c>
      <c r="Y779">
        <f>IF(Transaction[[#This Row],[GrossRevenue_Check]]="Invalid",Transaction[[#This Row],[ListPrice]]*Transaction[[#This Row],[Quantity]],Transaction[[#This Row],[GrossRevenue_Clean]])</f>
        <v>22680</v>
      </c>
      <c r="Z779" t="str">
        <f>IF(Transaction[[#This Row],[GrossRevenue_Clean]]=Transaction[[#This Row],[ListPrice]]*Transaction[[#This Row],[Quantity]],"Valid","Invalid")</f>
        <v>Valid</v>
      </c>
      <c r="AA779">
        <v>7413.96</v>
      </c>
      <c r="AB77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7413.96</v>
      </c>
      <c r="AC779">
        <f>IF(Transaction[[#This Row],[DiscountAmount_Check2]]="Invalid",Transaction[[#This Row],[GrossRevenue_Analytical]]-Transaction[[#This Row],[NetRevenue_Analytical]],Transaction[[#This Row],[DiscountAmount_Clean]])</f>
        <v>7413.96</v>
      </c>
      <c r="AD779">
        <v>15266.04</v>
      </c>
      <c r="AE779" t="str">
        <f>IF(ROUND(Transaction[[#This Row],[GrossRevenue_Analytical]]-Transaction[[#This Row],[NetRevenue_Analytical]],2)=ROUND(Transaction[[#This Row],[DiscountAmount_Clean]],2),"Valid","Invalid")</f>
        <v>Valid</v>
      </c>
      <c r="AF77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15266.04</v>
      </c>
      <c r="AG779">
        <f>IF(Transaction[[#This Row],[NetRevenue_Check]]="Invalid",(Transaction[[#This Row],[Quantity]]*Transaction[[#This Row],[UnitPrice_Clean]]),Transaction[[#This Row],[NetRevenue_Clean]])</f>
        <v>15266.04</v>
      </c>
      <c r="AH779" t="str">
        <f>IF(Transaction[[#This Row],[Quantity]]*Transaction[[#This Row],[UnitPrice_Clean]]=Transaction[[#This Row],[NetRevenue_Clean]],"Valid","Invalid")</f>
        <v>Valid</v>
      </c>
      <c r="AI779" t="s">
        <v>23</v>
      </c>
      <c r="AJ779" t="s">
        <v>3005</v>
      </c>
      <c r="AK779" t="str">
        <f>IF(Transaction[[#This Row],[Salesperson]]="","Missing Value",TRIM(PROPER(Transaction[[#This Row],[Salesperson]])))</f>
        <v>Contreras</v>
      </c>
      <c r="AL779" t="s">
        <v>25</v>
      </c>
      <c r="AM779" t="str">
        <f>IF(Transaction[[#This Row],[ContractType]]="","Missing Value",Transaction[[#This Row],[ContractType]])</f>
        <v>Frame Agreement</v>
      </c>
      <c r="AN779" t="s">
        <v>49</v>
      </c>
    </row>
    <row r="780" spans="1:40" x14ac:dyDescent="0.25">
      <c r="A780" t="s">
        <v>608</v>
      </c>
      <c r="B780" t="s">
        <v>609</v>
      </c>
      <c r="C78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78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78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80" s="2">
        <f>IFERROR(DATE(Transaction[[#This Row],[TransactionDateY]],Transaction[[#This Row],[TransactionDateM]],Transaction[[#This Row],[TransactionDateD]]),"Missing Value")</f>
        <v>45730</v>
      </c>
      <c r="G780" t="s">
        <v>610</v>
      </c>
      <c r="H780" t="str">
        <f>IFERROR(VLOOKUP(Transaction[[#This Row],[CustomerID]],Custumer[],1,0),IF(LEN(Transaction[[#This Row],[CustomerID]])=7,LEFT(Transaction[[#This Row],[CustomerID]],6),"Invalid ID"))</f>
        <v>C-1156</v>
      </c>
      <c r="I780" t="s">
        <v>19</v>
      </c>
      <c r="J780" t="str">
        <f>TRIM(UPPER(Transaction[[#This Row],[ProductID]]))</f>
        <v>P-FS-004</v>
      </c>
      <c r="K780" t="str">
        <f>IFERROR(VLOOKUP(Transaction[[#This Row],[ProductID_Clean]],Product[],1,FALSE),"Invalid ID")</f>
        <v>P-FS-004</v>
      </c>
      <c r="L780" t="str">
        <f>TRIM(SUBSTITUTE(SUBSTITUTE(SUBSTITUTE(SUBSTITUTE(UPPER(Transaction[[#This Row],[Region]]),"EMEA REGION","EMEA"),"APAC REGION","APAC"),"NORTH AMERICA","N. AMERICA"),"N .AMERICA","N.AMERICA"))</f>
        <v>N. AMERICA</v>
      </c>
      <c r="M780" t="s">
        <v>20</v>
      </c>
      <c r="N780" t="s">
        <v>21</v>
      </c>
      <c r="O780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780" t="s">
        <v>22</v>
      </c>
      <c r="Q780" t="str">
        <f>IF(TRIM(Transaction[[#This Row],[SalesChannel]])="","Missing Value",TRIM(Transaction[[#This Row],[SalesChannel]]))</f>
        <v>Direct</v>
      </c>
      <c r="R780" s="4">
        <v>1</v>
      </c>
      <c r="S780" s="4" t="str">
        <f>IF(Transaction[[#This Row],[Quantity]]&lt;0,"Negative-review","Valid")</f>
        <v>Valid</v>
      </c>
      <c r="T780">
        <v>3019.84</v>
      </c>
      <c r="U78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3019.84</v>
      </c>
      <c r="V780">
        <v>3200</v>
      </c>
      <c r="W780">
        <v>3200</v>
      </c>
      <c r="X78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780">
        <f>IF(Transaction[[#This Row],[GrossRevenue_Check]]="Invalid",Transaction[[#This Row],[ListPrice]]*Transaction[[#This Row],[Quantity]],Transaction[[#This Row],[GrossRevenue_Clean]])</f>
        <v>3200</v>
      </c>
      <c r="Z780" t="str">
        <f>IF(Transaction[[#This Row],[GrossRevenue_Clean]]=Transaction[[#This Row],[ListPrice]]*Transaction[[#This Row],[Quantity]],"Valid","Invalid")</f>
        <v>Valid</v>
      </c>
      <c r="AA780">
        <v>180.16</v>
      </c>
      <c r="AB78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180.16</v>
      </c>
      <c r="AC780">
        <f>IF(Transaction[[#This Row],[DiscountAmount_Check2]]="Invalid",Transaction[[#This Row],[GrossRevenue_Analytical]]-Transaction[[#This Row],[NetRevenue_Analytical]],Transaction[[#This Row],[DiscountAmount_Clean]])</f>
        <v>180.16</v>
      </c>
      <c r="AD780">
        <v>3019.84</v>
      </c>
      <c r="AE780" t="str">
        <f>IF(ROUND(Transaction[[#This Row],[GrossRevenue_Analytical]]-Transaction[[#This Row],[NetRevenue_Analytical]],2)=ROUND(Transaction[[#This Row],[DiscountAmount_Clean]],2),"Valid","Invalid")</f>
        <v>Valid</v>
      </c>
      <c r="AF780">
        <f>VALUE(IF(ISNUMBER(Transaction[[#This Row],[NetRevenue]]),Transaction[[#This Row],[NetRevenue]],IFERROR(IF(FIND("$",Transaction[[#This Row],[NetRevenue]])&gt;0,MID(Transaction[[#This Row],[NetRevenue]],2,10)),Transaction[[#This Row],[NetRevenue]])))</f>
        <v>3019.84</v>
      </c>
      <c r="AG780">
        <f>IF(Transaction[[#This Row],[NetRevenue_Check]]="Invalid",(Transaction[[#This Row],[Quantity]]*Transaction[[#This Row],[UnitPrice_Clean]]),Transaction[[#This Row],[NetRevenue_Clean]])</f>
        <v>3019.84</v>
      </c>
      <c r="AH780" t="str">
        <f>IF(Transaction[[#This Row],[Quantity]]*Transaction[[#This Row],[UnitPrice_Clean]]=Transaction[[#This Row],[NetRevenue_Clean]],"Valid","Invalid")</f>
        <v>Valid</v>
      </c>
      <c r="AI780" t="s">
        <v>23</v>
      </c>
      <c r="AJ780" t="s">
        <v>611</v>
      </c>
      <c r="AK780" t="str">
        <f>IF(Transaction[[#This Row],[Salesperson]]="","Missing Value",TRIM(PROPER(Transaction[[#This Row],[Salesperson]])))</f>
        <v>Marshall-Na</v>
      </c>
      <c r="AL780" t="s">
        <v>42</v>
      </c>
      <c r="AM780" t="str">
        <f>IF(Transaction[[#This Row],[ContractType]]="","Missing Value",Transaction[[#This Row],[ContractType]])</f>
        <v>Standard PO</v>
      </c>
      <c r="AN780" t="s">
        <v>49</v>
      </c>
    </row>
    <row r="781" spans="1:40" x14ac:dyDescent="0.25">
      <c r="A781" t="s">
        <v>341</v>
      </c>
      <c r="B781" s="1">
        <v>45810</v>
      </c>
      <c r="C78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78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78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81" s="2">
        <f>IFERROR(DATE(Transaction[[#This Row],[TransactionDateY]],Transaction[[#This Row],[TransactionDateM]],Transaction[[#This Row],[TransactionDateD]]),"Missing Value")</f>
        <v>45810</v>
      </c>
      <c r="G781" t="s">
        <v>153</v>
      </c>
      <c r="H781" t="str">
        <f>IFERROR(VLOOKUP(Transaction[[#This Row],[CustomerID]],Custumer[],1,0),IF(LEN(Transaction[[#This Row],[CustomerID]])=7,LEFT(Transaction[[#This Row],[CustomerID]],6),"Invalid ID"))</f>
        <v>C-1161</v>
      </c>
      <c r="I781" t="s">
        <v>52</v>
      </c>
      <c r="J781" t="str">
        <f>TRIM(UPPER(Transaction[[#This Row],[ProductID]]))</f>
        <v>P-SI-002</v>
      </c>
      <c r="K781" t="str">
        <f>IFERROR(VLOOKUP(Transaction[[#This Row],[ProductID_Clean]],Product[],1,FALSE),"Invalid ID")</f>
        <v>P-SI-002</v>
      </c>
      <c r="L781" t="str">
        <f>TRIM(SUBSTITUTE(SUBSTITUTE(SUBSTITUTE(SUBSTITUTE(UPPER(Transaction[[#This Row],[Region]]),"EMEA REGION","EMEA"),"APAC REGION","APAC"),"NORTH AMERICA","N. AMERICA"),"N .AMERICA","N.AMERICA"))</f>
        <v>N. AMERICA</v>
      </c>
      <c r="M781" t="s">
        <v>168</v>
      </c>
      <c r="N781" t="s">
        <v>53</v>
      </c>
      <c r="O78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81" t="s">
        <v>77</v>
      </c>
      <c r="Q781" t="str">
        <f>IF(TRIM(Transaction[[#This Row],[SalesChannel]])="","Missing Value",TRIM(Transaction[[#This Row],[SalesChannel]]))</f>
        <v>distributor</v>
      </c>
      <c r="R781" s="4">
        <v>3</v>
      </c>
      <c r="S781" s="4" t="str">
        <f>IF(Transaction[[#This Row],[Quantity]]&lt;0,"Negative-review","Valid")</f>
        <v>Valid</v>
      </c>
      <c r="T781">
        <v>643.54</v>
      </c>
      <c r="U78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643.54</v>
      </c>
      <c r="V781">
        <v>725</v>
      </c>
      <c r="W781">
        <v>2175</v>
      </c>
      <c r="X78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2175</v>
      </c>
      <c r="Y781">
        <f>IF(Transaction[[#This Row],[GrossRevenue_Check]]="Invalid",Transaction[[#This Row],[ListPrice]]*Transaction[[#This Row],[Quantity]],Transaction[[#This Row],[GrossRevenue_Clean]])</f>
        <v>2175</v>
      </c>
      <c r="Z781" t="str">
        <f>IF(Transaction[[#This Row],[GrossRevenue_Clean]]=Transaction[[#This Row],[ListPrice]]*Transaction[[#This Row],[Quantity]],"Valid","Invalid")</f>
        <v>Valid</v>
      </c>
      <c r="AA781">
        <v>244.38</v>
      </c>
      <c r="AB78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244.38</v>
      </c>
      <c r="AC781">
        <f>IF(Transaction[[#This Row],[DiscountAmount_Check2]]="Invalid",Transaction[[#This Row],[GrossRevenue_Analytical]]-Transaction[[#This Row],[NetRevenue_Analytical]],Transaction[[#This Row],[DiscountAmount_Clean]])</f>
        <v>244.38</v>
      </c>
      <c r="AD781">
        <v>1930.62</v>
      </c>
      <c r="AE781" t="str">
        <f>IF(ROUND(Transaction[[#This Row],[GrossRevenue_Analytical]]-Transaction[[#This Row],[NetRevenue_Analytical]],2)=ROUND(Transaction[[#This Row],[DiscountAmount_Clean]],2),"Valid","Invalid")</f>
        <v>Valid</v>
      </c>
      <c r="AF78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1930.62</v>
      </c>
      <c r="AG781">
        <f>IF(Transaction[[#This Row],[NetRevenue_Check]]="Invalid",(Transaction[[#This Row],[Quantity]]*Transaction[[#This Row],[UnitPrice_Clean]]),Transaction[[#This Row],[NetRevenue_Clean]])</f>
        <v>1930.62</v>
      </c>
      <c r="AH781" t="str">
        <f>IF(Transaction[[#This Row],[Quantity]]*Transaction[[#This Row],[UnitPrice_Clean]]=Transaction[[#This Row],[NetRevenue_Clean]],"Valid","Invalid")</f>
        <v>Valid</v>
      </c>
      <c r="AI781" t="s">
        <v>23</v>
      </c>
      <c r="AJ781" t="s">
        <v>342</v>
      </c>
      <c r="AK781" t="str">
        <f>IF(Transaction[[#This Row],[Salesperson]]="","Missing Value",TRIM(PROPER(Transaction[[#This Row],[Salesperson]])))</f>
        <v>Moore-Ap</v>
      </c>
      <c r="AL781" t="s">
        <v>42</v>
      </c>
      <c r="AM781" t="str">
        <f>IF(Transaction[[#This Row],[ContractType]]="","Missing Value",Transaction[[#This Row],[ContractType]])</f>
        <v>Standard PO</v>
      </c>
      <c r="AN781" t="s">
        <v>35</v>
      </c>
    </row>
    <row r="782" spans="1:40" x14ac:dyDescent="0.25">
      <c r="A782" t="s">
        <v>2903</v>
      </c>
      <c r="C78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78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78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782" s="2" t="str">
        <f>IFERROR(DATE(Transaction[[#This Row],[TransactionDateY]],Transaction[[#This Row],[TransactionDateM]],Transaction[[#This Row],[TransactionDateD]]),"Missing Value")</f>
        <v>Missing Value</v>
      </c>
      <c r="G782" t="s">
        <v>1015</v>
      </c>
      <c r="H782" t="str">
        <f>IFERROR(VLOOKUP(Transaction[[#This Row],[CustomerID]],Custumer[],1,0),IF(LEN(Transaction[[#This Row],[CustomerID]])=7,LEFT(Transaction[[#This Row],[CustomerID]],6),"Invalid ID"))</f>
        <v>C-1012</v>
      </c>
      <c r="I782" t="s">
        <v>46</v>
      </c>
      <c r="J782" t="str">
        <f>TRIM(UPPER(Transaction[[#This Row],[ProductID]]))</f>
        <v>P-SI-006</v>
      </c>
      <c r="K782" t="str">
        <f>IFERROR(VLOOKUP(Transaction[[#This Row],[ProductID_Clean]],Product[],1,FALSE),"Invalid ID")</f>
        <v>P-SI-006</v>
      </c>
      <c r="L782" t="str">
        <f>TRIM(SUBSTITUTE(SUBSTITUTE(SUBSTITUTE(SUBSTITUTE(UPPER(Transaction[[#This Row],[Region]]),"EMEA REGION","EMEA"),"APAC REGION","APAC"),"NORTH AMERICA","N. AMERICA"),"N .AMERICA","N.AMERICA"))</f>
        <v>N. AMERICA</v>
      </c>
      <c r="M782" t="s">
        <v>20</v>
      </c>
      <c r="N782" t="s">
        <v>53</v>
      </c>
      <c r="O78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82" t="s">
        <v>40</v>
      </c>
      <c r="Q782" t="str">
        <f>IF(TRIM(Transaction[[#This Row],[SalesChannel]])="","Missing Value",TRIM(Transaction[[#This Row],[SalesChannel]]))</f>
        <v>Distributor</v>
      </c>
      <c r="R782" s="4">
        <v>8</v>
      </c>
      <c r="S782" s="4" t="str">
        <f>IF(Transaction[[#This Row],[Quantity]]&lt;0,"Negative-review","Valid")</f>
        <v>Valid</v>
      </c>
      <c r="T782">
        <v>161.41999999999999</v>
      </c>
      <c r="U78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161.41999999999999</v>
      </c>
      <c r="V782">
        <v>215</v>
      </c>
      <c r="W782">
        <v>1720</v>
      </c>
      <c r="X78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1720</v>
      </c>
      <c r="Y782">
        <f>IF(Transaction[[#This Row],[GrossRevenue_Check]]="Invalid",Transaction[[#This Row],[ListPrice]]*Transaction[[#This Row],[Quantity]],Transaction[[#This Row],[GrossRevenue_Clean]])</f>
        <v>1720</v>
      </c>
      <c r="Z782" t="str">
        <f>IF(Transaction[[#This Row],[GrossRevenue_Clean]]=Transaction[[#This Row],[ListPrice]]*Transaction[[#This Row],[Quantity]],"Valid","Invalid")</f>
        <v>Valid</v>
      </c>
      <c r="AA782" t="s">
        <v>2904</v>
      </c>
      <c r="AB78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428.64</v>
      </c>
      <c r="AC782">
        <f>IF(Transaction[[#This Row],[DiscountAmount_Check2]]="Invalid",Transaction[[#This Row],[GrossRevenue_Analytical]]-Transaction[[#This Row],[NetRevenue_Analytical]],Transaction[[#This Row],[DiscountAmount_Clean]])</f>
        <v>428.64</v>
      </c>
      <c r="AD782">
        <v>1291.3599999999999</v>
      </c>
      <c r="AE782" t="str">
        <f>IF(ROUND(Transaction[[#This Row],[GrossRevenue_Analytical]]-Transaction[[#This Row],[NetRevenue_Analytical]],2)=ROUND(Transaction[[#This Row],[DiscountAmount_Clean]],2),"Valid","Invalid")</f>
        <v>Valid</v>
      </c>
      <c r="AF78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1291.3599999999999</v>
      </c>
      <c r="AG782">
        <f>IF(Transaction[[#This Row],[NetRevenue_Check]]="Invalid",(Transaction[[#This Row],[Quantity]]*Transaction[[#This Row],[UnitPrice_Clean]]),Transaction[[#This Row],[NetRevenue_Clean]])</f>
        <v>1291.3599999999999</v>
      </c>
      <c r="AH782" t="str">
        <f>IF(Transaction[[#This Row],[Quantity]]*Transaction[[#This Row],[UnitPrice_Clean]]=Transaction[[#This Row],[NetRevenue_Clean]],"Valid","Invalid")</f>
        <v>Valid</v>
      </c>
      <c r="AI782" t="s">
        <v>23</v>
      </c>
      <c r="AK782" t="str">
        <f>IF(Transaction[[#This Row],[Salesperson]]="","Missing Value",TRIM(PROPER(Transaction[[#This Row],[Salesperson]])))</f>
        <v>Missing Value</v>
      </c>
      <c r="AL782" t="s">
        <v>42</v>
      </c>
      <c r="AM782" t="str">
        <f>IF(Transaction[[#This Row],[ContractType]]="","Missing Value",Transaction[[#This Row],[ContractType]])</f>
        <v>Standard PO</v>
      </c>
      <c r="AN782" t="s">
        <v>65</v>
      </c>
    </row>
    <row r="783" spans="1:40" x14ac:dyDescent="0.25">
      <c r="A783" t="s">
        <v>1812</v>
      </c>
      <c r="B783" s="1">
        <v>45731</v>
      </c>
      <c r="C78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78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78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83" s="2">
        <f>IFERROR(DATE(Transaction[[#This Row],[TransactionDateY]],Transaction[[#This Row],[TransactionDateM]],Transaction[[#This Row],[TransactionDateD]]),"Missing Value")</f>
        <v>45731</v>
      </c>
      <c r="G783" t="s">
        <v>396</v>
      </c>
      <c r="H783" t="str">
        <f>IFERROR(VLOOKUP(Transaction[[#This Row],[CustomerID]],Custumer[],1,0),IF(LEN(Transaction[[#This Row],[CustomerID]])=7,LEFT(Transaction[[#This Row],[CustomerID]],6),"Invalid ID"))</f>
        <v>C-1142</v>
      </c>
      <c r="I783" t="s">
        <v>62</v>
      </c>
      <c r="J783" t="str">
        <f>TRIM(UPPER(Transaction[[#This Row],[ProductID]]))</f>
        <v>P-SI-004</v>
      </c>
      <c r="K783" t="str">
        <f>IFERROR(VLOOKUP(Transaction[[#This Row],[ProductID_Clean]],Product[],1,FALSE),"Invalid ID")</f>
        <v>P-SI-004</v>
      </c>
      <c r="L783" t="str">
        <f>TRIM(SUBSTITUTE(SUBSTITUTE(SUBSTITUTE(SUBSTITUTE(UPPER(Transaction[[#This Row],[Region]]),"EMEA REGION","EMEA"),"APAC REGION","APAC"),"NORTH AMERICA","N. AMERICA"),"N .AMERICA","N.AMERICA"))</f>
        <v>N. AMERICA</v>
      </c>
      <c r="M783" t="s">
        <v>495</v>
      </c>
      <c r="N783" t="s">
        <v>53</v>
      </c>
      <c r="O78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83" t="s">
        <v>22</v>
      </c>
      <c r="Q783" t="str">
        <f>IF(TRIM(Transaction[[#This Row],[SalesChannel]])="","Missing Value",TRIM(Transaction[[#This Row],[SalesChannel]]))</f>
        <v>Direct</v>
      </c>
      <c r="R783" s="4">
        <v>3</v>
      </c>
      <c r="S783" s="4" t="str">
        <f>IF(Transaction[[#This Row],[Quantity]]&lt;0,"Negative-review","Valid")</f>
        <v>Valid</v>
      </c>
      <c r="T783" t="s">
        <v>1813</v>
      </c>
      <c r="U78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2342.02</v>
      </c>
      <c r="V783">
        <v>2450</v>
      </c>
      <c r="W783">
        <v>7350</v>
      </c>
      <c r="X78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7350</v>
      </c>
      <c r="Y783">
        <f>IF(Transaction[[#This Row],[GrossRevenue_Check]]="Invalid",Transaction[[#This Row],[ListPrice]]*Transaction[[#This Row],[Quantity]],Transaction[[#This Row],[GrossRevenue_Clean]])</f>
        <v>7350</v>
      </c>
      <c r="Z783" t="str">
        <f>IF(Transaction[[#This Row],[GrossRevenue_Clean]]=Transaction[[#This Row],[ListPrice]]*Transaction[[#This Row],[Quantity]],"Valid","Invalid")</f>
        <v>Valid</v>
      </c>
      <c r="AA783" t="s">
        <v>1814</v>
      </c>
      <c r="AB78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323.94</v>
      </c>
      <c r="AC783">
        <f>IF(Transaction[[#This Row],[DiscountAmount_Check2]]="Invalid",Transaction[[#This Row],[GrossRevenue_Analytical]]-Transaction[[#This Row],[NetRevenue_Analytical]],Transaction[[#This Row],[DiscountAmount_Clean]])</f>
        <v>323.94</v>
      </c>
      <c r="AD783">
        <v>7026.06</v>
      </c>
      <c r="AE783" t="str">
        <f>IF(ROUND(Transaction[[#This Row],[GrossRevenue_Analytical]]-Transaction[[#This Row],[NetRevenue_Analytical]],2)=ROUND(Transaction[[#This Row],[DiscountAmount_Clean]],2),"Valid","Invalid")</f>
        <v>Valid</v>
      </c>
      <c r="AF783">
        <f>VALUE(IF(ISNUMBER(Transaction[[#This Row],[NetRevenue]]),Transaction[[#This Row],[NetRevenue]],IFERROR(IF(FIND("$",Transaction[[#This Row],[NetRevenue]])&gt;0,MID(Transaction[[#This Row],[NetRevenue]],2,10)),Transaction[[#This Row],[NetRevenue]])))</f>
        <v>7026.06</v>
      </c>
      <c r="AG783">
        <f>IF(Transaction[[#This Row],[NetRevenue_Check]]="Invalid",(Transaction[[#This Row],[Quantity]]*Transaction[[#This Row],[UnitPrice_Clean]]),Transaction[[#This Row],[NetRevenue_Clean]])</f>
        <v>7026.06</v>
      </c>
      <c r="AH783" t="str">
        <f>IF(Transaction[[#This Row],[Quantity]]*Transaction[[#This Row],[UnitPrice_Clean]]=Transaction[[#This Row],[NetRevenue_Clean]],"Valid","Invalid")</f>
        <v>Valid</v>
      </c>
      <c r="AI783" t="s">
        <v>23</v>
      </c>
      <c r="AJ783" t="s">
        <v>1815</v>
      </c>
      <c r="AK783" t="str">
        <f>IF(Transaction[[#This Row],[Salesperson]]="","Missing Value",TRIM(PROPER(Transaction[[#This Row],[Salesperson]])))</f>
        <v>Leblanc-Em</v>
      </c>
      <c r="AL783" t="s">
        <v>42</v>
      </c>
      <c r="AM783" t="str">
        <f>IF(Transaction[[#This Row],[ContractType]]="","Missing Value",Transaction[[#This Row],[ContractType]])</f>
        <v>Standard PO</v>
      </c>
      <c r="AN783" t="s">
        <v>65</v>
      </c>
    </row>
    <row r="784" spans="1:40" x14ac:dyDescent="0.25">
      <c r="A784" t="s">
        <v>1309</v>
      </c>
      <c r="B784" s="1">
        <v>45660</v>
      </c>
      <c r="C78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78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78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84" s="2">
        <f>IFERROR(DATE(Transaction[[#This Row],[TransactionDateY]],Transaction[[#This Row],[TransactionDateM]],Transaction[[#This Row],[TransactionDateD]]),"Missing Value")</f>
        <v>45660</v>
      </c>
      <c r="G784" t="s">
        <v>429</v>
      </c>
      <c r="H784" t="str">
        <f>IFERROR(VLOOKUP(Transaction[[#This Row],[CustomerID]],Custumer[],1,0),IF(LEN(Transaction[[#This Row],[CustomerID]])=7,LEFT(Transaction[[#This Row],[CustomerID]],6),"Invalid ID"))</f>
        <v>C-1009</v>
      </c>
      <c r="I784" t="s">
        <v>71</v>
      </c>
      <c r="J784" t="str">
        <f>TRIM(UPPER(Transaction[[#This Row],[ProductID]]))</f>
        <v>P-SI-003</v>
      </c>
      <c r="K784" t="str">
        <f>IFERROR(VLOOKUP(Transaction[[#This Row],[ProductID_Clean]],Product[],1,FALSE),"Invalid ID")</f>
        <v>P-SI-003</v>
      </c>
      <c r="L784" t="str">
        <f>TRIM(SUBSTITUTE(SUBSTITUTE(SUBSTITUTE(SUBSTITUTE(UPPER(Transaction[[#This Row],[Region]]),"EMEA REGION","EMEA"),"APAC REGION","APAC"),"NORTH AMERICA","N. AMERICA"),"N .AMERICA","N.AMERICA"))</f>
        <v>EMEA</v>
      </c>
      <c r="M784" t="s">
        <v>76</v>
      </c>
      <c r="N784" t="s">
        <v>53</v>
      </c>
      <c r="O78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84" t="s">
        <v>22</v>
      </c>
      <c r="Q784" t="str">
        <f>IF(TRIM(Transaction[[#This Row],[SalesChannel]])="","Missing Value",TRIM(Transaction[[#This Row],[SalesChannel]]))</f>
        <v>Direct</v>
      </c>
      <c r="R784" s="4">
        <v>1</v>
      </c>
      <c r="S784" s="4" t="str">
        <f>IF(Transaction[[#This Row],[Quantity]]&lt;0,"Negative-review","Valid")</f>
        <v>Valid</v>
      </c>
      <c r="T784">
        <v>1602.59</v>
      </c>
      <c r="U78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1602.59</v>
      </c>
      <c r="V784">
        <v>1890</v>
      </c>
      <c r="W784">
        <v>1890</v>
      </c>
      <c r="X78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784">
        <f>IF(Transaction[[#This Row],[GrossRevenue_Check]]="Invalid",Transaction[[#This Row],[ListPrice]]*Transaction[[#This Row],[Quantity]],Transaction[[#This Row],[GrossRevenue_Clean]])</f>
        <v>1890</v>
      </c>
      <c r="Z784" t="str">
        <f>IF(Transaction[[#This Row],[GrossRevenue_Clean]]=Transaction[[#This Row],[ListPrice]]*Transaction[[#This Row],[Quantity]],"Valid","Invalid")</f>
        <v>Valid</v>
      </c>
      <c r="AA784">
        <v>287.41000000000003</v>
      </c>
      <c r="AB78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287.41000000000003</v>
      </c>
      <c r="AC784">
        <f>IF(Transaction[[#This Row],[DiscountAmount_Check2]]="Invalid",Transaction[[#This Row],[GrossRevenue_Analytical]]-Transaction[[#This Row],[NetRevenue_Analytical]],Transaction[[#This Row],[DiscountAmount_Clean]])</f>
        <v>287.41000000000003</v>
      </c>
      <c r="AD784">
        <v>1602.59</v>
      </c>
      <c r="AE784" t="str">
        <f>IF(ROUND(Transaction[[#This Row],[GrossRevenue_Analytical]]-Transaction[[#This Row],[NetRevenue_Analytical]],2)=ROUND(Transaction[[#This Row],[DiscountAmount_Clean]],2),"Valid","Invalid")</f>
        <v>Valid</v>
      </c>
      <c r="AF78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1602.59</v>
      </c>
      <c r="AG784">
        <f>IF(Transaction[[#This Row],[NetRevenue_Check]]="Invalid",(Transaction[[#This Row],[Quantity]]*Transaction[[#This Row],[UnitPrice_Clean]]),Transaction[[#This Row],[NetRevenue_Clean]])</f>
        <v>1602.59</v>
      </c>
      <c r="AH784" t="str">
        <f>IF(Transaction[[#This Row],[Quantity]]*Transaction[[#This Row],[UnitPrice_Clean]]=Transaction[[#This Row],[NetRevenue_Clean]],"Valid","Invalid")</f>
        <v>Valid</v>
      </c>
      <c r="AI784" t="s">
        <v>23</v>
      </c>
      <c r="AJ784" t="s">
        <v>1310</v>
      </c>
      <c r="AK784" t="str">
        <f>IF(Transaction[[#This Row],[Salesperson]]="","Missing Value",TRIM(PROPER(Transaction[[#This Row],[Salesperson]])))</f>
        <v>Barron</v>
      </c>
      <c r="AL784" t="s">
        <v>42</v>
      </c>
      <c r="AM784" t="str">
        <f>IF(Transaction[[#This Row],[ContractType]]="","Missing Value",Transaction[[#This Row],[ContractType]])</f>
        <v>Standard PO</v>
      </c>
      <c r="AN784" t="s">
        <v>49</v>
      </c>
    </row>
    <row r="785" spans="1:40" x14ac:dyDescent="0.25">
      <c r="A785" t="s">
        <v>2452</v>
      </c>
      <c r="B785" s="1">
        <v>45768</v>
      </c>
      <c r="C78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78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78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85" s="2">
        <f>IFERROR(DATE(Transaction[[#This Row],[TransactionDateY]],Transaction[[#This Row],[TransactionDateM]],Transaction[[#This Row],[TransactionDateD]]),"Missing Value")</f>
        <v>45768</v>
      </c>
      <c r="G785" t="s">
        <v>360</v>
      </c>
      <c r="H785" t="str">
        <f>IFERROR(VLOOKUP(Transaction[[#This Row],[CustomerID]],Custumer[],1,0),IF(LEN(Transaction[[#This Row],[CustomerID]])=7,LEFT(Transaction[[#This Row],[CustomerID]],6),"Invalid ID"))</f>
        <v>C-1067</v>
      </c>
      <c r="I785" t="s">
        <v>97</v>
      </c>
      <c r="J785" t="str">
        <f>TRIM(UPPER(Transaction[[#This Row],[ProductID]]))</f>
        <v>P-SI-001</v>
      </c>
      <c r="K785" t="str">
        <f>IFERROR(VLOOKUP(Transaction[[#This Row],[ProductID_Clean]],Product[],1,FALSE),"Invalid ID")</f>
        <v>P-SI-001</v>
      </c>
      <c r="L785" t="str">
        <f>TRIM(SUBSTITUTE(SUBSTITUTE(SUBSTITUTE(SUBSTITUTE(UPPER(Transaction[[#This Row],[Region]]),"EMEA REGION","EMEA"),"APAC REGION","APAC"),"NORTH AMERICA","N. AMERICA"),"N .AMERICA","N.AMERICA"))</f>
        <v>APAC</v>
      </c>
      <c r="M785" t="s">
        <v>30</v>
      </c>
      <c r="N785" t="s">
        <v>47</v>
      </c>
      <c r="O78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85" t="s">
        <v>181</v>
      </c>
      <c r="Q785" t="str">
        <f>IF(TRIM(Transaction[[#This Row],[SalesChannel]])="","Missing Value",TRIM(Transaction[[#This Row],[SalesChannel]]))</f>
        <v>Partner Portal</v>
      </c>
      <c r="R785" s="4">
        <v>8</v>
      </c>
      <c r="S785" s="4" t="str">
        <f>IF(Transaction[[#This Row],[Quantity]]&lt;0,"Negative-review","Valid")</f>
        <v>Valid</v>
      </c>
      <c r="T785">
        <v>388.09</v>
      </c>
      <c r="U78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388.09</v>
      </c>
      <c r="V785">
        <v>485</v>
      </c>
      <c r="W785">
        <v>3880</v>
      </c>
      <c r="X78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3880</v>
      </c>
      <c r="Y785">
        <f>IF(Transaction[[#This Row],[GrossRevenue_Check]]="Invalid",Transaction[[#This Row],[ListPrice]]*Transaction[[#This Row],[Quantity]],Transaction[[#This Row],[GrossRevenue_Clean]])</f>
        <v>3880</v>
      </c>
      <c r="Z785" t="str">
        <f>IF(Transaction[[#This Row],[GrossRevenue_Clean]]=Transaction[[#This Row],[ListPrice]]*Transaction[[#This Row],[Quantity]],"Valid","Invalid")</f>
        <v>Valid</v>
      </c>
      <c r="AA785">
        <v>775.28</v>
      </c>
      <c r="AB78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775.28</v>
      </c>
      <c r="AC785">
        <f>IF(Transaction[[#This Row],[DiscountAmount_Check2]]="Invalid",Transaction[[#This Row],[GrossRevenue_Analytical]]-Transaction[[#This Row],[NetRevenue_Analytical]],Transaction[[#This Row],[DiscountAmount_Clean]])</f>
        <v>775.28</v>
      </c>
      <c r="AD785">
        <v>3104.72</v>
      </c>
      <c r="AE785" t="str">
        <f>IF(ROUND(Transaction[[#This Row],[GrossRevenue_Analytical]]-Transaction[[#This Row],[NetRevenue_Analytical]],2)=ROUND(Transaction[[#This Row],[DiscountAmount_Clean]],2),"Valid","Invalid")</f>
        <v>Valid</v>
      </c>
      <c r="AF78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3104.72</v>
      </c>
      <c r="AG785">
        <f>IF(Transaction[[#This Row],[NetRevenue_Check]]="Invalid",(Transaction[[#This Row],[Quantity]]*Transaction[[#This Row],[UnitPrice_Clean]]),Transaction[[#This Row],[NetRevenue_Clean]])</f>
        <v>3104.72</v>
      </c>
      <c r="AH785" t="str">
        <f>IF(Transaction[[#This Row],[Quantity]]*Transaction[[#This Row],[UnitPrice_Clean]]=Transaction[[#This Row],[NetRevenue_Clean]],"Valid","Invalid")</f>
        <v>Valid</v>
      </c>
      <c r="AI785" t="s">
        <v>23</v>
      </c>
      <c r="AJ785" t="s">
        <v>2453</v>
      </c>
      <c r="AK785" t="str">
        <f>IF(Transaction[[#This Row],[Salesperson]]="","Missing Value",TRIM(PROPER(Transaction[[#This Row],[Salesperson]])))</f>
        <v>Carrillo</v>
      </c>
      <c r="AL785" t="s">
        <v>25</v>
      </c>
      <c r="AM785" t="str">
        <f>IF(Transaction[[#This Row],[ContractType]]="","Missing Value",Transaction[[#This Row],[ContractType]])</f>
        <v>Frame Agreement</v>
      </c>
      <c r="AN785" t="s">
        <v>43</v>
      </c>
    </row>
    <row r="786" spans="1:40" x14ac:dyDescent="0.25">
      <c r="A786" t="s">
        <v>1046</v>
      </c>
      <c r="C78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78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78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786" s="2" t="str">
        <f>IFERROR(DATE(Transaction[[#This Row],[TransactionDateY]],Transaction[[#This Row],[TransactionDateM]],Transaction[[#This Row],[TransactionDateD]]),"Missing Value")</f>
        <v>Missing Value</v>
      </c>
      <c r="G786" t="s">
        <v>795</v>
      </c>
      <c r="H786" t="str">
        <f>IFERROR(VLOOKUP(Transaction[[#This Row],[CustomerID]],Custumer[],1,0),IF(LEN(Transaction[[#This Row],[CustomerID]])=7,LEFT(Transaction[[#This Row],[CustomerID]],6),"Invalid ID"))</f>
        <v>C-1118</v>
      </c>
      <c r="I786" t="s">
        <v>97</v>
      </c>
      <c r="J786" t="str">
        <f>TRIM(UPPER(Transaction[[#This Row],[ProductID]]))</f>
        <v>P-SI-001</v>
      </c>
      <c r="K786" t="str">
        <f>IFERROR(VLOOKUP(Transaction[[#This Row],[ProductID_Clean]],Product[],1,FALSE),"Invalid ID")</f>
        <v>P-SI-001</v>
      </c>
      <c r="L786" t="str">
        <f>TRIM(SUBSTITUTE(SUBSTITUTE(SUBSTITUTE(SUBSTITUTE(UPPER(Transaction[[#This Row],[Region]]),"EMEA REGION","EMEA"),"APAC REGION","APAC"),"NORTH AMERICA","N. AMERICA"),"N .AMERICA","N.AMERICA"))</f>
        <v>N. AMERICA</v>
      </c>
      <c r="M786" t="s">
        <v>204</v>
      </c>
      <c r="N786" t="s">
        <v>53</v>
      </c>
      <c r="O78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86" t="s">
        <v>22</v>
      </c>
      <c r="Q786" t="str">
        <f>IF(TRIM(Transaction[[#This Row],[SalesChannel]])="","Missing Value",TRIM(Transaction[[#This Row],[SalesChannel]]))</f>
        <v>Direct</v>
      </c>
      <c r="R786" s="4">
        <v>1</v>
      </c>
      <c r="S786" s="4" t="str">
        <f>IF(Transaction[[#This Row],[Quantity]]&lt;0,"Negative-review","Valid")</f>
        <v>Valid</v>
      </c>
      <c r="T786">
        <v>445.38</v>
      </c>
      <c r="U78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445.38</v>
      </c>
      <c r="V786">
        <v>485</v>
      </c>
      <c r="W786">
        <v>485</v>
      </c>
      <c r="X78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786">
        <f>IF(Transaction[[#This Row],[GrossRevenue_Check]]="Invalid",Transaction[[#This Row],[ListPrice]]*Transaction[[#This Row],[Quantity]],Transaction[[#This Row],[GrossRevenue_Clean]])</f>
        <v>485</v>
      </c>
      <c r="Z786" t="str">
        <f>IF(Transaction[[#This Row],[GrossRevenue_Clean]]=Transaction[[#This Row],[ListPrice]]*Transaction[[#This Row],[Quantity]],"Valid","Invalid")</f>
        <v>Valid</v>
      </c>
      <c r="AA786">
        <v>39.619999999999997</v>
      </c>
      <c r="AB78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39.619999999999997</v>
      </c>
      <c r="AC786">
        <f>IF(Transaction[[#This Row],[DiscountAmount_Check2]]="Invalid",Transaction[[#This Row],[GrossRevenue_Analytical]]-Transaction[[#This Row],[NetRevenue_Analytical]],Transaction[[#This Row],[DiscountAmount_Clean]])</f>
        <v>39.619999999999997</v>
      </c>
      <c r="AD786">
        <v>445.38</v>
      </c>
      <c r="AE786" t="str">
        <f>IF(ROUND(Transaction[[#This Row],[GrossRevenue_Analytical]]-Transaction[[#This Row],[NetRevenue_Analytical]],2)=ROUND(Transaction[[#This Row],[DiscountAmount_Clean]],2),"Valid","Invalid")</f>
        <v>Valid</v>
      </c>
      <c r="AF786">
        <f>VALUE(IF(ISNUMBER(Transaction[[#This Row],[NetRevenue]]),Transaction[[#This Row],[NetRevenue]],IFERROR(IF(FIND("$",Transaction[[#This Row],[NetRevenue]])&gt;0,MID(Transaction[[#This Row],[NetRevenue]],2,10)),Transaction[[#This Row],[NetRevenue]])))</f>
        <v>445.38</v>
      </c>
      <c r="AG786">
        <f>IF(Transaction[[#This Row],[NetRevenue_Check]]="Invalid",(Transaction[[#This Row],[Quantity]]*Transaction[[#This Row],[UnitPrice_Clean]]),Transaction[[#This Row],[NetRevenue_Clean]])</f>
        <v>445.38</v>
      </c>
      <c r="AH786" t="str">
        <f>IF(Transaction[[#This Row],[Quantity]]*Transaction[[#This Row],[UnitPrice_Clean]]=Transaction[[#This Row],[NetRevenue_Clean]],"Valid","Invalid")</f>
        <v>Valid</v>
      </c>
      <c r="AI786" t="s">
        <v>23</v>
      </c>
      <c r="AJ786" t="s">
        <v>1047</v>
      </c>
      <c r="AK786" t="str">
        <f>IF(Transaction[[#This Row],[Salesperson]]="","Missing Value",TRIM(PROPER(Transaction[[#This Row],[Salesperson]])))</f>
        <v>Vaughn-Ap</v>
      </c>
      <c r="AL786" t="s">
        <v>42</v>
      </c>
      <c r="AM786" t="str">
        <f>IF(Transaction[[#This Row],[ContractType]]="","Missing Value",Transaction[[#This Row],[ContractType]])</f>
        <v>Standard PO</v>
      </c>
      <c r="AN786" t="s">
        <v>49</v>
      </c>
    </row>
    <row r="787" spans="1:40" x14ac:dyDescent="0.25">
      <c r="A787" t="s">
        <v>2548</v>
      </c>
      <c r="B787" t="s">
        <v>2549</v>
      </c>
      <c r="C78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78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04</v>
      </c>
      <c r="E78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87" s="2">
        <f>IFERROR(DATE(Transaction[[#This Row],[TransactionDateY]],Transaction[[#This Row],[TransactionDateM]],Transaction[[#This Row],[TransactionDateD]]),"Missing Value")</f>
        <v>45751</v>
      </c>
      <c r="G787" t="s">
        <v>354</v>
      </c>
      <c r="H787" t="str">
        <f>IFERROR(VLOOKUP(Transaction[[#This Row],[CustomerID]],Custumer[],1,0),IF(LEN(Transaction[[#This Row],[CustomerID]])=7,LEFT(Transaction[[#This Row],[CustomerID]],6),"Invalid ID"))</f>
        <v>C-1037</v>
      </c>
      <c r="I787" t="s">
        <v>46</v>
      </c>
      <c r="J787" t="str">
        <f>TRIM(UPPER(Transaction[[#This Row],[ProductID]]))</f>
        <v>P-SI-006</v>
      </c>
      <c r="K787" t="str">
        <f>IFERROR(VLOOKUP(Transaction[[#This Row],[ProductID_Clean]],Product[],1,FALSE),"Invalid ID")</f>
        <v>P-SI-006</v>
      </c>
      <c r="L787" t="str">
        <f>TRIM(SUBSTITUTE(SUBSTITUTE(SUBSTITUTE(SUBSTITUTE(UPPER(Transaction[[#This Row],[Region]]),"EMEA REGION","EMEA"),"APAC REGION","APAC"),"NORTH AMERICA","N. AMERICA"),"N .AMERICA","N.AMERICA"))</f>
        <v>N. AMERICA</v>
      </c>
      <c r="M787" t="s">
        <v>20</v>
      </c>
      <c r="N787" t="s">
        <v>53</v>
      </c>
      <c r="O78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87" t="s">
        <v>22</v>
      </c>
      <c r="Q787" t="str">
        <f>IF(TRIM(Transaction[[#This Row],[SalesChannel]])="","Missing Value",TRIM(Transaction[[#This Row],[SalesChannel]]))</f>
        <v>Direct</v>
      </c>
      <c r="R787" s="4">
        <v>2</v>
      </c>
      <c r="S787" s="4" t="str">
        <f>IF(Transaction[[#This Row],[Quantity]]&lt;0,"Negative-review","Valid")</f>
        <v>Valid</v>
      </c>
      <c r="T787">
        <v>185.99</v>
      </c>
      <c r="U78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185.99</v>
      </c>
      <c r="V787">
        <v>215</v>
      </c>
      <c r="W787">
        <v>430</v>
      </c>
      <c r="X78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787">
        <f>IF(Transaction[[#This Row],[GrossRevenue_Check]]="Invalid",Transaction[[#This Row],[ListPrice]]*Transaction[[#This Row],[Quantity]],Transaction[[#This Row],[GrossRevenue_Clean]])</f>
        <v>430</v>
      </c>
      <c r="Z787" t="str">
        <f>IF(Transaction[[#This Row],[GrossRevenue_Clean]]=Transaction[[#This Row],[ListPrice]]*Transaction[[#This Row],[Quantity]],"Valid","Invalid")</f>
        <v>Valid</v>
      </c>
      <c r="AA787">
        <v>58.02</v>
      </c>
      <c r="AB78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58.02</v>
      </c>
      <c r="AC787">
        <f>IF(Transaction[[#This Row],[DiscountAmount_Check2]]="Invalid",Transaction[[#This Row],[GrossRevenue_Analytical]]-Transaction[[#This Row],[NetRevenue_Analytical]],Transaction[[#This Row],[DiscountAmount_Clean]])</f>
        <v>58.02</v>
      </c>
      <c r="AD787">
        <v>371.98</v>
      </c>
      <c r="AE787" t="str">
        <f>IF(ROUND(Transaction[[#This Row],[GrossRevenue_Analytical]]-Transaction[[#This Row],[NetRevenue_Analytical]],2)=ROUND(Transaction[[#This Row],[DiscountAmount_Clean]],2),"Valid","Invalid")</f>
        <v>Valid</v>
      </c>
      <c r="AF78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371.98</v>
      </c>
      <c r="AG787">
        <f>IF(Transaction[[#This Row],[NetRevenue_Check]]="Invalid",(Transaction[[#This Row],[Quantity]]*Transaction[[#This Row],[UnitPrice_Clean]]),Transaction[[#This Row],[NetRevenue_Clean]])</f>
        <v>371.98</v>
      </c>
      <c r="AH787" t="str">
        <f>IF(Transaction[[#This Row],[Quantity]]*Transaction[[#This Row],[UnitPrice_Clean]]=Transaction[[#This Row],[NetRevenue_Clean]],"Valid","Invalid")</f>
        <v>Valid</v>
      </c>
      <c r="AI787" t="s">
        <v>23</v>
      </c>
      <c r="AJ787" t="s">
        <v>2550</v>
      </c>
      <c r="AK787" t="str">
        <f>IF(Transaction[[#This Row],[Salesperson]]="","Missing Value",TRIM(PROPER(Transaction[[#This Row],[Salesperson]])))</f>
        <v>Fowler-Na</v>
      </c>
      <c r="AM787" t="str">
        <f>IF(Transaction[[#This Row],[ContractType]]="","Missing Value",Transaction[[#This Row],[ContractType]])</f>
        <v>Missing Value</v>
      </c>
      <c r="AN787" t="s">
        <v>43</v>
      </c>
    </row>
    <row r="788" spans="1:40" x14ac:dyDescent="0.25">
      <c r="A788" t="s">
        <v>1909</v>
      </c>
      <c r="B788" s="1">
        <v>45751</v>
      </c>
      <c r="C78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78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78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88" s="2">
        <f>IFERROR(DATE(Transaction[[#This Row],[TransactionDateY]],Transaction[[#This Row],[TransactionDateM]],Transaction[[#This Row],[TransactionDateD]]),"Missing Value")</f>
        <v>45751</v>
      </c>
      <c r="G788" t="s">
        <v>45</v>
      </c>
      <c r="H788" t="str">
        <f>IFERROR(VLOOKUP(Transaction[[#This Row],[CustomerID]],Custumer[],1,0),IF(LEN(Transaction[[#This Row],[CustomerID]])=7,LEFT(Transaction[[#This Row],[CustomerID]],6),"Invalid ID"))</f>
        <v>C-1155</v>
      </c>
      <c r="I788" t="s">
        <v>226</v>
      </c>
      <c r="J788" t="str">
        <f>TRIM(UPPER(Transaction[[#This Row],[ProductID]]))</f>
        <v>P-SA-002</v>
      </c>
      <c r="K788" t="str">
        <f>IFERROR(VLOOKUP(Transaction[[#This Row],[ProductID_Clean]],Product[],1,FALSE),"Invalid ID")</f>
        <v>P-SA-002</v>
      </c>
      <c r="L788" t="str">
        <f>TRIM(SUBSTITUTE(SUBSTITUTE(SUBSTITUTE(SUBSTITUTE(UPPER(Transaction[[#This Row],[Region]]),"EMEA REGION","EMEA"),"APAC REGION","APAC"),"NORTH AMERICA","N. AMERICA"),"N .AMERICA","N.AMERICA"))</f>
        <v>APAC</v>
      </c>
      <c r="M788" t="s">
        <v>30</v>
      </c>
      <c r="N788" t="s">
        <v>31</v>
      </c>
      <c r="O78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788" t="s">
        <v>181</v>
      </c>
      <c r="Q788" t="str">
        <f>IF(TRIM(Transaction[[#This Row],[SalesChannel]])="","Missing Value",TRIM(Transaction[[#This Row],[SalesChannel]]))</f>
        <v>Partner Portal</v>
      </c>
      <c r="R788" s="4">
        <v>1</v>
      </c>
      <c r="S788" s="4" t="str">
        <f>IF(Transaction[[#This Row],[Quantity]]&lt;0,"Negative-review","Valid")</f>
        <v>Valid</v>
      </c>
      <c r="T788">
        <v>8176.47</v>
      </c>
      <c r="U78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8176.47</v>
      </c>
      <c r="V788">
        <v>9800</v>
      </c>
      <c r="W788">
        <v>9800</v>
      </c>
      <c r="X78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788">
        <f>IF(Transaction[[#This Row],[GrossRevenue_Check]]="Invalid",Transaction[[#This Row],[ListPrice]]*Transaction[[#This Row],[Quantity]],Transaction[[#This Row],[GrossRevenue_Clean]])</f>
        <v>9800</v>
      </c>
      <c r="Z788" t="str">
        <f>IF(Transaction[[#This Row],[GrossRevenue_Clean]]=Transaction[[#This Row],[ListPrice]]*Transaction[[#This Row],[Quantity]],"Valid","Invalid")</f>
        <v>Valid</v>
      </c>
      <c r="AA788">
        <v>1623.53</v>
      </c>
      <c r="AB78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1623.53</v>
      </c>
      <c r="AC788">
        <f>IF(Transaction[[#This Row],[DiscountAmount_Check2]]="Invalid",Transaction[[#This Row],[GrossRevenue_Analytical]]-Transaction[[#This Row],[NetRevenue_Analytical]],Transaction[[#This Row],[DiscountAmount_Clean]])</f>
        <v>1623.53</v>
      </c>
      <c r="AD788">
        <v>8176.47</v>
      </c>
      <c r="AE788" t="str">
        <f>IF(ROUND(Transaction[[#This Row],[GrossRevenue_Analytical]]-Transaction[[#This Row],[NetRevenue_Analytical]],2)=ROUND(Transaction[[#This Row],[DiscountAmount_Clean]],2),"Valid","Invalid")</f>
        <v>Valid</v>
      </c>
      <c r="AF788">
        <f>VALUE(IF(ISNUMBER(Transaction[[#This Row],[NetRevenue]]),Transaction[[#This Row],[NetRevenue]],IFERROR(IF(FIND("$",Transaction[[#This Row],[NetRevenue]])&gt;0,MID(Transaction[[#This Row],[NetRevenue]],2,10)),Transaction[[#This Row],[NetRevenue]])))</f>
        <v>8176.47</v>
      </c>
      <c r="AG788">
        <f>IF(Transaction[[#This Row],[NetRevenue_Check]]="Invalid",(Transaction[[#This Row],[Quantity]]*Transaction[[#This Row],[UnitPrice_Clean]]),Transaction[[#This Row],[NetRevenue_Clean]])</f>
        <v>8176.47</v>
      </c>
      <c r="AH788" t="str">
        <f>IF(Transaction[[#This Row],[Quantity]]*Transaction[[#This Row],[UnitPrice_Clean]]=Transaction[[#This Row],[NetRevenue_Clean]],"Valid","Invalid")</f>
        <v>Valid</v>
      </c>
      <c r="AI788" t="s">
        <v>23</v>
      </c>
      <c r="AJ788" t="s">
        <v>1910</v>
      </c>
      <c r="AK788" t="str">
        <f>IF(Transaction[[#This Row],[Salesperson]]="","Missing Value",TRIM(PROPER(Transaction[[#This Row],[Salesperson]])))</f>
        <v>Shepard</v>
      </c>
      <c r="AL788" t="s">
        <v>113</v>
      </c>
      <c r="AM788" t="str">
        <f>IF(Transaction[[#This Row],[ContractType]]="","Missing Value",Transaction[[#This Row],[ContractType]])</f>
        <v>Subscription</v>
      </c>
      <c r="AN788" t="s">
        <v>49</v>
      </c>
    </row>
    <row r="789" spans="1:40" x14ac:dyDescent="0.25">
      <c r="A789" t="s">
        <v>2398</v>
      </c>
      <c r="B789" t="s">
        <v>2399</v>
      </c>
      <c r="C78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78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78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89" s="2">
        <f>IFERROR(DATE(Transaction[[#This Row],[TransactionDateY]],Transaction[[#This Row],[TransactionDateM]],Transaction[[#This Row],[TransactionDateD]]),"Missing Value")</f>
        <v>45760</v>
      </c>
      <c r="G789" t="s">
        <v>826</v>
      </c>
      <c r="H789" t="str">
        <f>IFERROR(VLOOKUP(Transaction[[#This Row],[CustomerID]],Custumer[],1,0),IF(LEN(Transaction[[#This Row],[CustomerID]])=7,LEFT(Transaction[[#This Row],[CustomerID]],6),"Invalid ID"))</f>
        <v>C-1182</v>
      </c>
      <c r="I789" t="s">
        <v>52</v>
      </c>
      <c r="J789" t="str">
        <f>TRIM(UPPER(Transaction[[#This Row],[ProductID]]))</f>
        <v>P-SI-002</v>
      </c>
      <c r="K789" t="str">
        <f>IFERROR(VLOOKUP(Transaction[[#This Row],[ProductID_Clean]],Product[],1,FALSE),"Invalid ID")</f>
        <v>P-SI-002</v>
      </c>
      <c r="L789" t="str">
        <f>TRIM(SUBSTITUTE(SUBSTITUTE(SUBSTITUTE(SUBSTITUTE(UPPER(Transaction[[#This Row],[Region]]),"EMEA REGION","EMEA"),"APAC REGION","APAC"),"NORTH AMERICA","N. AMERICA"),"N .AMERICA","N.AMERICA"))</f>
        <v>APAC</v>
      </c>
      <c r="M789" t="s">
        <v>30</v>
      </c>
      <c r="N789" t="s">
        <v>53</v>
      </c>
      <c r="O78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89" t="s">
        <v>32</v>
      </c>
      <c r="Q789" t="str">
        <f>IF(TRIM(Transaction[[#This Row],[SalesChannel]])="","Missing Value",TRIM(Transaction[[#This Row],[SalesChannel]]))</f>
        <v>Direct</v>
      </c>
      <c r="R789" s="4">
        <v>5</v>
      </c>
      <c r="S789" s="4" t="str">
        <f>IF(Transaction[[#This Row],[Quantity]]&lt;0,"Negative-review","Valid")</f>
        <v>Valid</v>
      </c>
      <c r="T789">
        <v>647.03</v>
      </c>
      <c r="U78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647.03</v>
      </c>
      <c r="V789">
        <v>725</v>
      </c>
      <c r="W789">
        <v>3625</v>
      </c>
      <c r="X78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3625</v>
      </c>
      <c r="Y789">
        <f>IF(Transaction[[#This Row],[GrossRevenue_Check]]="Invalid",Transaction[[#This Row],[ListPrice]]*Transaction[[#This Row],[Quantity]],Transaction[[#This Row],[GrossRevenue_Clean]])</f>
        <v>3625</v>
      </c>
      <c r="Z789" t="str">
        <f>IF(Transaction[[#This Row],[GrossRevenue_Clean]]=Transaction[[#This Row],[ListPrice]]*Transaction[[#This Row],[Quantity]],"Valid","Invalid")</f>
        <v>Valid</v>
      </c>
      <c r="AA789">
        <v>389.85</v>
      </c>
      <c r="AB78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389.85</v>
      </c>
      <c r="AC789">
        <f>IF(Transaction[[#This Row],[DiscountAmount_Check2]]="Invalid",Transaction[[#This Row],[GrossRevenue_Analytical]]-Transaction[[#This Row],[NetRevenue_Analytical]],Transaction[[#This Row],[DiscountAmount_Clean]])</f>
        <v>389.85</v>
      </c>
      <c r="AD789">
        <v>3235.15</v>
      </c>
      <c r="AE789" t="str">
        <f>IF(ROUND(Transaction[[#This Row],[GrossRevenue_Analytical]]-Transaction[[#This Row],[NetRevenue_Analytical]],2)=ROUND(Transaction[[#This Row],[DiscountAmount_Clean]],2),"Valid","Invalid")</f>
        <v>Valid</v>
      </c>
      <c r="AF789">
        <f>VALUE(IF(ISNUMBER(Transaction[[#This Row],[NetRevenue]]),Transaction[[#This Row],[NetRevenue]],IFERROR(IF(FIND("$",Transaction[[#This Row],[NetRevenue]])&gt;0,MID(Transaction[[#This Row],[NetRevenue]],2,10)),Transaction[[#This Row],[NetRevenue]])))</f>
        <v>3235.15</v>
      </c>
      <c r="AG789">
        <f>IF(Transaction[[#This Row],[NetRevenue_Check]]="Invalid",(Transaction[[#This Row],[Quantity]]*Transaction[[#This Row],[UnitPrice_Clean]]),Transaction[[#This Row],[NetRevenue_Clean]])</f>
        <v>3235.15</v>
      </c>
      <c r="AH789" t="str">
        <f>IF(Transaction[[#This Row],[Quantity]]*Transaction[[#This Row],[UnitPrice_Clean]]=Transaction[[#This Row],[NetRevenue_Clean]],"Valid","Invalid")</f>
        <v>Valid</v>
      </c>
      <c r="AI789" t="s">
        <v>23</v>
      </c>
      <c r="AJ789" t="s">
        <v>575</v>
      </c>
      <c r="AK789" t="str">
        <f>IF(Transaction[[#This Row],[Salesperson]]="","Missing Value",TRIM(PROPER(Transaction[[#This Row],[Salesperson]])))</f>
        <v>Richardson</v>
      </c>
      <c r="AL789" t="s">
        <v>42</v>
      </c>
      <c r="AM789" t="str">
        <f>IF(Transaction[[#This Row],[ContractType]]="","Missing Value",Transaction[[#This Row],[ContractType]])</f>
        <v>Standard PO</v>
      </c>
      <c r="AN789" t="s">
        <v>65</v>
      </c>
    </row>
    <row r="790" spans="1:40" x14ac:dyDescent="0.25">
      <c r="A790" t="s">
        <v>977</v>
      </c>
      <c r="C79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79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79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790" s="2" t="str">
        <f>IFERROR(DATE(Transaction[[#This Row],[TransactionDateY]],Transaction[[#This Row],[TransactionDateM]],Transaction[[#This Row],[TransactionDateD]]),"Missing Value")</f>
        <v>Missing Value</v>
      </c>
      <c r="G790" t="s">
        <v>978</v>
      </c>
      <c r="H790" t="str">
        <f>IFERROR(VLOOKUP(Transaction[[#This Row],[CustomerID]],Custumer[],1,0),IF(LEN(Transaction[[#This Row],[CustomerID]])=7,LEFT(Transaction[[#This Row],[CustomerID]],6),"Invalid ID"))</f>
        <v>C-1001</v>
      </c>
      <c r="I790" t="s">
        <v>979</v>
      </c>
      <c r="J790" t="str">
        <f>TRIM(UPPER(Transaction[[#This Row],[ProductID]]))</f>
        <v>P-SI-003</v>
      </c>
      <c r="K790" t="str">
        <f>IFERROR(VLOOKUP(Transaction[[#This Row],[ProductID_Clean]],Product[],1,FALSE),"Invalid ID")</f>
        <v>P-SI-003</v>
      </c>
      <c r="L790" t="str">
        <f>TRIM(SUBSTITUTE(SUBSTITUTE(SUBSTITUTE(SUBSTITUTE(UPPER(Transaction[[#This Row],[Region]]),"EMEA REGION","EMEA"),"APAC REGION","APAC"),"NORTH AMERICA","N. AMERICA"),"N .AMERICA","N.AMERICA"))</f>
        <v>LATIN AMERICA</v>
      </c>
      <c r="M790" t="s">
        <v>82</v>
      </c>
      <c r="N790" t="s">
        <v>53</v>
      </c>
      <c r="O79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90" t="s">
        <v>22</v>
      </c>
      <c r="Q790" t="str">
        <f>IF(TRIM(Transaction[[#This Row],[SalesChannel]])="","Missing Value",TRIM(Transaction[[#This Row],[SalesChannel]]))</f>
        <v>Direct</v>
      </c>
      <c r="R790" s="4">
        <v>4</v>
      </c>
      <c r="S790" s="4" t="str">
        <f>IF(Transaction[[#This Row],[Quantity]]&lt;0,"Negative-review","Valid")</f>
        <v>Valid</v>
      </c>
      <c r="T790">
        <v>1717.17</v>
      </c>
      <c r="U79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1717.17</v>
      </c>
      <c r="V790">
        <v>1890</v>
      </c>
      <c r="W790">
        <v>7560</v>
      </c>
      <c r="X79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7560</v>
      </c>
      <c r="Y790">
        <f>IF(Transaction[[#This Row],[GrossRevenue_Check]]="Invalid",Transaction[[#This Row],[ListPrice]]*Transaction[[#This Row],[Quantity]],Transaction[[#This Row],[GrossRevenue_Clean]])</f>
        <v>7560</v>
      </c>
      <c r="Z790" t="str">
        <f>IF(Transaction[[#This Row],[GrossRevenue_Clean]]=Transaction[[#This Row],[ListPrice]]*Transaction[[#This Row],[Quantity]],"Valid","Invalid")</f>
        <v>Valid</v>
      </c>
      <c r="AA790">
        <v>691.32</v>
      </c>
      <c r="AB79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691.32</v>
      </c>
      <c r="AC790">
        <f>IF(Transaction[[#This Row],[DiscountAmount_Check2]]="Invalid",Transaction[[#This Row],[GrossRevenue_Analytical]]-Transaction[[#This Row],[NetRevenue_Analytical]],Transaction[[#This Row],[DiscountAmount_Clean]])</f>
        <v>691.32</v>
      </c>
      <c r="AD790">
        <v>6868.68</v>
      </c>
      <c r="AE790" t="str">
        <f>IF(ROUND(Transaction[[#This Row],[GrossRevenue_Analytical]]-Transaction[[#This Row],[NetRevenue_Analytical]],2)=ROUND(Transaction[[#This Row],[DiscountAmount_Clean]],2),"Valid","Invalid")</f>
        <v>Valid</v>
      </c>
      <c r="AF790">
        <f>VALUE(IF(ISNUMBER(Transaction[[#This Row],[NetRevenue]]),Transaction[[#This Row],[NetRevenue]],IFERROR(IF(FIND("$",Transaction[[#This Row],[NetRevenue]])&gt;0,MID(Transaction[[#This Row],[NetRevenue]],2,10)),Transaction[[#This Row],[NetRevenue]])))</f>
        <v>6868.68</v>
      </c>
      <c r="AG790">
        <f>IF(Transaction[[#This Row],[NetRevenue_Check]]="Invalid",(Transaction[[#This Row],[Quantity]]*Transaction[[#This Row],[UnitPrice_Clean]]),Transaction[[#This Row],[NetRevenue_Clean]])</f>
        <v>6868.68</v>
      </c>
      <c r="AH790" t="str">
        <f>IF(Transaction[[#This Row],[Quantity]]*Transaction[[#This Row],[UnitPrice_Clean]]=Transaction[[#This Row],[NetRevenue_Clean]],"Valid","Invalid")</f>
        <v>Valid</v>
      </c>
      <c r="AI790" t="s">
        <v>23</v>
      </c>
      <c r="AJ790" t="s">
        <v>980</v>
      </c>
      <c r="AK790" t="str">
        <f>IF(Transaction[[#This Row],[Salesperson]]="","Missing Value",TRIM(PROPER(Transaction[[#This Row],[Salesperson]])))</f>
        <v>Walker</v>
      </c>
      <c r="AL790" t="s">
        <v>25</v>
      </c>
      <c r="AM790" t="str">
        <f>IF(Transaction[[#This Row],[ContractType]]="","Missing Value",Transaction[[#This Row],[ContractType]])</f>
        <v>Frame Agreement</v>
      </c>
      <c r="AN790" t="s">
        <v>43</v>
      </c>
    </row>
    <row r="791" spans="1:40" x14ac:dyDescent="0.25">
      <c r="A791" t="s">
        <v>1714</v>
      </c>
      <c r="B791" t="s">
        <v>1715</v>
      </c>
      <c r="C79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79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79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91" s="2">
        <f>IFERROR(DATE(Transaction[[#This Row],[TransactionDateY]],Transaction[[#This Row],[TransactionDateM]],Transaction[[#This Row],[TransactionDateD]]),"Missing Value")</f>
        <v>45799</v>
      </c>
      <c r="G791" t="s">
        <v>1716</v>
      </c>
      <c r="H791" t="str">
        <f>IFERROR(VLOOKUP(Transaction[[#This Row],[CustomerID]],Custumer[],1,0),IF(LEN(Transaction[[#This Row],[CustomerID]])=7,LEFT(Transaction[[#This Row],[CustomerID]],6),"Invalid ID"))</f>
        <v>C-1014</v>
      </c>
      <c r="I791" t="s">
        <v>19</v>
      </c>
      <c r="J791" t="str">
        <f>TRIM(UPPER(Transaction[[#This Row],[ProductID]]))</f>
        <v>P-FS-004</v>
      </c>
      <c r="K791" t="str">
        <f>IFERROR(VLOOKUP(Transaction[[#This Row],[ProductID_Clean]],Product[],1,FALSE),"Invalid ID")</f>
        <v>P-FS-004</v>
      </c>
      <c r="L791" t="str">
        <f>TRIM(SUBSTITUTE(SUBSTITUTE(SUBSTITUTE(SUBSTITUTE(UPPER(Transaction[[#This Row],[Region]]),"EMEA REGION","EMEA"),"APAC REGION","APAC"),"NORTH AMERICA","N. AMERICA"),"N .AMERICA","N.AMERICA"))</f>
        <v>N. AMERICA</v>
      </c>
      <c r="M791" t="s">
        <v>20</v>
      </c>
      <c r="N791" t="s">
        <v>771</v>
      </c>
      <c r="O791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791" t="s">
        <v>181</v>
      </c>
      <c r="Q791" t="str">
        <f>IF(TRIM(Transaction[[#This Row],[SalesChannel]])="","Missing Value",TRIM(Transaction[[#This Row],[SalesChannel]]))</f>
        <v>Partner Portal</v>
      </c>
      <c r="R791" s="4">
        <v>1</v>
      </c>
      <c r="S791" s="4" t="str">
        <f>IF(Transaction[[#This Row],[Quantity]]&lt;0,"Negative-review","Valid")</f>
        <v>Valid</v>
      </c>
      <c r="T791">
        <v>2756.93</v>
      </c>
      <c r="U79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2756.93</v>
      </c>
      <c r="V791">
        <v>3200</v>
      </c>
      <c r="W791">
        <v>3200</v>
      </c>
      <c r="X79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791">
        <f>IF(Transaction[[#This Row],[GrossRevenue_Check]]="Invalid",Transaction[[#This Row],[ListPrice]]*Transaction[[#This Row],[Quantity]],Transaction[[#This Row],[GrossRevenue_Clean]])</f>
        <v>3200</v>
      </c>
      <c r="Z791" t="str">
        <f>IF(Transaction[[#This Row],[GrossRevenue_Clean]]=Transaction[[#This Row],[ListPrice]]*Transaction[[#This Row],[Quantity]],"Valid","Invalid")</f>
        <v>Valid</v>
      </c>
      <c r="AA791">
        <v>443.07</v>
      </c>
      <c r="AB79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443.07</v>
      </c>
      <c r="AC791">
        <f>IF(Transaction[[#This Row],[DiscountAmount_Check2]]="Invalid",Transaction[[#This Row],[GrossRevenue_Analytical]]-Transaction[[#This Row],[NetRevenue_Analytical]],Transaction[[#This Row],[DiscountAmount_Clean]])</f>
        <v>443.07</v>
      </c>
      <c r="AD791">
        <v>2756.93</v>
      </c>
      <c r="AE791" t="str">
        <f>IF(ROUND(Transaction[[#This Row],[GrossRevenue_Analytical]]-Transaction[[#This Row],[NetRevenue_Analytical]],2)=ROUND(Transaction[[#This Row],[DiscountAmount_Clean]],2),"Valid","Invalid")</f>
        <v>Valid</v>
      </c>
      <c r="AF79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2756.93</v>
      </c>
      <c r="AG791">
        <f>IF(Transaction[[#This Row],[NetRevenue_Check]]="Invalid",(Transaction[[#This Row],[Quantity]]*Transaction[[#This Row],[UnitPrice_Clean]]),Transaction[[#This Row],[NetRevenue_Clean]])</f>
        <v>2756.93</v>
      </c>
      <c r="AH791" t="str">
        <f>IF(Transaction[[#This Row],[Quantity]]*Transaction[[#This Row],[UnitPrice_Clean]]=Transaction[[#This Row],[NetRevenue_Clean]],"Valid","Invalid")</f>
        <v>Valid</v>
      </c>
      <c r="AI791" t="s">
        <v>23</v>
      </c>
      <c r="AK791" t="str">
        <f>IF(Transaction[[#This Row],[Salesperson]]="","Missing Value",TRIM(PROPER(Transaction[[#This Row],[Salesperson]])))</f>
        <v>Missing Value</v>
      </c>
      <c r="AL791" t="s">
        <v>25</v>
      </c>
      <c r="AM791" t="str">
        <f>IF(Transaction[[#This Row],[ContractType]]="","Missing Value",Transaction[[#This Row],[ContractType]])</f>
        <v>Frame Agreement</v>
      </c>
      <c r="AN791" t="s">
        <v>35</v>
      </c>
    </row>
    <row r="792" spans="1:40" x14ac:dyDescent="0.25">
      <c r="A792" t="s">
        <v>2330</v>
      </c>
      <c r="B792" s="1">
        <v>45676</v>
      </c>
      <c r="C79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79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79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92" s="2">
        <f>IFERROR(DATE(Transaction[[#This Row],[TransactionDateY]],Transaction[[#This Row],[TransactionDateM]],Transaction[[#This Row],[TransactionDateD]]),"Missing Value")</f>
        <v>45676</v>
      </c>
      <c r="G792" t="s">
        <v>61</v>
      </c>
      <c r="H792" t="str">
        <f>IFERROR(VLOOKUP(Transaction[[#This Row],[CustomerID]],Custumer[],1,0),IF(LEN(Transaction[[#This Row],[CustomerID]])=7,LEFT(Transaction[[#This Row],[CustomerID]],6),"Invalid ID"))</f>
        <v>C-1108</v>
      </c>
      <c r="I792" t="s">
        <v>58</v>
      </c>
      <c r="J792" t="str">
        <f>TRIM(UPPER(Transaction[[#This Row],[ProductID]]))</f>
        <v>P-SI-005</v>
      </c>
      <c r="K792" t="str">
        <f>IFERROR(VLOOKUP(Transaction[[#This Row],[ProductID_Clean]],Product[],1,FALSE),"Invalid ID")</f>
        <v>P-SI-005</v>
      </c>
      <c r="L792" t="str">
        <f>TRIM(SUBSTITUTE(SUBSTITUTE(SUBSTITUTE(SUBSTITUTE(UPPER(Transaction[[#This Row],[Region]]),"EMEA REGION","EMEA"),"APAC REGION","APAC"),"NORTH AMERICA","N. AMERICA"),"N .AMERICA","N.AMERICA"))</f>
        <v>APAC</v>
      </c>
      <c r="M792" t="s">
        <v>30</v>
      </c>
      <c r="N792" t="s">
        <v>53</v>
      </c>
      <c r="O79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92" t="s">
        <v>22</v>
      </c>
      <c r="Q792" t="str">
        <f>IF(TRIM(Transaction[[#This Row],[SalesChannel]])="","Missing Value",TRIM(Transaction[[#This Row],[SalesChannel]]))</f>
        <v>Direct</v>
      </c>
      <c r="R792" s="4">
        <v>2</v>
      </c>
      <c r="S792" s="4" t="str">
        <f>IF(Transaction[[#This Row],[Quantity]]&lt;0,"Negative-review","Valid")</f>
        <v>Valid</v>
      </c>
      <c r="T792">
        <v>983.06</v>
      </c>
      <c r="U79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983.06</v>
      </c>
      <c r="V792">
        <v>1120</v>
      </c>
      <c r="W792">
        <v>2240</v>
      </c>
      <c r="X79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2240</v>
      </c>
      <c r="Y792">
        <f>IF(Transaction[[#This Row],[GrossRevenue_Check]]="Invalid",Transaction[[#This Row],[ListPrice]]*Transaction[[#This Row],[Quantity]],Transaction[[#This Row],[GrossRevenue_Clean]])</f>
        <v>2240</v>
      </c>
      <c r="Z792" t="str">
        <f>IF(Transaction[[#This Row],[GrossRevenue_Clean]]=Transaction[[#This Row],[ListPrice]]*Transaction[[#This Row],[Quantity]],"Valid","Invalid")</f>
        <v>Valid</v>
      </c>
      <c r="AA792">
        <v>273.88</v>
      </c>
      <c r="AB79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273.88</v>
      </c>
      <c r="AC792">
        <f>IF(Transaction[[#This Row],[DiscountAmount_Check2]]="Invalid",Transaction[[#This Row],[GrossRevenue_Analytical]]-Transaction[[#This Row],[NetRevenue_Analytical]],Transaction[[#This Row],[DiscountAmount_Clean]])</f>
        <v>273.88</v>
      </c>
      <c r="AD792">
        <v>1966.12</v>
      </c>
      <c r="AE792" t="str">
        <f>IF(ROUND(Transaction[[#This Row],[GrossRevenue_Analytical]]-Transaction[[#This Row],[NetRevenue_Analytical]],2)=ROUND(Transaction[[#This Row],[DiscountAmount_Clean]],2),"Valid","Invalid")</f>
        <v>Valid</v>
      </c>
      <c r="AF79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1966.12</v>
      </c>
      <c r="AG792">
        <f>IF(Transaction[[#This Row],[NetRevenue_Check]]="Invalid",(Transaction[[#This Row],[Quantity]]*Transaction[[#This Row],[UnitPrice_Clean]]),Transaction[[#This Row],[NetRevenue_Clean]])</f>
        <v>1966.12</v>
      </c>
      <c r="AH792" t="str">
        <f>IF(Transaction[[#This Row],[Quantity]]*Transaction[[#This Row],[UnitPrice_Clean]]=Transaction[[#This Row],[NetRevenue_Clean]],"Valid","Invalid")</f>
        <v>Valid</v>
      </c>
      <c r="AI792" t="s">
        <v>23</v>
      </c>
      <c r="AJ792" t="s">
        <v>969</v>
      </c>
      <c r="AK792" t="str">
        <f>IF(Transaction[[#This Row],[Salesperson]]="","Missing Value",TRIM(PROPER(Transaction[[#This Row],[Salesperson]])))</f>
        <v>Mendoza-Na</v>
      </c>
      <c r="AL792" t="s">
        <v>42</v>
      </c>
      <c r="AM792" t="str">
        <f>IF(Transaction[[#This Row],[ContractType]]="","Missing Value",Transaction[[#This Row],[ContractType]])</f>
        <v>Standard PO</v>
      </c>
      <c r="AN792" t="s">
        <v>65</v>
      </c>
    </row>
    <row r="793" spans="1:40" x14ac:dyDescent="0.25">
      <c r="A793" t="s">
        <v>2379</v>
      </c>
      <c r="B793" s="1">
        <v>45787</v>
      </c>
      <c r="C79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79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79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93" s="2">
        <f>IFERROR(DATE(Transaction[[#This Row],[TransactionDateY]],Transaction[[#This Row],[TransactionDateM]],Transaction[[#This Row],[TransactionDateD]]),"Missing Value")</f>
        <v>45787</v>
      </c>
      <c r="G793" t="s">
        <v>1179</v>
      </c>
      <c r="H793" t="str">
        <f>IFERROR(VLOOKUP(Transaction[[#This Row],[CustomerID]],Custumer[],1,0),IF(LEN(Transaction[[#This Row],[CustomerID]])=7,LEFT(Transaction[[#This Row],[CustomerID]],6),"Invalid ID"))</f>
        <v>C-1116</v>
      </c>
      <c r="I793" t="s">
        <v>268</v>
      </c>
      <c r="J793" t="str">
        <f>TRIM(UPPER(Transaction[[#This Row],[ProductID]]))</f>
        <v>P-FS-002</v>
      </c>
      <c r="K793" t="str">
        <f>IFERROR(VLOOKUP(Transaction[[#This Row],[ProductID_Clean]],Product[],1,FALSE),"Invalid ID")</f>
        <v>P-FS-002</v>
      </c>
      <c r="L793" t="str">
        <f>TRIM(SUBSTITUTE(SUBSTITUTE(SUBSTITUTE(SUBSTITUTE(UPPER(Transaction[[#This Row],[Region]]),"EMEA REGION","EMEA"),"APAC REGION","APAC"),"NORTH AMERICA","N. AMERICA"),"N .AMERICA","N.AMERICA"))</f>
        <v>N. AMERICA</v>
      </c>
      <c r="M793" t="s">
        <v>20</v>
      </c>
      <c r="N793" t="s">
        <v>771</v>
      </c>
      <c r="O79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793" t="s">
        <v>22</v>
      </c>
      <c r="Q793" t="str">
        <f>IF(TRIM(Transaction[[#This Row],[SalesChannel]])="","Missing Value",TRIM(Transaction[[#This Row],[SalesChannel]]))</f>
        <v>Direct</v>
      </c>
      <c r="R793" s="4">
        <v>1</v>
      </c>
      <c r="S793" s="4" t="str">
        <f>IF(Transaction[[#This Row],[Quantity]]&lt;0,"Negative-review","Valid")</f>
        <v>Valid</v>
      </c>
      <c r="T793">
        <v>2338.4</v>
      </c>
      <c r="U79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2338.4</v>
      </c>
      <c r="V793">
        <v>2400</v>
      </c>
      <c r="W793">
        <v>2400</v>
      </c>
      <c r="X79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793">
        <f>IF(Transaction[[#This Row],[GrossRevenue_Check]]="Invalid",Transaction[[#This Row],[ListPrice]]*Transaction[[#This Row],[Quantity]],Transaction[[#This Row],[GrossRevenue_Clean]])</f>
        <v>2400</v>
      </c>
      <c r="Z793" t="str">
        <f>IF(Transaction[[#This Row],[GrossRevenue_Clean]]=Transaction[[#This Row],[ListPrice]]*Transaction[[#This Row],[Quantity]],"Valid","Invalid")</f>
        <v>Valid</v>
      </c>
      <c r="AA793">
        <v>61.6</v>
      </c>
      <c r="AB79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61.6</v>
      </c>
      <c r="AC793">
        <f>IF(Transaction[[#This Row],[DiscountAmount_Check2]]="Invalid",Transaction[[#This Row],[GrossRevenue_Analytical]]-Transaction[[#This Row],[NetRevenue_Analytical]],Transaction[[#This Row],[DiscountAmount_Clean]])</f>
        <v>61.6</v>
      </c>
      <c r="AD793">
        <v>2338.4</v>
      </c>
      <c r="AE793" t="str">
        <f>IF(ROUND(Transaction[[#This Row],[GrossRevenue_Analytical]]-Transaction[[#This Row],[NetRevenue_Analytical]],2)=ROUND(Transaction[[#This Row],[DiscountAmount_Clean]],2),"Valid","Invalid")</f>
        <v>Valid</v>
      </c>
      <c r="AF793">
        <f>VALUE(IF(ISNUMBER(Transaction[[#This Row],[NetRevenue]]),Transaction[[#This Row],[NetRevenue]],IFERROR(IF(FIND("$",Transaction[[#This Row],[NetRevenue]])&gt;0,MID(Transaction[[#This Row],[NetRevenue]],2,10)),Transaction[[#This Row],[NetRevenue]])))</f>
        <v>2338.4</v>
      </c>
      <c r="AG793">
        <f>IF(Transaction[[#This Row],[NetRevenue_Check]]="Invalid",(Transaction[[#This Row],[Quantity]]*Transaction[[#This Row],[UnitPrice_Clean]]),Transaction[[#This Row],[NetRevenue_Clean]])</f>
        <v>2338.4</v>
      </c>
      <c r="AH793" t="str">
        <f>IF(Transaction[[#This Row],[Quantity]]*Transaction[[#This Row],[UnitPrice_Clean]]=Transaction[[#This Row],[NetRevenue_Clean]],"Valid","Invalid")</f>
        <v>Valid</v>
      </c>
      <c r="AI793" t="s">
        <v>128</v>
      </c>
      <c r="AJ793" t="s">
        <v>2380</v>
      </c>
      <c r="AK793" t="str">
        <f>IF(Transaction[[#This Row],[Salesperson]]="","Missing Value",TRIM(PROPER(Transaction[[#This Row],[Salesperson]])))</f>
        <v>Gibson-Na</v>
      </c>
      <c r="AL793" t="s">
        <v>295</v>
      </c>
      <c r="AM793" t="str">
        <f>IF(Transaction[[#This Row],[ContractType]]="","Missing Value",Transaction[[#This Row],[ContractType]])</f>
        <v>Multi-Year</v>
      </c>
      <c r="AN793" t="s">
        <v>65</v>
      </c>
    </row>
    <row r="794" spans="1:40" x14ac:dyDescent="0.25">
      <c r="A794" t="s">
        <v>3042</v>
      </c>
      <c r="B794" s="1">
        <v>45769</v>
      </c>
      <c r="C79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79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79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94" s="2">
        <f>IFERROR(DATE(Transaction[[#This Row],[TransactionDateY]],Transaction[[#This Row],[TransactionDateM]],Transaction[[#This Row],[TransactionDateD]]),"Missing Value")</f>
        <v>45769</v>
      </c>
      <c r="G794" t="s">
        <v>3043</v>
      </c>
      <c r="H794" t="str">
        <f>IFERROR(VLOOKUP(Transaction[[#This Row],[CustomerID]],Custumer[],1,0),IF(LEN(Transaction[[#This Row],[CustomerID]])=7,LEFT(Transaction[[#This Row],[CustomerID]],6),"Invalid ID"))</f>
        <v>C-1162</v>
      </c>
      <c r="I794" t="s">
        <v>29</v>
      </c>
      <c r="J794" t="str">
        <f>TRIM(UPPER(Transaction[[#This Row],[ProductID]]))</f>
        <v>P-SA-001</v>
      </c>
      <c r="K794" t="str">
        <f>IFERROR(VLOOKUP(Transaction[[#This Row],[ProductID_Clean]],Product[],1,FALSE),"Invalid ID")</f>
        <v>P-SA-001</v>
      </c>
      <c r="L794" t="str">
        <f>TRIM(SUBSTITUTE(SUBSTITUTE(SUBSTITUTE(SUBSTITUTE(UPPER(Transaction[[#This Row],[Region]]),"EMEA REGION","EMEA"),"APAC REGION","APAC"),"NORTH AMERICA","N. AMERICA"),"N .AMERICA","N.AMERICA"))</f>
        <v>LATIN AMERICA</v>
      </c>
      <c r="M794" t="s">
        <v>82</v>
      </c>
      <c r="N794" t="s">
        <v>31</v>
      </c>
      <c r="O79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794" t="s">
        <v>22</v>
      </c>
      <c r="Q794" t="str">
        <f>IF(TRIM(Transaction[[#This Row],[SalesChannel]])="","Missing Value",TRIM(Transaction[[#This Row],[SalesChannel]]))</f>
        <v>Direct</v>
      </c>
      <c r="R794" s="4">
        <v>2</v>
      </c>
      <c r="S794" s="4" t="str">
        <f>IF(Transaction[[#This Row],[Quantity]]&lt;0,"Negative-review","Valid")</f>
        <v>Valid</v>
      </c>
      <c r="T794" t="s">
        <v>3044</v>
      </c>
      <c r="U79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3565.05</v>
      </c>
      <c r="V794">
        <v>4200</v>
      </c>
      <c r="W794">
        <v>8400</v>
      </c>
      <c r="X79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8400</v>
      </c>
      <c r="Y794">
        <f>IF(Transaction[[#This Row],[GrossRevenue_Check]]="Invalid",Transaction[[#This Row],[ListPrice]]*Transaction[[#This Row],[Quantity]],Transaction[[#This Row],[GrossRevenue_Clean]])</f>
        <v>8400</v>
      </c>
      <c r="Z794" t="str">
        <f>IF(Transaction[[#This Row],[GrossRevenue_Clean]]=Transaction[[#This Row],[ListPrice]]*Transaction[[#This Row],[Quantity]],"Valid","Invalid")</f>
        <v>Valid</v>
      </c>
      <c r="AB79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794">
        <f>IF(Transaction[[#This Row],[DiscountAmount_Check2]]="Invalid",Transaction[[#This Row],[GrossRevenue_Analytical]]-Transaction[[#This Row],[NetRevenue_Analytical]],Transaction[[#This Row],[DiscountAmount_Clean]])</f>
        <v>1269.8999999999996</v>
      </c>
      <c r="AD794">
        <v>7130.1</v>
      </c>
      <c r="AE794" t="str">
        <f>IF(ROUND(Transaction[[#This Row],[GrossRevenue_Analytical]]-Transaction[[#This Row],[NetRevenue_Analytical]],2)=ROUND(Transaction[[#This Row],[DiscountAmount_Clean]],2),"Valid","Invalid")</f>
        <v>Invalid</v>
      </c>
      <c r="AF794">
        <f>VALUE(IF(ISNUMBER(Transaction[[#This Row],[NetRevenue]]),Transaction[[#This Row],[NetRevenue]],IFERROR(IF(FIND("$",Transaction[[#This Row],[NetRevenue]])&gt;0,MID(Transaction[[#This Row],[NetRevenue]],2,10)),Transaction[[#This Row],[NetRevenue]])))</f>
        <v>7130.1</v>
      </c>
      <c r="AG794">
        <f>IF(Transaction[[#This Row],[NetRevenue_Check]]="Invalid",(Transaction[[#This Row],[Quantity]]*Transaction[[#This Row],[UnitPrice_Clean]]),Transaction[[#This Row],[NetRevenue_Clean]])</f>
        <v>7130.1</v>
      </c>
      <c r="AH794" t="str">
        <f>IF(Transaction[[#This Row],[Quantity]]*Transaction[[#This Row],[UnitPrice_Clean]]=Transaction[[#This Row],[NetRevenue_Clean]],"Valid","Invalid")</f>
        <v>Valid</v>
      </c>
      <c r="AI794" t="s">
        <v>23</v>
      </c>
      <c r="AJ794" t="s">
        <v>2418</v>
      </c>
      <c r="AK794" t="str">
        <f>IF(Transaction[[#This Row],[Salesperson]]="","Missing Value",TRIM(PROPER(Transaction[[#This Row],[Salesperson]])))</f>
        <v>Calderon</v>
      </c>
      <c r="AL794" t="s">
        <v>113</v>
      </c>
      <c r="AM794" t="str">
        <f>IF(Transaction[[#This Row],[ContractType]]="","Missing Value",Transaction[[#This Row],[ContractType]])</f>
        <v>Subscription</v>
      </c>
      <c r="AN794" t="s">
        <v>26</v>
      </c>
    </row>
    <row r="795" spans="1:40" x14ac:dyDescent="0.25">
      <c r="A795" t="s">
        <v>1933</v>
      </c>
      <c r="B795" s="1">
        <v>45817</v>
      </c>
      <c r="C79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79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79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95" s="2">
        <f>IFERROR(DATE(Transaction[[#This Row],[TransactionDateY]],Transaction[[#This Row],[TransactionDateM]],Transaction[[#This Row],[TransactionDateD]]),"Missing Value")</f>
        <v>45817</v>
      </c>
      <c r="G795" t="s">
        <v>167</v>
      </c>
      <c r="H795" t="str">
        <f>IFERROR(VLOOKUP(Transaction[[#This Row],[CustomerID]],Custumer[],1,0),IF(LEN(Transaction[[#This Row],[CustomerID]])=7,LEFT(Transaction[[#This Row],[CustomerID]],6),"Invalid ID"))</f>
        <v>C-1008</v>
      </c>
      <c r="I795" t="s">
        <v>268</v>
      </c>
      <c r="J795" t="str">
        <f>TRIM(UPPER(Transaction[[#This Row],[ProductID]]))</f>
        <v>P-FS-002</v>
      </c>
      <c r="K795" t="str">
        <f>IFERROR(VLOOKUP(Transaction[[#This Row],[ProductID_Clean]],Product[],1,FALSE),"Invalid ID")</f>
        <v>P-FS-002</v>
      </c>
      <c r="L795" t="str">
        <f>TRIM(SUBSTITUTE(SUBSTITUTE(SUBSTITUTE(SUBSTITUTE(UPPER(Transaction[[#This Row],[Region]]),"EMEA REGION","EMEA"),"APAC REGION","APAC"),"NORTH AMERICA","N. AMERICA"),"N .AMERICA","N.AMERICA"))</f>
        <v>N. AMERICA</v>
      </c>
      <c r="M795" t="s">
        <v>20</v>
      </c>
      <c r="N795" t="s">
        <v>21</v>
      </c>
      <c r="O79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795" t="s">
        <v>22</v>
      </c>
      <c r="Q795" t="str">
        <f>IF(TRIM(Transaction[[#This Row],[SalesChannel]])="","Missing Value",TRIM(Transaction[[#This Row],[SalesChannel]]))</f>
        <v>Direct</v>
      </c>
      <c r="R795" s="4">
        <v>1</v>
      </c>
      <c r="S795" s="4" t="str">
        <f>IF(Transaction[[#This Row],[Quantity]]&lt;0,"Negative-review","Valid")</f>
        <v>Valid</v>
      </c>
      <c r="T795">
        <v>2173.1799999999998</v>
      </c>
      <c r="U79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2173.1799999999998</v>
      </c>
      <c r="V795">
        <v>2400</v>
      </c>
      <c r="W795">
        <v>2400</v>
      </c>
      <c r="X79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795">
        <f>IF(Transaction[[#This Row],[GrossRevenue_Check]]="Invalid",Transaction[[#This Row],[ListPrice]]*Transaction[[#This Row],[Quantity]],Transaction[[#This Row],[GrossRevenue_Clean]])</f>
        <v>2400</v>
      </c>
      <c r="Z795" t="str">
        <f>IF(Transaction[[#This Row],[GrossRevenue_Clean]]=Transaction[[#This Row],[ListPrice]]*Transaction[[#This Row],[Quantity]],"Valid","Invalid")</f>
        <v>Valid</v>
      </c>
      <c r="AA795">
        <v>226.82</v>
      </c>
      <c r="AB79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226.82</v>
      </c>
      <c r="AC795">
        <f>IF(Transaction[[#This Row],[DiscountAmount_Check2]]="Invalid",Transaction[[#This Row],[GrossRevenue_Analytical]]-Transaction[[#This Row],[NetRevenue_Analytical]],Transaction[[#This Row],[DiscountAmount_Clean]])</f>
        <v>226.82</v>
      </c>
      <c r="AD795">
        <v>2173.1799999999998</v>
      </c>
      <c r="AE795" t="str">
        <f>IF(ROUND(Transaction[[#This Row],[GrossRevenue_Analytical]]-Transaction[[#This Row],[NetRevenue_Analytical]],2)=ROUND(Transaction[[#This Row],[DiscountAmount_Clean]],2),"Valid","Invalid")</f>
        <v>Valid</v>
      </c>
      <c r="AF795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2173.1799999999998</v>
      </c>
      <c r="AG795">
        <f>IF(Transaction[[#This Row],[NetRevenue_Check]]="Invalid",(Transaction[[#This Row],[Quantity]]*Transaction[[#This Row],[UnitPrice_Clean]]),Transaction[[#This Row],[NetRevenue_Clean]])</f>
        <v>2173.1799999999998</v>
      </c>
      <c r="AH795" t="str">
        <f>IF(Transaction[[#This Row],[Quantity]]*Transaction[[#This Row],[UnitPrice_Clean]]=Transaction[[#This Row],[NetRevenue_Clean]],"Valid","Invalid")</f>
        <v>Valid</v>
      </c>
      <c r="AI795" t="s">
        <v>23</v>
      </c>
      <c r="AJ795" t="s">
        <v>1256</v>
      </c>
      <c r="AK795" t="str">
        <f>IF(Transaction[[#This Row],[Salesperson]]="","Missing Value",TRIM(PROPER(Transaction[[#This Row],[Salesperson]])))</f>
        <v>Brooks-Ap</v>
      </c>
      <c r="AL795" t="s">
        <v>224</v>
      </c>
      <c r="AM795" t="str">
        <f>IF(Transaction[[#This Row],[ContractType]]="","Missing Value",Transaction[[#This Row],[ContractType]])</f>
        <v>Annual</v>
      </c>
      <c r="AN795" t="s">
        <v>26</v>
      </c>
    </row>
    <row r="796" spans="1:40" x14ac:dyDescent="0.25">
      <c r="A796" t="s">
        <v>1419</v>
      </c>
      <c r="C79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79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79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796" s="2" t="str">
        <f>IFERROR(DATE(Transaction[[#This Row],[TransactionDateY]],Transaction[[#This Row],[TransactionDateM]],Transaction[[#This Row],[TransactionDateD]]),"Missing Value")</f>
        <v>Missing Value</v>
      </c>
      <c r="G796" t="s">
        <v>565</v>
      </c>
      <c r="H796" t="str">
        <f>IFERROR(VLOOKUP(Transaction[[#This Row],[CustomerID]],Custumer[],1,0),IF(LEN(Transaction[[#This Row],[CustomerID]])=7,LEFT(Transaction[[#This Row],[CustomerID]],6),"Invalid ID"))</f>
        <v>C-1007</v>
      </c>
      <c r="I796" t="s">
        <v>453</v>
      </c>
      <c r="J796" t="str">
        <f>TRIM(UPPER(Transaction[[#This Row],[ProductID]]))</f>
        <v>PROD-001</v>
      </c>
      <c r="K796" t="str">
        <f>IFERROR(VLOOKUP(Transaction[[#This Row],[ProductID_Clean]],Product[],1,FALSE),"Invalid ID")</f>
        <v>Invalid ID</v>
      </c>
      <c r="L796" t="str">
        <f>TRIM(SUBSTITUTE(SUBSTITUTE(SUBSTITUTE(SUBSTITUTE(UPPER(Transaction[[#This Row],[Region]]),"EMEA REGION","EMEA"),"APAC REGION","APAC"),"NORTH AMERICA","N. AMERICA"),"N .AMERICA","N.AMERICA"))</f>
        <v>N. AMERICA</v>
      </c>
      <c r="M796" t="s">
        <v>20</v>
      </c>
      <c r="N796" t="s">
        <v>47</v>
      </c>
      <c r="O79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96" t="s">
        <v>40</v>
      </c>
      <c r="Q796" t="str">
        <f>IF(TRIM(Transaction[[#This Row],[SalesChannel]])="","Missing Value",TRIM(Transaction[[#This Row],[SalesChannel]]))</f>
        <v>Distributor</v>
      </c>
      <c r="R796" s="4">
        <v>10</v>
      </c>
      <c r="S796" s="4" t="str">
        <f>IF(Transaction[[#This Row],[Quantity]]&lt;0,"Negative-review","Valid")</f>
        <v>Valid</v>
      </c>
      <c r="T796">
        <v>139.84</v>
      </c>
      <c r="U79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139.84</v>
      </c>
      <c r="V796">
        <v>215</v>
      </c>
      <c r="W796">
        <v>2150</v>
      </c>
      <c r="X79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2150</v>
      </c>
      <c r="Y796">
        <f>IF(Transaction[[#This Row],[GrossRevenue_Check]]="Invalid",Transaction[[#This Row],[ListPrice]]*Transaction[[#This Row],[Quantity]],Transaction[[#This Row],[GrossRevenue_Clean]])</f>
        <v>2150</v>
      </c>
      <c r="Z796" t="str">
        <f>IF(Transaction[[#This Row],[GrossRevenue_Clean]]=Transaction[[#This Row],[ListPrice]]*Transaction[[#This Row],[Quantity]],"Valid","Invalid")</f>
        <v>Valid</v>
      </c>
      <c r="AA796">
        <v>751.6</v>
      </c>
      <c r="AB79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751.6</v>
      </c>
      <c r="AC796">
        <f>IF(Transaction[[#This Row],[DiscountAmount_Check2]]="Invalid",Transaction[[#This Row],[GrossRevenue_Analytical]]-Transaction[[#This Row],[NetRevenue_Analytical]],Transaction[[#This Row],[DiscountAmount_Clean]])</f>
        <v>751.6</v>
      </c>
      <c r="AD796">
        <v>1398.4</v>
      </c>
      <c r="AE796" t="str">
        <f>IF(ROUND(Transaction[[#This Row],[GrossRevenue_Analytical]]-Transaction[[#This Row],[NetRevenue_Analytical]],2)=ROUND(Transaction[[#This Row],[DiscountAmount_Clean]],2),"Valid","Invalid")</f>
        <v>Valid</v>
      </c>
      <c r="AF79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1398.4</v>
      </c>
      <c r="AG796">
        <f>IF(Transaction[[#This Row],[NetRevenue_Check]]="Invalid",(Transaction[[#This Row],[Quantity]]*Transaction[[#This Row],[UnitPrice_Clean]]),Transaction[[#This Row],[NetRevenue_Clean]])</f>
        <v>1398.4</v>
      </c>
      <c r="AH796" t="str">
        <f>IF(Transaction[[#This Row],[Quantity]]*Transaction[[#This Row],[UnitPrice_Clean]]=Transaction[[#This Row],[NetRevenue_Clean]],"Valid","Invalid")</f>
        <v>Valid</v>
      </c>
      <c r="AI796" t="s">
        <v>99</v>
      </c>
      <c r="AJ796" t="s">
        <v>1420</v>
      </c>
      <c r="AK796" t="str">
        <f>IF(Transaction[[#This Row],[Salesperson]]="","Missing Value",TRIM(PROPER(Transaction[[#This Row],[Salesperson]])))</f>
        <v>Miles</v>
      </c>
      <c r="AL796" t="s">
        <v>42</v>
      </c>
      <c r="AM796" t="str">
        <f>IF(Transaction[[#This Row],[ContractType]]="","Missing Value",Transaction[[#This Row],[ContractType]])</f>
        <v>Standard PO</v>
      </c>
      <c r="AN796" t="s">
        <v>35</v>
      </c>
    </row>
    <row r="797" spans="1:40" x14ac:dyDescent="0.25">
      <c r="A797" t="s">
        <v>2867</v>
      </c>
      <c r="B797" s="1">
        <v>45690</v>
      </c>
      <c r="C79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79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79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97" s="2">
        <f>IFERROR(DATE(Transaction[[#This Row],[TransactionDateY]],Transaction[[#This Row],[TransactionDateM]],Transaction[[#This Row],[TransactionDateD]]),"Missing Value")</f>
        <v>45690</v>
      </c>
      <c r="G797" t="s">
        <v>1000</v>
      </c>
      <c r="H797" t="str">
        <f>IFERROR(VLOOKUP(Transaction[[#This Row],[CustomerID]],Custumer[],1,0),IF(LEN(Transaction[[#This Row],[CustomerID]])=7,LEFT(Transaction[[#This Row],[CustomerID]],6),"Invalid ID"))</f>
        <v>C-1137</v>
      </c>
      <c r="I797" t="s">
        <v>258</v>
      </c>
      <c r="J797" t="str">
        <f>TRIM(UPPER(Transaction[[#This Row],[ProductID]]))</f>
        <v>P-SA-003</v>
      </c>
      <c r="K797" t="str">
        <f>IFERROR(VLOOKUP(Transaction[[#This Row],[ProductID_Clean]],Product[],1,FALSE),"Invalid ID")</f>
        <v>P-SA-003</v>
      </c>
      <c r="L797" t="str">
        <f>TRIM(SUBSTITUTE(SUBSTITUTE(SUBSTITUTE(SUBSTITUTE(UPPER(Transaction[[#This Row],[Region]]),"EMEA REGION","EMEA"),"APAC REGION","APAC"),"NORTH AMERICA","N. AMERICA"),"N .AMERICA","N.AMERICA"))</f>
        <v>N. AMERICA</v>
      </c>
      <c r="M797" t="s">
        <v>20</v>
      </c>
      <c r="N797" t="s">
        <v>205</v>
      </c>
      <c r="O79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797" t="s">
        <v>22</v>
      </c>
      <c r="Q797" t="str">
        <f>IF(TRIM(Transaction[[#This Row],[SalesChannel]])="","Missing Value",TRIM(Transaction[[#This Row],[SalesChannel]]))</f>
        <v>Direct</v>
      </c>
      <c r="R797" s="4">
        <v>1</v>
      </c>
      <c r="S797" s="4" t="str">
        <f>IF(Transaction[[#This Row],[Quantity]]&lt;0,"Negative-review","Valid")</f>
        <v>Valid</v>
      </c>
      <c r="T797">
        <v>2576.67</v>
      </c>
      <c r="U79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2576.67</v>
      </c>
      <c r="V797">
        <v>2750</v>
      </c>
      <c r="W797">
        <v>2750</v>
      </c>
      <c r="X79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797">
        <f>IF(Transaction[[#This Row],[GrossRevenue_Check]]="Invalid",Transaction[[#This Row],[ListPrice]]*Transaction[[#This Row],[Quantity]],Transaction[[#This Row],[GrossRevenue_Clean]])</f>
        <v>2750</v>
      </c>
      <c r="Z797" t="str">
        <f>IF(Transaction[[#This Row],[GrossRevenue_Clean]]=Transaction[[#This Row],[ListPrice]]*Transaction[[#This Row],[Quantity]],"Valid","Invalid")</f>
        <v>Valid</v>
      </c>
      <c r="AA797">
        <v>173.33</v>
      </c>
      <c r="AB79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173.33</v>
      </c>
      <c r="AC797">
        <f>IF(Transaction[[#This Row],[DiscountAmount_Check2]]="Invalid",Transaction[[#This Row],[GrossRevenue_Analytical]]-Transaction[[#This Row],[NetRevenue_Analytical]],Transaction[[#This Row],[DiscountAmount_Clean]])</f>
        <v>173.33</v>
      </c>
      <c r="AD797">
        <v>2576.67</v>
      </c>
      <c r="AE797" t="str">
        <f>IF(ROUND(Transaction[[#This Row],[GrossRevenue_Analytical]]-Transaction[[#This Row],[NetRevenue_Analytical]],2)=ROUND(Transaction[[#This Row],[DiscountAmount_Clean]],2),"Valid","Invalid")</f>
        <v>Valid</v>
      </c>
      <c r="AF797">
        <f>VALUE(IF(ISNUMBER(Transaction[[#This Row],[NetRevenue]]),Transaction[[#This Row],[NetRevenue]],IFERROR(IF(FIND("$",Transaction[[#This Row],[NetRevenue]])&gt;0,MID(Transaction[[#This Row],[NetRevenue]],2,10)),Transaction[[#This Row],[NetRevenue]])))</f>
        <v>2576.67</v>
      </c>
      <c r="AG797">
        <f>IF(Transaction[[#This Row],[NetRevenue_Check]]="Invalid",(Transaction[[#This Row],[Quantity]]*Transaction[[#This Row],[UnitPrice_Clean]]),Transaction[[#This Row],[NetRevenue_Clean]])</f>
        <v>2576.67</v>
      </c>
      <c r="AH797" t="str">
        <f>IF(Transaction[[#This Row],[Quantity]]*Transaction[[#This Row],[UnitPrice_Clean]]=Transaction[[#This Row],[NetRevenue_Clean]],"Valid","Invalid")</f>
        <v>Valid</v>
      </c>
      <c r="AI797" t="s">
        <v>23</v>
      </c>
      <c r="AJ797" t="s">
        <v>2868</v>
      </c>
      <c r="AK797" t="str">
        <f>IF(Transaction[[#This Row],[Salesperson]]="","Missing Value",TRIM(PROPER(Transaction[[#This Row],[Salesperson]])))</f>
        <v>Durham</v>
      </c>
      <c r="AL797" t="s">
        <v>34</v>
      </c>
      <c r="AM797" t="str">
        <f>IF(Transaction[[#This Row],[ContractType]]="","Missing Value",Transaction[[#This Row],[ContractType]])</f>
        <v>Annual License</v>
      </c>
      <c r="AN797" t="s">
        <v>26</v>
      </c>
    </row>
    <row r="798" spans="1:40" x14ac:dyDescent="0.25">
      <c r="A798" t="s">
        <v>2819</v>
      </c>
      <c r="B798" s="1">
        <v>45758</v>
      </c>
      <c r="C79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79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79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98" s="2">
        <f>IFERROR(DATE(Transaction[[#This Row],[TransactionDateY]],Transaction[[#This Row],[TransactionDateM]],Transaction[[#This Row],[TransactionDateD]]),"Missing Value")</f>
        <v>45758</v>
      </c>
      <c r="G798" t="s">
        <v>1535</v>
      </c>
      <c r="H798" t="str">
        <f>IFERROR(VLOOKUP(Transaction[[#This Row],[CustomerID]],Custumer[],1,0),IF(LEN(Transaction[[#This Row],[CustomerID]])=7,LEFT(Transaction[[#This Row],[CustomerID]],6),"Invalid ID"))</f>
        <v>C-1141</v>
      </c>
      <c r="I798" t="s">
        <v>111</v>
      </c>
      <c r="J798" t="str">
        <f>TRIM(UPPER(Transaction[[#This Row],[ProductID]]))</f>
        <v>P-SA-004</v>
      </c>
      <c r="K798" t="str">
        <f>IFERROR(VLOOKUP(Transaction[[#This Row],[ProductID_Clean]],Product[],1,FALSE),"Invalid ID")</f>
        <v>P-SA-004</v>
      </c>
      <c r="L798" t="str">
        <f>TRIM(SUBSTITUTE(SUBSTITUTE(SUBSTITUTE(SUBSTITUTE(UPPER(Transaction[[#This Row],[Region]]),"EMEA REGION","EMEA"),"APAC REGION","APAC"),"NORTH AMERICA","N. AMERICA"),"N .AMERICA","N.AMERICA"))</f>
        <v>N. AMERICA</v>
      </c>
      <c r="M798" t="s">
        <v>20</v>
      </c>
      <c r="N798" t="s">
        <v>31</v>
      </c>
      <c r="O79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798" t="s">
        <v>40</v>
      </c>
      <c r="Q798" t="str">
        <f>IF(TRIM(Transaction[[#This Row],[SalesChannel]])="","Missing Value",TRIM(Transaction[[#This Row],[SalesChannel]]))</f>
        <v>Distributor</v>
      </c>
      <c r="R798" s="4">
        <v>1</v>
      </c>
      <c r="S798" s="4" t="str">
        <f>IF(Transaction[[#This Row],[Quantity]]&lt;0,"Negative-review","Valid")</f>
        <v>Valid</v>
      </c>
      <c r="T798">
        <v>1264.77</v>
      </c>
      <c r="U79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1264.77</v>
      </c>
      <c r="V798">
        <v>1650</v>
      </c>
      <c r="W798">
        <v>1650</v>
      </c>
      <c r="X79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798">
        <f>IF(Transaction[[#This Row],[GrossRevenue_Check]]="Invalid",Transaction[[#This Row],[ListPrice]]*Transaction[[#This Row],[Quantity]],Transaction[[#This Row],[GrossRevenue_Clean]])</f>
        <v>1650</v>
      </c>
      <c r="Z798" t="str">
        <f>IF(Transaction[[#This Row],[GrossRevenue_Clean]]=Transaction[[#This Row],[ListPrice]]*Transaction[[#This Row],[Quantity]],"Valid","Invalid")</f>
        <v>Valid</v>
      </c>
      <c r="AA798" t="s">
        <v>2820</v>
      </c>
      <c r="AB79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385.23</v>
      </c>
      <c r="AC798">
        <f>IF(Transaction[[#This Row],[DiscountAmount_Check2]]="Invalid",Transaction[[#This Row],[GrossRevenue_Analytical]]-Transaction[[#This Row],[NetRevenue_Analytical]],Transaction[[#This Row],[DiscountAmount_Clean]])</f>
        <v>385.23</v>
      </c>
      <c r="AD798">
        <v>1264.77</v>
      </c>
      <c r="AE798" t="str">
        <f>IF(ROUND(Transaction[[#This Row],[GrossRevenue_Analytical]]-Transaction[[#This Row],[NetRevenue_Analytical]],2)=ROUND(Transaction[[#This Row],[DiscountAmount_Clean]],2),"Valid","Invalid")</f>
        <v>Valid</v>
      </c>
      <c r="AF79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1264.77</v>
      </c>
      <c r="AG798">
        <f>IF(Transaction[[#This Row],[NetRevenue_Check]]="Invalid",(Transaction[[#This Row],[Quantity]]*Transaction[[#This Row],[UnitPrice_Clean]]),Transaction[[#This Row],[NetRevenue_Clean]])</f>
        <v>1264.77</v>
      </c>
      <c r="AH798" t="str">
        <f>IF(Transaction[[#This Row],[Quantity]]*Transaction[[#This Row],[UnitPrice_Clean]]=Transaction[[#This Row],[NetRevenue_Clean]],"Valid","Invalid")</f>
        <v>Valid</v>
      </c>
      <c r="AI798" t="s">
        <v>23</v>
      </c>
      <c r="AJ798" t="s">
        <v>2821</v>
      </c>
      <c r="AK798" t="str">
        <f>IF(Transaction[[#This Row],[Salesperson]]="","Missing Value",TRIM(PROPER(Transaction[[#This Row],[Salesperson]])))</f>
        <v>Todd</v>
      </c>
      <c r="AL798" t="s">
        <v>34</v>
      </c>
      <c r="AM798" t="str">
        <f>IF(Transaction[[#This Row],[ContractType]]="","Missing Value",Transaction[[#This Row],[ContractType]])</f>
        <v>Annual License</v>
      </c>
      <c r="AN798" t="s">
        <v>43</v>
      </c>
    </row>
    <row r="799" spans="1:40" x14ac:dyDescent="0.25">
      <c r="A799" t="s">
        <v>1353</v>
      </c>
      <c r="B799" s="1">
        <v>45744</v>
      </c>
      <c r="C79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79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79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799" s="2">
        <f>IFERROR(DATE(Transaction[[#This Row],[TransactionDateY]],Transaction[[#This Row],[TransactionDateM]],Transaction[[#This Row],[TransactionDateD]]),"Missing Value")</f>
        <v>45744</v>
      </c>
      <c r="G799" t="s">
        <v>126</v>
      </c>
      <c r="H799" t="str">
        <f>IFERROR(VLOOKUP(Transaction[[#This Row],[CustomerID]],Custumer[],1,0),IF(LEN(Transaction[[#This Row],[CustomerID]])=7,LEFT(Transaction[[#This Row],[CustomerID]],6),"Invalid ID"))</f>
        <v>C-1019</v>
      </c>
      <c r="I799" t="s">
        <v>62</v>
      </c>
      <c r="J799" t="str">
        <f>TRIM(UPPER(Transaction[[#This Row],[ProductID]]))</f>
        <v>P-SI-004</v>
      </c>
      <c r="K799" t="str">
        <f>IFERROR(VLOOKUP(Transaction[[#This Row],[ProductID_Clean]],Product[],1,FALSE),"Invalid ID")</f>
        <v>P-SI-004</v>
      </c>
      <c r="L799" t="str">
        <f>TRIM(SUBSTITUTE(SUBSTITUTE(SUBSTITUTE(SUBSTITUTE(UPPER(Transaction[[#This Row],[Region]]),"EMEA REGION","EMEA"),"APAC REGION","APAC"),"NORTH AMERICA","N. AMERICA"),"N .AMERICA","N.AMERICA"))</f>
        <v>APAC</v>
      </c>
      <c r="M799" t="s">
        <v>30</v>
      </c>
      <c r="N799" t="s">
        <v>53</v>
      </c>
      <c r="O79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799" t="s">
        <v>181</v>
      </c>
      <c r="Q799" t="str">
        <f>IF(TRIM(Transaction[[#This Row],[SalesChannel]])="","Missing Value",TRIM(Transaction[[#This Row],[SalesChannel]]))</f>
        <v>Partner Portal</v>
      </c>
      <c r="R799" s="4">
        <v>1</v>
      </c>
      <c r="S799" s="4" t="str">
        <f>IF(Transaction[[#This Row],[Quantity]]&lt;0,"Negative-review","Valid")</f>
        <v>Valid</v>
      </c>
      <c r="T799">
        <v>2160.14</v>
      </c>
      <c r="U79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2160.14</v>
      </c>
      <c r="V799">
        <v>2450</v>
      </c>
      <c r="W799">
        <v>2450</v>
      </c>
      <c r="X79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799">
        <f>IF(Transaction[[#This Row],[GrossRevenue_Check]]="Invalid",Transaction[[#This Row],[ListPrice]]*Transaction[[#This Row],[Quantity]],Transaction[[#This Row],[GrossRevenue_Clean]])</f>
        <v>2450</v>
      </c>
      <c r="Z799" t="str">
        <f>IF(Transaction[[#This Row],[GrossRevenue_Clean]]=Transaction[[#This Row],[ListPrice]]*Transaction[[#This Row],[Quantity]],"Valid","Invalid")</f>
        <v>Valid</v>
      </c>
      <c r="AA799">
        <v>289.86</v>
      </c>
      <c r="AB79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289.86</v>
      </c>
      <c r="AC799">
        <f>IF(Transaction[[#This Row],[DiscountAmount_Check2]]="Invalid",Transaction[[#This Row],[GrossRevenue_Analytical]]-Transaction[[#This Row],[NetRevenue_Analytical]],Transaction[[#This Row],[DiscountAmount_Clean]])</f>
        <v>289.86</v>
      </c>
      <c r="AD799">
        <v>2160.14</v>
      </c>
      <c r="AE799" t="str">
        <f>IF(ROUND(Transaction[[#This Row],[GrossRevenue_Analytical]]-Transaction[[#This Row],[NetRevenue_Analytical]],2)=ROUND(Transaction[[#This Row],[DiscountAmount_Clean]],2),"Valid","Invalid")</f>
        <v>Valid</v>
      </c>
      <c r="AF79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2160.14</v>
      </c>
      <c r="AG799">
        <f>IF(Transaction[[#This Row],[NetRevenue_Check]]="Invalid",(Transaction[[#This Row],[Quantity]]*Transaction[[#This Row],[UnitPrice_Clean]]),Transaction[[#This Row],[NetRevenue_Clean]])</f>
        <v>2160.14</v>
      </c>
      <c r="AH799" t="str">
        <f>IF(Transaction[[#This Row],[Quantity]]*Transaction[[#This Row],[UnitPrice_Clean]]=Transaction[[#This Row],[NetRevenue_Clean]],"Valid","Invalid")</f>
        <v>Valid</v>
      </c>
      <c r="AI799" t="s">
        <v>99</v>
      </c>
      <c r="AJ799" t="s">
        <v>1354</v>
      </c>
      <c r="AK799" t="str">
        <f>IF(Transaction[[#This Row],[Salesperson]]="","Missing Value",TRIM(PROPER(Transaction[[#This Row],[Salesperson]])))</f>
        <v>Pham</v>
      </c>
      <c r="AL799" t="s">
        <v>42</v>
      </c>
      <c r="AM799" t="str">
        <f>IF(Transaction[[#This Row],[ContractType]]="","Missing Value",Transaction[[#This Row],[ContractType]])</f>
        <v>Standard PO</v>
      </c>
      <c r="AN799" t="s">
        <v>49</v>
      </c>
    </row>
    <row r="800" spans="1:40" x14ac:dyDescent="0.25">
      <c r="A800" t="s">
        <v>2617</v>
      </c>
      <c r="B800" s="1">
        <v>45694</v>
      </c>
      <c r="C80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80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80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00" s="2">
        <f>IFERROR(DATE(Transaction[[#This Row],[TransactionDateY]],Transaction[[#This Row],[TransactionDateM]],Transaction[[#This Row],[TransactionDateD]]),"Missing Value")</f>
        <v>45694</v>
      </c>
      <c r="G800" t="s">
        <v>284</v>
      </c>
      <c r="H800" t="str">
        <f>IFERROR(VLOOKUP(Transaction[[#This Row],[CustomerID]],Custumer[],1,0),IF(LEN(Transaction[[#This Row],[CustomerID]])=7,LEFT(Transaction[[#This Row],[CustomerID]],6),"Invalid ID"))</f>
        <v>C-1101</v>
      </c>
      <c r="I800" t="s">
        <v>46</v>
      </c>
      <c r="J800" t="str">
        <f>TRIM(UPPER(Transaction[[#This Row],[ProductID]]))</f>
        <v>P-SI-006</v>
      </c>
      <c r="K800" t="str">
        <f>IFERROR(VLOOKUP(Transaction[[#This Row],[ProductID_Clean]],Product[],1,FALSE),"Invalid ID")</f>
        <v>P-SI-006</v>
      </c>
      <c r="L800" t="str">
        <f>TRIM(SUBSTITUTE(SUBSTITUTE(SUBSTITUTE(SUBSTITUTE(UPPER(Transaction[[#This Row],[Region]]),"EMEA REGION","EMEA"),"APAC REGION","APAC"),"NORTH AMERICA","N. AMERICA"),"N .AMERICA","N.AMERICA"))</f>
        <v>EMEA</v>
      </c>
      <c r="M800" t="s">
        <v>87</v>
      </c>
      <c r="N800" t="s">
        <v>53</v>
      </c>
      <c r="O80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00" t="s">
        <v>40</v>
      </c>
      <c r="Q800" t="str">
        <f>IF(TRIM(Transaction[[#This Row],[SalesChannel]])="","Missing Value",TRIM(Transaction[[#This Row],[SalesChannel]]))</f>
        <v>Distributor</v>
      </c>
      <c r="R800" s="4">
        <v>5</v>
      </c>
      <c r="S800" s="4" t="str">
        <f>IF(Transaction[[#This Row],[Quantity]]&lt;0,"Negative-review","Valid")</f>
        <v>Valid</v>
      </c>
      <c r="T800">
        <v>167.94</v>
      </c>
      <c r="U80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167.94</v>
      </c>
      <c r="V800">
        <v>215</v>
      </c>
      <c r="W800">
        <v>1075</v>
      </c>
      <c r="X80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1075</v>
      </c>
      <c r="Y800">
        <f>IF(Transaction[[#This Row],[GrossRevenue_Check]]="Invalid",Transaction[[#This Row],[ListPrice]]*Transaction[[#This Row],[Quantity]],Transaction[[#This Row],[GrossRevenue_Clean]])</f>
        <v>1075</v>
      </c>
      <c r="Z800" t="str">
        <f>IF(Transaction[[#This Row],[GrossRevenue_Clean]]=Transaction[[#This Row],[ListPrice]]*Transaction[[#This Row],[Quantity]],"Valid","Invalid")</f>
        <v>Valid</v>
      </c>
      <c r="AA800">
        <v>235.3</v>
      </c>
      <c r="AB80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235.3</v>
      </c>
      <c r="AC800">
        <f>IF(Transaction[[#This Row],[DiscountAmount_Check2]]="Invalid",Transaction[[#This Row],[GrossRevenue_Analytical]]-Transaction[[#This Row],[NetRevenue_Analytical]],Transaction[[#This Row],[DiscountAmount_Clean]])</f>
        <v>235.3</v>
      </c>
      <c r="AD800">
        <v>839.7</v>
      </c>
      <c r="AE800" t="str">
        <f>IF(ROUND(Transaction[[#This Row],[GrossRevenue_Analytical]]-Transaction[[#This Row],[NetRevenue_Analytical]],2)=ROUND(Transaction[[#This Row],[DiscountAmount_Clean]],2),"Valid","Invalid")</f>
        <v>Valid</v>
      </c>
      <c r="AF800">
        <f>VALUE(IF(ISNUMBER(Transaction[[#This Row],[NetRevenue]]),Transaction[[#This Row],[NetRevenue]],IFERROR(IF(FIND("$",Transaction[[#This Row],[NetRevenue]])&gt;0,MID(Transaction[[#This Row],[NetRevenue]],2,10)),Transaction[[#This Row],[NetRevenue]])))</f>
        <v>839.7</v>
      </c>
      <c r="AG800">
        <f>IF(Transaction[[#This Row],[NetRevenue_Check]]="Invalid",(Transaction[[#This Row],[Quantity]]*Transaction[[#This Row],[UnitPrice_Clean]]),Transaction[[#This Row],[NetRevenue_Clean]])</f>
        <v>839.7</v>
      </c>
      <c r="AH800" t="str">
        <f>IF(Transaction[[#This Row],[Quantity]]*Transaction[[#This Row],[UnitPrice_Clean]]=Transaction[[#This Row],[NetRevenue_Clean]],"Valid","Invalid")</f>
        <v>Valid</v>
      </c>
      <c r="AI800" t="s">
        <v>23</v>
      </c>
      <c r="AK800" t="str">
        <f>IF(Transaction[[#This Row],[Salesperson]]="","Missing Value",TRIM(PROPER(Transaction[[#This Row],[Salesperson]])))</f>
        <v>Missing Value</v>
      </c>
      <c r="AL800" t="s">
        <v>25</v>
      </c>
      <c r="AM800" t="str">
        <f>IF(Transaction[[#This Row],[ContractType]]="","Missing Value",Transaction[[#This Row],[ContractType]])</f>
        <v>Frame Agreement</v>
      </c>
      <c r="AN800" t="s">
        <v>35</v>
      </c>
    </row>
    <row r="801" spans="1:40" x14ac:dyDescent="0.25">
      <c r="A801" t="s">
        <v>878</v>
      </c>
      <c r="B801" s="1">
        <v>45812</v>
      </c>
      <c r="C80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80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80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01" s="2">
        <f>IFERROR(DATE(Transaction[[#This Row],[TransactionDateY]],Transaction[[#This Row],[TransactionDateM]],Transaction[[#This Row],[TransactionDateD]]),"Missing Value")</f>
        <v>45812</v>
      </c>
      <c r="G801" t="s">
        <v>423</v>
      </c>
      <c r="H801" t="str">
        <f>IFERROR(VLOOKUP(Transaction[[#This Row],[CustomerID]],Custumer[],1,0),IF(LEN(Transaction[[#This Row],[CustomerID]])=7,LEFT(Transaction[[#This Row],[CustomerID]],6),"Invalid ID"))</f>
        <v>C-1121</v>
      </c>
      <c r="I801" t="s">
        <v>111</v>
      </c>
      <c r="J801" t="str">
        <f>TRIM(UPPER(Transaction[[#This Row],[ProductID]]))</f>
        <v>P-SA-004</v>
      </c>
      <c r="K801" t="str">
        <f>IFERROR(VLOOKUP(Transaction[[#This Row],[ProductID_Clean]],Product[],1,FALSE),"Invalid ID")</f>
        <v>P-SA-004</v>
      </c>
      <c r="L801" t="str">
        <f>TRIM(SUBSTITUTE(SUBSTITUTE(SUBSTITUTE(SUBSTITUTE(UPPER(Transaction[[#This Row],[Region]]),"EMEA REGION","EMEA"),"APAC REGION","APAC"),"NORTH AMERICA","N. AMERICA"),"N .AMERICA","N.AMERICA"))</f>
        <v>N. AMERICA</v>
      </c>
      <c r="M801" t="s">
        <v>495</v>
      </c>
      <c r="N801" t="s">
        <v>205</v>
      </c>
      <c r="O80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801" t="s">
        <v>32</v>
      </c>
      <c r="Q801" t="str">
        <f>IF(TRIM(Transaction[[#This Row],[SalesChannel]])="","Missing Value",TRIM(Transaction[[#This Row],[SalesChannel]]))</f>
        <v>Direct</v>
      </c>
      <c r="R801" s="4">
        <v>1</v>
      </c>
      <c r="S801" s="4" t="str">
        <f>IF(Transaction[[#This Row],[Quantity]]&lt;0,"Negative-review","Valid")</f>
        <v>Valid</v>
      </c>
      <c r="T801">
        <v>1488.68</v>
      </c>
      <c r="U80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1488.68</v>
      </c>
      <c r="V801">
        <v>1650</v>
      </c>
      <c r="W801">
        <v>1650</v>
      </c>
      <c r="X80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801">
        <f>IF(Transaction[[#This Row],[GrossRevenue_Check]]="Invalid",Transaction[[#This Row],[ListPrice]]*Transaction[[#This Row],[Quantity]],Transaction[[#This Row],[GrossRevenue_Clean]])</f>
        <v>1650</v>
      </c>
      <c r="Z801" t="str">
        <f>IF(Transaction[[#This Row],[GrossRevenue_Clean]]=Transaction[[#This Row],[ListPrice]]*Transaction[[#This Row],[Quantity]],"Valid","Invalid")</f>
        <v>Valid</v>
      </c>
      <c r="AA801">
        <v>161.32</v>
      </c>
      <c r="AB80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161.32</v>
      </c>
      <c r="AC801">
        <f>IF(Transaction[[#This Row],[DiscountAmount_Check2]]="Invalid",Transaction[[#This Row],[GrossRevenue_Analytical]]-Transaction[[#This Row],[NetRevenue_Analytical]],Transaction[[#This Row],[DiscountAmount_Clean]])</f>
        <v>161.32</v>
      </c>
      <c r="AD801">
        <v>1488.68</v>
      </c>
      <c r="AE801" t="str">
        <f>IF(ROUND(Transaction[[#This Row],[GrossRevenue_Analytical]]-Transaction[[#This Row],[NetRevenue_Analytical]],2)=ROUND(Transaction[[#This Row],[DiscountAmount_Clean]],2),"Valid","Invalid")</f>
        <v>Valid</v>
      </c>
      <c r="AF80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1488.68</v>
      </c>
      <c r="AG801">
        <f>IF(Transaction[[#This Row],[NetRevenue_Check]]="Invalid",(Transaction[[#This Row],[Quantity]]*Transaction[[#This Row],[UnitPrice_Clean]]),Transaction[[#This Row],[NetRevenue_Clean]])</f>
        <v>1488.68</v>
      </c>
      <c r="AH801" t="str">
        <f>IF(Transaction[[#This Row],[Quantity]]*Transaction[[#This Row],[UnitPrice_Clean]]=Transaction[[#This Row],[NetRevenue_Clean]],"Valid","Invalid")</f>
        <v>Valid</v>
      </c>
      <c r="AI801" t="s">
        <v>23</v>
      </c>
      <c r="AJ801" t="s">
        <v>879</v>
      </c>
      <c r="AK801" t="str">
        <f>IF(Transaction[[#This Row],[Salesperson]]="","Missing Value",TRIM(PROPER(Transaction[[#This Row],[Salesperson]])))</f>
        <v>Gill-Em</v>
      </c>
      <c r="AL801" t="s">
        <v>34</v>
      </c>
      <c r="AM801" t="str">
        <f>IF(Transaction[[#This Row],[ContractType]]="","Missing Value",Transaction[[#This Row],[ContractType]])</f>
        <v>Annual License</v>
      </c>
      <c r="AN801" t="s">
        <v>49</v>
      </c>
    </row>
    <row r="802" spans="1:40" x14ac:dyDescent="0.25">
      <c r="A802" t="s">
        <v>2489</v>
      </c>
      <c r="B802" t="s">
        <v>2490</v>
      </c>
      <c r="C80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80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80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02" s="2">
        <f>IFERROR(DATE(Transaction[[#This Row],[TransactionDateY]],Transaction[[#This Row],[TransactionDateM]],Transaction[[#This Row],[TransactionDateD]]),"Missing Value")</f>
        <v>45760</v>
      </c>
      <c r="G802" t="s">
        <v>329</v>
      </c>
      <c r="H802" t="str">
        <f>IFERROR(VLOOKUP(Transaction[[#This Row],[CustomerID]],Custumer[],1,0),IF(LEN(Transaction[[#This Row],[CustomerID]])=7,LEFT(Transaction[[#This Row],[CustomerID]],6),"Invalid ID"))</f>
        <v>C-1145</v>
      </c>
      <c r="I802" t="s">
        <v>46</v>
      </c>
      <c r="J802" t="str">
        <f>TRIM(UPPER(Transaction[[#This Row],[ProductID]]))</f>
        <v>P-SI-006</v>
      </c>
      <c r="K802" t="str">
        <f>IFERROR(VLOOKUP(Transaction[[#This Row],[ProductID_Clean]],Product[],1,FALSE),"Invalid ID")</f>
        <v>P-SI-006</v>
      </c>
      <c r="L802" t="str">
        <f>TRIM(SUBSTITUTE(SUBSTITUTE(SUBSTITUTE(SUBSTITUTE(UPPER(Transaction[[#This Row],[Region]]),"EMEA REGION","EMEA"),"APAC REGION","APAC"),"NORTH AMERICA","N. AMERICA"),"N .AMERICA","N.AMERICA"))</f>
        <v>N. AMERICA</v>
      </c>
      <c r="M802" t="s">
        <v>20</v>
      </c>
      <c r="N802" t="s">
        <v>53</v>
      </c>
      <c r="O80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02" t="s">
        <v>40</v>
      </c>
      <c r="Q802" t="str">
        <f>IF(TRIM(Transaction[[#This Row],[SalesChannel]])="","Missing Value",TRIM(Transaction[[#This Row],[SalesChannel]]))</f>
        <v>Distributor</v>
      </c>
      <c r="R802" s="4">
        <v>1</v>
      </c>
      <c r="S802" s="4" t="str">
        <f>IF(Transaction[[#This Row],[Quantity]]&lt;0,"Negative-review","Valid")</f>
        <v>Valid</v>
      </c>
      <c r="T802">
        <v>158.97999999999999</v>
      </c>
      <c r="U80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158.97999999999999</v>
      </c>
      <c r="V802">
        <v>215</v>
      </c>
      <c r="W802" t="s">
        <v>147</v>
      </c>
      <c r="X80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802">
        <f>IF(Transaction[[#This Row],[GrossRevenue_Check]]="Invalid",Transaction[[#This Row],[ListPrice]]*Transaction[[#This Row],[Quantity]],Transaction[[#This Row],[GrossRevenue_Clean]])</f>
        <v>215</v>
      </c>
      <c r="Z802" t="str">
        <f>IF(Transaction[[#This Row],[GrossRevenue_Clean]]=Transaction[[#This Row],[ListPrice]]*Transaction[[#This Row],[Quantity]],"Valid","Invalid")</f>
        <v>Valid</v>
      </c>
      <c r="AA802">
        <v>56.02</v>
      </c>
      <c r="AB80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56.02</v>
      </c>
      <c r="AC802">
        <f>IF(Transaction[[#This Row],[DiscountAmount_Check2]]="Invalid",Transaction[[#This Row],[GrossRevenue_Analytical]]-Transaction[[#This Row],[NetRevenue_Analytical]],Transaction[[#This Row],[DiscountAmount_Clean]])</f>
        <v>56.02</v>
      </c>
      <c r="AD802">
        <v>158.97999999999999</v>
      </c>
      <c r="AE802" t="str">
        <f>IF(ROUND(Transaction[[#This Row],[GrossRevenue_Analytical]]-Transaction[[#This Row],[NetRevenue_Analytical]],2)=ROUND(Transaction[[#This Row],[DiscountAmount_Clean]],2),"Valid","Invalid")</f>
        <v>Valid</v>
      </c>
      <c r="AF80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158.97999999999999</v>
      </c>
      <c r="AG802">
        <f>IF(Transaction[[#This Row],[NetRevenue_Check]]="Invalid",(Transaction[[#This Row],[Quantity]]*Transaction[[#This Row],[UnitPrice_Clean]]),Transaction[[#This Row],[NetRevenue_Clean]])</f>
        <v>158.97999999999999</v>
      </c>
      <c r="AH802" t="str">
        <f>IF(Transaction[[#This Row],[Quantity]]*Transaction[[#This Row],[UnitPrice_Clean]]=Transaction[[#This Row],[NetRevenue_Clean]],"Valid","Invalid")</f>
        <v>Valid</v>
      </c>
      <c r="AI802" t="s">
        <v>23</v>
      </c>
      <c r="AJ802" t="s">
        <v>2491</v>
      </c>
      <c r="AK802" t="str">
        <f>IF(Transaction[[#This Row],[Salesperson]]="","Missing Value",TRIM(PROPER(Transaction[[#This Row],[Salesperson]])))</f>
        <v>Becker-Em</v>
      </c>
      <c r="AM802" t="str">
        <f>IF(Transaction[[#This Row],[ContractType]]="","Missing Value",Transaction[[#This Row],[ContractType]])</f>
        <v>Missing Value</v>
      </c>
      <c r="AN802" t="s">
        <v>65</v>
      </c>
    </row>
    <row r="803" spans="1:40" x14ac:dyDescent="0.25">
      <c r="A803" t="s">
        <v>2653</v>
      </c>
      <c r="B803" t="s">
        <v>732</v>
      </c>
      <c r="C80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80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80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03" s="2">
        <f>IFERROR(DATE(Transaction[[#This Row],[TransactionDateY]],Transaction[[#This Row],[TransactionDateM]],Transaction[[#This Row],[TransactionDateD]]),"Missing Value")</f>
        <v>45668</v>
      </c>
      <c r="G803" t="s">
        <v>247</v>
      </c>
      <c r="H803" t="str">
        <f>IFERROR(VLOOKUP(Transaction[[#This Row],[CustomerID]],Custumer[],1,0),IF(LEN(Transaction[[#This Row],[CustomerID]])=7,LEFT(Transaction[[#This Row],[CustomerID]],6),"Invalid ID"))</f>
        <v>C-1045</v>
      </c>
      <c r="I803" t="s">
        <v>52</v>
      </c>
      <c r="J803" t="str">
        <f>TRIM(UPPER(Transaction[[#This Row],[ProductID]]))</f>
        <v>P-SI-002</v>
      </c>
      <c r="K803" t="str">
        <f>IFERROR(VLOOKUP(Transaction[[#This Row],[ProductID_Clean]],Product[],1,FALSE),"Invalid ID")</f>
        <v>P-SI-002</v>
      </c>
      <c r="L803" t="str">
        <f>TRIM(SUBSTITUTE(SUBSTITUTE(SUBSTITUTE(SUBSTITUTE(UPPER(Transaction[[#This Row],[Region]]),"EMEA REGION","EMEA"),"APAC REGION","APAC"),"NORTH AMERICA","N. AMERICA"),"N .AMERICA","N.AMERICA"))</f>
        <v>EMEA</v>
      </c>
      <c r="M803" t="s">
        <v>76</v>
      </c>
      <c r="N803" t="s">
        <v>47</v>
      </c>
      <c r="O80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03" t="s">
        <v>22</v>
      </c>
      <c r="Q803" t="str">
        <f>IF(TRIM(Transaction[[#This Row],[SalesChannel]])="","Missing Value",TRIM(Transaction[[#This Row],[SalesChannel]]))</f>
        <v>Direct</v>
      </c>
      <c r="R803" s="4">
        <v>5</v>
      </c>
      <c r="S803" s="4" t="str">
        <f>IF(Transaction[[#This Row],[Quantity]]&lt;0,"Negative-review","Valid")</f>
        <v>Valid</v>
      </c>
      <c r="T803">
        <v>666.29</v>
      </c>
      <c r="U80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666.29</v>
      </c>
      <c r="V803">
        <v>725</v>
      </c>
      <c r="W803">
        <v>3625</v>
      </c>
      <c r="X80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3625</v>
      </c>
      <c r="Y803">
        <f>IF(Transaction[[#This Row],[GrossRevenue_Check]]="Invalid",Transaction[[#This Row],[ListPrice]]*Transaction[[#This Row],[Quantity]],Transaction[[#This Row],[GrossRevenue_Clean]])</f>
        <v>3625</v>
      </c>
      <c r="Z803" t="str">
        <f>IF(Transaction[[#This Row],[GrossRevenue_Clean]]=Transaction[[#This Row],[ListPrice]]*Transaction[[#This Row],[Quantity]],"Valid","Invalid")</f>
        <v>Valid</v>
      </c>
      <c r="AA803">
        <v>293.55</v>
      </c>
      <c r="AB80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293.55</v>
      </c>
      <c r="AC803">
        <f>IF(Transaction[[#This Row],[DiscountAmount_Check2]]="Invalid",Transaction[[#This Row],[GrossRevenue_Analytical]]-Transaction[[#This Row],[NetRevenue_Analytical]],Transaction[[#This Row],[DiscountAmount_Clean]])</f>
        <v>293.55</v>
      </c>
      <c r="AD803">
        <v>3331.45</v>
      </c>
      <c r="AE803" t="str">
        <f>IF(ROUND(Transaction[[#This Row],[GrossRevenue_Analytical]]-Transaction[[#This Row],[NetRevenue_Analytical]],2)=ROUND(Transaction[[#This Row],[DiscountAmount_Clean]],2),"Valid","Invalid")</f>
        <v>Valid</v>
      </c>
      <c r="AF80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3331.45</v>
      </c>
      <c r="AG803">
        <f>IF(Transaction[[#This Row],[NetRevenue_Check]]="Invalid",(Transaction[[#This Row],[Quantity]]*Transaction[[#This Row],[UnitPrice_Clean]]),Transaction[[#This Row],[NetRevenue_Clean]])</f>
        <v>3331.45</v>
      </c>
      <c r="AH803" t="str">
        <f>IF(Transaction[[#This Row],[Quantity]]*Transaction[[#This Row],[UnitPrice_Clean]]=Transaction[[#This Row],[NetRevenue_Clean]],"Valid","Invalid")</f>
        <v>Valid</v>
      </c>
      <c r="AI803" t="s">
        <v>23</v>
      </c>
      <c r="AJ803" t="s">
        <v>1981</v>
      </c>
      <c r="AK803" t="str">
        <f>IF(Transaction[[#This Row],[Salesperson]]="","Missing Value",TRIM(PROPER(Transaction[[#This Row],[Salesperson]])))</f>
        <v>Larson</v>
      </c>
      <c r="AL803" t="s">
        <v>42</v>
      </c>
      <c r="AM803" t="str">
        <f>IF(Transaction[[#This Row],[ContractType]]="","Missing Value",Transaction[[#This Row],[ContractType]])</f>
        <v>Standard PO</v>
      </c>
      <c r="AN803" t="s">
        <v>35</v>
      </c>
    </row>
    <row r="804" spans="1:40" x14ac:dyDescent="0.25">
      <c r="A804" t="s">
        <v>2361</v>
      </c>
      <c r="B804" s="1">
        <v>45667</v>
      </c>
      <c r="C80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80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80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04" s="2">
        <f>IFERROR(DATE(Transaction[[#This Row],[TransactionDateY]],Transaction[[#This Row],[TransactionDateM]],Transaction[[#This Row],[TransactionDateD]]),"Missing Value")</f>
        <v>45667</v>
      </c>
      <c r="G804" t="s">
        <v>2362</v>
      </c>
      <c r="H804" t="str">
        <f>IFERROR(VLOOKUP(Transaction[[#This Row],[CustomerID]],Custumer[],1,0),IF(LEN(Transaction[[#This Row],[CustomerID]])=7,LEFT(Transaction[[#This Row],[CustomerID]],6),"Invalid ID"))</f>
        <v>C-1180</v>
      </c>
      <c r="I804" t="s">
        <v>62</v>
      </c>
      <c r="J804" t="str">
        <f>TRIM(UPPER(Transaction[[#This Row],[ProductID]]))</f>
        <v>P-SI-004</v>
      </c>
      <c r="K804" t="str">
        <f>IFERROR(VLOOKUP(Transaction[[#This Row],[ProductID_Clean]],Product[],1,FALSE),"Invalid ID")</f>
        <v>P-SI-004</v>
      </c>
      <c r="L804" t="str">
        <f>TRIM(SUBSTITUTE(SUBSTITUTE(SUBSTITUTE(SUBSTITUTE(UPPER(Transaction[[#This Row],[Region]]),"EMEA REGION","EMEA"),"APAC REGION","APAC"),"NORTH AMERICA","N. AMERICA"),"N .AMERICA","N.AMERICA"))</f>
        <v>N. AMERICA</v>
      </c>
      <c r="M804" t="s">
        <v>495</v>
      </c>
      <c r="N804" t="s">
        <v>53</v>
      </c>
      <c r="O80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04" t="s">
        <v>22</v>
      </c>
      <c r="Q804" t="str">
        <f>IF(TRIM(Transaction[[#This Row],[SalesChannel]])="","Missing Value",TRIM(Transaction[[#This Row],[SalesChannel]]))</f>
        <v>Direct</v>
      </c>
      <c r="R804" s="4">
        <v>1</v>
      </c>
      <c r="S804" s="4" t="str">
        <f>IF(Transaction[[#This Row],[Quantity]]&lt;0,"Negative-review","Valid")</f>
        <v>Valid</v>
      </c>
      <c r="T804">
        <v>2274.89</v>
      </c>
      <c r="U80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2274.89</v>
      </c>
      <c r="V804">
        <v>2450</v>
      </c>
      <c r="W804">
        <v>2450</v>
      </c>
      <c r="X80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804">
        <f>IF(Transaction[[#This Row],[GrossRevenue_Check]]="Invalid",Transaction[[#This Row],[ListPrice]]*Transaction[[#This Row],[Quantity]],Transaction[[#This Row],[GrossRevenue_Clean]])</f>
        <v>2450</v>
      </c>
      <c r="Z804" t="str">
        <f>IF(Transaction[[#This Row],[GrossRevenue_Clean]]=Transaction[[#This Row],[ListPrice]]*Transaction[[#This Row],[Quantity]],"Valid","Invalid")</f>
        <v>Valid</v>
      </c>
      <c r="AA804">
        <v>175.11</v>
      </c>
      <c r="AB80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175.11</v>
      </c>
      <c r="AC804">
        <f>IF(Transaction[[#This Row],[DiscountAmount_Check2]]="Invalid",Transaction[[#This Row],[GrossRevenue_Analytical]]-Transaction[[#This Row],[NetRevenue_Analytical]],Transaction[[#This Row],[DiscountAmount_Clean]])</f>
        <v>175.11</v>
      </c>
      <c r="AD804">
        <v>2274.89</v>
      </c>
      <c r="AE804" t="str">
        <f>IF(ROUND(Transaction[[#This Row],[GrossRevenue_Analytical]]-Transaction[[#This Row],[NetRevenue_Analytical]],2)=ROUND(Transaction[[#This Row],[DiscountAmount_Clean]],2),"Valid","Invalid")</f>
        <v>Valid</v>
      </c>
      <c r="AF80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2274.89</v>
      </c>
      <c r="AG804">
        <f>IF(Transaction[[#This Row],[NetRevenue_Check]]="Invalid",(Transaction[[#This Row],[Quantity]]*Transaction[[#This Row],[UnitPrice_Clean]]),Transaction[[#This Row],[NetRevenue_Clean]])</f>
        <v>2274.89</v>
      </c>
      <c r="AH804" t="str">
        <f>IF(Transaction[[#This Row],[Quantity]]*Transaction[[#This Row],[UnitPrice_Clean]]=Transaction[[#This Row],[NetRevenue_Clean]],"Valid","Invalid")</f>
        <v>Valid</v>
      </c>
      <c r="AI804" t="s">
        <v>23</v>
      </c>
      <c r="AJ804" t="s">
        <v>2363</v>
      </c>
      <c r="AK804" t="str">
        <f>IF(Transaction[[#This Row],[Salesperson]]="","Missing Value",TRIM(PROPER(Transaction[[#This Row],[Salesperson]])))</f>
        <v>Cobb</v>
      </c>
      <c r="AL804" t="s">
        <v>25</v>
      </c>
      <c r="AM804" t="str">
        <f>IF(Transaction[[#This Row],[ContractType]]="","Missing Value",Transaction[[#This Row],[ContractType]])</f>
        <v>Frame Agreement</v>
      </c>
      <c r="AN804" t="s">
        <v>49</v>
      </c>
    </row>
    <row r="805" spans="1:40" x14ac:dyDescent="0.25">
      <c r="A805" t="s">
        <v>782</v>
      </c>
      <c r="B805" t="s">
        <v>783</v>
      </c>
      <c r="C80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80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80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05" s="2">
        <f>IFERROR(DATE(Transaction[[#This Row],[TransactionDateY]],Transaction[[#This Row],[TransactionDateM]],Transaction[[#This Row],[TransactionDateD]]),"Missing Value")</f>
        <v>45743</v>
      </c>
      <c r="G805" t="s">
        <v>784</v>
      </c>
      <c r="H805" t="str">
        <f>IFERROR(VLOOKUP(Transaction[[#This Row],[CustomerID]],Custumer[],1,0),IF(LEN(Transaction[[#This Row],[CustomerID]])=7,LEFT(Transaction[[#This Row],[CustomerID]],6),"Invalid ID"))</f>
        <v>C-1159</v>
      </c>
      <c r="I805" t="s">
        <v>52</v>
      </c>
      <c r="J805" t="str">
        <f>TRIM(UPPER(Transaction[[#This Row],[ProductID]]))</f>
        <v>P-SI-002</v>
      </c>
      <c r="K805" t="str">
        <f>IFERROR(VLOOKUP(Transaction[[#This Row],[ProductID_Clean]],Product[],1,FALSE),"Invalid ID")</f>
        <v>P-SI-002</v>
      </c>
      <c r="L805" t="str">
        <f>TRIM(SUBSTITUTE(SUBSTITUTE(SUBSTITUTE(SUBSTITUTE(UPPER(Transaction[[#This Row],[Region]]),"EMEA REGION","EMEA"),"APAC REGION","APAC"),"NORTH AMERICA","N. AMERICA"),"N .AMERICA","N.AMERICA"))</f>
        <v>EMEA</v>
      </c>
      <c r="M805" t="s">
        <v>177</v>
      </c>
      <c r="N805" t="s">
        <v>98</v>
      </c>
      <c r="O80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05" t="s">
        <v>181</v>
      </c>
      <c r="Q805" t="str">
        <f>IF(TRIM(Transaction[[#This Row],[SalesChannel]])="","Missing Value",TRIM(Transaction[[#This Row],[SalesChannel]]))</f>
        <v>Partner Portal</v>
      </c>
      <c r="R805" s="4">
        <v>1</v>
      </c>
      <c r="S805" s="4" t="str">
        <f>IF(Transaction[[#This Row],[Quantity]]&lt;0,"Negative-review","Valid")</f>
        <v>Valid</v>
      </c>
      <c r="T805">
        <v>683.32</v>
      </c>
      <c r="U80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683.32</v>
      </c>
      <c r="V805">
        <v>725</v>
      </c>
      <c r="W805">
        <v>725</v>
      </c>
      <c r="X80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805">
        <f>IF(Transaction[[#This Row],[GrossRevenue_Check]]="Invalid",Transaction[[#This Row],[ListPrice]]*Transaction[[#This Row],[Quantity]],Transaction[[#This Row],[GrossRevenue_Clean]])</f>
        <v>725</v>
      </c>
      <c r="Z805" t="str">
        <f>IF(Transaction[[#This Row],[GrossRevenue_Clean]]=Transaction[[#This Row],[ListPrice]]*Transaction[[#This Row],[Quantity]],"Valid","Invalid")</f>
        <v>Valid</v>
      </c>
      <c r="AA805">
        <v>41.68</v>
      </c>
      <c r="AB80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41.68</v>
      </c>
      <c r="AC805">
        <f>IF(Transaction[[#This Row],[DiscountAmount_Check2]]="Invalid",Transaction[[#This Row],[GrossRevenue_Analytical]]-Transaction[[#This Row],[NetRevenue_Analytical]],Transaction[[#This Row],[DiscountAmount_Clean]])</f>
        <v>41.68</v>
      </c>
      <c r="AD805">
        <v>683.32</v>
      </c>
      <c r="AE805" t="str">
        <f>IF(ROUND(Transaction[[#This Row],[GrossRevenue_Analytical]]-Transaction[[#This Row],[NetRevenue_Analytical]],2)=ROUND(Transaction[[#This Row],[DiscountAmount_Clean]],2),"Valid","Invalid")</f>
        <v>Valid</v>
      </c>
      <c r="AF805">
        <f>VALUE(IF(ISNUMBER(Transaction[[#This Row],[NetRevenue]]),Transaction[[#This Row],[NetRevenue]],IFERROR(IF(FIND("$",Transaction[[#This Row],[NetRevenue]])&gt;0,MID(Transaction[[#This Row],[NetRevenue]],2,10)),Transaction[[#This Row],[NetRevenue]])))</f>
        <v>683.32</v>
      </c>
      <c r="AG805">
        <f>IF(Transaction[[#This Row],[NetRevenue_Check]]="Invalid",(Transaction[[#This Row],[Quantity]]*Transaction[[#This Row],[UnitPrice_Clean]]),Transaction[[#This Row],[NetRevenue_Clean]])</f>
        <v>683.32</v>
      </c>
      <c r="AH805" t="str">
        <f>IF(Transaction[[#This Row],[Quantity]]*Transaction[[#This Row],[UnitPrice_Clean]]=Transaction[[#This Row],[NetRevenue_Clean]],"Valid","Invalid")</f>
        <v>Valid</v>
      </c>
      <c r="AI805" t="s">
        <v>23</v>
      </c>
      <c r="AJ805" t="s">
        <v>785</v>
      </c>
      <c r="AK805" t="str">
        <f>IF(Transaction[[#This Row],[Salesperson]]="","Missing Value",TRIM(PROPER(Transaction[[#This Row],[Salesperson]])))</f>
        <v>Fox-Em</v>
      </c>
      <c r="AL805" t="s">
        <v>42</v>
      </c>
      <c r="AM805" t="str">
        <f>IF(Transaction[[#This Row],[ContractType]]="","Missing Value",Transaction[[#This Row],[ContractType]])</f>
        <v>Standard PO</v>
      </c>
      <c r="AN805" t="s">
        <v>49</v>
      </c>
    </row>
    <row r="806" spans="1:40" x14ac:dyDescent="0.25">
      <c r="A806" t="s">
        <v>807</v>
      </c>
      <c r="B806" t="s">
        <v>307</v>
      </c>
      <c r="C80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80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80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06" s="2">
        <f>IFERROR(DATE(Transaction[[#This Row],[TransactionDateY]],Transaction[[#This Row],[TransactionDateM]],Transaction[[#This Row],[TransactionDateD]]),"Missing Value")</f>
        <v>45774</v>
      </c>
      <c r="G806" t="s">
        <v>808</v>
      </c>
      <c r="H806" t="str">
        <f>IFERROR(VLOOKUP(Transaction[[#This Row],[CustomerID]],Custumer[],1,0),IF(LEN(Transaction[[#This Row],[CustomerID]])=7,LEFT(Transaction[[#This Row],[CustomerID]],6),"Invalid ID"))</f>
        <v>C-1044</v>
      </c>
      <c r="I806" t="s">
        <v>117</v>
      </c>
      <c r="J806" t="str">
        <f>TRIM(UPPER(Transaction[[#This Row],[ProductID]]))</f>
        <v>P-SI-007</v>
      </c>
      <c r="K806" t="str">
        <f>IFERROR(VLOOKUP(Transaction[[#This Row],[ProductID_Clean]],Product[],1,FALSE),"Invalid ID")</f>
        <v>P-SI-007</v>
      </c>
      <c r="L806" t="str">
        <f>TRIM(SUBSTITUTE(SUBSTITUTE(SUBSTITUTE(SUBSTITUTE(UPPER(Transaction[[#This Row],[Region]]),"EMEA REGION","EMEA"),"APAC REGION","APAC"),"NORTH AMERICA","N. AMERICA"),"N .AMERICA","N.AMERICA"))</f>
        <v>N. AMERICA</v>
      </c>
      <c r="M806" t="s">
        <v>204</v>
      </c>
      <c r="N806" t="s">
        <v>47</v>
      </c>
      <c r="O80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06" t="s">
        <v>93</v>
      </c>
      <c r="Q806" t="str">
        <f>IF(TRIM(Transaction[[#This Row],[SalesChannel]])="","Missing Value",TRIM(Transaction[[#This Row],[SalesChannel]]))</f>
        <v>direct</v>
      </c>
      <c r="R806" s="4">
        <v>3</v>
      </c>
      <c r="S806" s="4" t="str">
        <f>IF(Transaction[[#This Row],[Quantity]]&lt;0,"Negative-review","Valid")</f>
        <v>Valid</v>
      </c>
      <c r="T806">
        <v>947.17</v>
      </c>
      <c r="U80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947.17</v>
      </c>
      <c r="V806">
        <v>980</v>
      </c>
      <c r="W806">
        <v>2940</v>
      </c>
      <c r="X80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2940</v>
      </c>
      <c r="Y806">
        <f>IF(Transaction[[#This Row],[GrossRevenue_Check]]="Invalid",Transaction[[#This Row],[ListPrice]]*Transaction[[#This Row],[Quantity]],Transaction[[#This Row],[GrossRevenue_Clean]])</f>
        <v>2940</v>
      </c>
      <c r="Z806" t="str">
        <f>IF(Transaction[[#This Row],[GrossRevenue_Clean]]=Transaction[[#This Row],[ListPrice]]*Transaction[[#This Row],[Quantity]],"Valid","Invalid")</f>
        <v>Valid</v>
      </c>
      <c r="AA806">
        <v>98.49</v>
      </c>
      <c r="AB80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98.49</v>
      </c>
      <c r="AC806">
        <f>IF(Transaction[[#This Row],[DiscountAmount_Check2]]="Invalid",Transaction[[#This Row],[GrossRevenue_Analytical]]-Transaction[[#This Row],[NetRevenue_Analytical]],Transaction[[#This Row],[DiscountAmount_Clean]])</f>
        <v>98.49</v>
      </c>
      <c r="AD806">
        <v>2841.51</v>
      </c>
      <c r="AE806" t="str">
        <f>IF(ROUND(Transaction[[#This Row],[GrossRevenue_Analytical]]-Transaction[[#This Row],[NetRevenue_Analytical]],2)=ROUND(Transaction[[#This Row],[DiscountAmount_Clean]],2),"Valid","Invalid")</f>
        <v>Valid</v>
      </c>
      <c r="AF806">
        <f>VALUE(IF(ISNUMBER(Transaction[[#This Row],[NetRevenue]]),Transaction[[#This Row],[NetRevenue]],IFERROR(IF(FIND("$",Transaction[[#This Row],[NetRevenue]])&gt;0,MID(Transaction[[#This Row],[NetRevenue]],2,10)),Transaction[[#This Row],[NetRevenue]])))</f>
        <v>2841.51</v>
      </c>
      <c r="AG806">
        <f>IF(Transaction[[#This Row],[NetRevenue_Check]]="Invalid",(Transaction[[#This Row],[Quantity]]*Transaction[[#This Row],[UnitPrice_Clean]]),Transaction[[#This Row],[NetRevenue_Clean]])</f>
        <v>2841.51</v>
      </c>
      <c r="AH806" t="str">
        <f>IF(Transaction[[#This Row],[Quantity]]*Transaction[[#This Row],[UnitPrice_Clean]]=Transaction[[#This Row],[NetRevenue_Clean]],"Valid","Invalid")</f>
        <v>Valid</v>
      </c>
      <c r="AI806" t="s">
        <v>128</v>
      </c>
      <c r="AJ806" t="s">
        <v>809</v>
      </c>
      <c r="AK806" t="str">
        <f>IF(Transaction[[#This Row],[Salesperson]]="","Missing Value",TRIM(PROPER(Transaction[[#This Row],[Salesperson]])))</f>
        <v>Rice-Em</v>
      </c>
      <c r="AL806" t="s">
        <v>42</v>
      </c>
      <c r="AM806" t="str">
        <f>IF(Transaction[[#This Row],[ContractType]]="","Missing Value",Transaction[[#This Row],[ContractType]])</f>
        <v>Standard PO</v>
      </c>
      <c r="AN806" t="s">
        <v>49</v>
      </c>
    </row>
    <row r="807" spans="1:40" x14ac:dyDescent="0.25">
      <c r="A807" t="s">
        <v>2893</v>
      </c>
      <c r="B807" t="s">
        <v>2663</v>
      </c>
      <c r="C80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80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05</v>
      </c>
      <c r="E80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07" s="2">
        <f>IFERROR(DATE(Transaction[[#This Row],[TransactionDateY]],Transaction[[#This Row],[TransactionDateM]],Transaction[[#This Row],[TransactionDateD]]),"Missing Value")</f>
        <v>45693</v>
      </c>
      <c r="G807" t="s">
        <v>203</v>
      </c>
      <c r="H807" t="str">
        <f>IFERROR(VLOOKUP(Transaction[[#This Row],[CustomerID]],Custumer[],1,0),IF(LEN(Transaction[[#This Row],[CustomerID]])=7,LEFT(Transaction[[#This Row],[CustomerID]],6),"Invalid ID"))</f>
        <v>C-1005</v>
      </c>
      <c r="I807" t="s">
        <v>117</v>
      </c>
      <c r="J807" t="str">
        <f>TRIM(UPPER(Transaction[[#This Row],[ProductID]]))</f>
        <v>P-SI-007</v>
      </c>
      <c r="K807" t="str">
        <f>IFERROR(VLOOKUP(Transaction[[#This Row],[ProductID_Clean]],Product[],1,FALSE),"Invalid ID")</f>
        <v>P-SI-007</v>
      </c>
      <c r="L807" t="str">
        <f>TRIM(SUBSTITUTE(SUBSTITUTE(SUBSTITUTE(SUBSTITUTE(UPPER(Transaction[[#This Row],[Region]]),"EMEA REGION","EMEA"),"APAC REGION","APAC"),"NORTH AMERICA","N. AMERICA"),"N .AMERICA","N.AMERICA"))</f>
        <v>N. AMERICA</v>
      </c>
      <c r="M807" t="s">
        <v>20</v>
      </c>
      <c r="N807" t="s">
        <v>53</v>
      </c>
      <c r="O80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07" t="s">
        <v>40</v>
      </c>
      <c r="Q807" t="str">
        <f>IF(TRIM(Transaction[[#This Row],[SalesChannel]])="","Missing Value",TRIM(Transaction[[#This Row],[SalesChannel]]))</f>
        <v>Distributor</v>
      </c>
      <c r="R807" s="4">
        <v>2</v>
      </c>
      <c r="S807" s="4" t="str">
        <f>IF(Transaction[[#This Row],[Quantity]]&lt;0,"Negative-review","Valid")</f>
        <v>Valid</v>
      </c>
      <c r="T807">
        <v>805.35</v>
      </c>
      <c r="U80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805.35</v>
      </c>
      <c r="V807">
        <v>980</v>
      </c>
      <c r="W807">
        <v>1960</v>
      </c>
      <c r="X80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</v>
      </c>
      <c r="Y807">
        <f>IF(Transaction[[#This Row],[GrossRevenue_Check]]="Invalid",Transaction[[#This Row],[ListPrice]]*Transaction[[#This Row],[Quantity]],Transaction[[#This Row],[GrossRevenue_Clean]])</f>
        <v>1960</v>
      </c>
      <c r="Z807" t="str">
        <f>IF(Transaction[[#This Row],[GrossRevenue_Clean]]=Transaction[[#This Row],[ListPrice]]*Transaction[[#This Row],[Quantity]],"Valid","Invalid")</f>
        <v>Valid</v>
      </c>
      <c r="AA807">
        <v>349.3</v>
      </c>
      <c r="AB80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349.3</v>
      </c>
      <c r="AC807">
        <f>IF(Transaction[[#This Row],[DiscountAmount_Check2]]="Invalid",Transaction[[#This Row],[GrossRevenue_Analytical]]-Transaction[[#This Row],[NetRevenue_Analytical]],Transaction[[#This Row],[DiscountAmount_Clean]])</f>
        <v>349.3</v>
      </c>
      <c r="AD807">
        <v>1610.7</v>
      </c>
      <c r="AE807" t="str">
        <f>IF(ROUND(Transaction[[#This Row],[GrossRevenue_Analytical]]-Transaction[[#This Row],[NetRevenue_Analytical]],2)=ROUND(Transaction[[#This Row],[DiscountAmount_Clean]],2),"Valid","Invalid")</f>
        <v>Valid</v>
      </c>
      <c r="AF80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1610.7</v>
      </c>
      <c r="AG807">
        <f>IF(Transaction[[#This Row],[NetRevenue_Check]]="Invalid",(Transaction[[#This Row],[Quantity]]*Transaction[[#This Row],[UnitPrice_Clean]]),Transaction[[#This Row],[NetRevenue_Clean]])</f>
        <v>1610.7</v>
      </c>
      <c r="AH807" t="str">
        <f>IF(Transaction[[#This Row],[Quantity]]*Transaction[[#This Row],[UnitPrice_Clean]]=Transaction[[#This Row],[NetRevenue_Clean]],"Valid","Invalid")</f>
        <v>Valid</v>
      </c>
      <c r="AI807" t="s">
        <v>23</v>
      </c>
      <c r="AJ807" t="s">
        <v>1597</v>
      </c>
      <c r="AK807" t="str">
        <f>IF(Transaction[[#This Row],[Salesperson]]="","Missing Value",TRIM(PROPER(Transaction[[#This Row],[Salesperson]])))</f>
        <v>Cox</v>
      </c>
      <c r="AL807" t="s">
        <v>25</v>
      </c>
      <c r="AM807" t="str">
        <f>IF(Transaction[[#This Row],[ContractType]]="","Missing Value",Transaction[[#This Row],[ContractType]])</f>
        <v>Frame Agreement</v>
      </c>
      <c r="AN807" t="s">
        <v>35</v>
      </c>
    </row>
    <row r="808" spans="1:40" x14ac:dyDescent="0.25">
      <c r="A808" t="s">
        <v>3066</v>
      </c>
      <c r="C80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80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80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808" s="2" t="str">
        <f>IFERROR(DATE(Transaction[[#This Row],[TransactionDateY]],Transaction[[#This Row],[TransactionDateM]],Transaction[[#This Row],[TransactionDateD]]),"Missing Value")</f>
        <v>Missing Value</v>
      </c>
      <c r="G808" t="s">
        <v>74</v>
      </c>
      <c r="H808" t="str">
        <f>IFERROR(VLOOKUP(Transaction[[#This Row],[CustomerID]],Custumer[],1,0),IF(LEN(Transaction[[#This Row],[CustomerID]])=7,LEFT(Transaction[[#This Row],[CustomerID]],6),"Invalid ID"))</f>
        <v>C-1152</v>
      </c>
      <c r="I808" t="s">
        <v>71</v>
      </c>
      <c r="J808" t="str">
        <f>TRIM(UPPER(Transaction[[#This Row],[ProductID]]))</f>
        <v>P-SI-003</v>
      </c>
      <c r="K808" t="str">
        <f>IFERROR(VLOOKUP(Transaction[[#This Row],[ProductID_Clean]],Product[],1,FALSE),"Invalid ID")</f>
        <v>P-SI-003</v>
      </c>
      <c r="L808" t="str">
        <f>TRIM(SUBSTITUTE(SUBSTITUTE(SUBSTITUTE(SUBSTITUTE(UPPER(Transaction[[#This Row],[Region]]),"EMEA REGION","EMEA"),"APAC REGION","APAC"),"NORTH AMERICA","N. AMERICA"),"N .AMERICA","N.AMERICA"))</f>
        <v>EMEA</v>
      </c>
      <c r="M808" t="s">
        <v>87</v>
      </c>
      <c r="N808" t="s">
        <v>53</v>
      </c>
      <c r="O80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08" t="s">
        <v>22</v>
      </c>
      <c r="Q808" t="str">
        <f>IF(TRIM(Transaction[[#This Row],[SalesChannel]])="","Missing Value",TRIM(Transaction[[#This Row],[SalesChannel]]))</f>
        <v>Direct</v>
      </c>
      <c r="R808" s="4">
        <v>4</v>
      </c>
      <c r="S808" s="4" t="str">
        <f>IF(Transaction[[#This Row],[Quantity]]&lt;0,"Negative-review","Valid")</f>
        <v>Valid</v>
      </c>
      <c r="T808">
        <v>1702.85</v>
      </c>
      <c r="U80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1702.85</v>
      </c>
      <c r="V808">
        <v>1890</v>
      </c>
      <c r="W808">
        <v>7560</v>
      </c>
      <c r="X80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7560</v>
      </c>
      <c r="Y808">
        <f>IF(Transaction[[#This Row],[GrossRevenue_Check]]="Invalid",Transaction[[#This Row],[ListPrice]]*Transaction[[#This Row],[Quantity]],Transaction[[#This Row],[GrossRevenue_Clean]])</f>
        <v>7560</v>
      </c>
      <c r="Z808" t="str">
        <f>IF(Transaction[[#This Row],[GrossRevenue_Clean]]=Transaction[[#This Row],[ListPrice]]*Transaction[[#This Row],[Quantity]],"Valid","Invalid")</f>
        <v>Valid</v>
      </c>
      <c r="AA808">
        <v>748.6</v>
      </c>
      <c r="AB80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748.6</v>
      </c>
      <c r="AC808">
        <f>IF(Transaction[[#This Row],[DiscountAmount_Check2]]="Invalid",Transaction[[#This Row],[GrossRevenue_Analytical]]-Transaction[[#This Row],[NetRevenue_Analytical]],Transaction[[#This Row],[DiscountAmount_Clean]])</f>
        <v>748.6</v>
      </c>
      <c r="AD808">
        <v>6811.4</v>
      </c>
      <c r="AE808" t="str">
        <f>IF(ROUND(Transaction[[#This Row],[GrossRevenue_Analytical]]-Transaction[[#This Row],[NetRevenue_Analytical]],2)=ROUND(Transaction[[#This Row],[DiscountAmount_Clean]],2),"Valid","Invalid")</f>
        <v>Valid</v>
      </c>
      <c r="AF808">
        <f>VALUE(IF(ISNUMBER(Transaction[[#This Row],[NetRevenue]]),Transaction[[#This Row],[NetRevenue]],IFERROR(IF(FIND("$",Transaction[[#This Row],[NetRevenue]])&gt;0,MID(Transaction[[#This Row],[NetRevenue]],2,10)),Transaction[[#This Row],[NetRevenue]])))</f>
        <v>6811.4</v>
      </c>
      <c r="AG808">
        <f>IF(Transaction[[#This Row],[NetRevenue_Check]]="Invalid",(Transaction[[#This Row],[Quantity]]*Transaction[[#This Row],[UnitPrice_Clean]]),Transaction[[#This Row],[NetRevenue_Clean]])</f>
        <v>6811.4</v>
      </c>
      <c r="AH808" t="str">
        <f>IF(Transaction[[#This Row],[Quantity]]*Transaction[[#This Row],[UnitPrice_Clean]]=Transaction[[#This Row],[NetRevenue_Clean]],"Valid","Invalid")</f>
        <v>Valid</v>
      </c>
      <c r="AI808" t="s">
        <v>23</v>
      </c>
      <c r="AJ808" t="s">
        <v>3067</v>
      </c>
      <c r="AK808" t="str">
        <f>IF(Transaction[[#This Row],[Salesperson]]="","Missing Value",TRIM(PROPER(Transaction[[#This Row],[Salesperson]])))</f>
        <v>Stark</v>
      </c>
      <c r="AL808" t="s">
        <v>42</v>
      </c>
      <c r="AM808" t="str">
        <f>IF(Transaction[[#This Row],[ContractType]]="","Missing Value",Transaction[[#This Row],[ContractType]])</f>
        <v>Standard PO</v>
      </c>
      <c r="AN808" t="s">
        <v>26</v>
      </c>
    </row>
    <row r="809" spans="1:40" x14ac:dyDescent="0.25">
      <c r="A809" t="s">
        <v>1457</v>
      </c>
      <c r="B809" s="1">
        <v>45699</v>
      </c>
      <c r="C80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80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80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09" s="2">
        <f>IFERROR(DATE(Transaction[[#This Row],[TransactionDateY]],Transaction[[#This Row],[TransactionDateM]],Transaction[[#This Row],[TransactionDateD]]),"Missing Value")</f>
        <v>45699</v>
      </c>
      <c r="G809" t="s">
        <v>28</v>
      </c>
      <c r="H809" t="str">
        <f>IFERROR(VLOOKUP(Transaction[[#This Row],[CustomerID]],Custumer[],1,0),IF(LEN(Transaction[[#This Row],[CustomerID]])=7,LEFT(Transaction[[#This Row],[CustomerID]],6),"Invalid ID"))</f>
        <v>C-1038</v>
      </c>
      <c r="I809" t="s">
        <v>52</v>
      </c>
      <c r="J809" t="str">
        <f>TRIM(UPPER(Transaction[[#This Row],[ProductID]]))</f>
        <v>P-SI-002</v>
      </c>
      <c r="K809" t="str">
        <f>IFERROR(VLOOKUP(Transaction[[#This Row],[ProductID_Clean]],Product[],1,FALSE),"Invalid ID")</f>
        <v>P-SI-002</v>
      </c>
      <c r="L809" t="str">
        <f>TRIM(SUBSTITUTE(SUBSTITUTE(SUBSTITUTE(SUBSTITUTE(UPPER(Transaction[[#This Row],[Region]]),"EMEA REGION","EMEA"),"APAC REGION","APAC"),"NORTH AMERICA","N. AMERICA"),"N .AMERICA","N.AMERICA"))</f>
        <v>APAC</v>
      </c>
      <c r="M809" t="s">
        <v>1458</v>
      </c>
      <c r="N809" t="s">
        <v>53</v>
      </c>
      <c r="O80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09" t="s">
        <v>181</v>
      </c>
      <c r="Q809" t="str">
        <f>IF(TRIM(Transaction[[#This Row],[SalesChannel]])="","Missing Value",TRIM(Transaction[[#This Row],[SalesChannel]]))</f>
        <v>Partner Portal</v>
      </c>
      <c r="R809" s="4">
        <v>4</v>
      </c>
      <c r="S809" s="4" t="str">
        <f>IF(Transaction[[#This Row],[Quantity]]&lt;0,"Negative-review","Valid")</f>
        <v>Valid</v>
      </c>
      <c r="T809">
        <v>638.63</v>
      </c>
      <c r="U80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638.63</v>
      </c>
      <c r="V809">
        <v>725</v>
      </c>
      <c r="W809">
        <v>2900</v>
      </c>
      <c r="X80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2900</v>
      </c>
      <c r="Y809">
        <f>IF(Transaction[[#This Row],[GrossRevenue_Check]]="Invalid",Transaction[[#This Row],[ListPrice]]*Transaction[[#This Row],[Quantity]],Transaction[[#This Row],[GrossRevenue_Clean]])</f>
        <v>2900</v>
      </c>
      <c r="Z809" t="str">
        <f>IF(Transaction[[#This Row],[GrossRevenue_Clean]]=Transaction[[#This Row],[ListPrice]]*Transaction[[#This Row],[Quantity]],"Valid","Invalid")</f>
        <v>Valid</v>
      </c>
      <c r="AA809">
        <v>345.48</v>
      </c>
      <c r="AB80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345.48</v>
      </c>
      <c r="AC809">
        <f>IF(Transaction[[#This Row],[DiscountAmount_Check2]]="Invalid",Transaction[[#This Row],[GrossRevenue_Analytical]]-Transaction[[#This Row],[NetRevenue_Analytical]],Transaction[[#This Row],[DiscountAmount_Clean]])</f>
        <v>345.48</v>
      </c>
      <c r="AD809">
        <v>2554.52</v>
      </c>
      <c r="AE809" t="str">
        <f>IF(ROUND(Transaction[[#This Row],[GrossRevenue_Analytical]]-Transaction[[#This Row],[NetRevenue_Analytical]],2)=ROUND(Transaction[[#This Row],[DiscountAmount_Clean]],2),"Valid","Invalid")</f>
        <v>Valid</v>
      </c>
      <c r="AF80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2554.52</v>
      </c>
      <c r="AG809">
        <f>IF(Transaction[[#This Row],[NetRevenue_Check]]="Invalid",(Transaction[[#This Row],[Quantity]]*Transaction[[#This Row],[UnitPrice_Clean]]),Transaction[[#This Row],[NetRevenue_Clean]])</f>
        <v>2554.52</v>
      </c>
      <c r="AH809" t="str">
        <f>IF(Transaction[[#This Row],[Quantity]]*Transaction[[#This Row],[UnitPrice_Clean]]=Transaction[[#This Row],[NetRevenue_Clean]],"Valid","Invalid")</f>
        <v>Valid</v>
      </c>
      <c r="AI809" t="s">
        <v>23</v>
      </c>
      <c r="AJ809" t="s">
        <v>281</v>
      </c>
      <c r="AK809" t="str">
        <f>IF(Transaction[[#This Row],[Salesperson]]="","Missing Value",TRIM(PROPER(Transaction[[#This Row],[Salesperson]])))</f>
        <v>Rodriguez-Na</v>
      </c>
      <c r="AL809" t="s">
        <v>55</v>
      </c>
      <c r="AM809" t="str">
        <f>IF(Transaction[[#This Row],[ContractType]]="","Missing Value",Transaction[[#This Row],[ContractType]])</f>
        <v>Spot</v>
      </c>
      <c r="AN809" t="s">
        <v>35</v>
      </c>
    </row>
    <row r="810" spans="1:40" x14ac:dyDescent="0.25">
      <c r="A810" t="s">
        <v>1116</v>
      </c>
      <c r="B810" s="1">
        <v>45815</v>
      </c>
      <c r="C81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81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81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10" s="2">
        <f>IFERROR(DATE(Transaction[[#This Row],[TransactionDateY]],Transaction[[#This Row],[TransactionDateM]],Transaction[[#This Row],[TransactionDateD]]),"Missing Value")</f>
        <v>45815</v>
      </c>
      <c r="G810" t="s">
        <v>916</v>
      </c>
      <c r="H810" t="str">
        <f>IFERROR(VLOOKUP(Transaction[[#This Row],[CustomerID]],Custumer[],1,0),IF(LEN(Transaction[[#This Row],[CustomerID]])=7,LEFT(Transaction[[#This Row],[CustomerID]],6),"Invalid ID"))</f>
        <v>C-1106</v>
      </c>
      <c r="I810" t="s">
        <v>103</v>
      </c>
      <c r="J810" t="str">
        <f>TRIM(UPPER(Transaction[[#This Row],[ProductID]]))</f>
        <v>P-FS-005</v>
      </c>
      <c r="K810" t="str">
        <f>IFERROR(VLOOKUP(Transaction[[#This Row],[ProductID_Clean]],Product[],1,FALSE),"Invalid ID")</f>
        <v>P-FS-005</v>
      </c>
      <c r="L810" t="str">
        <f>TRIM(SUBSTITUTE(SUBSTITUTE(SUBSTITUTE(SUBSTITUTE(UPPER(Transaction[[#This Row],[Region]]),"EMEA REGION","EMEA"),"APAC REGION","APAC"),"NORTH AMERICA","N. AMERICA"),"N .AMERICA","N.AMERICA"))</f>
        <v>N. AMERICA</v>
      </c>
      <c r="M810" t="s">
        <v>495</v>
      </c>
      <c r="N810" t="s">
        <v>21</v>
      </c>
      <c r="O810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810" t="s">
        <v>22</v>
      </c>
      <c r="Q810" t="str">
        <f>IF(TRIM(Transaction[[#This Row],[SalesChannel]])="","Missing Value",TRIM(Transaction[[#This Row],[SalesChannel]]))</f>
        <v>Direct</v>
      </c>
      <c r="R810" s="4">
        <v>1</v>
      </c>
      <c r="S810" s="4" t="str">
        <f>IF(Transaction[[#This Row],[Quantity]]&lt;0,"Negative-review","Valid")</f>
        <v>Valid</v>
      </c>
      <c r="T810">
        <v>773.45</v>
      </c>
      <c r="U81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773.45</v>
      </c>
      <c r="V810">
        <v>950</v>
      </c>
      <c r="W810">
        <v>950</v>
      </c>
      <c r="X81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810">
        <f>IF(Transaction[[#This Row],[GrossRevenue_Check]]="Invalid",Transaction[[#This Row],[ListPrice]]*Transaction[[#This Row],[Quantity]],Transaction[[#This Row],[GrossRevenue_Clean]])</f>
        <v>950</v>
      </c>
      <c r="Z810" t="str">
        <f>IF(Transaction[[#This Row],[GrossRevenue_Clean]]=Transaction[[#This Row],[ListPrice]]*Transaction[[#This Row],[Quantity]],"Valid","Invalid")</f>
        <v>Valid</v>
      </c>
      <c r="AA810">
        <v>176.55</v>
      </c>
      <c r="AB81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176.55</v>
      </c>
      <c r="AC810">
        <f>IF(Transaction[[#This Row],[DiscountAmount_Check2]]="Invalid",Transaction[[#This Row],[GrossRevenue_Analytical]]-Transaction[[#This Row],[NetRevenue_Analytical]],Transaction[[#This Row],[DiscountAmount_Clean]])</f>
        <v>176.55</v>
      </c>
      <c r="AD810">
        <v>773.45</v>
      </c>
      <c r="AE810" t="str">
        <f>IF(ROUND(Transaction[[#This Row],[GrossRevenue_Analytical]]-Transaction[[#This Row],[NetRevenue_Analytical]],2)=ROUND(Transaction[[#This Row],[DiscountAmount_Clean]],2),"Valid","Invalid")</f>
        <v>Valid</v>
      </c>
      <c r="AF810">
        <f>VALUE(IF(ISNUMBER(Transaction[[#This Row],[NetRevenue]]),Transaction[[#This Row],[NetRevenue]],IFERROR(IF(FIND("$",Transaction[[#This Row],[NetRevenue]])&gt;0,MID(Transaction[[#This Row],[NetRevenue]],2,10)),Transaction[[#This Row],[NetRevenue]])))</f>
        <v>773.45</v>
      </c>
      <c r="AG810">
        <f>IF(Transaction[[#This Row],[NetRevenue_Check]]="Invalid",(Transaction[[#This Row],[Quantity]]*Transaction[[#This Row],[UnitPrice_Clean]]),Transaction[[#This Row],[NetRevenue_Clean]])</f>
        <v>773.45</v>
      </c>
      <c r="AH810" t="str">
        <f>IF(Transaction[[#This Row],[Quantity]]*Transaction[[#This Row],[UnitPrice_Clean]]=Transaction[[#This Row],[NetRevenue_Clean]],"Valid","Invalid")</f>
        <v>Valid</v>
      </c>
      <c r="AI810" t="s">
        <v>23</v>
      </c>
      <c r="AJ810" t="s">
        <v>1117</v>
      </c>
      <c r="AK810" t="str">
        <f>IF(Transaction[[#This Row],[Salesperson]]="","Missing Value",TRIM(PROPER(Transaction[[#This Row],[Salesperson]])))</f>
        <v>Poole-Ap</v>
      </c>
      <c r="AL810" t="s">
        <v>42</v>
      </c>
      <c r="AM810" t="str">
        <f>IF(Transaction[[#This Row],[ContractType]]="","Missing Value",Transaction[[#This Row],[ContractType]])</f>
        <v>Standard PO</v>
      </c>
      <c r="AN810" t="s">
        <v>43</v>
      </c>
    </row>
    <row r="811" spans="1:40" x14ac:dyDescent="0.25">
      <c r="A811" t="s">
        <v>435</v>
      </c>
      <c r="B811" t="s">
        <v>436</v>
      </c>
      <c r="C81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81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81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11" s="2">
        <f>IFERROR(DATE(Transaction[[#This Row],[TransactionDateY]],Transaction[[#This Row],[TransactionDateM]],Transaction[[#This Row],[TransactionDateD]]),"Missing Value")</f>
        <v>45734</v>
      </c>
      <c r="G811" t="s">
        <v>297</v>
      </c>
      <c r="H811" t="str">
        <f>IFERROR(VLOOKUP(Transaction[[#This Row],[CustomerID]],Custumer[],1,0),IF(LEN(Transaction[[#This Row],[CustomerID]])=7,LEFT(Transaction[[#This Row],[CustomerID]],6),"Invalid ID"))</f>
        <v>C-1181</v>
      </c>
      <c r="I811" t="s">
        <v>46</v>
      </c>
      <c r="J811" t="str">
        <f>TRIM(UPPER(Transaction[[#This Row],[ProductID]]))</f>
        <v>P-SI-006</v>
      </c>
      <c r="K811" t="str">
        <f>IFERROR(VLOOKUP(Transaction[[#This Row],[ProductID_Clean]],Product[],1,FALSE),"Invalid ID")</f>
        <v>P-SI-006</v>
      </c>
      <c r="L811" t="str">
        <f>TRIM(SUBSTITUTE(SUBSTITUTE(SUBSTITUTE(SUBSTITUTE(UPPER(Transaction[[#This Row],[Region]]),"EMEA REGION","EMEA"),"APAC REGION","APAC"),"NORTH AMERICA","N. AMERICA"),"N .AMERICA","N.AMERICA"))</f>
        <v>N. AMERICA</v>
      </c>
      <c r="M811" t="s">
        <v>20</v>
      </c>
      <c r="N811" t="s">
        <v>53</v>
      </c>
      <c r="O81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11" t="s">
        <v>40</v>
      </c>
      <c r="Q811" t="str">
        <f>IF(TRIM(Transaction[[#This Row],[SalesChannel]])="","Missing Value",TRIM(Transaction[[#This Row],[SalesChannel]]))</f>
        <v>Distributor</v>
      </c>
      <c r="R811" s="4">
        <v>1</v>
      </c>
      <c r="S811" s="4" t="str">
        <f>IF(Transaction[[#This Row],[Quantity]]&lt;0,"Negative-review","Valid")</f>
        <v>Valid</v>
      </c>
      <c r="T811" t="s">
        <v>437</v>
      </c>
      <c r="U81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160.93</v>
      </c>
      <c r="V811">
        <v>215</v>
      </c>
      <c r="W811">
        <v>215</v>
      </c>
      <c r="X81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811">
        <f>IF(Transaction[[#This Row],[GrossRevenue_Check]]="Invalid",Transaction[[#This Row],[ListPrice]]*Transaction[[#This Row],[Quantity]],Transaction[[#This Row],[GrossRevenue_Clean]])</f>
        <v>215</v>
      </c>
      <c r="Z811" t="str">
        <f>IF(Transaction[[#This Row],[GrossRevenue_Clean]]=Transaction[[#This Row],[ListPrice]]*Transaction[[#This Row],[Quantity]],"Valid","Invalid")</f>
        <v>Valid</v>
      </c>
      <c r="AA811">
        <v>54.07</v>
      </c>
      <c r="AB81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54.07</v>
      </c>
      <c r="AC811">
        <f>IF(Transaction[[#This Row],[DiscountAmount_Check2]]="Invalid",Transaction[[#This Row],[GrossRevenue_Analytical]]-Transaction[[#This Row],[NetRevenue_Analytical]],Transaction[[#This Row],[DiscountAmount_Clean]])</f>
        <v>54.07</v>
      </c>
      <c r="AD811">
        <v>160.93</v>
      </c>
      <c r="AE811" t="str">
        <f>IF(ROUND(Transaction[[#This Row],[GrossRevenue_Analytical]]-Transaction[[#This Row],[NetRevenue_Analytical]],2)=ROUND(Transaction[[#This Row],[DiscountAmount_Clean]],2),"Valid","Invalid")</f>
        <v>Valid</v>
      </c>
      <c r="AF81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160.93</v>
      </c>
      <c r="AG811">
        <f>IF(Transaction[[#This Row],[NetRevenue_Check]]="Invalid",(Transaction[[#This Row],[Quantity]]*Transaction[[#This Row],[UnitPrice_Clean]]),Transaction[[#This Row],[NetRevenue_Clean]])</f>
        <v>160.93</v>
      </c>
      <c r="AH811" t="str">
        <f>IF(Transaction[[#This Row],[Quantity]]*Transaction[[#This Row],[UnitPrice_Clean]]=Transaction[[#This Row],[NetRevenue_Clean]],"Valid","Invalid")</f>
        <v>Valid</v>
      </c>
      <c r="AI811" t="s">
        <v>23</v>
      </c>
      <c r="AJ811" t="s">
        <v>438</v>
      </c>
      <c r="AK811" t="str">
        <f>IF(Transaction[[#This Row],[Salesperson]]="","Missing Value",TRIM(PROPER(Transaction[[#This Row],[Salesperson]])))</f>
        <v>Leach-Em</v>
      </c>
      <c r="AL811" t="s">
        <v>25</v>
      </c>
      <c r="AM811" t="str">
        <f>IF(Transaction[[#This Row],[ContractType]]="","Missing Value",Transaction[[#This Row],[ContractType]])</f>
        <v>Frame Agreement</v>
      </c>
      <c r="AN811" t="s">
        <v>49</v>
      </c>
    </row>
    <row r="812" spans="1:40" x14ac:dyDescent="0.25">
      <c r="A812" t="s">
        <v>242</v>
      </c>
      <c r="B812" s="1">
        <v>45744</v>
      </c>
      <c r="C81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81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81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12" s="2">
        <f>IFERROR(DATE(Transaction[[#This Row],[TransactionDateY]],Transaction[[#This Row],[TransactionDateM]],Transaction[[#This Row],[TransactionDateD]]),"Missing Value")</f>
        <v>45744</v>
      </c>
      <c r="G812" t="s">
        <v>243</v>
      </c>
      <c r="H812" t="str">
        <f>IFERROR(VLOOKUP(Transaction[[#This Row],[CustomerID]],Custumer[],1,0),IF(LEN(Transaction[[#This Row],[CustomerID]])=7,LEFT(Transaction[[#This Row],[CustomerID]],6),"Invalid ID"))</f>
        <v>C-1059</v>
      </c>
      <c r="I812" t="s">
        <v>103</v>
      </c>
      <c r="J812" t="str">
        <f>TRIM(UPPER(Transaction[[#This Row],[ProductID]]))</f>
        <v>P-FS-005</v>
      </c>
      <c r="K812" t="str">
        <f>IFERROR(VLOOKUP(Transaction[[#This Row],[ProductID_Clean]],Product[],1,FALSE),"Invalid ID")</f>
        <v>P-FS-005</v>
      </c>
      <c r="L812" t="str">
        <f>TRIM(SUBSTITUTE(SUBSTITUTE(SUBSTITUTE(SUBSTITUTE(UPPER(Transaction[[#This Row],[Region]]),"EMEA REGION","EMEA"),"APAC REGION","APAC"),"NORTH AMERICA","N. AMERICA"),"N .AMERICA","N.AMERICA"))</f>
        <v>N. AMERICA</v>
      </c>
      <c r="M812" t="s">
        <v>20</v>
      </c>
      <c r="N812" t="s">
        <v>244</v>
      </c>
      <c r="O812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812" t="s">
        <v>22</v>
      </c>
      <c r="Q812" t="str">
        <f>IF(TRIM(Transaction[[#This Row],[SalesChannel]])="","Missing Value",TRIM(Transaction[[#This Row],[SalesChannel]]))</f>
        <v>Direct</v>
      </c>
      <c r="R812" s="4">
        <v>1</v>
      </c>
      <c r="S812" s="4" t="str">
        <f>IF(Transaction[[#This Row],[Quantity]]&lt;0,"Negative-review","Valid")</f>
        <v>Valid</v>
      </c>
      <c r="T812">
        <v>833.17</v>
      </c>
      <c r="U81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833.17</v>
      </c>
      <c r="V812">
        <v>950</v>
      </c>
      <c r="W812">
        <v>950</v>
      </c>
      <c r="X81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812">
        <f>IF(Transaction[[#This Row],[GrossRevenue_Check]]="Invalid",Transaction[[#This Row],[ListPrice]]*Transaction[[#This Row],[Quantity]],Transaction[[#This Row],[GrossRevenue_Clean]])</f>
        <v>950</v>
      </c>
      <c r="Z812" t="str">
        <f>IF(Transaction[[#This Row],[GrossRevenue_Clean]]=Transaction[[#This Row],[ListPrice]]*Transaction[[#This Row],[Quantity]],"Valid","Invalid")</f>
        <v>Valid</v>
      </c>
      <c r="AA812">
        <v>116.83</v>
      </c>
      <c r="AB81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116.83</v>
      </c>
      <c r="AC812">
        <f>IF(Transaction[[#This Row],[DiscountAmount_Check2]]="Invalid",Transaction[[#This Row],[GrossRevenue_Analytical]]-Transaction[[#This Row],[NetRevenue_Analytical]],Transaction[[#This Row],[DiscountAmount_Clean]])</f>
        <v>116.83</v>
      </c>
      <c r="AD812">
        <v>833.17</v>
      </c>
      <c r="AE812" t="str">
        <f>IF(ROUND(Transaction[[#This Row],[GrossRevenue_Analytical]]-Transaction[[#This Row],[NetRevenue_Analytical]],2)=ROUND(Transaction[[#This Row],[DiscountAmount_Clean]],2),"Valid","Invalid")</f>
        <v>Valid</v>
      </c>
      <c r="AF812">
        <f>VALUE(IF(ISNUMBER(Transaction[[#This Row],[NetRevenue]]),Transaction[[#This Row],[NetRevenue]],IFERROR(IF(FIND("$",Transaction[[#This Row],[NetRevenue]])&gt;0,MID(Transaction[[#This Row],[NetRevenue]],2,10)),Transaction[[#This Row],[NetRevenue]])))</f>
        <v>833.17</v>
      </c>
      <c r="AG812">
        <f>IF(Transaction[[#This Row],[NetRevenue_Check]]="Invalid",(Transaction[[#This Row],[Quantity]]*Transaction[[#This Row],[UnitPrice_Clean]]),Transaction[[#This Row],[NetRevenue_Clean]])</f>
        <v>833.17</v>
      </c>
      <c r="AH812" t="str">
        <f>IF(Transaction[[#This Row],[Quantity]]*Transaction[[#This Row],[UnitPrice_Clean]]=Transaction[[#This Row],[NetRevenue_Clean]],"Valid","Invalid")</f>
        <v>Valid</v>
      </c>
      <c r="AI812" t="s">
        <v>23</v>
      </c>
      <c r="AJ812" t="s">
        <v>245</v>
      </c>
      <c r="AK812" t="str">
        <f>IF(Transaction[[#This Row],[Salesperson]]="","Missing Value",TRIM(PROPER(Transaction[[#This Row],[Salesperson]])))</f>
        <v>Harris-Em</v>
      </c>
      <c r="AL812" t="s">
        <v>42</v>
      </c>
      <c r="AM812" t="str">
        <f>IF(Transaction[[#This Row],[ContractType]]="","Missing Value",Transaction[[#This Row],[ContractType]])</f>
        <v>Standard PO</v>
      </c>
      <c r="AN812" t="s">
        <v>49</v>
      </c>
    </row>
    <row r="813" spans="1:40" x14ac:dyDescent="0.25">
      <c r="A813" t="s">
        <v>2032</v>
      </c>
      <c r="B813" s="1">
        <v>45794</v>
      </c>
      <c r="C81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81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81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13" s="2">
        <f>IFERROR(DATE(Transaction[[#This Row],[TransactionDateY]],Transaction[[#This Row],[TransactionDateM]],Transaction[[#This Row],[TransactionDateD]]),"Missing Value")</f>
        <v>45794</v>
      </c>
      <c r="G813" t="s">
        <v>523</v>
      </c>
      <c r="H813" t="str">
        <f>IFERROR(VLOOKUP(Transaction[[#This Row],[CustomerID]],Custumer[],1,0),IF(LEN(Transaction[[#This Row],[CustomerID]])=7,LEFT(Transaction[[#This Row],[CustomerID]],6),"Invalid ID"))</f>
        <v>C-1054</v>
      </c>
      <c r="I813" t="s">
        <v>29</v>
      </c>
      <c r="J813" t="str">
        <f>TRIM(UPPER(Transaction[[#This Row],[ProductID]]))</f>
        <v>P-SA-001</v>
      </c>
      <c r="K813" t="str">
        <f>IFERROR(VLOOKUP(Transaction[[#This Row],[ProductID_Clean]],Product[],1,FALSE),"Invalid ID")</f>
        <v>P-SA-001</v>
      </c>
      <c r="L813" t="str">
        <f>TRIM(SUBSTITUTE(SUBSTITUTE(SUBSTITUTE(SUBSTITUTE(UPPER(Transaction[[#This Row],[Region]]),"EMEA REGION","EMEA"),"APAC REGION","APAC"),"NORTH AMERICA","N. AMERICA"),"N .AMERICA","N.AMERICA"))</f>
        <v>EMEA</v>
      </c>
      <c r="M813" t="s">
        <v>76</v>
      </c>
      <c r="N813" t="s">
        <v>31</v>
      </c>
      <c r="O81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813" t="s">
        <v>22</v>
      </c>
      <c r="Q813" t="str">
        <f>IF(TRIM(Transaction[[#This Row],[SalesChannel]])="","Missing Value",TRIM(Transaction[[#This Row],[SalesChannel]]))</f>
        <v>Direct</v>
      </c>
      <c r="R813" s="4">
        <v>1</v>
      </c>
      <c r="S813" s="4" t="str">
        <f>IF(Transaction[[#This Row],[Quantity]]&lt;0,"Negative-review","Valid")</f>
        <v>Valid</v>
      </c>
      <c r="T813">
        <v>3681.82</v>
      </c>
      <c r="U81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3681.82</v>
      </c>
      <c r="V813">
        <v>4200</v>
      </c>
      <c r="W813">
        <v>4200</v>
      </c>
      <c r="X81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813">
        <f>IF(Transaction[[#This Row],[GrossRevenue_Check]]="Invalid",Transaction[[#This Row],[ListPrice]]*Transaction[[#This Row],[Quantity]],Transaction[[#This Row],[GrossRevenue_Clean]])</f>
        <v>4200</v>
      </c>
      <c r="Z813" t="str">
        <f>IF(Transaction[[#This Row],[GrossRevenue_Clean]]=Transaction[[#This Row],[ListPrice]]*Transaction[[#This Row],[Quantity]],"Valid","Invalid")</f>
        <v>Valid</v>
      </c>
      <c r="AA813">
        <v>518.17999999999995</v>
      </c>
      <c r="AB81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518.17999999999995</v>
      </c>
      <c r="AC813">
        <f>IF(Transaction[[#This Row],[DiscountAmount_Check2]]="Invalid",Transaction[[#This Row],[GrossRevenue_Analytical]]-Transaction[[#This Row],[NetRevenue_Analytical]],Transaction[[#This Row],[DiscountAmount_Clean]])</f>
        <v>518.17999999999995</v>
      </c>
      <c r="AD813">
        <v>3681.82</v>
      </c>
      <c r="AE813" t="str">
        <f>IF(ROUND(Transaction[[#This Row],[GrossRevenue_Analytical]]-Transaction[[#This Row],[NetRevenue_Analytical]],2)=ROUND(Transaction[[#This Row],[DiscountAmount_Clean]],2),"Valid","Invalid")</f>
        <v>Valid</v>
      </c>
      <c r="AF81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3681.82</v>
      </c>
      <c r="AG813">
        <f>IF(Transaction[[#This Row],[NetRevenue_Check]]="Invalid",(Transaction[[#This Row],[Quantity]]*Transaction[[#This Row],[UnitPrice_Clean]]),Transaction[[#This Row],[NetRevenue_Clean]])</f>
        <v>3681.82</v>
      </c>
      <c r="AH813" t="str">
        <f>IF(Transaction[[#This Row],[Quantity]]*Transaction[[#This Row],[UnitPrice_Clean]]=Transaction[[#This Row],[NetRevenue_Clean]],"Valid","Invalid")</f>
        <v>Valid</v>
      </c>
      <c r="AI813" t="s">
        <v>128</v>
      </c>
      <c r="AJ813" t="s">
        <v>2033</v>
      </c>
      <c r="AK813" t="str">
        <f>IF(Transaction[[#This Row],[Salesperson]]="","Missing Value",TRIM(PROPER(Transaction[[#This Row],[Salesperson]])))</f>
        <v>Herrera-Na</v>
      </c>
      <c r="AL813" t="s">
        <v>34</v>
      </c>
      <c r="AM813" t="str">
        <f>IF(Transaction[[#This Row],[ContractType]]="","Missing Value",Transaction[[#This Row],[ContractType]])</f>
        <v>Annual License</v>
      </c>
      <c r="AN813" t="s">
        <v>26</v>
      </c>
    </row>
    <row r="814" spans="1:40" x14ac:dyDescent="0.25">
      <c r="A814" t="s">
        <v>179</v>
      </c>
      <c r="B814" s="1">
        <v>45802</v>
      </c>
      <c r="C81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81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81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14" s="2">
        <f>IFERROR(DATE(Transaction[[#This Row],[TransactionDateY]],Transaction[[#This Row],[TransactionDateM]],Transaction[[#This Row],[TransactionDateD]]),"Missing Value")</f>
        <v>45802</v>
      </c>
      <c r="G814" t="s">
        <v>180</v>
      </c>
      <c r="H814" t="str">
        <f>IFERROR(VLOOKUP(Transaction[[#This Row],[CustomerID]],Custumer[],1,0),IF(LEN(Transaction[[#This Row],[CustomerID]])=7,LEFT(Transaction[[#This Row],[CustomerID]],6),"Invalid ID"))</f>
        <v>C-1158</v>
      </c>
      <c r="I814" t="s">
        <v>71</v>
      </c>
      <c r="J814" t="str">
        <f>TRIM(UPPER(Transaction[[#This Row],[ProductID]]))</f>
        <v>P-SI-003</v>
      </c>
      <c r="K814" t="str">
        <f>IFERROR(VLOOKUP(Transaction[[#This Row],[ProductID_Clean]],Product[],1,FALSE),"Invalid ID")</f>
        <v>P-SI-003</v>
      </c>
      <c r="L814" t="str">
        <f>TRIM(SUBSTITUTE(SUBSTITUTE(SUBSTITUTE(SUBSTITUTE(UPPER(Transaction[[#This Row],[Region]]),"EMEA REGION","EMEA"),"APAC REGION","APAC"),"NORTH AMERICA","N. AMERICA"),"N .AMERICA","N.AMERICA"))</f>
        <v>EMEA</v>
      </c>
      <c r="M814" t="s">
        <v>76</v>
      </c>
      <c r="N814" t="s">
        <v>53</v>
      </c>
      <c r="O81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14" t="s">
        <v>181</v>
      </c>
      <c r="Q814" t="str">
        <f>IF(TRIM(Transaction[[#This Row],[SalesChannel]])="","Missing Value",TRIM(Transaction[[#This Row],[SalesChannel]]))</f>
        <v>Partner Portal</v>
      </c>
      <c r="R814" s="4">
        <v>5</v>
      </c>
      <c r="S814" s="4" t="str">
        <f>IF(Transaction[[#This Row],[Quantity]]&lt;0,"Negative-review","Valid")</f>
        <v>Valid</v>
      </c>
      <c r="T814" t="s">
        <v>182</v>
      </c>
      <c r="U81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1737.4</v>
      </c>
      <c r="V814">
        <v>1890</v>
      </c>
      <c r="W814">
        <v>9450</v>
      </c>
      <c r="X81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9450</v>
      </c>
      <c r="Y814">
        <f>IF(Transaction[[#This Row],[GrossRevenue_Check]]="Invalid",Transaction[[#This Row],[ListPrice]]*Transaction[[#This Row],[Quantity]],Transaction[[#This Row],[GrossRevenue_Clean]])</f>
        <v>9450</v>
      </c>
      <c r="Z814" t="str">
        <f>IF(Transaction[[#This Row],[GrossRevenue_Clean]]=Transaction[[#This Row],[ListPrice]]*Transaction[[#This Row],[Quantity]],"Valid","Invalid")</f>
        <v>Valid</v>
      </c>
      <c r="AA814">
        <v>763</v>
      </c>
      <c r="AB81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763</v>
      </c>
      <c r="AC814">
        <f>IF(Transaction[[#This Row],[DiscountAmount_Check2]]="Invalid",Transaction[[#This Row],[GrossRevenue_Analytical]]-Transaction[[#This Row],[NetRevenue_Analytical]],Transaction[[#This Row],[DiscountAmount_Clean]])</f>
        <v>763</v>
      </c>
      <c r="AD814">
        <v>8687</v>
      </c>
      <c r="AE814" t="str">
        <f>IF(ROUND(Transaction[[#This Row],[GrossRevenue_Analytical]]-Transaction[[#This Row],[NetRevenue_Analytical]],2)=ROUND(Transaction[[#This Row],[DiscountAmount_Clean]],2),"Valid","Invalid")</f>
        <v>Valid</v>
      </c>
      <c r="AF814">
        <f>VALUE(IF(ISNUMBER(Transaction[[#This Row],[NetRevenue]]),Transaction[[#This Row],[NetRevenue]],IFERROR(IF(FIND("$",Transaction[[#This Row],[NetRevenue]])&gt;0,MID(Transaction[[#This Row],[NetRevenue]],2,10)),Transaction[[#This Row],[NetRevenue]])))</f>
        <v>8687</v>
      </c>
      <c r="AG814">
        <f>IF(Transaction[[#This Row],[NetRevenue_Check]]="Invalid",(Transaction[[#This Row],[Quantity]]*Transaction[[#This Row],[UnitPrice_Clean]]),Transaction[[#This Row],[NetRevenue_Clean]])</f>
        <v>8687</v>
      </c>
      <c r="AH814" t="str">
        <f>IF(Transaction[[#This Row],[Quantity]]*Transaction[[#This Row],[UnitPrice_Clean]]=Transaction[[#This Row],[NetRevenue_Clean]],"Valid","Invalid")</f>
        <v>Valid</v>
      </c>
      <c r="AI814" t="s">
        <v>23</v>
      </c>
      <c r="AJ814" t="s">
        <v>183</v>
      </c>
      <c r="AK814" t="str">
        <f>IF(Transaction[[#This Row],[Salesperson]]="","Missing Value",TRIM(PROPER(Transaction[[#This Row],[Salesperson]])))</f>
        <v>Martin</v>
      </c>
      <c r="AL814" t="s">
        <v>42</v>
      </c>
      <c r="AM814" t="str">
        <f>IF(Transaction[[#This Row],[ContractType]]="","Missing Value",Transaction[[#This Row],[ContractType]])</f>
        <v>Standard PO</v>
      </c>
      <c r="AN814" t="s">
        <v>65</v>
      </c>
    </row>
    <row r="815" spans="1:40" x14ac:dyDescent="0.25">
      <c r="A815" t="s">
        <v>874</v>
      </c>
      <c r="B815" t="s">
        <v>875</v>
      </c>
      <c r="C81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81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02</v>
      </c>
      <c r="E81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15" s="2">
        <f>IFERROR(DATE(Transaction[[#This Row],[TransactionDateY]],Transaction[[#This Row],[TransactionDateM]],Transaction[[#This Row],[TransactionDateD]]),"Missing Value")</f>
        <v>45779</v>
      </c>
      <c r="G815" t="s">
        <v>86</v>
      </c>
      <c r="H815" t="str">
        <f>IFERROR(VLOOKUP(Transaction[[#This Row],[CustomerID]],Custumer[],1,0),IF(LEN(Transaction[[#This Row],[CustomerID]])=7,LEFT(Transaction[[#This Row],[CustomerID]],6),"Invalid ID"))</f>
        <v>C-1177</v>
      </c>
      <c r="I815" t="s">
        <v>117</v>
      </c>
      <c r="J815" t="str">
        <f>TRIM(UPPER(Transaction[[#This Row],[ProductID]]))</f>
        <v>P-SI-007</v>
      </c>
      <c r="K815" t="str">
        <f>IFERROR(VLOOKUP(Transaction[[#This Row],[ProductID_Clean]],Product[],1,FALSE),"Invalid ID")</f>
        <v>P-SI-007</v>
      </c>
      <c r="L815" t="str">
        <f>TRIM(SUBSTITUTE(SUBSTITUTE(SUBSTITUTE(SUBSTITUTE(UPPER(Transaction[[#This Row],[Region]]),"EMEA REGION","EMEA"),"APAC REGION","APAC"),"NORTH AMERICA","N. AMERICA"),"N .AMERICA","N.AMERICA"))</f>
        <v>EMEA</v>
      </c>
      <c r="M815" t="s">
        <v>76</v>
      </c>
      <c r="N815" t="s">
        <v>53</v>
      </c>
      <c r="O81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15" t="s">
        <v>77</v>
      </c>
      <c r="Q815" t="str">
        <f>IF(TRIM(Transaction[[#This Row],[SalesChannel]])="","Missing Value",TRIM(Transaction[[#This Row],[SalesChannel]]))</f>
        <v>distributor</v>
      </c>
      <c r="R815" s="4">
        <v>2</v>
      </c>
      <c r="S815" s="4" t="str">
        <f>IF(Transaction[[#This Row],[Quantity]]&lt;0,"Negative-review","Valid")</f>
        <v>Valid</v>
      </c>
      <c r="T815">
        <v>787.87</v>
      </c>
      <c r="U81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787.87</v>
      </c>
      <c r="V815">
        <v>980</v>
      </c>
      <c r="W815">
        <v>1960</v>
      </c>
      <c r="X81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</v>
      </c>
      <c r="Y815">
        <f>IF(Transaction[[#This Row],[GrossRevenue_Check]]="Invalid",Transaction[[#This Row],[ListPrice]]*Transaction[[#This Row],[Quantity]],Transaction[[#This Row],[GrossRevenue_Clean]])</f>
        <v>1960</v>
      </c>
      <c r="Z815" t="str">
        <f>IF(Transaction[[#This Row],[GrossRevenue_Clean]]=Transaction[[#This Row],[ListPrice]]*Transaction[[#This Row],[Quantity]],"Valid","Invalid")</f>
        <v>Valid</v>
      </c>
      <c r="AA815">
        <v>384.26</v>
      </c>
      <c r="AB81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384.26</v>
      </c>
      <c r="AC815">
        <f>IF(Transaction[[#This Row],[DiscountAmount_Check2]]="Invalid",Transaction[[#This Row],[GrossRevenue_Analytical]]-Transaction[[#This Row],[NetRevenue_Analytical]],Transaction[[#This Row],[DiscountAmount_Clean]])</f>
        <v>384.26</v>
      </c>
      <c r="AD815">
        <v>1575.74</v>
      </c>
      <c r="AE815" t="str">
        <f>IF(ROUND(Transaction[[#This Row],[GrossRevenue_Analytical]]-Transaction[[#This Row],[NetRevenue_Analytical]],2)=ROUND(Transaction[[#This Row],[DiscountAmount_Clean]],2),"Valid","Invalid")</f>
        <v>Valid</v>
      </c>
      <c r="AF81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1575.74</v>
      </c>
      <c r="AG815">
        <f>IF(Transaction[[#This Row],[NetRevenue_Check]]="Invalid",(Transaction[[#This Row],[Quantity]]*Transaction[[#This Row],[UnitPrice_Clean]]),Transaction[[#This Row],[NetRevenue_Clean]])</f>
        <v>1575.74</v>
      </c>
      <c r="AH815" t="str">
        <f>IF(Transaction[[#This Row],[Quantity]]*Transaction[[#This Row],[UnitPrice_Clean]]=Transaction[[#This Row],[NetRevenue_Clean]],"Valid","Invalid")</f>
        <v>Valid</v>
      </c>
      <c r="AI815" t="s">
        <v>23</v>
      </c>
      <c r="AJ815" t="s">
        <v>876</v>
      </c>
      <c r="AK815" t="str">
        <f>IF(Transaction[[#This Row],[Salesperson]]="","Missing Value",TRIM(PROPER(Transaction[[#This Row],[Salesperson]])))</f>
        <v>Bond</v>
      </c>
      <c r="AL815" t="s">
        <v>55</v>
      </c>
      <c r="AM815" t="str">
        <f>IF(Transaction[[#This Row],[ContractType]]="","Missing Value",Transaction[[#This Row],[ContractType]])</f>
        <v>Spot</v>
      </c>
      <c r="AN815" t="s">
        <v>49</v>
      </c>
    </row>
    <row r="816" spans="1:40" x14ac:dyDescent="0.25">
      <c r="A816" t="s">
        <v>1369</v>
      </c>
      <c r="B816" s="1">
        <v>45752</v>
      </c>
      <c r="C81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81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81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16" s="2">
        <f>IFERROR(DATE(Transaction[[#This Row],[TransactionDateY]],Transaction[[#This Row],[TransactionDateM]],Transaction[[#This Row],[TransactionDateD]]),"Missing Value")</f>
        <v>45752</v>
      </c>
      <c r="G816" t="s">
        <v>1133</v>
      </c>
      <c r="H816" t="str">
        <f>IFERROR(VLOOKUP(Transaction[[#This Row],[CustomerID]],Custumer[],1,0),IF(LEN(Transaction[[#This Row],[CustomerID]])=7,LEFT(Transaction[[#This Row],[CustomerID]],6),"Invalid ID"))</f>
        <v>C-1058</v>
      </c>
      <c r="I816" t="s">
        <v>222</v>
      </c>
      <c r="J816" t="str">
        <f>TRIM(UPPER(Transaction[[#This Row],[ProductID]]))</f>
        <v>P-FS-003</v>
      </c>
      <c r="K816" t="str">
        <f>IFERROR(VLOOKUP(Transaction[[#This Row],[ProductID_Clean]],Product[],1,FALSE),"Invalid ID")</f>
        <v>P-FS-003</v>
      </c>
      <c r="L816" t="str">
        <f>TRIM(SUBSTITUTE(SUBSTITUTE(SUBSTITUTE(SUBSTITUTE(UPPER(Transaction[[#This Row],[Region]]),"EMEA REGION","EMEA"),"APAC REGION","APAC"),"NORTH AMERICA","N. AMERICA"),"N .AMERICA","N.AMERICA"))</f>
        <v>EMEA</v>
      </c>
      <c r="M816" t="s">
        <v>76</v>
      </c>
      <c r="N816" t="s">
        <v>21</v>
      </c>
      <c r="O81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816" t="s">
        <v>22</v>
      </c>
      <c r="Q816" t="str">
        <f>IF(TRIM(Transaction[[#This Row],[SalesChannel]])="","Missing Value",TRIM(Transaction[[#This Row],[SalesChannel]]))</f>
        <v>Direct</v>
      </c>
      <c r="R816" s="4">
        <v>1</v>
      </c>
      <c r="S816" s="4" t="str">
        <f>IF(Transaction[[#This Row],[Quantity]]&lt;0,"Negative-review","Valid")</f>
        <v>Valid</v>
      </c>
      <c r="T816">
        <v>4069.29</v>
      </c>
      <c r="U81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4069.29</v>
      </c>
      <c r="V816">
        <v>4100</v>
      </c>
      <c r="W816">
        <v>4100</v>
      </c>
      <c r="X81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4100</v>
      </c>
      <c r="Y816">
        <f>IF(Transaction[[#This Row],[GrossRevenue_Check]]="Invalid",Transaction[[#This Row],[ListPrice]]*Transaction[[#This Row],[Quantity]],Transaction[[#This Row],[GrossRevenue_Clean]])</f>
        <v>4100</v>
      </c>
      <c r="Z816" t="str">
        <f>IF(Transaction[[#This Row],[GrossRevenue_Clean]]=Transaction[[#This Row],[ListPrice]]*Transaction[[#This Row],[Quantity]],"Valid","Invalid")</f>
        <v>Valid</v>
      </c>
      <c r="AA816">
        <v>30.71</v>
      </c>
      <c r="AB81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30.71</v>
      </c>
      <c r="AC816">
        <f>IF(Transaction[[#This Row],[DiscountAmount_Check2]]="Invalid",Transaction[[#This Row],[GrossRevenue_Analytical]]-Transaction[[#This Row],[NetRevenue_Analytical]],Transaction[[#This Row],[DiscountAmount_Clean]])</f>
        <v>30.71</v>
      </c>
      <c r="AD816">
        <v>4069.29</v>
      </c>
      <c r="AE816" t="str">
        <f>IF(ROUND(Transaction[[#This Row],[GrossRevenue_Analytical]]-Transaction[[#This Row],[NetRevenue_Analytical]],2)=ROUND(Transaction[[#This Row],[DiscountAmount_Clean]],2),"Valid","Invalid")</f>
        <v>Valid</v>
      </c>
      <c r="AF816">
        <f>VALUE(IF(ISNUMBER(Transaction[[#This Row],[NetRevenue]]),Transaction[[#This Row],[NetRevenue]],IFERROR(IF(FIND("$",Transaction[[#This Row],[NetRevenue]])&gt;0,MID(Transaction[[#This Row],[NetRevenue]],2,10)),Transaction[[#This Row],[NetRevenue]])))</f>
        <v>4069.29</v>
      </c>
      <c r="AG816">
        <f>IF(Transaction[[#This Row],[NetRevenue_Check]]="Invalid",(Transaction[[#This Row],[Quantity]]*Transaction[[#This Row],[UnitPrice_Clean]]),Transaction[[#This Row],[NetRevenue_Clean]])</f>
        <v>4069.29</v>
      </c>
      <c r="AH816" t="str">
        <f>IF(Transaction[[#This Row],[Quantity]]*Transaction[[#This Row],[UnitPrice_Clean]]=Transaction[[#This Row],[NetRevenue_Clean]],"Valid","Invalid")</f>
        <v>Valid</v>
      </c>
      <c r="AI816" t="s">
        <v>128</v>
      </c>
      <c r="AJ816" t="s">
        <v>1370</v>
      </c>
      <c r="AK816" t="str">
        <f>IF(Transaction[[#This Row],[Salesperson]]="","Missing Value",TRIM(PROPER(Transaction[[#This Row],[Salesperson]])))</f>
        <v>Ramos</v>
      </c>
      <c r="AL816" t="s">
        <v>224</v>
      </c>
      <c r="AM816" t="str">
        <f>IF(Transaction[[#This Row],[ContractType]]="","Missing Value",Transaction[[#This Row],[ContractType]])</f>
        <v>Annual</v>
      </c>
      <c r="AN816" t="s">
        <v>49</v>
      </c>
    </row>
    <row r="817" spans="1:40" x14ac:dyDescent="0.25">
      <c r="A817" t="s">
        <v>1667</v>
      </c>
      <c r="B817" s="1">
        <v>45830</v>
      </c>
      <c r="C81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81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81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17" s="2">
        <f>IFERROR(DATE(Transaction[[#This Row],[TransactionDateY]],Transaction[[#This Row],[TransactionDateM]],Transaction[[#This Row],[TransactionDateD]]),"Missing Value")</f>
        <v>45830</v>
      </c>
      <c r="G817" t="s">
        <v>1668</v>
      </c>
      <c r="H817" t="str">
        <f>IFERROR(VLOOKUP(Transaction[[#This Row],[CustomerID]],Custumer[],1,0),IF(LEN(Transaction[[#This Row],[CustomerID]])=7,LEFT(Transaction[[#This Row],[CustomerID]],6),"Invalid ID"))</f>
        <v>C-1143</v>
      </c>
      <c r="I817" t="s">
        <v>52</v>
      </c>
      <c r="J817" t="str">
        <f>TRIM(UPPER(Transaction[[#This Row],[ProductID]]))</f>
        <v>P-SI-002</v>
      </c>
      <c r="K817" t="str">
        <f>IFERROR(VLOOKUP(Transaction[[#This Row],[ProductID_Clean]],Product[],1,FALSE),"Invalid ID")</f>
        <v>P-SI-002</v>
      </c>
      <c r="L817" t="str">
        <f>TRIM(SUBSTITUTE(SUBSTITUTE(SUBSTITUTE(SUBSTITUTE(UPPER(Transaction[[#This Row],[Region]]),"EMEA REGION","EMEA"),"APAC REGION","APAC"),"NORTH AMERICA","N. AMERICA"),"N .AMERICA","N.AMERICA"))</f>
        <v>EMEA</v>
      </c>
      <c r="M817" t="s">
        <v>76</v>
      </c>
      <c r="N817" t="s">
        <v>53</v>
      </c>
      <c r="O81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17" t="s">
        <v>22</v>
      </c>
      <c r="Q817" t="str">
        <f>IF(TRIM(Transaction[[#This Row],[SalesChannel]])="","Missing Value",TRIM(Transaction[[#This Row],[SalesChannel]]))</f>
        <v>Direct</v>
      </c>
      <c r="R817" s="4">
        <v>4</v>
      </c>
      <c r="S817" s="4" t="str">
        <f>IF(Transaction[[#This Row],[Quantity]]&lt;0,"Negative-review","Valid")</f>
        <v>Valid</v>
      </c>
      <c r="T817">
        <v>675.66</v>
      </c>
      <c r="U81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675.66</v>
      </c>
      <c r="V817">
        <v>725</v>
      </c>
      <c r="W817">
        <v>2900</v>
      </c>
      <c r="X81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2900</v>
      </c>
      <c r="Y817">
        <f>IF(Transaction[[#This Row],[GrossRevenue_Check]]="Invalid",Transaction[[#This Row],[ListPrice]]*Transaction[[#This Row],[Quantity]],Transaction[[#This Row],[GrossRevenue_Clean]])</f>
        <v>2900</v>
      </c>
      <c r="Z817" t="str">
        <f>IF(Transaction[[#This Row],[GrossRevenue_Clean]]=Transaction[[#This Row],[ListPrice]]*Transaction[[#This Row],[Quantity]],"Valid","Invalid")</f>
        <v>Valid</v>
      </c>
      <c r="AA817">
        <v>197.36</v>
      </c>
      <c r="AB81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197.36</v>
      </c>
      <c r="AC817">
        <f>IF(Transaction[[#This Row],[DiscountAmount_Check2]]="Invalid",Transaction[[#This Row],[GrossRevenue_Analytical]]-Transaction[[#This Row],[NetRevenue_Analytical]],Transaction[[#This Row],[DiscountAmount_Clean]])</f>
        <v>197.36</v>
      </c>
      <c r="AD817">
        <v>2702.64</v>
      </c>
      <c r="AE817" t="str">
        <f>IF(ROUND(Transaction[[#This Row],[GrossRevenue_Analytical]]-Transaction[[#This Row],[NetRevenue_Analytical]],2)=ROUND(Transaction[[#This Row],[DiscountAmount_Clean]],2),"Valid","Invalid")</f>
        <v>Valid</v>
      </c>
      <c r="AF817">
        <f>VALUE(IF(ISNUMBER(Transaction[[#This Row],[NetRevenue]]),Transaction[[#This Row],[NetRevenue]],IFERROR(IF(FIND("$",Transaction[[#This Row],[NetRevenue]])&gt;0,MID(Transaction[[#This Row],[NetRevenue]],2,10)),Transaction[[#This Row],[NetRevenue]])))</f>
        <v>2702.64</v>
      </c>
      <c r="AG817">
        <f>IF(Transaction[[#This Row],[NetRevenue_Check]]="Invalid",(Transaction[[#This Row],[Quantity]]*Transaction[[#This Row],[UnitPrice_Clean]]),Transaction[[#This Row],[NetRevenue_Clean]])</f>
        <v>2702.64</v>
      </c>
      <c r="AH817" t="str">
        <f>IF(Transaction[[#This Row],[Quantity]]*Transaction[[#This Row],[UnitPrice_Clean]]=Transaction[[#This Row],[NetRevenue_Clean]],"Valid","Invalid")</f>
        <v>Valid</v>
      </c>
      <c r="AI817" t="s">
        <v>23</v>
      </c>
      <c r="AJ817" t="s">
        <v>1669</v>
      </c>
      <c r="AK817" t="str">
        <f>IF(Transaction[[#This Row],[Salesperson]]="","Missing Value",TRIM(PROPER(Transaction[[#This Row],[Salesperson]])))</f>
        <v>Frazier</v>
      </c>
      <c r="AL817" t="s">
        <v>55</v>
      </c>
      <c r="AM817" t="str">
        <f>IF(Transaction[[#This Row],[ContractType]]="","Missing Value",Transaction[[#This Row],[ContractType]])</f>
        <v>Spot</v>
      </c>
      <c r="AN817" t="s">
        <v>26</v>
      </c>
    </row>
    <row r="818" spans="1:40" x14ac:dyDescent="0.25">
      <c r="A818" t="s">
        <v>2965</v>
      </c>
      <c r="B818" s="1">
        <v>45764</v>
      </c>
      <c r="C81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81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81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18" s="2">
        <f>IFERROR(DATE(Transaction[[#This Row],[TransactionDateY]],Transaction[[#This Row],[TransactionDateM]],Transaction[[#This Row],[TransactionDateD]]),"Missing Value")</f>
        <v>45764</v>
      </c>
      <c r="G818" t="s">
        <v>208</v>
      </c>
      <c r="H818" t="str">
        <f>IFERROR(VLOOKUP(Transaction[[#This Row],[CustomerID]],Custumer[],1,0),IF(LEN(Transaction[[#This Row],[CustomerID]])=7,LEFT(Transaction[[#This Row],[CustomerID]],6),"Invalid ID"))</f>
        <v>C-1076</v>
      </c>
      <c r="I818" t="s">
        <v>117</v>
      </c>
      <c r="J818" t="str">
        <f>TRIM(UPPER(Transaction[[#This Row],[ProductID]]))</f>
        <v>P-SI-007</v>
      </c>
      <c r="K818" t="str">
        <f>IFERROR(VLOOKUP(Transaction[[#This Row],[ProductID_Clean]],Product[],1,FALSE),"Invalid ID")</f>
        <v>P-SI-007</v>
      </c>
      <c r="L818" t="str">
        <f>TRIM(SUBSTITUTE(SUBSTITUTE(SUBSTITUTE(SUBSTITUTE(UPPER(Transaction[[#This Row],[Region]]),"EMEA REGION","EMEA"),"APAC REGION","APAC"),"NORTH AMERICA","N. AMERICA"),"N .AMERICA","N.AMERICA"))</f>
        <v>APAC</v>
      </c>
      <c r="M818" t="s">
        <v>30</v>
      </c>
      <c r="N818" t="s">
        <v>53</v>
      </c>
      <c r="O81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18" t="s">
        <v>22</v>
      </c>
      <c r="Q818" t="str">
        <f>IF(TRIM(Transaction[[#This Row],[SalesChannel]])="","Missing Value",TRIM(Transaction[[#This Row],[SalesChannel]]))</f>
        <v>Direct</v>
      </c>
      <c r="R818" s="4">
        <v>2</v>
      </c>
      <c r="S818" s="4" t="str">
        <f>IF(Transaction[[#This Row],[Quantity]]&lt;0,"Negative-review","Valid")</f>
        <v>Valid</v>
      </c>
      <c r="T818">
        <v>789.84</v>
      </c>
      <c r="U81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789.84</v>
      </c>
      <c r="V818">
        <v>980</v>
      </c>
      <c r="W818">
        <v>1960</v>
      </c>
      <c r="X81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</v>
      </c>
      <c r="Y818">
        <f>IF(Transaction[[#This Row],[GrossRevenue_Check]]="Invalid",Transaction[[#This Row],[ListPrice]]*Transaction[[#This Row],[Quantity]],Transaction[[#This Row],[GrossRevenue_Clean]])</f>
        <v>1960</v>
      </c>
      <c r="Z818" t="str">
        <f>IF(Transaction[[#This Row],[GrossRevenue_Clean]]=Transaction[[#This Row],[ListPrice]]*Transaction[[#This Row],[Quantity]],"Valid","Invalid")</f>
        <v>Valid</v>
      </c>
      <c r="AA818">
        <v>380.32</v>
      </c>
      <c r="AB81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380.32</v>
      </c>
      <c r="AC818">
        <f>IF(Transaction[[#This Row],[DiscountAmount_Check2]]="Invalid",Transaction[[#This Row],[GrossRevenue_Analytical]]-Transaction[[#This Row],[NetRevenue_Analytical]],Transaction[[#This Row],[DiscountAmount_Clean]])</f>
        <v>380.32</v>
      </c>
      <c r="AD818">
        <v>1579.68</v>
      </c>
      <c r="AE818" t="str">
        <f>IF(ROUND(Transaction[[#This Row],[GrossRevenue_Analytical]]-Transaction[[#This Row],[NetRevenue_Analytical]],2)=ROUND(Transaction[[#This Row],[DiscountAmount_Clean]],2),"Valid","Invalid")</f>
        <v>Valid</v>
      </c>
      <c r="AF81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1579.68</v>
      </c>
      <c r="AG818">
        <f>IF(Transaction[[#This Row],[NetRevenue_Check]]="Invalid",(Transaction[[#This Row],[Quantity]]*Transaction[[#This Row],[UnitPrice_Clean]]),Transaction[[#This Row],[NetRevenue_Clean]])</f>
        <v>1579.68</v>
      </c>
      <c r="AH818" t="str">
        <f>IF(Transaction[[#This Row],[Quantity]]*Transaction[[#This Row],[UnitPrice_Clean]]=Transaction[[#This Row],[NetRevenue_Clean]],"Valid","Invalid")</f>
        <v>Valid</v>
      </c>
      <c r="AI818" t="s">
        <v>23</v>
      </c>
      <c r="AJ818" t="s">
        <v>2966</v>
      </c>
      <c r="AK818" t="str">
        <f>IF(Transaction[[#This Row],[Salesperson]]="","Missing Value",TRIM(PROPER(Transaction[[#This Row],[Salesperson]])))</f>
        <v>Love-Em</v>
      </c>
      <c r="AL818" t="s">
        <v>42</v>
      </c>
      <c r="AM818" t="str">
        <f>IF(Transaction[[#This Row],[ContractType]]="","Missing Value",Transaction[[#This Row],[ContractType]])</f>
        <v>Standard PO</v>
      </c>
      <c r="AN818" t="s">
        <v>49</v>
      </c>
    </row>
    <row r="819" spans="1:40" x14ac:dyDescent="0.25">
      <c r="A819" t="s">
        <v>1837</v>
      </c>
      <c r="B819" t="s">
        <v>1838</v>
      </c>
      <c r="C81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81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81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19" s="2">
        <f>IFERROR(DATE(Transaction[[#This Row],[TransactionDateY]],Transaction[[#This Row],[TransactionDateM]],Transaction[[#This Row],[TransactionDateD]]),"Missing Value")</f>
        <v>45736</v>
      </c>
      <c r="G819" t="s">
        <v>329</v>
      </c>
      <c r="H819" t="str">
        <f>IFERROR(VLOOKUP(Transaction[[#This Row],[CustomerID]],Custumer[],1,0),IF(LEN(Transaction[[#This Row],[CustomerID]])=7,LEFT(Transaction[[#This Row],[CustomerID]],6),"Invalid ID"))</f>
        <v>C-1145</v>
      </c>
      <c r="I819" t="s">
        <v>117</v>
      </c>
      <c r="J819" t="str">
        <f>TRIM(UPPER(Transaction[[#This Row],[ProductID]]))</f>
        <v>P-SI-007</v>
      </c>
      <c r="K819" t="str">
        <f>IFERROR(VLOOKUP(Transaction[[#This Row],[ProductID_Clean]],Product[],1,FALSE),"Invalid ID")</f>
        <v>P-SI-007</v>
      </c>
      <c r="L819" t="str">
        <f>TRIM(SUBSTITUTE(SUBSTITUTE(SUBSTITUTE(SUBSTITUTE(UPPER(Transaction[[#This Row],[Region]]),"EMEA REGION","EMEA"),"APAC REGION","APAC"),"NORTH AMERICA","N. AMERICA"),"N .AMERICA","N.AMERICA"))</f>
        <v>N. AMERICA</v>
      </c>
      <c r="M819" t="s">
        <v>20</v>
      </c>
      <c r="N819" t="s">
        <v>53</v>
      </c>
      <c r="O81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19" t="s">
        <v>22</v>
      </c>
      <c r="Q819" t="str">
        <f>IF(TRIM(Transaction[[#This Row],[SalesChannel]])="","Missing Value",TRIM(Transaction[[#This Row],[SalesChannel]]))</f>
        <v>Direct</v>
      </c>
      <c r="R819" s="4">
        <v>2</v>
      </c>
      <c r="S819" s="4" t="str">
        <f>IF(Transaction[[#This Row],[Quantity]]&lt;0,"Negative-review","Valid")</f>
        <v>Valid</v>
      </c>
      <c r="T819">
        <v>805.46</v>
      </c>
      <c r="U81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805.46</v>
      </c>
      <c r="V819">
        <v>980</v>
      </c>
      <c r="W819">
        <v>1960</v>
      </c>
      <c r="X81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</v>
      </c>
      <c r="Y819">
        <f>IF(Transaction[[#This Row],[GrossRevenue_Check]]="Invalid",Transaction[[#This Row],[ListPrice]]*Transaction[[#This Row],[Quantity]],Transaction[[#This Row],[GrossRevenue_Clean]])</f>
        <v>1960</v>
      </c>
      <c r="Z819" t="str">
        <f>IF(Transaction[[#This Row],[GrossRevenue_Clean]]=Transaction[[#This Row],[ListPrice]]*Transaction[[#This Row],[Quantity]],"Valid","Invalid")</f>
        <v>Valid</v>
      </c>
      <c r="AA819">
        <v>349.08</v>
      </c>
      <c r="AB81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349.08</v>
      </c>
      <c r="AC819">
        <f>IF(Transaction[[#This Row],[DiscountAmount_Check2]]="Invalid",Transaction[[#This Row],[GrossRevenue_Analytical]]-Transaction[[#This Row],[NetRevenue_Analytical]],Transaction[[#This Row],[DiscountAmount_Clean]])</f>
        <v>349.08</v>
      </c>
      <c r="AD819">
        <v>1610.92</v>
      </c>
      <c r="AE819" t="str">
        <f>IF(ROUND(Transaction[[#This Row],[GrossRevenue_Analytical]]-Transaction[[#This Row],[NetRevenue_Analytical]],2)=ROUND(Transaction[[#This Row],[DiscountAmount_Clean]],2),"Valid","Invalid")</f>
        <v>Valid</v>
      </c>
      <c r="AF81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1610.92</v>
      </c>
      <c r="AG819">
        <f>IF(Transaction[[#This Row],[NetRevenue_Check]]="Invalid",(Transaction[[#This Row],[Quantity]]*Transaction[[#This Row],[UnitPrice_Clean]]),Transaction[[#This Row],[NetRevenue_Clean]])</f>
        <v>1610.92</v>
      </c>
      <c r="AH819" t="str">
        <f>IF(Transaction[[#This Row],[Quantity]]*Transaction[[#This Row],[UnitPrice_Clean]]=Transaction[[#This Row],[NetRevenue_Clean]],"Valid","Invalid")</f>
        <v>Valid</v>
      </c>
      <c r="AI819" t="s">
        <v>23</v>
      </c>
      <c r="AJ819" t="s">
        <v>1839</v>
      </c>
      <c r="AK819" t="str">
        <f>IF(Transaction[[#This Row],[Salesperson]]="","Missing Value",TRIM(PROPER(Transaction[[#This Row],[Salesperson]])))</f>
        <v>Burns-Ap</v>
      </c>
      <c r="AL819" t="s">
        <v>25</v>
      </c>
      <c r="AM819" t="str">
        <f>IF(Transaction[[#This Row],[ContractType]]="","Missing Value",Transaction[[#This Row],[ContractType]])</f>
        <v>Frame Agreement</v>
      </c>
      <c r="AN819" t="s">
        <v>65</v>
      </c>
    </row>
    <row r="820" spans="1:40" x14ac:dyDescent="0.25">
      <c r="A820" t="s">
        <v>2531</v>
      </c>
      <c r="B820" t="s">
        <v>2532</v>
      </c>
      <c r="C82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82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82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20" s="2">
        <f>IFERROR(DATE(Transaction[[#This Row],[TransactionDateY]],Transaction[[#This Row],[TransactionDateM]],Transaction[[#This Row],[TransactionDateD]]),"Missing Value")</f>
        <v>45834</v>
      </c>
      <c r="G820" t="s">
        <v>473</v>
      </c>
      <c r="H820" t="str">
        <f>IFERROR(VLOOKUP(Transaction[[#This Row],[CustomerID]],Custumer[],1,0),IF(LEN(Transaction[[#This Row],[CustomerID]])=7,LEFT(Transaction[[#This Row],[CustomerID]],6),"Invalid ID"))</f>
        <v>C-1016</v>
      </c>
      <c r="I820" t="s">
        <v>97</v>
      </c>
      <c r="J820" t="str">
        <f>TRIM(UPPER(Transaction[[#This Row],[ProductID]]))</f>
        <v>P-SI-001</v>
      </c>
      <c r="K820" t="str">
        <f>IFERROR(VLOOKUP(Transaction[[#This Row],[ProductID_Clean]],Product[],1,FALSE),"Invalid ID")</f>
        <v>P-SI-001</v>
      </c>
      <c r="L820" t="str">
        <f>TRIM(SUBSTITUTE(SUBSTITUTE(SUBSTITUTE(SUBSTITUTE(UPPER(Transaction[[#This Row],[Region]]),"EMEA REGION","EMEA"),"APAC REGION","APAC"),"NORTH AMERICA","N. AMERICA"),"N .AMERICA","N.AMERICA"))</f>
        <v>APAC</v>
      </c>
      <c r="M820" t="s">
        <v>127</v>
      </c>
      <c r="N820" t="s">
        <v>53</v>
      </c>
      <c r="O82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20" t="s">
        <v>181</v>
      </c>
      <c r="Q820" t="str">
        <f>IF(TRIM(Transaction[[#This Row],[SalesChannel]])="","Missing Value",TRIM(Transaction[[#This Row],[SalesChannel]]))</f>
        <v>Partner Portal</v>
      </c>
      <c r="R820" s="4">
        <v>1</v>
      </c>
      <c r="S820" s="4" t="str">
        <f>IF(Transaction[[#This Row],[Quantity]]&lt;0,"Negative-review","Valid")</f>
        <v>Valid</v>
      </c>
      <c r="T820">
        <v>406.51</v>
      </c>
      <c r="U82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406.51</v>
      </c>
      <c r="V820">
        <v>485</v>
      </c>
      <c r="W820">
        <v>485</v>
      </c>
      <c r="X82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820">
        <f>IF(Transaction[[#This Row],[GrossRevenue_Check]]="Invalid",Transaction[[#This Row],[ListPrice]]*Transaction[[#This Row],[Quantity]],Transaction[[#This Row],[GrossRevenue_Clean]])</f>
        <v>485</v>
      </c>
      <c r="Z820" t="str">
        <f>IF(Transaction[[#This Row],[GrossRevenue_Clean]]=Transaction[[#This Row],[ListPrice]]*Transaction[[#This Row],[Quantity]],"Valid","Invalid")</f>
        <v>Valid</v>
      </c>
      <c r="AA820">
        <v>78.489999999999995</v>
      </c>
      <c r="AB82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78.489999999999995</v>
      </c>
      <c r="AC820">
        <f>IF(Transaction[[#This Row],[DiscountAmount_Check2]]="Invalid",Transaction[[#This Row],[GrossRevenue_Analytical]]-Transaction[[#This Row],[NetRevenue_Analytical]],Transaction[[#This Row],[DiscountAmount_Clean]])</f>
        <v>78.489999999999995</v>
      </c>
      <c r="AD820">
        <v>406.51</v>
      </c>
      <c r="AE820" t="str">
        <f>IF(ROUND(Transaction[[#This Row],[GrossRevenue_Analytical]]-Transaction[[#This Row],[NetRevenue_Analytical]],2)=ROUND(Transaction[[#This Row],[DiscountAmount_Clean]],2),"Valid","Invalid")</f>
        <v>Valid</v>
      </c>
      <c r="AF820">
        <f>VALUE(IF(ISNUMBER(Transaction[[#This Row],[NetRevenue]]),Transaction[[#This Row],[NetRevenue]],IFERROR(IF(FIND("$",Transaction[[#This Row],[NetRevenue]])&gt;0,MID(Transaction[[#This Row],[NetRevenue]],2,10)),Transaction[[#This Row],[NetRevenue]])))</f>
        <v>406.51</v>
      </c>
      <c r="AG820">
        <f>IF(Transaction[[#This Row],[NetRevenue_Check]]="Invalid",(Transaction[[#This Row],[Quantity]]*Transaction[[#This Row],[UnitPrice_Clean]]),Transaction[[#This Row],[NetRevenue_Clean]])</f>
        <v>406.51</v>
      </c>
      <c r="AH820" t="str">
        <f>IF(Transaction[[#This Row],[Quantity]]*Transaction[[#This Row],[UnitPrice_Clean]]=Transaction[[#This Row],[NetRevenue_Clean]],"Valid","Invalid")</f>
        <v>Valid</v>
      </c>
      <c r="AI820" t="s">
        <v>23</v>
      </c>
      <c r="AJ820" t="s">
        <v>2533</v>
      </c>
      <c r="AK820" t="str">
        <f>IF(Transaction[[#This Row],[Salesperson]]="","Missing Value",TRIM(PROPER(Transaction[[#This Row],[Salesperson]])))</f>
        <v>Nolan-Em</v>
      </c>
      <c r="AL820" t="s">
        <v>55</v>
      </c>
      <c r="AM820" t="str">
        <f>IF(Transaction[[#This Row],[ContractType]]="","Missing Value",Transaction[[#This Row],[ContractType]])</f>
        <v>Spot</v>
      </c>
      <c r="AN820" t="s">
        <v>26</v>
      </c>
    </row>
    <row r="821" spans="1:40" x14ac:dyDescent="0.25">
      <c r="A821" t="s">
        <v>1258</v>
      </c>
      <c r="B821" s="1">
        <v>45779</v>
      </c>
      <c r="C82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82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82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21" s="2">
        <f>IFERROR(DATE(Transaction[[#This Row],[TransactionDateY]],Transaction[[#This Row],[TransactionDateM]],Transaction[[#This Row],[TransactionDateD]]),"Missing Value")</f>
        <v>45779</v>
      </c>
      <c r="G821" t="s">
        <v>360</v>
      </c>
      <c r="H821" t="str">
        <f>IFERROR(VLOOKUP(Transaction[[#This Row],[CustomerID]],Custumer[],1,0),IF(LEN(Transaction[[#This Row],[CustomerID]])=7,LEFT(Transaction[[#This Row],[CustomerID]],6),"Invalid ID"))</f>
        <v>C-1067</v>
      </c>
      <c r="I821" t="s">
        <v>268</v>
      </c>
      <c r="J821" t="str">
        <f>TRIM(UPPER(Transaction[[#This Row],[ProductID]]))</f>
        <v>P-FS-002</v>
      </c>
      <c r="K821" t="str">
        <f>IFERROR(VLOOKUP(Transaction[[#This Row],[ProductID_Clean]],Product[],1,FALSE),"Invalid ID")</f>
        <v>P-FS-002</v>
      </c>
      <c r="L821" t="str">
        <f>TRIM(SUBSTITUTE(SUBSTITUTE(SUBSTITUTE(SUBSTITUTE(UPPER(Transaction[[#This Row],[Region]]),"EMEA REGION","EMEA"),"APAC REGION","APAC"),"NORTH AMERICA","N. AMERICA"),"N .AMERICA","N.AMERICA"))</f>
        <v>APAC</v>
      </c>
      <c r="M821" t="s">
        <v>122</v>
      </c>
      <c r="N821" t="s">
        <v>21</v>
      </c>
      <c r="O821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821" t="s">
        <v>22</v>
      </c>
      <c r="Q821" t="str">
        <f>IF(TRIM(Transaction[[#This Row],[SalesChannel]])="","Missing Value",TRIM(Transaction[[#This Row],[SalesChannel]]))</f>
        <v>Direct</v>
      </c>
      <c r="R821" s="4">
        <v>1</v>
      </c>
      <c r="S821" s="4" t="str">
        <f>IF(Transaction[[#This Row],[Quantity]]&lt;0,"Negative-review","Valid")</f>
        <v>Valid</v>
      </c>
      <c r="T821">
        <v>1978.42</v>
      </c>
      <c r="U82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1978.42</v>
      </c>
      <c r="V821">
        <v>2400</v>
      </c>
      <c r="W821">
        <v>2400</v>
      </c>
      <c r="X82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821">
        <f>IF(Transaction[[#This Row],[GrossRevenue_Check]]="Invalid",Transaction[[#This Row],[ListPrice]]*Transaction[[#This Row],[Quantity]],Transaction[[#This Row],[GrossRevenue_Clean]])</f>
        <v>2400</v>
      </c>
      <c r="Z821" t="str">
        <f>IF(Transaction[[#This Row],[GrossRevenue_Clean]]=Transaction[[#This Row],[ListPrice]]*Transaction[[#This Row],[Quantity]],"Valid","Invalid")</f>
        <v>Valid</v>
      </c>
      <c r="AA821">
        <v>421.58</v>
      </c>
      <c r="AB82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421.58</v>
      </c>
      <c r="AC821">
        <f>IF(Transaction[[#This Row],[DiscountAmount_Check2]]="Invalid",Transaction[[#This Row],[GrossRevenue_Analytical]]-Transaction[[#This Row],[NetRevenue_Analytical]],Transaction[[#This Row],[DiscountAmount_Clean]])</f>
        <v>421.58</v>
      </c>
      <c r="AD821">
        <v>1978.42</v>
      </c>
      <c r="AE821" t="str">
        <f>IF(ROUND(Transaction[[#This Row],[GrossRevenue_Analytical]]-Transaction[[#This Row],[NetRevenue_Analytical]],2)=ROUND(Transaction[[#This Row],[DiscountAmount_Clean]],2),"Valid","Invalid")</f>
        <v>Valid</v>
      </c>
      <c r="AF82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1978.42</v>
      </c>
      <c r="AG821">
        <f>IF(Transaction[[#This Row],[NetRevenue_Check]]="Invalid",(Transaction[[#This Row],[Quantity]]*Transaction[[#This Row],[UnitPrice_Clean]]),Transaction[[#This Row],[NetRevenue_Clean]])</f>
        <v>1978.42</v>
      </c>
      <c r="AH821" t="str">
        <f>IF(Transaction[[#This Row],[Quantity]]*Transaction[[#This Row],[UnitPrice_Clean]]=Transaction[[#This Row],[NetRevenue_Clean]],"Valid","Invalid")</f>
        <v>Valid</v>
      </c>
      <c r="AI821" t="s">
        <v>23</v>
      </c>
      <c r="AJ821" t="s">
        <v>1259</v>
      </c>
      <c r="AK821" t="str">
        <f>IF(Transaction[[#This Row],[Salesperson]]="","Missing Value",TRIM(PROPER(Transaction[[#This Row],[Salesperson]])))</f>
        <v>Griffin</v>
      </c>
      <c r="AL821" t="s">
        <v>224</v>
      </c>
      <c r="AM821" t="str">
        <f>IF(Transaction[[#This Row],[ContractType]]="","Missing Value",Transaction[[#This Row],[ContractType]])</f>
        <v>Annual</v>
      </c>
      <c r="AN821" t="s">
        <v>43</v>
      </c>
    </row>
    <row r="822" spans="1:40" x14ac:dyDescent="0.25">
      <c r="A822" t="s">
        <v>2416</v>
      </c>
      <c r="B822" s="1">
        <v>45825</v>
      </c>
      <c r="C82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82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82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22" s="2">
        <f>IFERROR(DATE(Transaction[[#This Row],[TransactionDateY]],Transaction[[#This Row],[TransactionDateM]],Transaction[[#This Row],[TransactionDateD]]),"Missing Value")</f>
        <v>45825</v>
      </c>
      <c r="G822" t="s">
        <v>484</v>
      </c>
      <c r="H822" t="str">
        <f>IFERROR(VLOOKUP(Transaction[[#This Row],[CustomerID]],Custumer[],1,0),IF(LEN(Transaction[[#This Row],[CustomerID]])=7,LEFT(Transaction[[#This Row],[CustomerID]],6),"Invalid ID"))</f>
        <v>C-1104</v>
      </c>
      <c r="I822" t="s">
        <v>97</v>
      </c>
      <c r="J822" t="str">
        <f>TRIM(UPPER(Transaction[[#This Row],[ProductID]]))</f>
        <v>P-SI-001</v>
      </c>
      <c r="K822" t="str">
        <f>IFERROR(VLOOKUP(Transaction[[#This Row],[ProductID_Clean]],Product[],1,FALSE),"Invalid ID")</f>
        <v>P-SI-001</v>
      </c>
      <c r="L822" t="str">
        <f>TRIM(SUBSTITUTE(SUBSTITUTE(SUBSTITUTE(SUBSTITUTE(UPPER(Transaction[[#This Row],[Region]]),"EMEA REGION","EMEA"),"APAC REGION","APAC"),"NORTH AMERICA","N. AMERICA"),"N .AMERICA","N.AMERICA"))</f>
        <v>N. AMERICA</v>
      </c>
      <c r="M822" t="s">
        <v>20</v>
      </c>
      <c r="N822" t="s">
        <v>53</v>
      </c>
      <c r="O82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22" t="s">
        <v>181</v>
      </c>
      <c r="Q822" t="str">
        <f>IF(TRIM(Transaction[[#This Row],[SalesChannel]])="","Missing Value",TRIM(Transaction[[#This Row],[SalesChannel]]))</f>
        <v>Partner Portal</v>
      </c>
      <c r="R822" s="4">
        <v>1</v>
      </c>
      <c r="S822" s="4" t="str">
        <f>IF(Transaction[[#This Row],[Quantity]]&lt;0,"Negative-review","Valid")</f>
        <v>Valid</v>
      </c>
      <c r="T822">
        <v>453.3</v>
      </c>
      <c r="U82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453.3</v>
      </c>
      <c r="V822">
        <v>485</v>
      </c>
      <c r="W822">
        <v>485</v>
      </c>
      <c r="X82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822">
        <f>IF(Transaction[[#This Row],[GrossRevenue_Check]]="Invalid",Transaction[[#This Row],[ListPrice]]*Transaction[[#This Row],[Quantity]],Transaction[[#This Row],[GrossRevenue_Clean]])</f>
        <v>485</v>
      </c>
      <c r="Z822" t="str">
        <f>IF(Transaction[[#This Row],[GrossRevenue_Clean]]=Transaction[[#This Row],[ListPrice]]*Transaction[[#This Row],[Quantity]],"Valid","Invalid")</f>
        <v>Valid</v>
      </c>
      <c r="AA822">
        <v>31.7</v>
      </c>
      <c r="AB82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31.7</v>
      </c>
      <c r="AC822">
        <f>IF(Transaction[[#This Row],[DiscountAmount_Check2]]="Invalid",Transaction[[#This Row],[GrossRevenue_Analytical]]-Transaction[[#This Row],[NetRevenue_Analytical]],Transaction[[#This Row],[DiscountAmount_Clean]])</f>
        <v>31.7</v>
      </c>
      <c r="AD822">
        <v>453.3</v>
      </c>
      <c r="AE822" t="str">
        <f>IF(ROUND(Transaction[[#This Row],[GrossRevenue_Analytical]]-Transaction[[#This Row],[NetRevenue_Analytical]],2)=ROUND(Transaction[[#This Row],[DiscountAmount_Clean]],2),"Valid","Invalid")</f>
        <v>Valid</v>
      </c>
      <c r="AF822">
        <f>VALUE(IF(ISNUMBER(Transaction[[#This Row],[NetRevenue]]),Transaction[[#This Row],[NetRevenue]],IFERROR(IF(FIND("$",Transaction[[#This Row],[NetRevenue]])&gt;0,MID(Transaction[[#This Row],[NetRevenue]],2,10)),Transaction[[#This Row],[NetRevenue]])))</f>
        <v>453.3</v>
      </c>
      <c r="AG822">
        <f>IF(Transaction[[#This Row],[NetRevenue_Check]]="Invalid",(Transaction[[#This Row],[Quantity]]*Transaction[[#This Row],[UnitPrice_Clean]]),Transaction[[#This Row],[NetRevenue_Clean]])</f>
        <v>453.3</v>
      </c>
      <c r="AH822" t="str">
        <f>IF(Transaction[[#This Row],[Quantity]]*Transaction[[#This Row],[UnitPrice_Clean]]=Transaction[[#This Row],[NetRevenue_Clean]],"Valid","Invalid")</f>
        <v>Valid</v>
      </c>
      <c r="AI822" t="s">
        <v>23</v>
      </c>
      <c r="AJ822" t="s">
        <v>1323</v>
      </c>
      <c r="AK822" t="str">
        <f>IF(Transaction[[#This Row],[Salesperson]]="","Missing Value",TRIM(PROPER(Transaction[[#This Row],[Salesperson]])))</f>
        <v>Brown-Em</v>
      </c>
      <c r="AL822" t="s">
        <v>42</v>
      </c>
      <c r="AM822" t="str">
        <f>IF(Transaction[[#This Row],[ContractType]]="","Missing Value",Transaction[[#This Row],[ContractType]])</f>
        <v>Standard PO</v>
      </c>
      <c r="AN822" t="s">
        <v>49</v>
      </c>
    </row>
    <row r="823" spans="1:40" x14ac:dyDescent="0.25">
      <c r="A823" t="s">
        <v>428</v>
      </c>
      <c r="B823" s="1">
        <v>45805</v>
      </c>
      <c r="C82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82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82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23" s="2">
        <f>IFERROR(DATE(Transaction[[#This Row],[TransactionDateY]],Transaction[[#This Row],[TransactionDateM]],Transaction[[#This Row],[TransactionDateD]]),"Missing Value")</f>
        <v>45805</v>
      </c>
      <c r="G823" t="s">
        <v>429</v>
      </c>
      <c r="H823" t="str">
        <f>IFERROR(VLOOKUP(Transaction[[#This Row],[CustomerID]],Custumer[],1,0),IF(LEN(Transaction[[#This Row],[CustomerID]])=7,LEFT(Transaction[[#This Row],[CustomerID]],6),"Invalid ID"))</f>
        <v>C-1009</v>
      </c>
      <c r="I823" t="s">
        <v>58</v>
      </c>
      <c r="J823" t="str">
        <f>TRIM(UPPER(Transaction[[#This Row],[ProductID]]))</f>
        <v>P-SI-005</v>
      </c>
      <c r="K823" t="str">
        <f>IFERROR(VLOOKUP(Transaction[[#This Row],[ProductID_Clean]],Product[],1,FALSE),"Invalid ID")</f>
        <v>P-SI-005</v>
      </c>
      <c r="L823" t="str">
        <f>TRIM(SUBSTITUTE(SUBSTITUTE(SUBSTITUTE(SUBSTITUTE(UPPER(Transaction[[#This Row],[Region]]),"EMEA REGION","EMEA"),"APAC REGION","APAC"),"NORTH AMERICA","N. AMERICA"),"N .AMERICA","N.AMERICA"))</f>
        <v>EMEA</v>
      </c>
      <c r="M823" t="s">
        <v>177</v>
      </c>
      <c r="N823" t="s">
        <v>53</v>
      </c>
      <c r="O82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23" t="s">
        <v>40</v>
      </c>
      <c r="Q823" t="str">
        <f>IF(TRIM(Transaction[[#This Row],[SalesChannel]])="","Missing Value",TRIM(Transaction[[#This Row],[SalesChannel]]))</f>
        <v>Distributor</v>
      </c>
      <c r="R823" s="4">
        <v>1</v>
      </c>
      <c r="S823" s="4" t="str">
        <f>IF(Transaction[[#This Row],[Quantity]]&lt;0,"Negative-review","Valid")</f>
        <v>Valid</v>
      </c>
      <c r="T823">
        <v>948.06</v>
      </c>
      <c r="U82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948.06</v>
      </c>
      <c r="V823">
        <v>1120</v>
      </c>
      <c r="W823">
        <v>1120</v>
      </c>
      <c r="X82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1120</v>
      </c>
      <c r="Y823">
        <f>IF(Transaction[[#This Row],[GrossRevenue_Check]]="Invalid",Transaction[[#This Row],[ListPrice]]*Transaction[[#This Row],[Quantity]],Transaction[[#This Row],[GrossRevenue_Clean]])</f>
        <v>1120</v>
      </c>
      <c r="Z823" t="str">
        <f>IF(Transaction[[#This Row],[GrossRevenue_Clean]]=Transaction[[#This Row],[ListPrice]]*Transaction[[#This Row],[Quantity]],"Valid","Invalid")</f>
        <v>Valid</v>
      </c>
      <c r="AA823">
        <v>171.94</v>
      </c>
      <c r="AB82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171.94</v>
      </c>
      <c r="AC823">
        <f>IF(Transaction[[#This Row],[DiscountAmount_Check2]]="Invalid",Transaction[[#This Row],[GrossRevenue_Analytical]]-Transaction[[#This Row],[NetRevenue_Analytical]],Transaction[[#This Row],[DiscountAmount_Clean]])</f>
        <v>171.94</v>
      </c>
      <c r="AD823">
        <v>948.06</v>
      </c>
      <c r="AE823" t="str">
        <f>IF(ROUND(Transaction[[#This Row],[GrossRevenue_Analytical]]-Transaction[[#This Row],[NetRevenue_Analytical]],2)=ROUND(Transaction[[#This Row],[DiscountAmount_Clean]],2),"Valid","Invalid")</f>
        <v>Valid</v>
      </c>
      <c r="AF823">
        <f>VALUE(IF(ISNUMBER(Transaction[[#This Row],[NetRevenue]]),Transaction[[#This Row],[NetRevenue]],IFERROR(IF(FIND("$",Transaction[[#This Row],[NetRevenue]])&gt;0,MID(Transaction[[#This Row],[NetRevenue]],2,10)),Transaction[[#This Row],[NetRevenue]])))</f>
        <v>948.06</v>
      </c>
      <c r="AG823">
        <f>IF(Transaction[[#This Row],[NetRevenue_Check]]="Invalid",(Transaction[[#This Row],[Quantity]]*Transaction[[#This Row],[UnitPrice_Clean]]),Transaction[[#This Row],[NetRevenue_Clean]])</f>
        <v>948.06</v>
      </c>
      <c r="AH823" t="str">
        <f>IF(Transaction[[#This Row],[Quantity]]*Transaction[[#This Row],[UnitPrice_Clean]]=Transaction[[#This Row],[NetRevenue_Clean]],"Valid","Invalid")</f>
        <v>Valid</v>
      </c>
      <c r="AI823" t="s">
        <v>23</v>
      </c>
      <c r="AJ823" t="s">
        <v>430</v>
      </c>
      <c r="AK823" t="str">
        <f>IF(Transaction[[#This Row],[Salesperson]]="","Missing Value",TRIM(PROPER(Transaction[[#This Row],[Salesperson]])))</f>
        <v>Anderson</v>
      </c>
      <c r="AL823" t="s">
        <v>42</v>
      </c>
      <c r="AM823" t="str">
        <f>IF(Transaction[[#This Row],[ContractType]]="","Missing Value",Transaction[[#This Row],[ContractType]])</f>
        <v>Standard PO</v>
      </c>
      <c r="AN823" t="s">
        <v>49</v>
      </c>
    </row>
    <row r="824" spans="1:40" x14ac:dyDescent="0.25">
      <c r="A824" t="s">
        <v>2659</v>
      </c>
      <c r="B824" s="1">
        <v>45807</v>
      </c>
      <c r="C82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82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82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24" s="2">
        <f>IFERROR(DATE(Transaction[[#This Row],[TransactionDateY]],Transaction[[#This Row],[TransactionDateM]],Transaction[[#This Row],[TransactionDateD]]),"Missing Value")</f>
        <v>45807</v>
      </c>
      <c r="G824" t="s">
        <v>284</v>
      </c>
      <c r="H824" t="str">
        <f>IFERROR(VLOOKUP(Transaction[[#This Row],[CustomerID]],Custumer[],1,0),IF(LEN(Transaction[[#This Row],[CustomerID]])=7,LEFT(Transaction[[#This Row],[CustomerID]],6),"Invalid ID"))</f>
        <v>C-1101</v>
      </c>
      <c r="I824" t="s">
        <v>58</v>
      </c>
      <c r="J824" t="str">
        <f>TRIM(UPPER(Transaction[[#This Row],[ProductID]]))</f>
        <v>P-SI-005</v>
      </c>
      <c r="K824" t="str">
        <f>IFERROR(VLOOKUP(Transaction[[#This Row],[ProductID_Clean]],Product[],1,FALSE),"Invalid ID")</f>
        <v>P-SI-005</v>
      </c>
      <c r="L824" t="str">
        <f>TRIM(SUBSTITUTE(SUBSTITUTE(SUBSTITUTE(SUBSTITUTE(UPPER(Transaction[[#This Row],[Region]]),"EMEA REGION","EMEA"),"APAC REGION","APAC"),"NORTH AMERICA","N. AMERICA"),"N .AMERICA","N.AMERICA"))</f>
        <v>EMEA</v>
      </c>
      <c r="M824" t="s">
        <v>76</v>
      </c>
      <c r="N824" t="s">
        <v>53</v>
      </c>
      <c r="O82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24" t="s">
        <v>181</v>
      </c>
      <c r="Q824" t="str">
        <f>IF(TRIM(Transaction[[#This Row],[SalesChannel]])="","Missing Value",TRIM(Transaction[[#This Row],[SalesChannel]]))</f>
        <v>Partner Portal</v>
      </c>
      <c r="R824" s="4">
        <v>2</v>
      </c>
      <c r="S824" s="4" t="str">
        <f>IF(Transaction[[#This Row],[Quantity]]&lt;0,"Negative-review","Valid")</f>
        <v>Valid</v>
      </c>
      <c r="T824">
        <v>933.41</v>
      </c>
      <c r="U82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933.41</v>
      </c>
      <c r="V824">
        <v>1120</v>
      </c>
      <c r="W824" t="s">
        <v>2660</v>
      </c>
      <c r="X82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2240</v>
      </c>
      <c r="Y824">
        <f>IF(Transaction[[#This Row],[GrossRevenue_Check]]="Invalid",Transaction[[#This Row],[ListPrice]]*Transaction[[#This Row],[Quantity]],Transaction[[#This Row],[GrossRevenue_Clean]])</f>
        <v>2240</v>
      </c>
      <c r="Z824" t="str">
        <f>IF(Transaction[[#This Row],[GrossRevenue_Clean]]=Transaction[[#This Row],[ListPrice]]*Transaction[[#This Row],[Quantity]],"Valid","Invalid")</f>
        <v>Valid</v>
      </c>
      <c r="AA824">
        <v>373.18</v>
      </c>
      <c r="AB82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373.18</v>
      </c>
      <c r="AC824">
        <f>IF(Transaction[[#This Row],[DiscountAmount_Check2]]="Invalid",Transaction[[#This Row],[GrossRevenue_Analytical]]-Transaction[[#This Row],[NetRevenue_Analytical]],Transaction[[#This Row],[DiscountAmount_Clean]])</f>
        <v>373.18</v>
      </c>
      <c r="AD824">
        <v>1866.82</v>
      </c>
      <c r="AE824" t="str">
        <f>IF(ROUND(Transaction[[#This Row],[GrossRevenue_Analytical]]-Transaction[[#This Row],[NetRevenue_Analytical]],2)=ROUND(Transaction[[#This Row],[DiscountAmount_Clean]],2),"Valid","Invalid")</f>
        <v>Valid</v>
      </c>
      <c r="AF82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1866.82</v>
      </c>
      <c r="AG824">
        <f>IF(Transaction[[#This Row],[NetRevenue_Check]]="Invalid",(Transaction[[#This Row],[Quantity]]*Transaction[[#This Row],[UnitPrice_Clean]]),Transaction[[#This Row],[NetRevenue_Clean]])</f>
        <v>1866.82</v>
      </c>
      <c r="AH824" t="str">
        <f>IF(Transaction[[#This Row],[Quantity]]*Transaction[[#This Row],[UnitPrice_Clean]]=Transaction[[#This Row],[NetRevenue_Clean]],"Valid","Invalid")</f>
        <v>Valid</v>
      </c>
      <c r="AI824" t="s">
        <v>23</v>
      </c>
      <c r="AJ824" t="s">
        <v>2661</v>
      </c>
      <c r="AK824" t="str">
        <f>IF(Transaction[[#This Row],[Salesperson]]="","Missing Value",TRIM(PROPER(Transaction[[#This Row],[Salesperson]])))</f>
        <v>Perry-Em</v>
      </c>
      <c r="AL824" t="s">
        <v>55</v>
      </c>
      <c r="AM824" t="str">
        <f>IF(Transaction[[#This Row],[ContractType]]="","Missing Value",Transaction[[#This Row],[ContractType]])</f>
        <v>Spot</v>
      </c>
      <c r="AN824" t="s">
        <v>35</v>
      </c>
    </row>
    <row r="825" spans="1:40" x14ac:dyDescent="0.25">
      <c r="A825" t="s">
        <v>2419</v>
      </c>
      <c r="B825" t="s">
        <v>2420</v>
      </c>
      <c r="C82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82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82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25" s="2">
        <f>IFERROR(DATE(Transaction[[#This Row],[TransactionDateY]],Transaction[[#This Row],[TransactionDateM]],Transaction[[#This Row],[TransactionDateD]]),"Missing Value")</f>
        <v>45819</v>
      </c>
      <c r="G825" t="s">
        <v>110</v>
      </c>
      <c r="H825" t="str">
        <f>IFERROR(VLOOKUP(Transaction[[#This Row],[CustomerID]],Custumer[],1,0),IF(LEN(Transaction[[#This Row],[CustomerID]])=7,LEFT(Transaction[[#This Row],[CustomerID]],6),"Invalid ID"))</f>
        <v>C-1100</v>
      </c>
      <c r="I825" t="s">
        <v>58</v>
      </c>
      <c r="J825" t="str">
        <f>TRIM(UPPER(Transaction[[#This Row],[ProductID]]))</f>
        <v>P-SI-005</v>
      </c>
      <c r="K825" t="str">
        <f>IFERROR(VLOOKUP(Transaction[[#This Row],[ProductID_Clean]],Product[],1,FALSE),"Invalid ID")</f>
        <v>P-SI-005</v>
      </c>
      <c r="L825" t="str">
        <f>TRIM(SUBSTITUTE(SUBSTITUTE(SUBSTITUTE(SUBSTITUTE(UPPER(Transaction[[#This Row],[Region]]),"EMEA REGION","EMEA"),"APAC REGION","APAC"),"NORTH AMERICA","N. AMERICA"),"N .AMERICA","N.AMERICA"))</f>
        <v>EMEA</v>
      </c>
      <c r="M825" t="s">
        <v>76</v>
      </c>
      <c r="N825" t="s">
        <v>53</v>
      </c>
      <c r="O82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25" t="s">
        <v>22</v>
      </c>
      <c r="Q825" t="str">
        <f>IF(TRIM(Transaction[[#This Row],[SalesChannel]])="","Missing Value",TRIM(Transaction[[#This Row],[SalesChannel]]))</f>
        <v>Direct</v>
      </c>
      <c r="R825" s="4">
        <v>1</v>
      </c>
      <c r="S825" s="4" t="str">
        <f>IF(Transaction[[#This Row],[Quantity]]&lt;0,"Negative-review","Valid")</f>
        <v>Valid</v>
      </c>
      <c r="T825">
        <v>926.85</v>
      </c>
      <c r="U82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926.85</v>
      </c>
      <c r="V825">
        <v>1120</v>
      </c>
      <c r="W825">
        <v>1120</v>
      </c>
      <c r="X82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1120</v>
      </c>
      <c r="Y825">
        <f>IF(Transaction[[#This Row],[GrossRevenue_Check]]="Invalid",Transaction[[#This Row],[ListPrice]]*Transaction[[#This Row],[Quantity]],Transaction[[#This Row],[GrossRevenue_Clean]])</f>
        <v>1120</v>
      </c>
      <c r="Z825" t="str">
        <f>IF(Transaction[[#This Row],[GrossRevenue_Clean]]=Transaction[[#This Row],[ListPrice]]*Transaction[[#This Row],[Quantity]],"Valid","Invalid")</f>
        <v>Valid</v>
      </c>
      <c r="AA825">
        <v>193.15</v>
      </c>
      <c r="AB82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193.15</v>
      </c>
      <c r="AC825">
        <f>IF(Transaction[[#This Row],[DiscountAmount_Check2]]="Invalid",Transaction[[#This Row],[GrossRevenue_Analytical]]-Transaction[[#This Row],[NetRevenue_Analytical]],Transaction[[#This Row],[DiscountAmount_Clean]])</f>
        <v>193.15</v>
      </c>
      <c r="AD825">
        <v>926.85</v>
      </c>
      <c r="AE825" t="str">
        <f>IF(ROUND(Transaction[[#This Row],[GrossRevenue_Analytical]]-Transaction[[#This Row],[NetRevenue_Analytical]],2)=ROUND(Transaction[[#This Row],[DiscountAmount_Clean]],2),"Valid","Invalid")</f>
        <v>Valid</v>
      </c>
      <c r="AF825">
        <f>VALUE(IF(ISNUMBER(Transaction[[#This Row],[NetRevenue]]),Transaction[[#This Row],[NetRevenue]],IFERROR(IF(FIND("$",Transaction[[#This Row],[NetRevenue]])&gt;0,MID(Transaction[[#This Row],[NetRevenue]],2,10)),Transaction[[#This Row],[NetRevenue]])))</f>
        <v>926.85</v>
      </c>
      <c r="AG825">
        <f>IF(Transaction[[#This Row],[NetRevenue_Check]]="Invalid",(Transaction[[#This Row],[Quantity]]*Transaction[[#This Row],[UnitPrice_Clean]]),Transaction[[#This Row],[NetRevenue_Clean]])</f>
        <v>926.85</v>
      </c>
      <c r="AH825" t="str">
        <f>IF(Transaction[[#This Row],[Quantity]]*Transaction[[#This Row],[UnitPrice_Clean]]=Transaction[[#This Row],[NetRevenue_Clean]],"Valid","Invalid")</f>
        <v>Valid</v>
      </c>
      <c r="AI825" t="s">
        <v>23</v>
      </c>
      <c r="AJ825" t="s">
        <v>2421</v>
      </c>
      <c r="AK825" t="str">
        <f>IF(Transaction[[#This Row],[Salesperson]]="","Missing Value",TRIM(PROPER(Transaction[[#This Row],[Salesperson]])))</f>
        <v>Elliott-Ap</v>
      </c>
      <c r="AL825" t="s">
        <v>42</v>
      </c>
      <c r="AM825" t="str">
        <f>IF(Transaction[[#This Row],[ContractType]]="","Missing Value",Transaction[[#This Row],[ContractType]])</f>
        <v>Standard PO</v>
      </c>
      <c r="AN825" t="s">
        <v>43</v>
      </c>
    </row>
    <row r="826" spans="1:40" x14ac:dyDescent="0.25">
      <c r="A826" t="s">
        <v>1609</v>
      </c>
      <c r="B826" s="1">
        <v>45816</v>
      </c>
      <c r="C82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82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82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26" s="2">
        <f>IFERROR(DATE(Transaction[[#This Row],[TransactionDateY]],Transaction[[#This Row],[TransactionDateM]],Transaction[[#This Row],[TransactionDateD]]),"Missing Value")</f>
        <v>45816</v>
      </c>
      <c r="G826" t="s">
        <v>61</v>
      </c>
      <c r="H826" t="str">
        <f>IFERROR(VLOOKUP(Transaction[[#This Row],[CustomerID]],Custumer[],1,0),IF(LEN(Transaction[[#This Row],[CustomerID]])=7,LEFT(Transaction[[#This Row],[CustomerID]],6),"Invalid ID"))</f>
        <v>C-1108</v>
      </c>
      <c r="I826" t="s">
        <v>97</v>
      </c>
      <c r="J826" t="str">
        <f>TRIM(UPPER(Transaction[[#This Row],[ProductID]]))</f>
        <v>P-SI-001</v>
      </c>
      <c r="K826" t="str">
        <f>IFERROR(VLOOKUP(Transaction[[#This Row],[ProductID_Clean]],Product[],1,FALSE),"Invalid ID")</f>
        <v>P-SI-001</v>
      </c>
      <c r="L826" t="str">
        <f>TRIM(SUBSTITUTE(SUBSTITUTE(SUBSTITUTE(SUBSTITUTE(UPPER(Transaction[[#This Row],[Region]]),"EMEA REGION","EMEA"),"APAC REGION","APAC"),"NORTH AMERICA","N. AMERICA"),"N .AMERICA","N.AMERICA"))</f>
        <v>APAC</v>
      </c>
      <c r="M826" t="s">
        <v>30</v>
      </c>
      <c r="N826" t="s">
        <v>47</v>
      </c>
      <c r="O82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26" t="s">
        <v>40</v>
      </c>
      <c r="Q826" t="str">
        <f>IF(TRIM(Transaction[[#This Row],[SalesChannel]])="","Missing Value",TRIM(Transaction[[#This Row],[SalesChannel]]))</f>
        <v>Distributor</v>
      </c>
      <c r="R826" s="4">
        <v>3</v>
      </c>
      <c r="S826" s="4" t="str">
        <f>IF(Transaction[[#This Row],[Quantity]]&lt;0,"Negative-review","Valid")</f>
        <v>Valid</v>
      </c>
      <c r="T826">
        <v>370</v>
      </c>
      <c r="U82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370</v>
      </c>
      <c r="V826">
        <v>485</v>
      </c>
      <c r="W826">
        <v>1455</v>
      </c>
      <c r="X82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826">
        <f>IF(Transaction[[#This Row],[GrossRevenue_Check]]="Invalid",Transaction[[#This Row],[ListPrice]]*Transaction[[#This Row],[Quantity]],Transaction[[#This Row],[GrossRevenue_Clean]])</f>
        <v>1455</v>
      </c>
      <c r="Z826" t="str">
        <f>IF(Transaction[[#This Row],[GrossRevenue_Clean]]=Transaction[[#This Row],[ListPrice]]*Transaction[[#This Row],[Quantity]],"Valid","Invalid")</f>
        <v>Valid</v>
      </c>
      <c r="AA826">
        <v>345</v>
      </c>
      <c r="AB82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345</v>
      </c>
      <c r="AC826">
        <f>IF(Transaction[[#This Row],[DiscountAmount_Check2]]="Invalid",Transaction[[#This Row],[GrossRevenue_Analytical]]-Transaction[[#This Row],[NetRevenue_Analytical]],Transaction[[#This Row],[DiscountAmount_Clean]])</f>
        <v>345</v>
      </c>
      <c r="AD826">
        <v>1110</v>
      </c>
      <c r="AE826" t="str">
        <f>IF(ROUND(Transaction[[#This Row],[GrossRevenue_Analytical]]-Transaction[[#This Row],[NetRevenue_Analytical]],2)=ROUND(Transaction[[#This Row],[DiscountAmount_Clean]],2),"Valid","Invalid")</f>
        <v>Valid</v>
      </c>
      <c r="AF82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1110</v>
      </c>
      <c r="AG826">
        <f>IF(Transaction[[#This Row],[NetRevenue_Check]]="Invalid",(Transaction[[#This Row],[Quantity]]*Transaction[[#This Row],[UnitPrice_Clean]]),Transaction[[#This Row],[NetRevenue_Clean]])</f>
        <v>1110</v>
      </c>
      <c r="AH826" t="str">
        <f>IF(Transaction[[#This Row],[Quantity]]*Transaction[[#This Row],[UnitPrice_Clean]]=Transaction[[#This Row],[NetRevenue_Clean]],"Valid","Invalid")</f>
        <v>Valid</v>
      </c>
      <c r="AI826" t="s">
        <v>23</v>
      </c>
      <c r="AJ826" t="s">
        <v>1610</v>
      </c>
      <c r="AK826" t="str">
        <f>IF(Transaction[[#This Row],[Salesperson]]="","Missing Value",TRIM(PROPER(Transaction[[#This Row],[Salesperson]])))</f>
        <v>Hansen-Na</v>
      </c>
      <c r="AL826" t="s">
        <v>25</v>
      </c>
      <c r="AM826" t="str">
        <f>IF(Transaction[[#This Row],[ContractType]]="","Missing Value",Transaction[[#This Row],[ContractType]])</f>
        <v>Frame Agreement</v>
      </c>
      <c r="AN826" t="s">
        <v>65</v>
      </c>
    </row>
    <row r="827" spans="1:40" x14ac:dyDescent="0.25">
      <c r="A827" t="s">
        <v>2517</v>
      </c>
      <c r="B827" s="1">
        <v>45695</v>
      </c>
      <c r="C82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82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82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27" s="2">
        <f>IFERROR(DATE(Transaction[[#This Row],[TransactionDateY]],Transaction[[#This Row],[TransactionDateM]],Transaction[[#This Row],[TransactionDateD]]),"Missing Value")</f>
        <v>45695</v>
      </c>
      <c r="G827" t="s">
        <v>541</v>
      </c>
      <c r="H827" t="str">
        <f>IFERROR(VLOOKUP(Transaction[[#This Row],[CustomerID]],Custumer[],1,0),IF(LEN(Transaction[[#This Row],[CustomerID]])=7,LEFT(Transaction[[#This Row],[CustomerID]],6),"Invalid ID"))</f>
        <v>C-1075</v>
      </c>
      <c r="I827" t="s">
        <v>58</v>
      </c>
      <c r="J827" t="str">
        <f>TRIM(UPPER(Transaction[[#This Row],[ProductID]]))</f>
        <v>P-SI-005</v>
      </c>
      <c r="K827" t="str">
        <f>IFERROR(VLOOKUP(Transaction[[#This Row],[ProductID_Clean]],Product[],1,FALSE),"Invalid ID")</f>
        <v>P-SI-005</v>
      </c>
      <c r="L827" t="str">
        <f>TRIM(SUBSTITUTE(SUBSTITUTE(SUBSTITUTE(SUBSTITUTE(UPPER(Transaction[[#This Row],[Region]]),"EMEA REGION","EMEA"),"APAC REGION","APAC"),"NORTH AMERICA","N. AMERICA"),"N .AMERICA","N.AMERICA"))</f>
        <v>N. AMERICA</v>
      </c>
      <c r="M827" t="s">
        <v>20</v>
      </c>
      <c r="N827" t="s">
        <v>98</v>
      </c>
      <c r="O82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27" t="s">
        <v>40</v>
      </c>
      <c r="Q827" t="str">
        <f>IF(TRIM(Transaction[[#This Row],[SalesChannel]])="","Missing Value",TRIM(Transaction[[#This Row],[SalesChannel]]))</f>
        <v>Distributor</v>
      </c>
      <c r="R827" s="4">
        <v>4</v>
      </c>
      <c r="S827" s="4" t="str">
        <f>IF(Transaction[[#This Row],[Quantity]]&lt;0,"Negative-review","Valid")</f>
        <v>Valid</v>
      </c>
      <c r="T827">
        <v>879.27</v>
      </c>
      <c r="U82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879.27</v>
      </c>
      <c r="V827">
        <v>1120</v>
      </c>
      <c r="W827">
        <v>4480</v>
      </c>
      <c r="X82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4480</v>
      </c>
      <c r="Y827">
        <f>IF(Transaction[[#This Row],[GrossRevenue_Check]]="Invalid",Transaction[[#This Row],[ListPrice]]*Transaction[[#This Row],[Quantity]],Transaction[[#This Row],[GrossRevenue_Clean]])</f>
        <v>4480</v>
      </c>
      <c r="Z827" t="str">
        <f>IF(Transaction[[#This Row],[GrossRevenue_Clean]]=Transaction[[#This Row],[ListPrice]]*Transaction[[#This Row],[Quantity]],"Valid","Invalid")</f>
        <v>Valid</v>
      </c>
      <c r="AA827">
        <v>962.92</v>
      </c>
      <c r="AB82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962.92</v>
      </c>
      <c r="AC827">
        <f>IF(Transaction[[#This Row],[DiscountAmount_Check2]]="Invalid",Transaction[[#This Row],[GrossRevenue_Analytical]]-Transaction[[#This Row],[NetRevenue_Analytical]],Transaction[[#This Row],[DiscountAmount_Clean]])</f>
        <v>962.92</v>
      </c>
      <c r="AD827">
        <v>3517.08</v>
      </c>
      <c r="AE827" t="str">
        <f>IF(ROUND(Transaction[[#This Row],[GrossRevenue_Analytical]]-Transaction[[#This Row],[NetRevenue_Analytical]],2)=ROUND(Transaction[[#This Row],[DiscountAmount_Clean]],2),"Valid","Invalid")</f>
        <v>Valid</v>
      </c>
      <c r="AF82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3517.08</v>
      </c>
      <c r="AG827">
        <f>IF(Transaction[[#This Row],[NetRevenue_Check]]="Invalid",(Transaction[[#This Row],[Quantity]]*Transaction[[#This Row],[UnitPrice_Clean]]),Transaction[[#This Row],[NetRevenue_Clean]])</f>
        <v>3517.08</v>
      </c>
      <c r="AH827" t="str">
        <f>IF(Transaction[[#This Row],[Quantity]]*Transaction[[#This Row],[UnitPrice_Clean]]=Transaction[[#This Row],[NetRevenue_Clean]],"Valid","Invalid")</f>
        <v>Valid</v>
      </c>
      <c r="AI827" t="s">
        <v>23</v>
      </c>
      <c r="AJ827" t="s">
        <v>2518</v>
      </c>
      <c r="AK827" t="str">
        <f>IF(Transaction[[#This Row],[Salesperson]]="","Missing Value",TRIM(PROPER(Transaction[[#This Row],[Salesperson]])))</f>
        <v>Chambers-Ap</v>
      </c>
      <c r="AL827" t="s">
        <v>55</v>
      </c>
      <c r="AM827" t="str">
        <f>IF(Transaction[[#This Row],[ContractType]]="","Missing Value",Transaction[[#This Row],[ContractType]])</f>
        <v>Spot</v>
      </c>
      <c r="AN827" t="s">
        <v>49</v>
      </c>
    </row>
    <row r="828" spans="1:40" x14ac:dyDescent="0.25">
      <c r="A828" t="s">
        <v>2145</v>
      </c>
      <c r="B828" s="1">
        <v>45720</v>
      </c>
      <c r="C82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82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82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28" s="2">
        <f>IFERROR(DATE(Transaction[[#This Row],[TransactionDateY]],Transaction[[#This Row],[TransactionDateM]],Transaction[[#This Row],[TransactionDateD]]),"Missing Value")</f>
        <v>45720</v>
      </c>
      <c r="G828" t="s">
        <v>351</v>
      </c>
      <c r="H828" t="str">
        <f>IFERROR(VLOOKUP(Transaction[[#This Row],[CustomerID]],Custumer[],1,0),IF(LEN(Transaction[[#This Row],[CustomerID]])=7,LEFT(Transaction[[#This Row],[CustomerID]],6),"Invalid ID"))</f>
        <v>C-1004</v>
      </c>
      <c r="I828" t="s">
        <v>29</v>
      </c>
      <c r="J828" t="str">
        <f>TRIM(UPPER(Transaction[[#This Row],[ProductID]]))</f>
        <v>P-SA-001</v>
      </c>
      <c r="K828" t="str">
        <f>IFERROR(VLOOKUP(Transaction[[#This Row],[ProductID_Clean]],Product[],1,FALSE),"Invalid ID")</f>
        <v>P-SA-001</v>
      </c>
      <c r="L828" t="str">
        <f>TRIM(SUBSTITUTE(SUBSTITUTE(SUBSTITUTE(SUBSTITUTE(UPPER(Transaction[[#This Row],[Region]]),"EMEA REGION","EMEA"),"APAC REGION","APAC"),"NORTH AMERICA","N. AMERICA"),"N .AMERICA","N.AMERICA"))</f>
        <v>N. AMERICA</v>
      </c>
      <c r="M828" t="s">
        <v>20</v>
      </c>
      <c r="N828" t="s">
        <v>31</v>
      </c>
      <c r="O82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828" t="s">
        <v>22</v>
      </c>
      <c r="Q828" t="str">
        <f>IF(TRIM(Transaction[[#This Row],[SalesChannel]])="","Missing Value",TRIM(Transaction[[#This Row],[SalesChannel]]))</f>
        <v>Direct</v>
      </c>
      <c r="R828" s="4">
        <v>1</v>
      </c>
      <c r="S828" s="4" t="str">
        <f>IF(Transaction[[#This Row],[Quantity]]&lt;0,"Negative-review","Valid")</f>
        <v>Valid</v>
      </c>
      <c r="T828">
        <v>3986.34</v>
      </c>
      <c r="U82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3986.34</v>
      </c>
      <c r="V828">
        <v>4200</v>
      </c>
      <c r="W828">
        <v>4200</v>
      </c>
      <c r="X82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828">
        <f>IF(Transaction[[#This Row],[GrossRevenue_Check]]="Invalid",Transaction[[#This Row],[ListPrice]]*Transaction[[#This Row],[Quantity]],Transaction[[#This Row],[GrossRevenue_Clean]])</f>
        <v>4200</v>
      </c>
      <c r="Z828" t="str">
        <f>IF(Transaction[[#This Row],[GrossRevenue_Clean]]=Transaction[[#This Row],[ListPrice]]*Transaction[[#This Row],[Quantity]],"Valid","Invalid")</f>
        <v>Valid</v>
      </c>
      <c r="AA828">
        <v>213.66</v>
      </c>
      <c r="AB82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213.66</v>
      </c>
      <c r="AC828">
        <f>IF(Transaction[[#This Row],[DiscountAmount_Check2]]="Invalid",Transaction[[#This Row],[GrossRevenue_Analytical]]-Transaction[[#This Row],[NetRevenue_Analytical]],Transaction[[#This Row],[DiscountAmount_Clean]])</f>
        <v>213.66</v>
      </c>
      <c r="AD828">
        <v>3986.34</v>
      </c>
      <c r="AE828" t="str">
        <f>IF(ROUND(Transaction[[#This Row],[GrossRevenue_Analytical]]-Transaction[[#This Row],[NetRevenue_Analytical]],2)=ROUND(Transaction[[#This Row],[DiscountAmount_Clean]],2),"Valid","Invalid")</f>
        <v>Valid</v>
      </c>
      <c r="AF828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3986.34</v>
      </c>
      <c r="AG828">
        <f>IF(Transaction[[#This Row],[NetRevenue_Check]]="Invalid",(Transaction[[#This Row],[Quantity]]*Transaction[[#This Row],[UnitPrice_Clean]]),Transaction[[#This Row],[NetRevenue_Clean]])</f>
        <v>3986.34</v>
      </c>
      <c r="AH828" t="str">
        <f>IF(Transaction[[#This Row],[Quantity]]*Transaction[[#This Row],[UnitPrice_Clean]]=Transaction[[#This Row],[NetRevenue_Clean]],"Valid","Invalid")</f>
        <v>Valid</v>
      </c>
      <c r="AI828" t="s">
        <v>23</v>
      </c>
      <c r="AJ828" t="s">
        <v>2146</v>
      </c>
      <c r="AK828" t="str">
        <f>IF(Transaction[[#This Row],[Salesperson]]="","Missing Value",TRIM(PROPER(Transaction[[#This Row],[Salesperson]])))</f>
        <v>Parker</v>
      </c>
      <c r="AM828" t="str">
        <f>IF(Transaction[[#This Row],[ContractType]]="","Missing Value",Transaction[[#This Row],[ContractType]])</f>
        <v>Missing Value</v>
      </c>
      <c r="AN828" t="s">
        <v>49</v>
      </c>
    </row>
    <row r="829" spans="1:40" x14ac:dyDescent="0.25">
      <c r="A829" t="s">
        <v>1363</v>
      </c>
      <c r="B829" s="1">
        <v>45804</v>
      </c>
      <c r="C82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82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82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29" s="2">
        <f>IFERROR(DATE(Transaction[[#This Row],[TransactionDateY]],Transaction[[#This Row],[TransactionDateM]],Transaction[[#This Row],[TransactionDateD]]),"Missing Value")</f>
        <v>45804</v>
      </c>
      <c r="G829" t="s">
        <v>195</v>
      </c>
      <c r="H829" t="str">
        <f>IFERROR(VLOOKUP(Transaction[[#This Row],[CustomerID]],Custumer[],1,0),IF(LEN(Transaction[[#This Row],[CustomerID]])=7,LEFT(Transaction[[#This Row],[CustomerID]],6),"Invalid ID"))</f>
        <v>C-1015</v>
      </c>
      <c r="I829" t="s">
        <v>52</v>
      </c>
      <c r="J829" t="str">
        <f>TRIM(UPPER(Transaction[[#This Row],[ProductID]]))</f>
        <v>P-SI-002</v>
      </c>
      <c r="K829" t="str">
        <f>IFERROR(VLOOKUP(Transaction[[#This Row],[ProductID_Clean]],Product[],1,FALSE),"Invalid ID")</f>
        <v>P-SI-002</v>
      </c>
      <c r="L829" t="str">
        <f>TRIM(SUBSTITUTE(SUBSTITUTE(SUBSTITUTE(SUBSTITUTE(UPPER(Transaction[[#This Row],[Region]]),"EMEA REGION","EMEA"),"APAC REGION","APAC"),"NORTH AMERICA","N. AMERICA"),"N .AMERICA","N.AMERICA"))</f>
        <v>N. AMERICA</v>
      </c>
      <c r="M829" t="s">
        <v>20</v>
      </c>
      <c r="N829" t="s">
        <v>47</v>
      </c>
      <c r="O82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29" t="s">
        <v>40</v>
      </c>
      <c r="Q829" t="str">
        <f>IF(TRIM(Transaction[[#This Row],[SalesChannel]])="","Missing Value",TRIM(Transaction[[#This Row],[SalesChannel]]))</f>
        <v>Distributor</v>
      </c>
      <c r="R829" s="4">
        <v>5</v>
      </c>
      <c r="S829" s="4" t="str">
        <f>IF(Transaction[[#This Row],[Quantity]]&lt;0,"Negative-review","Valid")</f>
        <v>Valid</v>
      </c>
      <c r="T829">
        <v>631.76</v>
      </c>
      <c r="U82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631.76</v>
      </c>
      <c r="V829">
        <v>725</v>
      </c>
      <c r="W829">
        <v>3625</v>
      </c>
      <c r="X82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3625</v>
      </c>
      <c r="Y829">
        <f>IF(Transaction[[#This Row],[GrossRevenue_Check]]="Invalid",Transaction[[#This Row],[ListPrice]]*Transaction[[#This Row],[Quantity]],Transaction[[#This Row],[GrossRevenue_Clean]])</f>
        <v>3625</v>
      </c>
      <c r="Z829" t="str">
        <f>IF(Transaction[[#This Row],[GrossRevenue_Clean]]=Transaction[[#This Row],[ListPrice]]*Transaction[[#This Row],[Quantity]],"Valid","Invalid")</f>
        <v>Valid</v>
      </c>
      <c r="AA829">
        <v>466.2</v>
      </c>
      <c r="AB82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466.2</v>
      </c>
      <c r="AC829">
        <f>IF(Transaction[[#This Row],[DiscountAmount_Check2]]="Invalid",Transaction[[#This Row],[GrossRevenue_Analytical]]-Transaction[[#This Row],[NetRevenue_Analytical]],Transaction[[#This Row],[DiscountAmount_Clean]])</f>
        <v>466.2</v>
      </c>
      <c r="AD829" t="s">
        <v>1364</v>
      </c>
      <c r="AE829" t="str">
        <f>IF(ROUND(Transaction[[#This Row],[GrossRevenue_Analytical]]-Transaction[[#This Row],[NetRevenue_Analytical]],2)=ROUND(Transaction[[#This Row],[DiscountAmount_Clean]],2),"Valid","Invalid")</f>
        <v>Valid</v>
      </c>
      <c r="AF829">
        <f>VALUE(IF(ISNUMBER(Transaction[[#This Row],[NetRevenue]]),Transaction[[#This Row],[NetRevenue]],IFERROR(IF(FIND("$",Transaction[[#This Row],[NetRevenue]])&gt;0,MID(Transaction[[#This Row],[NetRevenue]],2,10)),Transaction[[#This Row],[NetRevenue]])))</f>
        <v>3158.8</v>
      </c>
      <c r="AG829">
        <f>IF(Transaction[[#This Row],[NetRevenue_Check]]="Invalid",(Transaction[[#This Row],[Quantity]]*Transaction[[#This Row],[UnitPrice_Clean]]),Transaction[[#This Row],[NetRevenue_Clean]])</f>
        <v>3158.8</v>
      </c>
      <c r="AH829" t="str">
        <f>IF(Transaction[[#This Row],[Quantity]]*Transaction[[#This Row],[UnitPrice_Clean]]=Transaction[[#This Row],[NetRevenue_Clean]],"Valid","Invalid")</f>
        <v>Valid</v>
      </c>
      <c r="AI829" t="s">
        <v>23</v>
      </c>
      <c r="AJ829" t="s">
        <v>828</v>
      </c>
      <c r="AK829" t="str">
        <f>IF(Transaction[[#This Row],[Salesperson]]="","Missing Value",TRIM(PROPER(Transaction[[#This Row],[Salesperson]])))</f>
        <v>Johnson</v>
      </c>
      <c r="AL829" t="s">
        <v>42</v>
      </c>
      <c r="AM829" t="str">
        <f>IF(Transaction[[#This Row],[ContractType]]="","Missing Value",Transaction[[#This Row],[ContractType]])</f>
        <v>Standard PO</v>
      </c>
      <c r="AN829" t="s">
        <v>26</v>
      </c>
    </row>
    <row r="830" spans="1:40" x14ac:dyDescent="0.25">
      <c r="A830" t="s">
        <v>2523</v>
      </c>
      <c r="B830" s="1">
        <v>45706</v>
      </c>
      <c r="C83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83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83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30" s="2">
        <f>IFERROR(DATE(Transaction[[#This Row],[TransactionDateY]],Transaction[[#This Row],[TransactionDateM]],Transaction[[#This Row],[TransactionDateD]]),"Missing Value")</f>
        <v>45706</v>
      </c>
      <c r="G830" t="s">
        <v>345</v>
      </c>
      <c r="H830" t="str">
        <f>IFERROR(VLOOKUP(Transaction[[#This Row],[CustomerID]],Custumer[],1,0),IF(LEN(Transaction[[#This Row],[CustomerID]])=7,LEFT(Transaction[[#This Row],[CustomerID]],6),"Invalid ID"))</f>
        <v>C-1125</v>
      </c>
      <c r="I830" t="s">
        <v>58</v>
      </c>
      <c r="J830" t="str">
        <f>TRIM(UPPER(Transaction[[#This Row],[ProductID]]))</f>
        <v>P-SI-005</v>
      </c>
      <c r="K830" t="str">
        <f>IFERROR(VLOOKUP(Transaction[[#This Row],[ProductID_Clean]],Product[],1,FALSE),"Invalid ID")</f>
        <v>P-SI-005</v>
      </c>
      <c r="L830" t="str">
        <f>TRIM(SUBSTITUTE(SUBSTITUTE(SUBSTITUTE(SUBSTITUTE(UPPER(Transaction[[#This Row],[Region]]),"EMEA REGION","EMEA"),"APAC REGION","APAC"),"NORTH AMERICA","N. AMERICA"),"N .AMERICA","N.AMERICA"))</f>
        <v>N. AMERICA</v>
      </c>
      <c r="M830" t="s">
        <v>20</v>
      </c>
      <c r="N830" t="s">
        <v>53</v>
      </c>
      <c r="O83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30" t="s">
        <v>40</v>
      </c>
      <c r="Q830" t="str">
        <f>IF(TRIM(Transaction[[#This Row],[SalesChannel]])="","Missing Value",TRIM(Transaction[[#This Row],[SalesChannel]]))</f>
        <v>Distributor</v>
      </c>
      <c r="R830" s="4">
        <v>1</v>
      </c>
      <c r="S830" s="4" t="str">
        <f>IF(Transaction[[#This Row],[Quantity]]&lt;0,"Negative-review","Valid")</f>
        <v>Valid</v>
      </c>
      <c r="T830">
        <v>1026.79</v>
      </c>
      <c r="U83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1026.79</v>
      </c>
      <c r="V830">
        <v>1120</v>
      </c>
      <c r="W830" t="s">
        <v>2325</v>
      </c>
      <c r="X83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1120</v>
      </c>
      <c r="Y830">
        <f>IF(Transaction[[#This Row],[GrossRevenue_Check]]="Invalid",Transaction[[#This Row],[ListPrice]]*Transaction[[#This Row],[Quantity]],Transaction[[#This Row],[GrossRevenue_Clean]])</f>
        <v>1120</v>
      </c>
      <c r="Z830" t="str">
        <f>IF(Transaction[[#This Row],[GrossRevenue_Clean]]=Transaction[[#This Row],[ListPrice]]*Transaction[[#This Row],[Quantity]],"Valid","Invalid")</f>
        <v>Valid</v>
      </c>
      <c r="AA830">
        <v>93.21</v>
      </c>
      <c r="AB83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93.21</v>
      </c>
      <c r="AC830">
        <f>IF(Transaction[[#This Row],[DiscountAmount_Check2]]="Invalid",Transaction[[#This Row],[GrossRevenue_Analytical]]-Transaction[[#This Row],[NetRevenue_Analytical]],Transaction[[#This Row],[DiscountAmount_Clean]])</f>
        <v>93.21</v>
      </c>
      <c r="AD830">
        <v>1026.79</v>
      </c>
      <c r="AE830" t="str">
        <f>IF(ROUND(Transaction[[#This Row],[GrossRevenue_Analytical]]-Transaction[[#This Row],[NetRevenue_Analytical]],2)=ROUND(Transaction[[#This Row],[DiscountAmount_Clean]],2),"Valid","Invalid")</f>
        <v>Valid</v>
      </c>
      <c r="AF83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1026.79</v>
      </c>
      <c r="AG830">
        <f>IF(Transaction[[#This Row],[NetRevenue_Check]]="Invalid",(Transaction[[#This Row],[Quantity]]*Transaction[[#This Row],[UnitPrice_Clean]]),Transaction[[#This Row],[NetRevenue_Clean]])</f>
        <v>1026.79</v>
      </c>
      <c r="AH830" t="str">
        <f>IF(Transaction[[#This Row],[Quantity]]*Transaction[[#This Row],[UnitPrice_Clean]]=Transaction[[#This Row],[NetRevenue_Clean]],"Valid","Invalid")</f>
        <v>Valid</v>
      </c>
      <c r="AI830" t="s">
        <v>23</v>
      </c>
      <c r="AJ830" t="s">
        <v>2524</v>
      </c>
      <c r="AK830" t="str">
        <f>IF(Transaction[[#This Row],[Salesperson]]="","Missing Value",TRIM(PROPER(Transaction[[#This Row],[Salesperson]])))</f>
        <v>Scott</v>
      </c>
      <c r="AL830" t="s">
        <v>42</v>
      </c>
      <c r="AM830" t="str">
        <f>IF(Transaction[[#This Row],[ContractType]]="","Missing Value",Transaction[[#This Row],[ContractType]])</f>
        <v>Standard PO</v>
      </c>
      <c r="AN830" t="s">
        <v>49</v>
      </c>
    </row>
    <row r="831" spans="1:40" x14ac:dyDescent="0.25">
      <c r="A831" t="s">
        <v>912</v>
      </c>
      <c r="B831" s="1">
        <v>45770</v>
      </c>
      <c r="C83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83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83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31" s="2">
        <f>IFERROR(DATE(Transaction[[#This Row],[TransactionDateY]],Transaction[[#This Row],[TransactionDateM]],Transaction[[#This Row],[TransactionDateD]]),"Missing Value")</f>
        <v>45770</v>
      </c>
      <c r="G831" t="s">
        <v>913</v>
      </c>
      <c r="H831" t="str">
        <f>IFERROR(VLOOKUP(Transaction[[#This Row],[CustomerID]],Custumer[],1,0),IF(LEN(Transaction[[#This Row],[CustomerID]])=7,LEFT(Transaction[[#This Row],[CustomerID]],6),"Invalid ID"))</f>
        <v>C-1073</v>
      </c>
      <c r="I831" t="s">
        <v>97</v>
      </c>
      <c r="J831" t="str">
        <f>TRIM(UPPER(Transaction[[#This Row],[ProductID]]))</f>
        <v>P-SI-001</v>
      </c>
      <c r="K831" t="str">
        <f>IFERROR(VLOOKUP(Transaction[[#This Row],[ProductID_Clean]],Product[],1,FALSE),"Invalid ID")</f>
        <v>P-SI-001</v>
      </c>
      <c r="L831" t="str">
        <f>TRIM(SUBSTITUTE(SUBSTITUTE(SUBSTITUTE(SUBSTITUTE(UPPER(Transaction[[#This Row],[Region]]),"EMEA REGION","EMEA"),"APAC REGION","APAC"),"NORTH AMERICA","N. AMERICA"),"N .AMERICA","N.AMERICA"))</f>
        <v>EMEA</v>
      </c>
      <c r="M831" t="s">
        <v>683</v>
      </c>
      <c r="N831" t="s">
        <v>98</v>
      </c>
      <c r="O83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31" t="s">
        <v>181</v>
      </c>
      <c r="Q831" t="str">
        <f>IF(TRIM(Transaction[[#This Row],[SalesChannel]])="","Missing Value",TRIM(Transaction[[#This Row],[SalesChannel]]))</f>
        <v>Partner Portal</v>
      </c>
      <c r="R831" s="4">
        <v>2</v>
      </c>
      <c r="S831" s="4" t="str">
        <f>IF(Transaction[[#This Row],[Quantity]]&lt;0,"Negative-review","Valid")</f>
        <v>Valid</v>
      </c>
      <c r="T831">
        <v>401.98</v>
      </c>
      <c r="U83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401.98</v>
      </c>
      <c r="V831">
        <v>485</v>
      </c>
      <c r="W831">
        <v>970</v>
      </c>
      <c r="X83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831">
        <f>IF(Transaction[[#This Row],[GrossRevenue_Check]]="Invalid",Transaction[[#This Row],[ListPrice]]*Transaction[[#This Row],[Quantity]],Transaction[[#This Row],[GrossRevenue_Clean]])</f>
        <v>970</v>
      </c>
      <c r="Z831" t="str">
        <f>IF(Transaction[[#This Row],[GrossRevenue_Clean]]=Transaction[[#This Row],[ListPrice]]*Transaction[[#This Row],[Quantity]],"Valid","Invalid")</f>
        <v>Valid</v>
      </c>
      <c r="AA831">
        <v>166.04</v>
      </c>
      <c r="AB83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166.04</v>
      </c>
      <c r="AC831">
        <f>IF(Transaction[[#This Row],[DiscountAmount_Check2]]="Invalid",Transaction[[#This Row],[GrossRevenue_Analytical]]-Transaction[[#This Row],[NetRevenue_Analytical]],Transaction[[#This Row],[DiscountAmount_Clean]])</f>
        <v>166.04</v>
      </c>
      <c r="AD831">
        <v>803.96</v>
      </c>
      <c r="AE831" t="str">
        <f>IF(ROUND(Transaction[[#This Row],[GrossRevenue_Analytical]]-Transaction[[#This Row],[NetRevenue_Analytical]],2)=ROUND(Transaction[[#This Row],[DiscountAmount_Clean]],2),"Valid","Invalid")</f>
        <v>Valid</v>
      </c>
      <c r="AF831">
        <f>VALUE(IF(ISNUMBER(Transaction[[#This Row],[NetRevenue]]),Transaction[[#This Row],[NetRevenue]],IFERROR(IF(FIND("$",Transaction[[#This Row],[NetRevenue]])&gt;0,MID(Transaction[[#This Row],[NetRevenue]],2,10)),Transaction[[#This Row],[NetRevenue]])))</f>
        <v>803.96</v>
      </c>
      <c r="AG831">
        <f>IF(Transaction[[#This Row],[NetRevenue_Check]]="Invalid",(Transaction[[#This Row],[Quantity]]*Transaction[[#This Row],[UnitPrice_Clean]]),Transaction[[#This Row],[NetRevenue_Clean]])</f>
        <v>803.96</v>
      </c>
      <c r="AH831" t="str">
        <f>IF(Transaction[[#This Row],[Quantity]]*Transaction[[#This Row],[UnitPrice_Clean]]=Transaction[[#This Row],[NetRevenue_Clean]],"Valid","Invalid")</f>
        <v>Valid</v>
      </c>
      <c r="AI831" t="s">
        <v>23</v>
      </c>
      <c r="AJ831" t="s">
        <v>465</v>
      </c>
      <c r="AK831" t="str">
        <f>IF(Transaction[[#This Row],[Salesperson]]="","Missing Value",TRIM(PROPER(Transaction[[#This Row],[Salesperson]])))</f>
        <v>Smith</v>
      </c>
      <c r="AL831" t="s">
        <v>25</v>
      </c>
      <c r="AM831" t="str">
        <f>IF(Transaction[[#This Row],[ContractType]]="","Missing Value",Transaction[[#This Row],[ContractType]])</f>
        <v>Frame Agreement</v>
      </c>
      <c r="AN831" t="s">
        <v>43</v>
      </c>
    </row>
    <row r="832" spans="1:40" x14ac:dyDescent="0.25">
      <c r="A832" t="s">
        <v>2381</v>
      </c>
      <c r="B832" t="s">
        <v>2382</v>
      </c>
      <c r="C83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83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83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32" s="2">
        <f>IFERROR(DATE(Transaction[[#This Row],[TransactionDateY]],Transaction[[#This Row],[TransactionDateM]],Transaction[[#This Row],[TransactionDateD]]),"Missing Value")</f>
        <v>45765</v>
      </c>
      <c r="G832" t="s">
        <v>203</v>
      </c>
      <c r="H832" t="str">
        <f>IFERROR(VLOOKUP(Transaction[[#This Row],[CustomerID]],Custumer[],1,0),IF(LEN(Transaction[[#This Row],[CustomerID]])=7,LEFT(Transaction[[#This Row],[CustomerID]],6),"Invalid ID"))</f>
        <v>C-1005</v>
      </c>
      <c r="I832" t="s">
        <v>97</v>
      </c>
      <c r="J832" t="str">
        <f>TRIM(UPPER(Transaction[[#This Row],[ProductID]]))</f>
        <v>P-SI-001</v>
      </c>
      <c r="K832" t="str">
        <f>IFERROR(VLOOKUP(Transaction[[#This Row],[ProductID_Clean]],Product[],1,FALSE),"Invalid ID")</f>
        <v>P-SI-001</v>
      </c>
      <c r="L832" t="str">
        <f>TRIM(SUBSTITUTE(SUBSTITUTE(SUBSTITUTE(SUBSTITUTE(UPPER(Transaction[[#This Row],[Region]]),"EMEA REGION","EMEA"),"APAC REGION","APAC"),"NORTH AMERICA","N. AMERICA"),"N .AMERICA","N.AMERICA"))</f>
        <v>N. AMERICA</v>
      </c>
      <c r="M832" t="s">
        <v>20</v>
      </c>
      <c r="N832" t="s">
        <v>53</v>
      </c>
      <c r="O83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Q832" t="str">
        <f>IF(TRIM(Transaction[[#This Row],[SalesChannel]])="","Missing Value",TRIM(Transaction[[#This Row],[SalesChannel]]))</f>
        <v>Missing Value</v>
      </c>
      <c r="R832" s="4">
        <v>3</v>
      </c>
      <c r="S832" s="4" t="str">
        <f>IF(Transaction[[#This Row],[Quantity]]&lt;0,"Negative-review","Valid")</f>
        <v>Valid</v>
      </c>
      <c r="T832">
        <v>382.26</v>
      </c>
      <c r="U83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382.26</v>
      </c>
      <c r="V832">
        <v>485</v>
      </c>
      <c r="W832">
        <v>1455</v>
      </c>
      <c r="X83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832">
        <f>IF(Transaction[[#This Row],[GrossRevenue_Check]]="Invalid",Transaction[[#This Row],[ListPrice]]*Transaction[[#This Row],[Quantity]],Transaction[[#This Row],[GrossRevenue_Clean]])</f>
        <v>1455</v>
      </c>
      <c r="Z832" t="str">
        <f>IF(Transaction[[#This Row],[GrossRevenue_Clean]]=Transaction[[#This Row],[ListPrice]]*Transaction[[#This Row],[Quantity]],"Valid","Invalid")</f>
        <v>Valid</v>
      </c>
      <c r="AA832">
        <v>308.22000000000003</v>
      </c>
      <c r="AB83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308.22000000000003</v>
      </c>
      <c r="AC832">
        <f>IF(Transaction[[#This Row],[DiscountAmount_Check2]]="Invalid",Transaction[[#This Row],[GrossRevenue_Analytical]]-Transaction[[#This Row],[NetRevenue_Analytical]],Transaction[[#This Row],[DiscountAmount_Clean]])</f>
        <v>308.22000000000003</v>
      </c>
      <c r="AD832">
        <v>1146.78</v>
      </c>
      <c r="AE832" t="str">
        <f>IF(ROUND(Transaction[[#This Row],[GrossRevenue_Analytical]]-Transaction[[#This Row],[NetRevenue_Analytical]],2)=ROUND(Transaction[[#This Row],[DiscountAmount_Clean]],2),"Valid","Invalid")</f>
        <v>Valid</v>
      </c>
      <c r="AF83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1146.78</v>
      </c>
      <c r="AG832">
        <f>IF(Transaction[[#This Row],[NetRevenue_Check]]="Invalid",(Transaction[[#This Row],[Quantity]]*Transaction[[#This Row],[UnitPrice_Clean]]),Transaction[[#This Row],[NetRevenue_Clean]])</f>
        <v>1146.78</v>
      </c>
      <c r="AH832" t="str">
        <f>IF(Transaction[[#This Row],[Quantity]]*Transaction[[#This Row],[UnitPrice_Clean]]=Transaction[[#This Row],[NetRevenue_Clean]],"Valid","Invalid")</f>
        <v>Valid</v>
      </c>
      <c r="AI832" t="s">
        <v>23</v>
      </c>
      <c r="AJ832" t="s">
        <v>2044</v>
      </c>
      <c r="AK832" t="str">
        <f>IF(Transaction[[#This Row],[Salesperson]]="","Missing Value",TRIM(PROPER(Transaction[[#This Row],[Salesperson]])))</f>
        <v>Robinson</v>
      </c>
      <c r="AL832" t="s">
        <v>25</v>
      </c>
      <c r="AM832" t="str">
        <f>IF(Transaction[[#This Row],[ContractType]]="","Missing Value",Transaction[[#This Row],[ContractType]])</f>
        <v>Frame Agreement</v>
      </c>
      <c r="AN832" t="s">
        <v>35</v>
      </c>
    </row>
    <row r="833" spans="1:40" x14ac:dyDescent="0.25">
      <c r="A833" t="s">
        <v>2400</v>
      </c>
      <c r="B833" s="1">
        <v>45763</v>
      </c>
      <c r="C83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83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83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33" s="2">
        <f>IFERROR(DATE(Transaction[[#This Row],[TransactionDateY]],Transaction[[#This Row],[TransactionDateM]],Transaction[[#This Row],[TransactionDateD]]),"Missing Value")</f>
        <v>45763</v>
      </c>
      <c r="G833" t="s">
        <v>135</v>
      </c>
      <c r="H833" t="str">
        <f>IFERROR(VLOOKUP(Transaction[[#This Row],[CustomerID]],Custumer[],1,0),IF(LEN(Transaction[[#This Row],[CustomerID]])=7,LEFT(Transaction[[#This Row],[CustomerID]],6),"Invalid ID"))</f>
        <v>C-1112</v>
      </c>
      <c r="I833" t="s">
        <v>29</v>
      </c>
      <c r="J833" t="str">
        <f>TRIM(UPPER(Transaction[[#This Row],[ProductID]]))</f>
        <v>P-SA-001</v>
      </c>
      <c r="K833" t="str">
        <f>IFERROR(VLOOKUP(Transaction[[#This Row],[ProductID_Clean]],Product[],1,FALSE),"Invalid ID")</f>
        <v>P-SA-001</v>
      </c>
      <c r="L833" t="str">
        <f>TRIM(SUBSTITUTE(SUBSTITUTE(SUBSTITUTE(SUBSTITUTE(UPPER(Transaction[[#This Row],[Region]]),"EMEA REGION","EMEA"),"APAC REGION","APAC"),"NORTH AMERICA","N. AMERICA"),"N .AMERICA","N.AMERICA"))</f>
        <v>N. AMERICA</v>
      </c>
      <c r="M833" t="s">
        <v>20</v>
      </c>
      <c r="N833" t="s">
        <v>205</v>
      </c>
      <c r="O83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833" t="s">
        <v>40</v>
      </c>
      <c r="Q833" t="str">
        <f>IF(TRIM(Transaction[[#This Row],[SalesChannel]])="","Missing Value",TRIM(Transaction[[#This Row],[SalesChannel]]))</f>
        <v>Distributor</v>
      </c>
      <c r="R833" s="4">
        <v>1</v>
      </c>
      <c r="S833" s="4" t="str">
        <f>IF(Transaction[[#This Row],[Quantity]]&lt;0,"Negative-review","Valid")</f>
        <v>Valid</v>
      </c>
      <c r="T833">
        <v>3116.47</v>
      </c>
      <c r="U83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3116.47</v>
      </c>
      <c r="V833">
        <v>4200</v>
      </c>
      <c r="W833">
        <v>4200</v>
      </c>
      <c r="X83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833">
        <f>IF(Transaction[[#This Row],[GrossRevenue_Check]]="Invalid",Transaction[[#This Row],[ListPrice]]*Transaction[[#This Row],[Quantity]],Transaction[[#This Row],[GrossRevenue_Clean]])</f>
        <v>4200</v>
      </c>
      <c r="Z833" t="str">
        <f>IF(Transaction[[#This Row],[GrossRevenue_Clean]]=Transaction[[#This Row],[ListPrice]]*Transaction[[#This Row],[Quantity]],"Valid","Invalid")</f>
        <v>Valid</v>
      </c>
      <c r="AA833">
        <v>1083.53</v>
      </c>
      <c r="AB83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1083.53</v>
      </c>
      <c r="AC833">
        <f>IF(Transaction[[#This Row],[DiscountAmount_Check2]]="Invalid",Transaction[[#This Row],[GrossRevenue_Analytical]]-Transaction[[#This Row],[NetRevenue_Analytical]],Transaction[[#This Row],[DiscountAmount_Clean]])</f>
        <v>1083.53</v>
      </c>
      <c r="AD833">
        <v>3116.47</v>
      </c>
      <c r="AE833" t="str">
        <f>IF(ROUND(Transaction[[#This Row],[GrossRevenue_Analytical]]-Transaction[[#This Row],[NetRevenue_Analytical]],2)=ROUND(Transaction[[#This Row],[DiscountAmount_Clean]],2),"Valid","Invalid")</f>
        <v>Valid</v>
      </c>
      <c r="AF83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3116.47</v>
      </c>
      <c r="AG833">
        <f>IF(Transaction[[#This Row],[NetRevenue_Check]]="Invalid",(Transaction[[#This Row],[Quantity]]*Transaction[[#This Row],[UnitPrice_Clean]]),Transaction[[#This Row],[NetRevenue_Clean]])</f>
        <v>3116.47</v>
      </c>
      <c r="AH833" t="str">
        <f>IF(Transaction[[#This Row],[Quantity]]*Transaction[[#This Row],[UnitPrice_Clean]]=Transaction[[#This Row],[NetRevenue_Clean]],"Valid","Invalid")</f>
        <v>Valid</v>
      </c>
      <c r="AI833" t="s">
        <v>23</v>
      </c>
      <c r="AJ833" t="s">
        <v>688</v>
      </c>
      <c r="AK833" t="str">
        <f>IF(Transaction[[#This Row],[Salesperson]]="","Missing Value",TRIM(PROPER(Transaction[[#This Row],[Salesperson]])))</f>
        <v>Jones-Ap</v>
      </c>
      <c r="AL833" t="s">
        <v>34</v>
      </c>
      <c r="AM833" t="str">
        <f>IF(Transaction[[#This Row],[ContractType]]="","Missing Value",Transaction[[#This Row],[ContractType]])</f>
        <v>Annual License</v>
      </c>
      <c r="AN833" t="s">
        <v>43</v>
      </c>
    </row>
    <row r="834" spans="1:40" x14ac:dyDescent="0.25">
      <c r="A834" t="s">
        <v>3025</v>
      </c>
      <c r="B834" s="1">
        <v>45710</v>
      </c>
      <c r="C83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83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83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34" s="2">
        <f>IFERROR(DATE(Transaction[[#This Row],[TransactionDateY]],Transaction[[#This Row],[TransactionDateM]],Transaction[[#This Row],[TransactionDateD]]),"Missing Value")</f>
        <v>45710</v>
      </c>
      <c r="G834" t="s">
        <v>131</v>
      </c>
      <c r="H834" t="str">
        <f>IFERROR(VLOOKUP(Transaction[[#This Row],[CustomerID]],Custumer[],1,0),IF(LEN(Transaction[[#This Row],[CustomerID]])=7,LEFT(Transaction[[#This Row],[CustomerID]],6),"Invalid ID"))</f>
        <v>C-1034</v>
      </c>
      <c r="I834" t="s">
        <v>52</v>
      </c>
      <c r="J834" t="str">
        <f>TRIM(UPPER(Transaction[[#This Row],[ProductID]]))</f>
        <v>P-SI-002</v>
      </c>
      <c r="K834" t="str">
        <f>IFERROR(VLOOKUP(Transaction[[#This Row],[ProductID_Clean]],Product[],1,FALSE),"Invalid ID")</f>
        <v>P-SI-002</v>
      </c>
      <c r="L834" t="str">
        <f>TRIM(SUBSTITUTE(SUBSTITUTE(SUBSTITUTE(SUBSTITUTE(UPPER(Transaction[[#This Row],[Region]]),"EMEA REGION","EMEA"),"APAC REGION","APAC"),"NORTH AMERICA","N. AMERICA"),"N .AMERICA","N.AMERICA"))</f>
        <v>N. AMERICA</v>
      </c>
      <c r="M834" t="s">
        <v>20</v>
      </c>
      <c r="N834" t="s">
        <v>98</v>
      </c>
      <c r="O83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34" t="s">
        <v>22</v>
      </c>
      <c r="Q834" t="str">
        <f>IF(TRIM(Transaction[[#This Row],[SalesChannel]])="","Missing Value",TRIM(Transaction[[#This Row],[SalesChannel]]))</f>
        <v>Direct</v>
      </c>
      <c r="R834" s="4">
        <v>2</v>
      </c>
      <c r="S834" s="4" t="str">
        <f>IF(Transaction[[#This Row],[Quantity]]&lt;0,"Negative-review","Valid")</f>
        <v>Valid</v>
      </c>
      <c r="T834">
        <v>657.8</v>
      </c>
      <c r="U83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657.8</v>
      </c>
      <c r="V834">
        <v>725</v>
      </c>
      <c r="W834">
        <v>1450</v>
      </c>
      <c r="X83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834">
        <f>IF(Transaction[[#This Row],[GrossRevenue_Check]]="Invalid",Transaction[[#This Row],[ListPrice]]*Transaction[[#This Row],[Quantity]],Transaction[[#This Row],[GrossRevenue_Clean]])</f>
        <v>1450</v>
      </c>
      <c r="Z834" t="str">
        <f>IF(Transaction[[#This Row],[GrossRevenue_Clean]]=Transaction[[#This Row],[ListPrice]]*Transaction[[#This Row],[Quantity]],"Valid","Invalid")</f>
        <v>Valid</v>
      </c>
      <c r="AA834">
        <v>134.4</v>
      </c>
      <c r="AB83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134.4</v>
      </c>
      <c r="AC834">
        <f>IF(Transaction[[#This Row],[DiscountAmount_Check2]]="Invalid",Transaction[[#This Row],[GrossRevenue_Analytical]]-Transaction[[#This Row],[NetRevenue_Analytical]],Transaction[[#This Row],[DiscountAmount_Clean]])</f>
        <v>134.4</v>
      </c>
      <c r="AD834">
        <v>1315.6</v>
      </c>
      <c r="AE834" t="str">
        <f>IF(ROUND(Transaction[[#This Row],[GrossRevenue_Analytical]]-Transaction[[#This Row],[NetRevenue_Analytical]],2)=ROUND(Transaction[[#This Row],[DiscountAmount_Clean]],2),"Valid","Invalid")</f>
        <v>Valid</v>
      </c>
      <c r="AF83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1315.6</v>
      </c>
      <c r="AG834">
        <f>IF(Transaction[[#This Row],[NetRevenue_Check]]="Invalid",(Transaction[[#This Row],[Quantity]]*Transaction[[#This Row],[UnitPrice_Clean]]),Transaction[[#This Row],[NetRevenue_Clean]])</f>
        <v>1315.6</v>
      </c>
      <c r="AH834" t="str">
        <f>IF(Transaction[[#This Row],[Quantity]]*Transaction[[#This Row],[UnitPrice_Clean]]=Transaction[[#This Row],[NetRevenue_Clean]],"Valid","Invalid")</f>
        <v>Valid</v>
      </c>
      <c r="AI834" t="s">
        <v>23</v>
      </c>
      <c r="AJ834" t="s">
        <v>3026</v>
      </c>
      <c r="AK834" t="str">
        <f>IF(Transaction[[#This Row],[Salesperson]]="","Missing Value",TRIM(PROPER(Transaction[[#This Row],[Salesperson]])))</f>
        <v>Henderson-Na</v>
      </c>
      <c r="AL834" t="s">
        <v>42</v>
      </c>
      <c r="AM834" t="str">
        <f>IF(Transaction[[#This Row],[ContractType]]="","Missing Value",Transaction[[#This Row],[ContractType]])</f>
        <v>Standard PO</v>
      </c>
      <c r="AN834" t="s">
        <v>26</v>
      </c>
    </row>
    <row r="835" spans="1:40" x14ac:dyDescent="0.25">
      <c r="A835" t="s">
        <v>335</v>
      </c>
      <c r="B835" s="1">
        <v>45786</v>
      </c>
      <c r="C83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83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83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35" s="2">
        <f>IFERROR(DATE(Transaction[[#This Row],[TransactionDateY]],Transaction[[#This Row],[TransactionDateM]],Transaction[[#This Row],[TransactionDateD]]),"Missing Value")</f>
        <v>45786</v>
      </c>
      <c r="G835" t="s">
        <v>336</v>
      </c>
      <c r="H835" t="str">
        <f>IFERROR(VLOOKUP(Transaction[[#This Row],[CustomerID]],Custumer[],1,0),IF(LEN(Transaction[[#This Row],[CustomerID]])=7,LEFT(Transaction[[#This Row],[CustomerID]],6),"Invalid ID"))</f>
        <v>C-1109</v>
      </c>
      <c r="I835" t="s">
        <v>46</v>
      </c>
      <c r="J835" t="str">
        <f>TRIM(UPPER(Transaction[[#This Row],[ProductID]]))</f>
        <v>P-SI-006</v>
      </c>
      <c r="K835" t="str">
        <f>IFERROR(VLOOKUP(Transaction[[#This Row],[ProductID_Clean]],Product[],1,FALSE),"Invalid ID")</f>
        <v>P-SI-006</v>
      </c>
      <c r="L835" t="str">
        <f>TRIM(SUBSTITUTE(SUBSTITUTE(SUBSTITUTE(SUBSTITUTE(UPPER(Transaction[[#This Row],[Region]]),"EMEA REGION","EMEA"),"APAC REGION","APAC"),"NORTH AMERICA","N. AMERICA"),"N .AMERICA","N.AMERICA"))</f>
        <v>EMEA</v>
      </c>
      <c r="M835" t="s">
        <v>177</v>
      </c>
      <c r="N835" t="s">
        <v>53</v>
      </c>
      <c r="O83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35" t="s">
        <v>173</v>
      </c>
      <c r="Q835" t="str">
        <f>IF(TRIM(Transaction[[#This Row],[SalesChannel]])="","Missing Value",TRIM(Transaction[[#This Row],[SalesChannel]]))</f>
        <v>Distributor</v>
      </c>
      <c r="R835" s="4">
        <v>2</v>
      </c>
      <c r="S835" s="4" t="str">
        <f>IF(Transaction[[#This Row],[Quantity]]&lt;0,"Negative-review","Valid")</f>
        <v>Valid</v>
      </c>
      <c r="T835">
        <v>145.87</v>
      </c>
      <c r="U83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145.87</v>
      </c>
      <c r="V835">
        <v>215</v>
      </c>
      <c r="W835">
        <v>430</v>
      </c>
      <c r="X83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835">
        <f>IF(Transaction[[#This Row],[GrossRevenue_Check]]="Invalid",Transaction[[#This Row],[ListPrice]]*Transaction[[#This Row],[Quantity]],Transaction[[#This Row],[GrossRevenue_Clean]])</f>
        <v>430</v>
      </c>
      <c r="Z835" t="str">
        <f>IF(Transaction[[#This Row],[GrossRevenue_Clean]]=Transaction[[#This Row],[ListPrice]]*Transaction[[#This Row],[Quantity]],"Valid","Invalid")</f>
        <v>Valid</v>
      </c>
      <c r="AA835">
        <v>138.26</v>
      </c>
      <c r="AB83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138.26</v>
      </c>
      <c r="AC835">
        <f>IF(Transaction[[#This Row],[DiscountAmount_Check2]]="Invalid",Transaction[[#This Row],[GrossRevenue_Analytical]]-Transaction[[#This Row],[NetRevenue_Analytical]],Transaction[[#This Row],[DiscountAmount_Clean]])</f>
        <v>138.26</v>
      </c>
      <c r="AD835">
        <v>291.74</v>
      </c>
      <c r="AE835" t="str">
        <f>IF(ROUND(Transaction[[#This Row],[GrossRevenue_Analytical]]-Transaction[[#This Row],[NetRevenue_Analytical]],2)=ROUND(Transaction[[#This Row],[DiscountAmount_Clean]],2),"Valid","Invalid")</f>
        <v>Valid</v>
      </c>
      <c r="AF835">
        <f>VALUE(IF(ISNUMBER(Transaction[[#This Row],[NetRevenue]]),Transaction[[#This Row],[NetRevenue]],IFERROR(IF(FIND("$",Transaction[[#This Row],[NetRevenue]])&gt;0,MID(Transaction[[#This Row],[NetRevenue]],2,10)),Transaction[[#This Row],[NetRevenue]])))</f>
        <v>291.74</v>
      </c>
      <c r="AG835">
        <f>IF(Transaction[[#This Row],[NetRevenue_Check]]="Invalid",(Transaction[[#This Row],[Quantity]]*Transaction[[#This Row],[UnitPrice_Clean]]),Transaction[[#This Row],[NetRevenue_Clean]])</f>
        <v>291.74</v>
      </c>
      <c r="AH835" t="str">
        <f>IF(Transaction[[#This Row],[Quantity]]*Transaction[[#This Row],[UnitPrice_Clean]]=Transaction[[#This Row],[NetRevenue_Clean]],"Valid","Invalid")</f>
        <v>Valid</v>
      </c>
      <c r="AI835" t="s">
        <v>23</v>
      </c>
      <c r="AJ835" t="s">
        <v>337</v>
      </c>
      <c r="AK835" t="str">
        <f>IF(Transaction[[#This Row],[Salesperson]]="","Missing Value",TRIM(PROPER(Transaction[[#This Row],[Salesperson]])))</f>
        <v>Graves-Em</v>
      </c>
      <c r="AL835" t="s">
        <v>25</v>
      </c>
      <c r="AM835" t="str">
        <f>IF(Transaction[[#This Row],[ContractType]]="","Missing Value",Transaction[[#This Row],[ContractType]])</f>
        <v>Frame Agreement</v>
      </c>
      <c r="AN835" t="s">
        <v>65</v>
      </c>
    </row>
    <row r="836" spans="1:40" x14ac:dyDescent="0.25">
      <c r="A836" t="s">
        <v>2492</v>
      </c>
      <c r="C83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83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83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836" s="2" t="str">
        <f>IFERROR(DATE(Transaction[[#This Row],[TransactionDateY]],Transaction[[#This Row],[TransactionDateM]],Transaction[[#This Row],[TransactionDateD]]),"Missing Value")</f>
        <v>Missing Value</v>
      </c>
      <c r="G836" t="s">
        <v>193</v>
      </c>
      <c r="H836" t="str">
        <f>IFERROR(VLOOKUP(Transaction[[#This Row],[CustomerID]],Custumer[],1,0),IF(LEN(Transaction[[#This Row],[CustomerID]])=7,LEFT(Transaction[[#This Row],[CustomerID]],6),"Invalid ID"))</f>
        <v>C-1079</v>
      </c>
      <c r="I836" t="s">
        <v>97</v>
      </c>
      <c r="J836" t="str">
        <f>TRIM(UPPER(Transaction[[#This Row],[ProductID]]))</f>
        <v>P-SI-001</v>
      </c>
      <c r="K836" t="str">
        <f>IFERROR(VLOOKUP(Transaction[[#This Row],[ProductID_Clean]],Product[],1,FALSE),"Invalid ID")</f>
        <v>P-SI-001</v>
      </c>
      <c r="L836" t="str">
        <f>TRIM(SUBSTITUTE(SUBSTITUTE(SUBSTITUTE(SUBSTITUTE(UPPER(Transaction[[#This Row],[Region]]),"EMEA REGION","EMEA"),"APAC REGION","APAC"),"NORTH AMERICA","N. AMERICA"),"N .AMERICA","N.AMERICA"))</f>
        <v>N. AMERICA</v>
      </c>
      <c r="M836" t="s">
        <v>1538</v>
      </c>
      <c r="N836" t="s">
        <v>53</v>
      </c>
      <c r="O83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36" t="s">
        <v>181</v>
      </c>
      <c r="Q836" t="str">
        <f>IF(TRIM(Transaction[[#This Row],[SalesChannel]])="","Missing Value",TRIM(Transaction[[#This Row],[SalesChannel]]))</f>
        <v>Partner Portal</v>
      </c>
      <c r="R836" s="4">
        <v>8</v>
      </c>
      <c r="S836" s="4" t="str">
        <f>IF(Transaction[[#This Row],[Quantity]]&lt;0,"Negative-review","Valid")</f>
        <v>Valid</v>
      </c>
      <c r="T836">
        <v>448.82</v>
      </c>
      <c r="U83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448.82</v>
      </c>
      <c r="V836">
        <v>485</v>
      </c>
      <c r="W836">
        <v>3880</v>
      </c>
      <c r="X83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3880</v>
      </c>
      <c r="Y836">
        <f>IF(Transaction[[#This Row],[GrossRevenue_Check]]="Invalid",Transaction[[#This Row],[ListPrice]]*Transaction[[#This Row],[Quantity]],Transaction[[#This Row],[GrossRevenue_Clean]])</f>
        <v>3880</v>
      </c>
      <c r="Z836" t="str">
        <f>IF(Transaction[[#This Row],[GrossRevenue_Clean]]=Transaction[[#This Row],[ListPrice]]*Transaction[[#This Row],[Quantity]],"Valid","Invalid")</f>
        <v>Valid</v>
      </c>
      <c r="AA836">
        <v>289.44</v>
      </c>
      <c r="AB83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289.44</v>
      </c>
      <c r="AC836">
        <f>IF(Transaction[[#This Row],[DiscountAmount_Check2]]="Invalid",Transaction[[#This Row],[GrossRevenue_Analytical]]-Transaction[[#This Row],[NetRevenue_Analytical]],Transaction[[#This Row],[DiscountAmount_Clean]])</f>
        <v>289.44</v>
      </c>
      <c r="AD836">
        <v>3590.56</v>
      </c>
      <c r="AE836" t="str">
        <f>IF(ROUND(Transaction[[#This Row],[GrossRevenue_Analytical]]-Transaction[[#This Row],[NetRevenue_Analytical]],2)=ROUND(Transaction[[#This Row],[DiscountAmount_Clean]],2),"Valid","Invalid")</f>
        <v>Valid</v>
      </c>
      <c r="AF836">
        <f>VALUE(IF(ISNUMBER(Transaction[[#This Row],[NetRevenue]]),Transaction[[#This Row],[NetRevenue]],IFERROR(IF(FIND("$",Transaction[[#This Row],[NetRevenue]])&gt;0,MID(Transaction[[#This Row],[NetRevenue]],2,10)),Transaction[[#This Row],[NetRevenue]])))</f>
        <v>3590.56</v>
      </c>
      <c r="AG836">
        <f>IF(Transaction[[#This Row],[NetRevenue_Check]]="Invalid",(Transaction[[#This Row],[Quantity]]*Transaction[[#This Row],[UnitPrice_Clean]]),Transaction[[#This Row],[NetRevenue_Clean]])</f>
        <v>3590.56</v>
      </c>
      <c r="AH836" t="str">
        <f>IF(Transaction[[#This Row],[Quantity]]*Transaction[[#This Row],[UnitPrice_Clean]]=Transaction[[#This Row],[NetRevenue_Clean]],"Valid","Invalid")</f>
        <v>Valid</v>
      </c>
      <c r="AI836" t="s">
        <v>23</v>
      </c>
      <c r="AJ836" t="s">
        <v>2493</v>
      </c>
      <c r="AK836" t="str">
        <f>IF(Transaction[[#This Row],[Salesperson]]="","Missing Value",TRIM(PROPER(Transaction[[#This Row],[Salesperson]])))</f>
        <v>Weaver-Ap</v>
      </c>
      <c r="AL836" t="s">
        <v>25</v>
      </c>
      <c r="AM836" t="str">
        <f>IF(Transaction[[#This Row],[ContractType]]="","Missing Value",Transaction[[#This Row],[ContractType]])</f>
        <v>Frame Agreement</v>
      </c>
      <c r="AN836" t="s">
        <v>65</v>
      </c>
    </row>
    <row r="837" spans="1:40" x14ac:dyDescent="0.25">
      <c r="A837" t="s">
        <v>2195</v>
      </c>
      <c r="B837" t="s">
        <v>2196</v>
      </c>
      <c r="C83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83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83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37" s="2">
        <f>IFERROR(DATE(Transaction[[#This Row],[TransactionDateY]],Transaction[[#This Row],[TransactionDateM]],Transaction[[#This Row],[TransactionDateD]]),"Missing Value")</f>
        <v>45673</v>
      </c>
      <c r="G837" t="s">
        <v>329</v>
      </c>
      <c r="H837" t="str">
        <f>IFERROR(VLOOKUP(Transaction[[#This Row],[CustomerID]],Custumer[],1,0),IF(LEN(Transaction[[#This Row],[CustomerID]])=7,LEFT(Transaction[[#This Row],[CustomerID]],6),"Invalid ID"))</f>
        <v>C-1145</v>
      </c>
      <c r="I837" t="s">
        <v>46</v>
      </c>
      <c r="J837" t="str">
        <f>TRIM(UPPER(Transaction[[#This Row],[ProductID]]))</f>
        <v>P-SI-006</v>
      </c>
      <c r="K837" t="str">
        <f>IFERROR(VLOOKUP(Transaction[[#This Row],[ProductID_Clean]],Product[],1,FALSE),"Invalid ID")</f>
        <v>P-SI-006</v>
      </c>
      <c r="L837" t="str">
        <f>TRIM(SUBSTITUTE(SUBSTITUTE(SUBSTITUTE(SUBSTITUTE(UPPER(Transaction[[#This Row],[Region]]),"EMEA REGION","EMEA"),"APAC REGION","APAC"),"NORTH AMERICA","N. AMERICA"),"N .AMERICA","N.AMERICA"))</f>
        <v>N. AMERICA</v>
      </c>
      <c r="M837" t="s">
        <v>20</v>
      </c>
      <c r="N837" t="s">
        <v>53</v>
      </c>
      <c r="O83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37" t="s">
        <v>181</v>
      </c>
      <c r="Q837" t="str">
        <f>IF(TRIM(Transaction[[#This Row],[SalesChannel]])="","Missing Value",TRIM(Transaction[[#This Row],[SalesChannel]]))</f>
        <v>Partner Portal</v>
      </c>
      <c r="R837" s="4">
        <v>5</v>
      </c>
      <c r="S837" s="4" t="str">
        <f>IF(Transaction[[#This Row],[Quantity]]&lt;0,"Negative-review","Valid")</f>
        <v>Valid</v>
      </c>
      <c r="T837">
        <v>162.77000000000001</v>
      </c>
      <c r="U83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162.77000000000001</v>
      </c>
      <c r="V837">
        <v>215</v>
      </c>
      <c r="W837">
        <v>1075</v>
      </c>
      <c r="X83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1075</v>
      </c>
      <c r="Y837">
        <f>IF(Transaction[[#This Row],[GrossRevenue_Check]]="Invalid",Transaction[[#This Row],[ListPrice]]*Transaction[[#This Row],[Quantity]],Transaction[[#This Row],[GrossRevenue_Clean]])</f>
        <v>1075</v>
      </c>
      <c r="Z837" t="str">
        <f>IF(Transaction[[#This Row],[GrossRevenue_Clean]]=Transaction[[#This Row],[ListPrice]]*Transaction[[#This Row],[Quantity]],"Valid","Invalid")</f>
        <v>Valid</v>
      </c>
      <c r="AA837">
        <v>261.14999999999998</v>
      </c>
      <c r="AB83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261.14999999999998</v>
      </c>
      <c r="AC837">
        <f>IF(Transaction[[#This Row],[DiscountAmount_Check2]]="Invalid",Transaction[[#This Row],[GrossRevenue_Analytical]]-Transaction[[#This Row],[NetRevenue_Analytical]],Transaction[[#This Row],[DiscountAmount_Clean]])</f>
        <v>261.14999999999998</v>
      </c>
      <c r="AD837">
        <v>813.85</v>
      </c>
      <c r="AE837" t="str">
        <f>IF(ROUND(Transaction[[#This Row],[GrossRevenue_Analytical]]-Transaction[[#This Row],[NetRevenue_Analytical]],2)=ROUND(Transaction[[#This Row],[DiscountAmount_Clean]],2),"Valid","Invalid")</f>
        <v>Valid</v>
      </c>
      <c r="AF837">
        <f>VALUE(IF(ISNUMBER(Transaction[[#This Row],[NetRevenue]]),Transaction[[#This Row],[NetRevenue]],IFERROR(IF(FIND("$",Transaction[[#This Row],[NetRevenue]])&gt;0,MID(Transaction[[#This Row],[NetRevenue]],2,10)),Transaction[[#This Row],[NetRevenue]])))</f>
        <v>813.85</v>
      </c>
      <c r="AG837">
        <f>IF(Transaction[[#This Row],[NetRevenue_Check]]="Invalid",(Transaction[[#This Row],[Quantity]]*Transaction[[#This Row],[UnitPrice_Clean]]),Transaction[[#This Row],[NetRevenue_Clean]])</f>
        <v>813.85</v>
      </c>
      <c r="AH837" t="str">
        <f>IF(Transaction[[#This Row],[Quantity]]*Transaction[[#This Row],[UnitPrice_Clean]]=Transaction[[#This Row],[NetRevenue_Clean]],"Valid","Invalid")</f>
        <v>Valid</v>
      </c>
      <c r="AI837" t="s">
        <v>23</v>
      </c>
      <c r="AJ837" t="s">
        <v>2197</v>
      </c>
      <c r="AK837" t="str">
        <f>IF(Transaction[[#This Row],[Salesperson]]="","Missing Value",TRIM(PROPER(Transaction[[#This Row],[Salesperson]])))</f>
        <v>Brown-Ap</v>
      </c>
      <c r="AM837" t="str">
        <f>IF(Transaction[[#This Row],[ContractType]]="","Missing Value",Transaction[[#This Row],[ContractType]])</f>
        <v>Missing Value</v>
      </c>
      <c r="AN837" t="s">
        <v>65</v>
      </c>
    </row>
    <row r="838" spans="1:40" x14ac:dyDescent="0.25">
      <c r="A838" t="s">
        <v>2767</v>
      </c>
      <c r="B838" s="1">
        <v>45693</v>
      </c>
      <c r="C83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83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83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38" s="2">
        <f>IFERROR(DATE(Transaction[[#This Row],[TransactionDateY]],Transaction[[#This Row],[TransactionDateM]],Transaction[[#This Row],[TransactionDateD]]),"Missing Value")</f>
        <v>45693</v>
      </c>
      <c r="G838" t="s">
        <v>1578</v>
      </c>
      <c r="H838" t="str">
        <f>IFERROR(VLOOKUP(Transaction[[#This Row],[CustomerID]],Custumer[],1,0),IF(LEN(Transaction[[#This Row],[CustomerID]])=7,LEFT(Transaction[[#This Row],[CustomerID]],6),"Invalid ID"))</f>
        <v>C-1031</v>
      </c>
      <c r="I838" t="s">
        <v>46</v>
      </c>
      <c r="J838" t="str">
        <f>TRIM(UPPER(Transaction[[#This Row],[ProductID]]))</f>
        <v>P-SI-006</v>
      </c>
      <c r="K838" t="str">
        <f>IFERROR(VLOOKUP(Transaction[[#This Row],[ProductID_Clean]],Product[],1,FALSE),"Invalid ID")</f>
        <v>P-SI-006</v>
      </c>
      <c r="L838" t="str">
        <f>TRIM(SUBSTITUTE(SUBSTITUTE(SUBSTITUTE(SUBSTITUTE(UPPER(Transaction[[#This Row],[Region]]),"EMEA REGION","EMEA"),"APAC REGION","APAC"),"NORTH AMERICA","N. AMERICA"),"N .AMERICA","N.AMERICA"))</f>
        <v>N. AMERICA</v>
      </c>
      <c r="M838" t="s">
        <v>20</v>
      </c>
      <c r="N838" t="s">
        <v>98</v>
      </c>
      <c r="O83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38" t="s">
        <v>40</v>
      </c>
      <c r="Q838" t="str">
        <f>IF(TRIM(Transaction[[#This Row],[SalesChannel]])="","Missing Value",TRIM(Transaction[[#This Row],[SalesChannel]]))</f>
        <v>Distributor</v>
      </c>
      <c r="R838" s="4">
        <v>12</v>
      </c>
      <c r="S838" s="4" t="str">
        <f>IF(Transaction[[#This Row],[Quantity]]&lt;0,"Negative-review","Valid")</f>
        <v>Valid</v>
      </c>
      <c r="T838">
        <v>164.28</v>
      </c>
      <c r="U83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164.28</v>
      </c>
      <c r="V838">
        <v>215</v>
      </c>
      <c r="W838">
        <v>2580</v>
      </c>
      <c r="X83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2580</v>
      </c>
      <c r="Y838">
        <f>IF(Transaction[[#This Row],[GrossRevenue_Check]]="Invalid",Transaction[[#This Row],[ListPrice]]*Transaction[[#This Row],[Quantity]],Transaction[[#This Row],[GrossRevenue_Clean]])</f>
        <v>2580</v>
      </c>
      <c r="Z838" t="str">
        <f>IF(Transaction[[#This Row],[GrossRevenue_Clean]]=Transaction[[#This Row],[ListPrice]]*Transaction[[#This Row],[Quantity]],"Valid","Invalid")</f>
        <v>Valid</v>
      </c>
      <c r="AA838">
        <v>608.64</v>
      </c>
      <c r="AB83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608.64</v>
      </c>
      <c r="AC838">
        <f>IF(Transaction[[#This Row],[DiscountAmount_Check2]]="Invalid",Transaction[[#This Row],[GrossRevenue_Analytical]]-Transaction[[#This Row],[NetRevenue_Analytical]],Transaction[[#This Row],[DiscountAmount_Clean]])</f>
        <v>608.64</v>
      </c>
      <c r="AD838" t="s">
        <v>2768</v>
      </c>
      <c r="AE838" t="str">
        <f>IF(ROUND(Transaction[[#This Row],[GrossRevenue_Analytical]]-Transaction[[#This Row],[NetRevenue_Analytical]],2)=ROUND(Transaction[[#This Row],[DiscountAmount_Clean]],2),"Valid","Invalid")</f>
        <v>Valid</v>
      </c>
      <c r="AF83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1971.36</v>
      </c>
      <c r="AG838">
        <f>IF(Transaction[[#This Row],[NetRevenue_Check]]="Invalid",(Transaction[[#This Row],[Quantity]]*Transaction[[#This Row],[UnitPrice_Clean]]),Transaction[[#This Row],[NetRevenue_Clean]])</f>
        <v>1971.36</v>
      </c>
      <c r="AH838" t="str">
        <f>IF(Transaction[[#This Row],[Quantity]]*Transaction[[#This Row],[UnitPrice_Clean]]=Transaction[[#This Row],[NetRevenue_Clean]],"Valid","Invalid")</f>
        <v>Valid</v>
      </c>
      <c r="AI838" t="s">
        <v>23</v>
      </c>
      <c r="AJ838" t="s">
        <v>2769</v>
      </c>
      <c r="AK838" t="str">
        <f>IF(Transaction[[#This Row],[Salesperson]]="","Missing Value",TRIM(PROPER(Transaction[[#This Row],[Salesperson]])))</f>
        <v>Shannon-Em</v>
      </c>
      <c r="AL838" t="s">
        <v>25</v>
      </c>
      <c r="AM838" t="str">
        <f>IF(Transaction[[#This Row],[ContractType]]="","Missing Value",Transaction[[#This Row],[ContractType]])</f>
        <v>Frame Agreement</v>
      </c>
      <c r="AN838" t="s">
        <v>65</v>
      </c>
    </row>
    <row r="839" spans="1:40" x14ac:dyDescent="0.25">
      <c r="A839" t="s">
        <v>2259</v>
      </c>
      <c r="B839" t="s">
        <v>2260</v>
      </c>
      <c r="C83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83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83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39" s="2">
        <f>IFERROR(DATE(Transaction[[#This Row],[TransactionDateY]],Transaction[[#This Row],[TransactionDateM]],Transaction[[#This Row],[TransactionDateD]]),"Missing Value")</f>
        <v>45711</v>
      </c>
      <c r="G839" t="s">
        <v>45</v>
      </c>
      <c r="H839" t="str">
        <f>IFERROR(VLOOKUP(Transaction[[#This Row],[CustomerID]],Custumer[],1,0),IF(LEN(Transaction[[#This Row],[CustomerID]])=7,LEFT(Transaction[[#This Row],[CustomerID]],6),"Invalid ID"))</f>
        <v>C-1155</v>
      </c>
      <c r="I839" t="s">
        <v>92</v>
      </c>
      <c r="J839" t="str">
        <f>TRIM(UPPER(Transaction[[#This Row],[ProductID]]))</f>
        <v>P-SI-008</v>
      </c>
      <c r="K839" t="str">
        <f>IFERROR(VLOOKUP(Transaction[[#This Row],[ProductID_Clean]],Product[],1,FALSE),"Invalid ID")</f>
        <v>P-SI-008</v>
      </c>
      <c r="L839" t="str">
        <f>TRIM(SUBSTITUTE(SUBSTITUTE(SUBSTITUTE(SUBSTITUTE(UPPER(Transaction[[#This Row],[Region]]),"EMEA REGION","EMEA"),"APAC REGION","APAC"),"NORTH AMERICA","N. AMERICA"),"N .AMERICA","N.AMERICA"))</f>
        <v>APAC</v>
      </c>
      <c r="M839" t="s">
        <v>122</v>
      </c>
      <c r="N839" t="s">
        <v>53</v>
      </c>
      <c r="O83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39" t="s">
        <v>22</v>
      </c>
      <c r="Q839" t="str">
        <f>IF(TRIM(Transaction[[#This Row],[SalesChannel]])="","Missing Value",TRIM(Transaction[[#This Row],[SalesChannel]]))</f>
        <v>Direct</v>
      </c>
      <c r="R839" s="4">
        <v>1</v>
      </c>
      <c r="S839" s="4" t="str">
        <f>IF(Transaction[[#This Row],[Quantity]]&lt;0,"Negative-review","Valid")</f>
        <v>Valid</v>
      </c>
      <c r="T839" t="s">
        <v>2261</v>
      </c>
      <c r="U83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808.34</v>
      </c>
      <c r="V839">
        <v>950</v>
      </c>
      <c r="W839">
        <v>950</v>
      </c>
      <c r="X83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839">
        <f>IF(Transaction[[#This Row],[GrossRevenue_Check]]="Invalid",Transaction[[#This Row],[ListPrice]]*Transaction[[#This Row],[Quantity]],Transaction[[#This Row],[GrossRevenue_Clean]])</f>
        <v>950</v>
      </c>
      <c r="Z839" t="str">
        <f>IF(Transaction[[#This Row],[GrossRevenue_Clean]]=Transaction[[#This Row],[ListPrice]]*Transaction[[#This Row],[Quantity]],"Valid","Invalid")</f>
        <v>Valid</v>
      </c>
      <c r="AA839">
        <v>141.66</v>
      </c>
      <c r="AB83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141.66</v>
      </c>
      <c r="AC839">
        <f>IF(Transaction[[#This Row],[DiscountAmount_Check2]]="Invalid",Transaction[[#This Row],[GrossRevenue_Analytical]]-Transaction[[#This Row],[NetRevenue_Analytical]],Transaction[[#This Row],[DiscountAmount_Clean]])</f>
        <v>141.66</v>
      </c>
      <c r="AD839">
        <v>808.34</v>
      </c>
      <c r="AE839" t="str">
        <f>IF(ROUND(Transaction[[#This Row],[GrossRevenue_Analytical]]-Transaction[[#This Row],[NetRevenue_Analytical]],2)=ROUND(Transaction[[#This Row],[DiscountAmount_Clean]],2),"Valid","Invalid")</f>
        <v>Valid</v>
      </c>
      <c r="AF839">
        <f>VALUE(IF(ISNUMBER(Transaction[[#This Row],[NetRevenue]]),Transaction[[#This Row],[NetRevenue]],IFERROR(IF(FIND("$",Transaction[[#This Row],[NetRevenue]])&gt;0,MID(Transaction[[#This Row],[NetRevenue]],2,10)),Transaction[[#This Row],[NetRevenue]])))</f>
        <v>808.34</v>
      </c>
      <c r="AG839">
        <f>IF(Transaction[[#This Row],[NetRevenue_Check]]="Invalid",(Transaction[[#This Row],[Quantity]]*Transaction[[#This Row],[UnitPrice_Clean]]),Transaction[[#This Row],[NetRevenue_Clean]])</f>
        <v>808.34</v>
      </c>
      <c r="AH839" t="str">
        <f>IF(Transaction[[#This Row],[Quantity]]*Transaction[[#This Row],[UnitPrice_Clean]]=Transaction[[#This Row],[NetRevenue_Clean]],"Valid","Invalid")</f>
        <v>Valid</v>
      </c>
      <c r="AI839" t="s">
        <v>23</v>
      </c>
      <c r="AJ839" t="s">
        <v>2262</v>
      </c>
      <c r="AK839" t="str">
        <f>IF(Transaction[[#This Row],[Salesperson]]="","Missing Value",TRIM(PROPER(Transaction[[#This Row],[Salesperson]])))</f>
        <v>Andersen-Em</v>
      </c>
      <c r="AM839" t="str">
        <f>IF(Transaction[[#This Row],[ContractType]]="","Missing Value",Transaction[[#This Row],[ContractType]])</f>
        <v>Missing Value</v>
      </c>
      <c r="AN839" t="s">
        <v>49</v>
      </c>
    </row>
    <row r="840" spans="1:40" x14ac:dyDescent="0.25">
      <c r="A840" t="s">
        <v>2454</v>
      </c>
      <c r="B840" s="1">
        <v>45741</v>
      </c>
      <c r="C84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84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84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40" s="2">
        <f>IFERROR(DATE(Transaction[[#This Row],[TransactionDateY]],Transaction[[#This Row],[TransactionDateM]],Transaction[[#This Row],[TransactionDateD]]),"Missing Value")</f>
        <v>45741</v>
      </c>
      <c r="G840" t="s">
        <v>1385</v>
      </c>
      <c r="H840" t="str">
        <f>IFERROR(VLOOKUP(Transaction[[#This Row],[CustomerID]],Custumer[],1,0),IF(LEN(Transaction[[#This Row],[CustomerID]])=7,LEFT(Transaction[[#This Row],[CustomerID]],6),"Invalid ID"))</f>
        <v>C-1022</v>
      </c>
      <c r="I840" t="s">
        <v>71</v>
      </c>
      <c r="J840" t="str">
        <f>TRIM(UPPER(Transaction[[#This Row],[ProductID]]))</f>
        <v>P-SI-003</v>
      </c>
      <c r="K840" t="str">
        <f>IFERROR(VLOOKUP(Transaction[[#This Row],[ProductID_Clean]],Product[],1,FALSE),"Invalid ID")</f>
        <v>P-SI-003</v>
      </c>
      <c r="L840" t="str">
        <f>TRIM(SUBSTITUTE(SUBSTITUTE(SUBSTITUTE(SUBSTITUTE(UPPER(Transaction[[#This Row],[Region]]),"EMEA REGION","EMEA"),"APAC REGION","APAC"),"NORTH AMERICA","N. AMERICA"),"N .AMERICA","N.AMERICA"))</f>
        <v>N. AMERICA</v>
      </c>
      <c r="M840" t="s">
        <v>20</v>
      </c>
      <c r="N840" t="s">
        <v>47</v>
      </c>
      <c r="O84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40" t="s">
        <v>40</v>
      </c>
      <c r="Q840" t="str">
        <f>IF(TRIM(Transaction[[#This Row],[SalesChannel]])="","Missing Value",TRIM(Transaction[[#This Row],[SalesChannel]]))</f>
        <v>Distributor</v>
      </c>
      <c r="R840" s="4">
        <v>3</v>
      </c>
      <c r="S840" s="4" t="str">
        <f>IF(Transaction[[#This Row],[Quantity]]&lt;0,"Negative-review","Valid")</f>
        <v>Valid</v>
      </c>
      <c r="T840">
        <v>1677.35</v>
      </c>
      <c r="U84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1677.35</v>
      </c>
      <c r="V840">
        <v>1890</v>
      </c>
      <c r="W840">
        <v>5670</v>
      </c>
      <c r="X84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5670</v>
      </c>
      <c r="Y840">
        <f>IF(Transaction[[#This Row],[GrossRevenue_Check]]="Invalid",Transaction[[#This Row],[ListPrice]]*Transaction[[#This Row],[Quantity]],Transaction[[#This Row],[GrossRevenue_Clean]])</f>
        <v>5670</v>
      </c>
      <c r="Z840" t="str">
        <f>IF(Transaction[[#This Row],[GrossRevenue_Clean]]=Transaction[[#This Row],[ListPrice]]*Transaction[[#This Row],[Quantity]],"Valid","Invalid")</f>
        <v>Valid</v>
      </c>
      <c r="AA840">
        <v>637.95000000000005</v>
      </c>
      <c r="AB84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637.95000000000005</v>
      </c>
      <c r="AC840">
        <f>IF(Transaction[[#This Row],[DiscountAmount_Check2]]="Invalid",Transaction[[#This Row],[GrossRevenue_Analytical]]-Transaction[[#This Row],[NetRevenue_Analytical]],Transaction[[#This Row],[DiscountAmount_Clean]])</f>
        <v>637.95000000000005</v>
      </c>
      <c r="AD840">
        <v>5032.05</v>
      </c>
      <c r="AE840" t="str">
        <f>IF(ROUND(Transaction[[#This Row],[GrossRevenue_Analytical]]-Transaction[[#This Row],[NetRevenue_Analytical]],2)=ROUND(Transaction[[#This Row],[DiscountAmount_Clean]],2),"Valid","Invalid")</f>
        <v>Valid</v>
      </c>
      <c r="AF840">
        <f>VALUE(IF(ISNUMBER(Transaction[[#This Row],[NetRevenue]]),Transaction[[#This Row],[NetRevenue]],IFERROR(IF(FIND("$",Transaction[[#This Row],[NetRevenue]])&gt;0,MID(Transaction[[#This Row],[NetRevenue]],2,10)),Transaction[[#This Row],[NetRevenue]])))</f>
        <v>5032.05</v>
      </c>
      <c r="AG840">
        <f>IF(Transaction[[#This Row],[NetRevenue_Check]]="Invalid",(Transaction[[#This Row],[Quantity]]*Transaction[[#This Row],[UnitPrice_Clean]]),Transaction[[#This Row],[NetRevenue_Clean]])</f>
        <v>5032.05</v>
      </c>
      <c r="AH840" t="str">
        <f>IF(Transaction[[#This Row],[Quantity]]*Transaction[[#This Row],[UnitPrice_Clean]]=Transaction[[#This Row],[NetRevenue_Clean]],"Valid","Invalid")</f>
        <v>Valid</v>
      </c>
      <c r="AI840" t="s">
        <v>23</v>
      </c>
      <c r="AJ840" t="s">
        <v>2455</v>
      </c>
      <c r="AK840" t="str">
        <f>IF(Transaction[[#This Row],[Salesperson]]="","Missing Value",TRIM(PROPER(Transaction[[#This Row],[Salesperson]])))</f>
        <v>Kennedy-Ap</v>
      </c>
      <c r="AL840" t="s">
        <v>25</v>
      </c>
      <c r="AM840" t="str">
        <f>IF(Transaction[[#This Row],[ContractType]]="","Missing Value",Transaction[[#This Row],[ContractType]])</f>
        <v>Frame Agreement</v>
      </c>
      <c r="AN840" t="s">
        <v>49</v>
      </c>
    </row>
    <row r="841" spans="1:40" x14ac:dyDescent="0.25">
      <c r="A841" t="s">
        <v>745</v>
      </c>
      <c r="B841" s="1">
        <v>45780</v>
      </c>
      <c r="C84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84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84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41" s="2">
        <f>IFERROR(DATE(Transaction[[#This Row],[TransactionDateY]],Transaction[[#This Row],[TransactionDateM]],Transaction[[#This Row],[TransactionDateD]]),"Missing Value")</f>
        <v>45780</v>
      </c>
      <c r="G841" t="s">
        <v>38</v>
      </c>
      <c r="H841" t="str">
        <f>IFERROR(VLOOKUP(Transaction[[#This Row],[CustomerID]],Custumer[],1,0),IF(LEN(Transaction[[#This Row],[CustomerID]])=7,LEFT(Transaction[[#This Row],[CustomerID]],6),"Invalid ID"))</f>
        <v>C-1027</v>
      </c>
      <c r="I841" t="s">
        <v>444</v>
      </c>
      <c r="J841" t="str">
        <f>TRIM(UPPER(Transaction[[#This Row],[ProductID]]))</f>
        <v>P-SI-006</v>
      </c>
      <c r="K841" t="str">
        <f>IFERROR(VLOOKUP(Transaction[[#This Row],[ProductID_Clean]],Product[],1,FALSE),"Invalid ID")</f>
        <v>P-SI-006</v>
      </c>
      <c r="L841" t="str">
        <f>TRIM(SUBSTITUTE(SUBSTITUTE(SUBSTITUTE(SUBSTITUTE(UPPER(Transaction[[#This Row],[Region]]),"EMEA REGION","EMEA"),"APAC REGION","APAC"),"NORTH AMERICA","N. AMERICA"),"N .AMERICA","N.AMERICA"))</f>
        <v>N. AMERICA</v>
      </c>
      <c r="M841" t="s">
        <v>20</v>
      </c>
      <c r="N841" t="s">
        <v>53</v>
      </c>
      <c r="O84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41" t="s">
        <v>40</v>
      </c>
      <c r="Q841" t="str">
        <f>IF(TRIM(Transaction[[#This Row],[SalesChannel]])="","Missing Value",TRIM(Transaction[[#This Row],[SalesChannel]]))</f>
        <v>Distributor</v>
      </c>
      <c r="R841" s="4">
        <v>2</v>
      </c>
      <c r="S841" s="4" t="str">
        <f>IF(Transaction[[#This Row],[Quantity]]&lt;0,"Negative-review","Valid")</f>
        <v>Valid</v>
      </c>
      <c r="T841">
        <v>148.16999999999999</v>
      </c>
      <c r="U84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148.16999999999999</v>
      </c>
      <c r="V841">
        <v>215</v>
      </c>
      <c r="W841">
        <v>430</v>
      </c>
      <c r="X84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841">
        <f>IF(Transaction[[#This Row],[GrossRevenue_Check]]="Invalid",Transaction[[#This Row],[ListPrice]]*Transaction[[#This Row],[Quantity]],Transaction[[#This Row],[GrossRevenue_Clean]])</f>
        <v>430</v>
      </c>
      <c r="Z841" t="str">
        <f>IF(Transaction[[#This Row],[GrossRevenue_Clean]]=Transaction[[#This Row],[ListPrice]]*Transaction[[#This Row],[Quantity]],"Valid","Invalid")</f>
        <v>Valid</v>
      </c>
      <c r="AA841">
        <v>133.66</v>
      </c>
      <c r="AB84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133.66</v>
      </c>
      <c r="AC841">
        <f>IF(Transaction[[#This Row],[DiscountAmount_Check2]]="Invalid",Transaction[[#This Row],[GrossRevenue_Analytical]]-Transaction[[#This Row],[NetRevenue_Analytical]],Transaction[[#This Row],[DiscountAmount_Clean]])</f>
        <v>133.66</v>
      </c>
      <c r="AD841">
        <v>296.33999999999997</v>
      </c>
      <c r="AE841" t="str">
        <f>IF(ROUND(Transaction[[#This Row],[GrossRevenue_Analytical]]-Transaction[[#This Row],[NetRevenue_Analytical]],2)=ROUND(Transaction[[#This Row],[DiscountAmount_Clean]],2),"Valid","Invalid")</f>
        <v>Valid</v>
      </c>
      <c r="AF84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296.33999999999997</v>
      </c>
      <c r="AG841">
        <f>IF(Transaction[[#This Row],[NetRevenue_Check]]="Invalid",(Transaction[[#This Row],[Quantity]]*Transaction[[#This Row],[UnitPrice_Clean]]),Transaction[[#This Row],[NetRevenue_Clean]])</f>
        <v>296.33999999999997</v>
      </c>
      <c r="AH841" t="str">
        <f>IF(Transaction[[#This Row],[Quantity]]*Transaction[[#This Row],[UnitPrice_Clean]]=Transaction[[#This Row],[NetRevenue_Clean]],"Valid","Invalid")</f>
        <v>Valid</v>
      </c>
      <c r="AI841" t="s">
        <v>23</v>
      </c>
      <c r="AJ841" t="s">
        <v>746</v>
      </c>
      <c r="AK841" t="str">
        <f>IF(Transaction[[#This Row],[Salesperson]]="","Missing Value",TRIM(PROPER(Transaction[[#This Row],[Salesperson]])))</f>
        <v>Mitchell-Em</v>
      </c>
      <c r="AL841" t="s">
        <v>42</v>
      </c>
      <c r="AM841" t="str">
        <f>IF(Transaction[[#This Row],[ContractType]]="","Missing Value",Transaction[[#This Row],[ContractType]])</f>
        <v>Standard PO</v>
      </c>
      <c r="AN841" t="s">
        <v>43</v>
      </c>
    </row>
    <row r="842" spans="1:40" x14ac:dyDescent="0.25">
      <c r="A842" t="s">
        <v>1009</v>
      </c>
      <c r="B842" s="1">
        <v>45754</v>
      </c>
      <c r="C84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84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84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42" s="2">
        <f>IFERROR(DATE(Transaction[[#This Row],[TransactionDateY]],Transaction[[#This Row],[TransactionDateM]],Transaction[[#This Row],[TransactionDateD]]),"Missing Value")</f>
        <v>45754</v>
      </c>
      <c r="G842" t="s">
        <v>146</v>
      </c>
      <c r="H842" t="str">
        <f>IFERROR(VLOOKUP(Transaction[[#This Row],[CustomerID]],Custumer[],1,0),IF(LEN(Transaction[[#This Row],[CustomerID]])=7,LEFT(Transaction[[#This Row],[CustomerID]],6),"Invalid ID"))</f>
        <v>C-1095</v>
      </c>
      <c r="I842" t="s">
        <v>52</v>
      </c>
      <c r="J842" t="str">
        <f>TRIM(UPPER(Transaction[[#This Row],[ProductID]]))</f>
        <v>P-SI-002</v>
      </c>
      <c r="K842" t="str">
        <f>IFERROR(VLOOKUP(Transaction[[#This Row],[ProductID_Clean]],Product[],1,FALSE),"Invalid ID")</f>
        <v>P-SI-002</v>
      </c>
      <c r="L842" t="str">
        <f>TRIM(SUBSTITUTE(SUBSTITUTE(SUBSTITUTE(SUBSTITUTE(UPPER(Transaction[[#This Row],[Region]]),"EMEA REGION","EMEA"),"APAC REGION","APAC"),"NORTH AMERICA","N. AMERICA"),"N .AMERICA","N.AMERICA"))</f>
        <v>LATIN AMERICA</v>
      </c>
      <c r="M842" t="s">
        <v>82</v>
      </c>
      <c r="N842" t="s">
        <v>47</v>
      </c>
      <c r="O84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Q842" t="str">
        <f>IF(TRIM(Transaction[[#This Row],[SalesChannel]])="","Missing Value",TRIM(Transaction[[#This Row],[SalesChannel]]))</f>
        <v>Missing Value</v>
      </c>
      <c r="R842" s="4">
        <v>4</v>
      </c>
      <c r="S842" s="4" t="str">
        <f>IF(Transaction[[#This Row],[Quantity]]&lt;0,"Negative-review","Valid")</f>
        <v>Valid</v>
      </c>
      <c r="T842">
        <v>554.95000000000005</v>
      </c>
      <c r="U84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554.95000000000005</v>
      </c>
      <c r="V842">
        <v>725</v>
      </c>
      <c r="W842">
        <v>2900</v>
      </c>
      <c r="X84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2900</v>
      </c>
      <c r="Y842">
        <f>IF(Transaction[[#This Row],[GrossRevenue_Check]]="Invalid",Transaction[[#This Row],[ListPrice]]*Transaction[[#This Row],[Quantity]],Transaction[[#This Row],[GrossRevenue_Clean]])</f>
        <v>2900</v>
      </c>
      <c r="Z842" t="str">
        <f>IF(Transaction[[#This Row],[GrossRevenue_Clean]]=Transaction[[#This Row],[ListPrice]]*Transaction[[#This Row],[Quantity]],"Valid","Invalid")</f>
        <v>Valid</v>
      </c>
      <c r="AA842">
        <v>680.2</v>
      </c>
      <c r="AB84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680.2</v>
      </c>
      <c r="AC842">
        <f>IF(Transaction[[#This Row],[DiscountAmount_Check2]]="Invalid",Transaction[[#This Row],[GrossRevenue_Analytical]]-Transaction[[#This Row],[NetRevenue_Analytical]],Transaction[[#This Row],[DiscountAmount_Clean]])</f>
        <v>680.2</v>
      </c>
      <c r="AD842">
        <v>2219.8000000000002</v>
      </c>
      <c r="AE842" t="str">
        <f>IF(ROUND(Transaction[[#This Row],[GrossRevenue_Analytical]]-Transaction[[#This Row],[NetRevenue_Analytical]],2)=ROUND(Transaction[[#This Row],[DiscountAmount_Clean]],2),"Valid","Invalid")</f>
        <v>Valid</v>
      </c>
      <c r="AF84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2219.8000000000002</v>
      </c>
      <c r="AG842">
        <f>IF(Transaction[[#This Row],[NetRevenue_Check]]="Invalid",(Transaction[[#This Row],[Quantity]]*Transaction[[#This Row],[UnitPrice_Clean]]),Transaction[[#This Row],[NetRevenue_Clean]])</f>
        <v>2219.8000000000002</v>
      </c>
      <c r="AH842" t="str">
        <f>IF(Transaction[[#This Row],[Quantity]]*Transaction[[#This Row],[UnitPrice_Clean]]=Transaction[[#This Row],[NetRevenue_Clean]],"Valid","Invalid")</f>
        <v>Valid</v>
      </c>
      <c r="AI842" t="s">
        <v>23</v>
      </c>
      <c r="AJ842" t="s">
        <v>383</v>
      </c>
      <c r="AK842" t="str">
        <f>IF(Transaction[[#This Row],[Salesperson]]="","Missing Value",TRIM(PROPER(Transaction[[#This Row],[Salesperson]])))</f>
        <v>White</v>
      </c>
      <c r="AL842" t="s">
        <v>42</v>
      </c>
      <c r="AM842" t="str">
        <f>IF(Transaction[[#This Row],[ContractType]]="","Missing Value",Transaction[[#This Row],[ContractType]])</f>
        <v>Standard PO</v>
      </c>
      <c r="AN842" t="s">
        <v>49</v>
      </c>
    </row>
    <row r="843" spans="1:40" x14ac:dyDescent="0.25">
      <c r="A843" t="s">
        <v>3017</v>
      </c>
      <c r="B843" s="1">
        <v>45702</v>
      </c>
      <c r="C84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84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84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43" s="2">
        <f>IFERROR(DATE(Transaction[[#This Row],[TransactionDateY]],Transaction[[#This Row],[TransactionDateM]],Transaction[[#This Row],[TransactionDateD]]),"Missing Value")</f>
        <v>45702</v>
      </c>
      <c r="G843" t="s">
        <v>195</v>
      </c>
      <c r="H843" t="str">
        <f>IFERROR(VLOOKUP(Transaction[[#This Row],[CustomerID]],Custumer[],1,0),IF(LEN(Transaction[[#This Row],[CustomerID]])=7,LEFT(Transaction[[#This Row],[CustomerID]],6),"Invalid ID"))</f>
        <v>C-1015</v>
      </c>
      <c r="I843" t="s">
        <v>29</v>
      </c>
      <c r="J843" t="str">
        <f>TRIM(UPPER(Transaction[[#This Row],[ProductID]]))</f>
        <v>P-SA-001</v>
      </c>
      <c r="K843" t="str">
        <f>IFERROR(VLOOKUP(Transaction[[#This Row],[ProductID_Clean]],Product[],1,FALSE),"Invalid ID")</f>
        <v>P-SA-001</v>
      </c>
      <c r="L843" t="str">
        <f>TRIM(SUBSTITUTE(SUBSTITUTE(SUBSTITUTE(SUBSTITUTE(UPPER(Transaction[[#This Row],[Region]]),"EMEA REGION","EMEA"),"APAC REGION","APAC"),"NORTH AMERICA","N. AMERICA"),"N .AMERICA","N.AMERICA"))</f>
        <v>N. AMERICA</v>
      </c>
      <c r="M843" t="s">
        <v>20</v>
      </c>
      <c r="N843" t="s">
        <v>31</v>
      </c>
      <c r="O84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843" t="s">
        <v>40</v>
      </c>
      <c r="Q843" t="str">
        <f>IF(TRIM(Transaction[[#This Row],[SalesChannel]])="","Missing Value",TRIM(Transaction[[#This Row],[SalesChannel]]))</f>
        <v>Distributor</v>
      </c>
      <c r="R843" s="4">
        <v>1</v>
      </c>
      <c r="S843" s="4" t="str">
        <f>IF(Transaction[[#This Row],[Quantity]]&lt;0,"Negative-review","Valid")</f>
        <v>Valid</v>
      </c>
      <c r="T843">
        <v>2881.59</v>
      </c>
      <c r="U84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2881.59</v>
      </c>
      <c r="V843">
        <v>4200</v>
      </c>
      <c r="W843">
        <v>4200</v>
      </c>
      <c r="X84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843">
        <f>IF(Transaction[[#This Row],[GrossRevenue_Check]]="Invalid",Transaction[[#This Row],[ListPrice]]*Transaction[[#This Row],[Quantity]],Transaction[[#This Row],[GrossRevenue_Clean]])</f>
        <v>4200</v>
      </c>
      <c r="Z843" t="str">
        <f>IF(Transaction[[#This Row],[GrossRevenue_Clean]]=Transaction[[#This Row],[ListPrice]]*Transaction[[#This Row],[Quantity]],"Valid","Invalid")</f>
        <v>Valid</v>
      </c>
      <c r="AA843">
        <v>1318.41</v>
      </c>
      <c r="AB84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1318.41</v>
      </c>
      <c r="AC843">
        <f>IF(Transaction[[#This Row],[DiscountAmount_Check2]]="Invalid",Transaction[[#This Row],[GrossRevenue_Analytical]]-Transaction[[#This Row],[NetRevenue_Analytical]],Transaction[[#This Row],[DiscountAmount_Clean]])</f>
        <v>1318.41</v>
      </c>
      <c r="AD843">
        <v>2881.59</v>
      </c>
      <c r="AE843" t="str">
        <f>IF(ROUND(Transaction[[#This Row],[GrossRevenue_Analytical]]-Transaction[[#This Row],[NetRevenue_Analytical]],2)=ROUND(Transaction[[#This Row],[DiscountAmount_Clean]],2),"Valid","Invalid")</f>
        <v>Valid</v>
      </c>
      <c r="AF843">
        <f>VALUE(IF(ISNUMBER(Transaction[[#This Row],[NetRevenue]]),Transaction[[#This Row],[NetRevenue]],IFERROR(IF(FIND("$",Transaction[[#This Row],[NetRevenue]])&gt;0,MID(Transaction[[#This Row],[NetRevenue]],2,10)),Transaction[[#This Row],[NetRevenue]])))</f>
        <v>2881.59</v>
      </c>
      <c r="AG843">
        <f>IF(Transaction[[#This Row],[NetRevenue_Check]]="Invalid",(Transaction[[#This Row],[Quantity]]*Transaction[[#This Row],[UnitPrice_Clean]]),Transaction[[#This Row],[NetRevenue_Clean]])</f>
        <v>2881.59</v>
      </c>
      <c r="AH843" t="str">
        <f>IF(Transaction[[#This Row],[Quantity]]*Transaction[[#This Row],[UnitPrice_Clean]]=Transaction[[#This Row],[NetRevenue_Clean]],"Valid","Invalid")</f>
        <v>Valid</v>
      </c>
      <c r="AI843" t="s">
        <v>23</v>
      </c>
      <c r="AJ843" t="s">
        <v>2970</v>
      </c>
      <c r="AK843" t="str">
        <f>IF(Transaction[[#This Row],[Salesperson]]="","Missing Value",TRIM(PROPER(Transaction[[#This Row],[Salesperson]])))</f>
        <v>Taylor-Na</v>
      </c>
      <c r="AL843" t="s">
        <v>210</v>
      </c>
      <c r="AM843" t="str">
        <f>IF(Transaction[[#This Row],[ContractType]]="","Missing Value",Transaction[[#This Row],[ContractType]])</f>
        <v>Perpetual</v>
      </c>
      <c r="AN843" t="s">
        <v>26</v>
      </c>
    </row>
    <row r="844" spans="1:40" x14ac:dyDescent="0.25">
      <c r="A844" t="s">
        <v>2188</v>
      </c>
      <c r="B844" t="s">
        <v>2189</v>
      </c>
      <c r="C84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84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84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44" s="2">
        <f>IFERROR(DATE(Transaction[[#This Row],[TransactionDateY]],Transaction[[#This Row],[TransactionDateM]],Transaction[[#This Row],[TransactionDateD]]),"Missing Value")</f>
        <v>45794</v>
      </c>
      <c r="G844" t="s">
        <v>630</v>
      </c>
      <c r="H844" t="str">
        <f>IFERROR(VLOOKUP(Transaction[[#This Row],[CustomerID]],Custumer[],1,0),IF(LEN(Transaction[[#This Row],[CustomerID]])=7,LEFT(Transaction[[#This Row],[CustomerID]],6),"Invalid ID"))</f>
        <v>C-1157</v>
      </c>
      <c r="I844" t="s">
        <v>103</v>
      </c>
      <c r="J844" t="str">
        <f>TRIM(UPPER(Transaction[[#This Row],[ProductID]]))</f>
        <v>P-FS-005</v>
      </c>
      <c r="K844" t="str">
        <f>IFERROR(VLOOKUP(Transaction[[#This Row],[ProductID_Clean]],Product[],1,FALSE),"Invalid ID")</f>
        <v>P-FS-005</v>
      </c>
      <c r="L844" t="str">
        <f>TRIM(SUBSTITUTE(SUBSTITUTE(SUBSTITUTE(SUBSTITUTE(UPPER(Transaction[[#This Row],[Region]]),"EMEA REGION","EMEA"),"APAC REGION","APAC"),"NORTH AMERICA","N. AMERICA"),"N .AMERICA","N.AMERICA"))</f>
        <v>EMEA</v>
      </c>
      <c r="M844" t="s">
        <v>76</v>
      </c>
      <c r="N844" t="s">
        <v>21</v>
      </c>
      <c r="O84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844" t="s">
        <v>40</v>
      </c>
      <c r="Q844" t="str">
        <f>IF(TRIM(Transaction[[#This Row],[SalesChannel]])="","Missing Value",TRIM(Transaction[[#This Row],[SalesChannel]]))</f>
        <v>Distributor</v>
      </c>
      <c r="R844" s="4">
        <v>1</v>
      </c>
      <c r="S844" s="4" t="str">
        <f>IF(Transaction[[#This Row],[Quantity]]&lt;0,"Negative-review","Valid")</f>
        <v>Valid</v>
      </c>
      <c r="T844">
        <v>664.16</v>
      </c>
      <c r="U84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664.16</v>
      </c>
      <c r="V844">
        <v>950</v>
      </c>
      <c r="W844" t="s">
        <v>2190</v>
      </c>
      <c r="X84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844">
        <f>IF(Transaction[[#This Row],[GrossRevenue_Check]]="Invalid",Transaction[[#This Row],[ListPrice]]*Transaction[[#This Row],[Quantity]],Transaction[[#This Row],[GrossRevenue_Clean]])</f>
        <v>950</v>
      </c>
      <c r="Z844" t="str">
        <f>IF(Transaction[[#This Row],[GrossRevenue_Clean]]=Transaction[[#This Row],[ListPrice]]*Transaction[[#This Row],[Quantity]],"Valid","Invalid")</f>
        <v>Valid</v>
      </c>
      <c r="AA844">
        <v>285.83999999999997</v>
      </c>
      <c r="AB84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285.83999999999997</v>
      </c>
      <c r="AC844">
        <f>IF(Transaction[[#This Row],[DiscountAmount_Check2]]="Invalid",Transaction[[#This Row],[GrossRevenue_Analytical]]-Transaction[[#This Row],[NetRevenue_Analytical]],Transaction[[#This Row],[DiscountAmount_Clean]])</f>
        <v>285.83999999999997</v>
      </c>
      <c r="AD844">
        <v>664.16</v>
      </c>
      <c r="AE844" t="str">
        <f>IF(ROUND(Transaction[[#This Row],[GrossRevenue_Analytical]]-Transaction[[#This Row],[NetRevenue_Analytical]],2)=ROUND(Transaction[[#This Row],[DiscountAmount_Clean]],2),"Valid","Invalid")</f>
        <v>Valid</v>
      </c>
      <c r="AF844">
        <f>VALUE(IF(ISNUMBER(Transaction[[#This Row],[NetRevenue]]),Transaction[[#This Row],[NetRevenue]],IFERROR(IF(FIND("$",Transaction[[#This Row],[NetRevenue]])&gt;0,MID(Transaction[[#This Row],[NetRevenue]],2,10)),Transaction[[#This Row],[NetRevenue]])))</f>
        <v>664.16</v>
      </c>
      <c r="AG844">
        <f>IF(Transaction[[#This Row],[NetRevenue_Check]]="Invalid",(Transaction[[#This Row],[Quantity]]*Transaction[[#This Row],[UnitPrice_Clean]]),Transaction[[#This Row],[NetRevenue_Clean]])</f>
        <v>664.16</v>
      </c>
      <c r="AH844" t="str">
        <f>IF(Transaction[[#This Row],[Quantity]]*Transaction[[#This Row],[UnitPrice_Clean]]=Transaction[[#This Row],[NetRevenue_Clean]],"Valid","Invalid")</f>
        <v>Valid</v>
      </c>
      <c r="AI844" t="s">
        <v>23</v>
      </c>
      <c r="AJ844" t="s">
        <v>2191</v>
      </c>
      <c r="AK844" t="str">
        <f>IF(Transaction[[#This Row],[Salesperson]]="","Missing Value",TRIM(PROPER(Transaction[[#This Row],[Salesperson]])))</f>
        <v>May</v>
      </c>
      <c r="AL844" t="s">
        <v>42</v>
      </c>
      <c r="AM844" t="str">
        <f>IF(Transaction[[#This Row],[ContractType]]="","Missing Value",Transaction[[#This Row],[ContractType]])</f>
        <v>Standard PO</v>
      </c>
      <c r="AN844" t="s">
        <v>35</v>
      </c>
    </row>
    <row r="845" spans="1:40" x14ac:dyDescent="0.25">
      <c r="A845" t="s">
        <v>407</v>
      </c>
      <c r="B845" s="1">
        <v>45797</v>
      </c>
      <c r="C84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84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84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45" s="2">
        <f>IFERROR(DATE(Transaction[[#This Row],[TransactionDateY]],Transaction[[#This Row],[TransactionDateM]],Transaction[[#This Row],[TransactionDateD]]),"Missing Value")</f>
        <v>45797</v>
      </c>
      <c r="G845" t="s">
        <v>408</v>
      </c>
      <c r="H845" t="str">
        <f>IFERROR(VLOOKUP(Transaction[[#This Row],[CustomerID]],Custumer[],1,0),IF(LEN(Transaction[[#This Row],[CustomerID]])=7,LEFT(Transaction[[#This Row],[CustomerID]],6),"Invalid ID"))</f>
        <v>C-1093</v>
      </c>
      <c r="I845" t="s">
        <v>46</v>
      </c>
      <c r="J845" t="str">
        <f>TRIM(UPPER(Transaction[[#This Row],[ProductID]]))</f>
        <v>P-SI-006</v>
      </c>
      <c r="K845" t="str">
        <f>IFERROR(VLOOKUP(Transaction[[#This Row],[ProductID_Clean]],Product[],1,FALSE),"Invalid ID")</f>
        <v>P-SI-006</v>
      </c>
      <c r="L845" t="str">
        <f>TRIM(SUBSTITUTE(SUBSTITUTE(SUBSTITUTE(SUBSTITUTE(UPPER(Transaction[[#This Row],[Region]]),"EMEA REGION","EMEA"),"APAC REGION","APAC"),"NORTH AMERICA","N. AMERICA"),"N .AMERICA","N.AMERICA"))</f>
        <v>EMEA</v>
      </c>
      <c r="M845" t="s">
        <v>76</v>
      </c>
      <c r="N845" t="s">
        <v>98</v>
      </c>
      <c r="O84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45" t="s">
        <v>22</v>
      </c>
      <c r="Q845" t="str">
        <f>IF(TRIM(Transaction[[#This Row],[SalesChannel]])="","Missing Value",TRIM(Transaction[[#This Row],[SalesChannel]]))</f>
        <v>Direct</v>
      </c>
      <c r="R845" s="4">
        <v>2</v>
      </c>
      <c r="S845" s="4" t="str">
        <f>IF(Transaction[[#This Row],[Quantity]]&lt;0,"Negative-review","Valid")</f>
        <v>Valid</v>
      </c>
      <c r="T845" t="s">
        <v>409</v>
      </c>
      <c r="U84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182.17</v>
      </c>
      <c r="V845">
        <v>215</v>
      </c>
      <c r="W845">
        <v>430</v>
      </c>
      <c r="X84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845">
        <f>IF(Transaction[[#This Row],[GrossRevenue_Check]]="Invalid",Transaction[[#This Row],[ListPrice]]*Transaction[[#This Row],[Quantity]],Transaction[[#This Row],[GrossRevenue_Clean]])</f>
        <v>430</v>
      </c>
      <c r="Z845" t="str">
        <f>IF(Transaction[[#This Row],[GrossRevenue_Clean]]=Transaction[[#This Row],[ListPrice]]*Transaction[[#This Row],[Quantity]],"Valid","Invalid")</f>
        <v>Valid</v>
      </c>
      <c r="AA845">
        <v>65.66</v>
      </c>
      <c r="AB84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65.66</v>
      </c>
      <c r="AC845">
        <f>IF(Transaction[[#This Row],[DiscountAmount_Check2]]="Invalid",Transaction[[#This Row],[GrossRevenue_Analytical]]-Transaction[[#This Row],[NetRevenue_Analytical]],Transaction[[#This Row],[DiscountAmount_Clean]])</f>
        <v>65.66</v>
      </c>
      <c r="AD845">
        <v>364.34</v>
      </c>
      <c r="AE845" t="str">
        <f>IF(ROUND(Transaction[[#This Row],[GrossRevenue_Analytical]]-Transaction[[#This Row],[NetRevenue_Analytical]],2)=ROUND(Transaction[[#This Row],[DiscountAmount_Clean]],2),"Valid","Invalid")</f>
        <v>Valid</v>
      </c>
      <c r="AF84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364.34</v>
      </c>
      <c r="AG845">
        <f>IF(Transaction[[#This Row],[NetRevenue_Check]]="Invalid",(Transaction[[#This Row],[Quantity]]*Transaction[[#This Row],[UnitPrice_Clean]]),Transaction[[#This Row],[NetRevenue_Clean]])</f>
        <v>364.34</v>
      </c>
      <c r="AH845" t="str">
        <f>IF(Transaction[[#This Row],[Quantity]]*Transaction[[#This Row],[UnitPrice_Clean]]=Transaction[[#This Row],[NetRevenue_Clean]],"Valid","Invalid")</f>
        <v>Valid</v>
      </c>
      <c r="AI845" t="s">
        <v>23</v>
      </c>
      <c r="AJ845" t="s">
        <v>410</v>
      </c>
      <c r="AK845" t="str">
        <f>IF(Transaction[[#This Row],[Salesperson]]="","Missing Value",TRIM(PROPER(Transaction[[#This Row],[Salesperson]])))</f>
        <v>Daniel</v>
      </c>
      <c r="AL845" t="s">
        <v>42</v>
      </c>
      <c r="AM845" t="str">
        <f>IF(Transaction[[#This Row],[ContractType]]="","Missing Value",Transaction[[#This Row],[ContractType]])</f>
        <v>Standard PO</v>
      </c>
      <c r="AN845" t="s">
        <v>49</v>
      </c>
    </row>
    <row r="846" spans="1:40" x14ac:dyDescent="0.25">
      <c r="A846" t="s">
        <v>1793</v>
      </c>
      <c r="B846" s="1">
        <v>45831</v>
      </c>
      <c r="C84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84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84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46" s="2">
        <f>IFERROR(DATE(Transaction[[#This Row],[TransactionDateY]],Transaction[[#This Row],[TransactionDateM]],Transaction[[#This Row],[TransactionDateD]]),"Missing Value")</f>
        <v>45831</v>
      </c>
      <c r="G846" t="s">
        <v>374</v>
      </c>
      <c r="H846" t="str">
        <f>IFERROR(VLOOKUP(Transaction[[#This Row],[CustomerID]],Custumer[],1,0),IF(LEN(Transaction[[#This Row],[CustomerID]])=7,LEFT(Transaction[[#This Row],[CustomerID]],6),"Invalid ID"))</f>
        <v>C-1102</v>
      </c>
      <c r="I846" t="s">
        <v>258</v>
      </c>
      <c r="J846" t="str">
        <f>TRIM(UPPER(Transaction[[#This Row],[ProductID]]))</f>
        <v>P-SA-003</v>
      </c>
      <c r="K846" t="str">
        <f>IFERROR(VLOOKUP(Transaction[[#This Row],[ProductID_Clean]],Product[],1,FALSE),"Invalid ID")</f>
        <v>P-SA-003</v>
      </c>
      <c r="L846" t="str">
        <f>TRIM(SUBSTITUTE(SUBSTITUTE(SUBSTITUTE(SUBSTITUTE(UPPER(Transaction[[#This Row],[Region]]),"EMEA REGION","EMEA"),"APAC REGION","APAC"),"NORTH AMERICA","N. AMERICA"),"N .AMERICA","N.AMERICA"))</f>
        <v>LATIN AMERICA</v>
      </c>
      <c r="M846" t="s">
        <v>82</v>
      </c>
      <c r="N846" t="s">
        <v>31</v>
      </c>
      <c r="O84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846" t="s">
        <v>22</v>
      </c>
      <c r="Q846" t="str">
        <f>IF(TRIM(Transaction[[#This Row],[SalesChannel]])="","Missing Value",TRIM(Transaction[[#This Row],[SalesChannel]]))</f>
        <v>Direct</v>
      </c>
      <c r="R846" s="4">
        <v>1</v>
      </c>
      <c r="S846" s="4" t="str">
        <f>IF(Transaction[[#This Row],[Quantity]]&lt;0,"Negative-review","Valid")</f>
        <v>Valid</v>
      </c>
      <c r="T846">
        <v>2482.1</v>
      </c>
      <c r="U84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2482.1</v>
      </c>
      <c r="V846">
        <v>2750</v>
      </c>
      <c r="W846">
        <v>2750</v>
      </c>
      <c r="X84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846">
        <f>IF(Transaction[[#This Row],[GrossRevenue_Check]]="Invalid",Transaction[[#This Row],[ListPrice]]*Transaction[[#This Row],[Quantity]],Transaction[[#This Row],[GrossRevenue_Clean]])</f>
        <v>2750</v>
      </c>
      <c r="Z846" t="str">
        <f>IF(Transaction[[#This Row],[GrossRevenue_Clean]]=Transaction[[#This Row],[ListPrice]]*Transaction[[#This Row],[Quantity]],"Valid","Invalid")</f>
        <v>Valid</v>
      </c>
      <c r="AA846">
        <v>267.89999999999998</v>
      </c>
      <c r="AB84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267.89999999999998</v>
      </c>
      <c r="AC846">
        <f>IF(Transaction[[#This Row],[DiscountAmount_Check2]]="Invalid",Transaction[[#This Row],[GrossRevenue_Analytical]]-Transaction[[#This Row],[NetRevenue_Analytical]],Transaction[[#This Row],[DiscountAmount_Clean]])</f>
        <v>267.89999999999998</v>
      </c>
      <c r="AD846">
        <v>2482.1</v>
      </c>
      <c r="AE846" t="str">
        <f>IF(ROUND(Transaction[[#This Row],[GrossRevenue_Analytical]]-Transaction[[#This Row],[NetRevenue_Analytical]],2)=ROUND(Transaction[[#This Row],[DiscountAmount_Clean]],2),"Valid","Invalid")</f>
        <v>Valid</v>
      </c>
      <c r="AF846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2482.1</v>
      </c>
      <c r="AG846">
        <f>IF(Transaction[[#This Row],[NetRevenue_Check]]="Invalid",(Transaction[[#This Row],[Quantity]]*Transaction[[#This Row],[UnitPrice_Clean]]),Transaction[[#This Row],[NetRevenue_Clean]])</f>
        <v>2482.1</v>
      </c>
      <c r="AH846" t="str">
        <f>IF(Transaction[[#This Row],[Quantity]]*Transaction[[#This Row],[UnitPrice_Clean]]=Transaction[[#This Row],[NetRevenue_Clean]],"Valid","Invalid")</f>
        <v>Valid</v>
      </c>
      <c r="AI846" t="s">
        <v>23</v>
      </c>
      <c r="AJ846" t="s">
        <v>1794</v>
      </c>
      <c r="AK846" t="str">
        <f>IF(Transaction[[#This Row],[Salesperson]]="","Missing Value",TRIM(PROPER(Transaction[[#This Row],[Salesperson]])))</f>
        <v>Stuart-Ap</v>
      </c>
      <c r="AL846" t="s">
        <v>34</v>
      </c>
      <c r="AM846" t="str">
        <f>IF(Transaction[[#This Row],[ContractType]]="","Missing Value",Transaction[[#This Row],[ContractType]])</f>
        <v>Annual License</v>
      </c>
      <c r="AN846" t="s">
        <v>49</v>
      </c>
    </row>
    <row r="847" spans="1:40" x14ac:dyDescent="0.25">
      <c r="A847" t="s">
        <v>2075</v>
      </c>
      <c r="B847" s="1">
        <v>45832</v>
      </c>
      <c r="C84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84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84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47" s="2">
        <f>IFERROR(DATE(Transaction[[#This Row],[TransactionDateY]],Transaction[[#This Row],[TransactionDateM]],Transaction[[#This Row],[TransactionDateD]]),"Missing Value")</f>
        <v>45832</v>
      </c>
      <c r="G847" t="s">
        <v>2076</v>
      </c>
      <c r="H847" t="str">
        <f>IFERROR(VLOOKUP(Transaction[[#This Row],[CustomerID]],Custumer[],1,0),IF(LEN(Transaction[[#This Row],[CustomerID]])=7,LEFT(Transaction[[#This Row],[CustomerID]],6),"Invalid ID"))</f>
        <v>C-1019</v>
      </c>
      <c r="I847" t="s">
        <v>39</v>
      </c>
      <c r="J847" t="str">
        <f>TRIM(UPPER(Transaction[[#This Row],[ProductID]]))</f>
        <v>P-FS-006</v>
      </c>
      <c r="K847" t="str">
        <f>IFERROR(VLOOKUP(Transaction[[#This Row],[ProductID_Clean]],Product[],1,FALSE),"Invalid ID")</f>
        <v>P-FS-006</v>
      </c>
      <c r="L847" t="str">
        <f>TRIM(SUBSTITUTE(SUBSTITUTE(SUBSTITUTE(SUBSTITUTE(UPPER(Transaction[[#This Row],[Region]]),"EMEA REGION","EMEA"),"APAC REGION","APAC"),"NORTH AMERICA","N. AMERICA"),"N .AMERICA","N.AMERICA"))</f>
        <v>APAC</v>
      </c>
      <c r="M847" t="s">
        <v>127</v>
      </c>
      <c r="N847" t="s">
        <v>771</v>
      </c>
      <c r="O847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Q847" t="str">
        <f>IF(TRIM(Transaction[[#This Row],[SalesChannel]])="","Missing Value",TRIM(Transaction[[#This Row],[SalesChannel]]))</f>
        <v>Missing Value</v>
      </c>
      <c r="R847" s="4">
        <v>1</v>
      </c>
      <c r="S847" s="4" t="str">
        <f>IF(Transaction[[#This Row],[Quantity]]&lt;0,"Negative-review","Valid")</f>
        <v>Valid</v>
      </c>
      <c r="T847">
        <v>1331.13</v>
      </c>
      <c r="U84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1331.13</v>
      </c>
      <c r="V847">
        <v>1450</v>
      </c>
      <c r="W847">
        <v>1450</v>
      </c>
      <c r="X84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847">
        <f>IF(Transaction[[#This Row],[GrossRevenue_Check]]="Invalid",Transaction[[#This Row],[ListPrice]]*Transaction[[#This Row],[Quantity]],Transaction[[#This Row],[GrossRevenue_Clean]])</f>
        <v>1450</v>
      </c>
      <c r="Z847" t="str">
        <f>IF(Transaction[[#This Row],[GrossRevenue_Clean]]=Transaction[[#This Row],[ListPrice]]*Transaction[[#This Row],[Quantity]],"Valid","Invalid")</f>
        <v>Valid</v>
      </c>
      <c r="AA847">
        <v>118.87</v>
      </c>
      <c r="AB84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118.87</v>
      </c>
      <c r="AC847">
        <f>IF(Transaction[[#This Row],[DiscountAmount_Check2]]="Invalid",Transaction[[#This Row],[GrossRevenue_Analytical]]-Transaction[[#This Row],[NetRevenue_Analytical]],Transaction[[#This Row],[DiscountAmount_Clean]])</f>
        <v>118.87</v>
      </c>
      <c r="AD847">
        <v>1331.13</v>
      </c>
      <c r="AE847" t="str">
        <f>IF(ROUND(Transaction[[#This Row],[GrossRevenue_Analytical]]-Transaction[[#This Row],[NetRevenue_Analytical]],2)=ROUND(Transaction[[#This Row],[DiscountAmount_Clean]],2),"Valid","Invalid")</f>
        <v>Valid</v>
      </c>
      <c r="AF84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1331.13</v>
      </c>
      <c r="AG847">
        <f>IF(Transaction[[#This Row],[NetRevenue_Check]]="Invalid",(Transaction[[#This Row],[Quantity]]*Transaction[[#This Row],[UnitPrice_Clean]]),Transaction[[#This Row],[NetRevenue_Clean]])</f>
        <v>1331.13</v>
      </c>
      <c r="AH847" t="str">
        <f>IF(Transaction[[#This Row],[Quantity]]*Transaction[[#This Row],[UnitPrice_Clean]]=Transaction[[#This Row],[NetRevenue_Clean]],"Valid","Invalid")</f>
        <v>Valid</v>
      </c>
      <c r="AI847" t="s">
        <v>128</v>
      </c>
      <c r="AJ847" t="s">
        <v>1256</v>
      </c>
      <c r="AK847" t="str">
        <f>IF(Transaction[[#This Row],[Salesperson]]="","Missing Value",TRIM(PROPER(Transaction[[#This Row],[Salesperson]])))</f>
        <v>Brooks-Ap</v>
      </c>
      <c r="AL847" t="s">
        <v>55</v>
      </c>
      <c r="AM847" t="str">
        <f>IF(Transaction[[#This Row],[ContractType]]="","Missing Value",Transaction[[#This Row],[ContractType]])</f>
        <v>Spot</v>
      </c>
      <c r="AN847" t="s">
        <v>49</v>
      </c>
    </row>
    <row r="848" spans="1:40" x14ac:dyDescent="0.25">
      <c r="A848" t="s">
        <v>597</v>
      </c>
      <c r="B848" t="s">
        <v>598</v>
      </c>
      <c r="C84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84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84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48" s="2">
        <f>IFERROR(DATE(Transaction[[#This Row],[TransactionDateY]],Transaction[[#This Row],[TransactionDateM]],Transaction[[#This Row],[TransactionDateD]]),"Missing Value")</f>
        <v>45835</v>
      </c>
      <c r="G848" t="s">
        <v>247</v>
      </c>
      <c r="H848" t="str">
        <f>IFERROR(VLOOKUP(Transaction[[#This Row],[CustomerID]],Custumer[],1,0),IF(LEN(Transaction[[#This Row],[CustomerID]])=7,LEFT(Transaction[[#This Row],[CustomerID]],6),"Invalid ID"))</f>
        <v>C-1045</v>
      </c>
      <c r="I848" t="s">
        <v>46</v>
      </c>
      <c r="J848" t="str">
        <f>TRIM(UPPER(Transaction[[#This Row],[ProductID]]))</f>
        <v>P-SI-006</v>
      </c>
      <c r="K848" t="str">
        <f>IFERROR(VLOOKUP(Transaction[[#This Row],[ProductID_Clean]],Product[],1,FALSE),"Invalid ID")</f>
        <v>P-SI-006</v>
      </c>
      <c r="L848" t="str">
        <f>TRIM(SUBSTITUTE(SUBSTITUTE(SUBSTITUTE(SUBSTITUTE(UPPER(Transaction[[#This Row],[Region]]),"EMEA REGION","EMEA"),"APAC REGION","APAC"),"NORTH AMERICA","N. AMERICA"),"N .AMERICA","N.AMERICA"))</f>
        <v>EMEA</v>
      </c>
      <c r="M848" t="s">
        <v>76</v>
      </c>
      <c r="N848" t="s">
        <v>47</v>
      </c>
      <c r="O84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48" t="s">
        <v>22</v>
      </c>
      <c r="Q848" t="str">
        <f>IF(TRIM(Transaction[[#This Row],[SalesChannel]])="","Missing Value",TRIM(Transaction[[#This Row],[SalesChannel]]))</f>
        <v>Direct</v>
      </c>
      <c r="R848" s="4">
        <v>1</v>
      </c>
      <c r="S848" s="4" t="str">
        <f>IF(Transaction[[#This Row],[Quantity]]&lt;0,"Negative-review","Valid")</f>
        <v>Valid</v>
      </c>
      <c r="T848">
        <v>166.03</v>
      </c>
      <c r="U84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166.03</v>
      </c>
      <c r="V848">
        <v>215</v>
      </c>
      <c r="W848">
        <v>215</v>
      </c>
      <c r="X84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848">
        <f>IF(Transaction[[#This Row],[GrossRevenue_Check]]="Invalid",Transaction[[#This Row],[ListPrice]]*Transaction[[#This Row],[Quantity]],Transaction[[#This Row],[GrossRevenue_Clean]])</f>
        <v>215</v>
      </c>
      <c r="Z848" t="str">
        <f>IF(Transaction[[#This Row],[GrossRevenue_Clean]]=Transaction[[#This Row],[ListPrice]]*Transaction[[#This Row],[Quantity]],"Valid","Invalid")</f>
        <v>Valid</v>
      </c>
      <c r="AA848">
        <v>48.97</v>
      </c>
      <c r="AB84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48.97</v>
      </c>
      <c r="AC848">
        <f>IF(Transaction[[#This Row],[DiscountAmount_Check2]]="Invalid",Transaction[[#This Row],[GrossRevenue_Analytical]]-Transaction[[#This Row],[NetRevenue_Analytical]],Transaction[[#This Row],[DiscountAmount_Clean]])</f>
        <v>48.97</v>
      </c>
      <c r="AD848">
        <v>166.03</v>
      </c>
      <c r="AE848" t="str">
        <f>IF(ROUND(Transaction[[#This Row],[GrossRevenue_Analytical]]-Transaction[[#This Row],[NetRevenue_Analytical]],2)=ROUND(Transaction[[#This Row],[DiscountAmount_Clean]],2),"Valid","Invalid")</f>
        <v>Valid</v>
      </c>
      <c r="AF84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166.03</v>
      </c>
      <c r="AG848">
        <f>IF(Transaction[[#This Row],[NetRevenue_Check]]="Invalid",(Transaction[[#This Row],[Quantity]]*Transaction[[#This Row],[UnitPrice_Clean]]),Transaction[[#This Row],[NetRevenue_Clean]])</f>
        <v>166.03</v>
      </c>
      <c r="AH848" t="str">
        <f>IF(Transaction[[#This Row],[Quantity]]*Transaction[[#This Row],[UnitPrice_Clean]]=Transaction[[#This Row],[NetRevenue_Clean]],"Valid","Invalid")</f>
        <v>Valid</v>
      </c>
      <c r="AI848" t="s">
        <v>23</v>
      </c>
      <c r="AJ848" t="s">
        <v>599</v>
      </c>
      <c r="AK848" t="str">
        <f>IF(Transaction[[#This Row],[Salesperson]]="","Missing Value",TRIM(PROPER(Transaction[[#This Row],[Salesperson]])))</f>
        <v>Vance-Na</v>
      </c>
      <c r="AL848" t="s">
        <v>25</v>
      </c>
      <c r="AM848" t="str">
        <f>IF(Transaction[[#This Row],[ContractType]]="","Missing Value",Transaction[[#This Row],[ContractType]])</f>
        <v>Frame Agreement</v>
      </c>
      <c r="AN848" t="s">
        <v>35</v>
      </c>
    </row>
    <row r="849" spans="1:40" x14ac:dyDescent="0.25">
      <c r="A849" t="s">
        <v>1852</v>
      </c>
      <c r="B849" s="1">
        <v>45707</v>
      </c>
      <c r="C84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84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84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49" s="2">
        <f>IFERROR(DATE(Transaction[[#This Row],[TransactionDateY]],Transaction[[#This Row],[TransactionDateM]],Transaction[[#This Row],[TransactionDateD]]),"Missing Value")</f>
        <v>45707</v>
      </c>
      <c r="G849" t="s">
        <v>1578</v>
      </c>
      <c r="H849" t="str">
        <f>IFERROR(VLOOKUP(Transaction[[#This Row],[CustomerID]],Custumer[],1,0),IF(LEN(Transaction[[#This Row],[CustomerID]])=7,LEFT(Transaction[[#This Row],[CustomerID]],6),"Invalid ID"))</f>
        <v>C-1031</v>
      </c>
      <c r="I849" t="s">
        <v>226</v>
      </c>
      <c r="J849" t="str">
        <f>TRIM(UPPER(Transaction[[#This Row],[ProductID]]))</f>
        <v>P-SA-002</v>
      </c>
      <c r="K849" t="str">
        <f>IFERROR(VLOOKUP(Transaction[[#This Row],[ProductID_Clean]],Product[],1,FALSE),"Invalid ID")</f>
        <v>P-SA-002</v>
      </c>
      <c r="L849" t="str">
        <f>TRIM(SUBSTITUTE(SUBSTITUTE(SUBSTITUTE(SUBSTITUTE(UPPER(Transaction[[#This Row],[Region]]),"EMEA REGION","EMEA"),"APAC REGION","APAC"),"NORTH AMERICA","N. AMERICA"),"N .AMERICA","N.AMERICA"))</f>
        <v>N. AMERICA</v>
      </c>
      <c r="M849" t="s">
        <v>168</v>
      </c>
      <c r="N849" t="s">
        <v>572</v>
      </c>
      <c r="O84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849" t="s">
        <v>22</v>
      </c>
      <c r="Q849" t="str">
        <f>IF(TRIM(Transaction[[#This Row],[SalesChannel]])="","Missing Value",TRIM(Transaction[[#This Row],[SalesChannel]]))</f>
        <v>Direct</v>
      </c>
      <c r="R849" s="4">
        <v>1</v>
      </c>
      <c r="S849" s="4" t="str">
        <f>IF(Transaction[[#This Row],[Quantity]]&lt;0,"Negative-review","Valid")</f>
        <v>Valid</v>
      </c>
      <c r="T849">
        <v>8565.27</v>
      </c>
      <c r="U84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8565.27</v>
      </c>
      <c r="V849">
        <v>9800</v>
      </c>
      <c r="W849">
        <v>9800</v>
      </c>
      <c r="X84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849">
        <f>IF(Transaction[[#This Row],[GrossRevenue_Check]]="Invalid",Transaction[[#This Row],[ListPrice]]*Transaction[[#This Row],[Quantity]],Transaction[[#This Row],[GrossRevenue_Clean]])</f>
        <v>9800</v>
      </c>
      <c r="Z849" t="str">
        <f>IF(Transaction[[#This Row],[GrossRevenue_Clean]]=Transaction[[#This Row],[ListPrice]]*Transaction[[#This Row],[Quantity]],"Valid","Invalid")</f>
        <v>Valid</v>
      </c>
      <c r="AA849">
        <v>1234.73</v>
      </c>
      <c r="AB84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1234.73</v>
      </c>
      <c r="AC849">
        <f>IF(Transaction[[#This Row],[DiscountAmount_Check2]]="Invalid",Transaction[[#This Row],[GrossRevenue_Analytical]]-Transaction[[#This Row],[NetRevenue_Analytical]],Transaction[[#This Row],[DiscountAmount_Clean]])</f>
        <v>1234.73</v>
      </c>
      <c r="AD849">
        <v>8565.27</v>
      </c>
      <c r="AE849" t="str">
        <f>IF(ROUND(Transaction[[#This Row],[GrossRevenue_Analytical]]-Transaction[[#This Row],[NetRevenue_Analytical]],2)=ROUND(Transaction[[#This Row],[DiscountAmount_Clean]],2),"Valid","Invalid")</f>
        <v>Valid</v>
      </c>
      <c r="AF849">
        <f>VALUE(IF(ISNUMBER(Transaction[[#This Row],[NetRevenue]]),Transaction[[#This Row],[NetRevenue]],IFERROR(IF(FIND("$",Transaction[[#This Row],[NetRevenue]])&gt;0,MID(Transaction[[#This Row],[NetRevenue]],2,10)),Transaction[[#This Row],[NetRevenue]])))</f>
        <v>8565.27</v>
      </c>
      <c r="AG849">
        <f>IF(Transaction[[#This Row],[NetRevenue_Check]]="Invalid",(Transaction[[#This Row],[Quantity]]*Transaction[[#This Row],[UnitPrice_Clean]]),Transaction[[#This Row],[NetRevenue_Clean]])</f>
        <v>8565.27</v>
      </c>
      <c r="AH849" t="str">
        <f>IF(Transaction[[#This Row],[Quantity]]*Transaction[[#This Row],[UnitPrice_Clean]]=Transaction[[#This Row],[NetRevenue_Clean]],"Valid","Invalid")</f>
        <v>Valid</v>
      </c>
      <c r="AI849" t="s">
        <v>23</v>
      </c>
      <c r="AJ849" t="s">
        <v>1853</v>
      </c>
      <c r="AK849" t="str">
        <f>IF(Transaction[[#This Row],[Salesperson]]="","Missing Value",TRIM(PROPER(Transaction[[#This Row],[Salesperson]])))</f>
        <v>West</v>
      </c>
      <c r="AL849" t="s">
        <v>210</v>
      </c>
      <c r="AM849" t="str">
        <f>IF(Transaction[[#This Row],[ContractType]]="","Missing Value",Transaction[[#This Row],[ContractType]])</f>
        <v>Perpetual</v>
      </c>
      <c r="AN849" t="s">
        <v>65</v>
      </c>
    </row>
    <row r="850" spans="1:40" x14ac:dyDescent="0.25">
      <c r="A850" t="s">
        <v>1542</v>
      </c>
      <c r="B850" s="1">
        <v>45729</v>
      </c>
      <c r="C85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85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85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50" s="2">
        <f>IFERROR(DATE(Transaction[[#This Row],[TransactionDateY]],Transaction[[#This Row],[TransactionDateM]],Transaction[[#This Row],[TransactionDateD]]),"Missing Value")</f>
        <v>45729</v>
      </c>
      <c r="G850" t="s">
        <v>345</v>
      </c>
      <c r="H850" t="str">
        <f>IFERROR(VLOOKUP(Transaction[[#This Row],[CustomerID]],Custumer[],1,0),IF(LEN(Transaction[[#This Row],[CustomerID]])=7,LEFT(Transaction[[#This Row],[CustomerID]],6),"Invalid ID"))</f>
        <v>C-1125</v>
      </c>
      <c r="I850" t="s">
        <v>46</v>
      </c>
      <c r="J850" t="str">
        <f>TRIM(UPPER(Transaction[[#This Row],[ProductID]]))</f>
        <v>P-SI-006</v>
      </c>
      <c r="K850" t="str">
        <f>IFERROR(VLOOKUP(Transaction[[#This Row],[ProductID_Clean]],Product[],1,FALSE),"Invalid ID")</f>
        <v>P-SI-006</v>
      </c>
      <c r="L850" t="str">
        <f>TRIM(SUBSTITUTE(SUBSTITUTE(SUBSTITUTE(SUBSTITUTE(UPPER(Transaction[[#This Row],[Region]]),"EMEA REGION","EMEA"),"APAC REGION","APAC"),"NORTH AMERICA","N. AMERICA"),"N .AMERICA","N.AMERICA"))</f>
        <v>N. AMERICA</v>
      </c>
      <c r="M850" t="s">
        <v>20</v>
      </c>
      <c r="N850" t="s">
        <v>53</v>
      </c>
      <c r="O85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50" t="s">
        <v>77</v>
      </c>
      <c r="Q850" t="str">
        <f>IF(TRIM(Transaction[[#This Row],[SalesChannel]])="","Missing Value",TRIM(Transaction[[#This Row],[SalesChannel]]))</f>
        <v>distributor</v>
      </c>
      <c r="R850" s="4">
        <v>12</v>
      </c>
      <c r="S850" s="4" t="str">
        <f>IF(Transaction[[#This Row],[Quantity]]&lt;0,"Negative-review","Valid")</f>
        <v>Valid</v>
      </c>
      <c r="T850">
        <v>174.02</v>
      </c>
      <c r="U85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174.02</v>
      </c>
      <c r="V850">
        <v>215</v>
      </c>
      <c r="W850">
        <v>2580</v>
      </c>
      <c r="X85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2580</v>
      </c>
      <c r="Y850">
        <f>IF(Transaction[[#This Row],[GrossRevenue_Check]]="Invalid",Transaction[[#This Row],[ListPrice]]*Transaction[[#This Row],[Quantity]],Transaction[[#This Row],[GrossRevenue_Clean]])</f>
        <v>2580</v>
      </c>
      <c r="Z850" t="str">
        <f>IF(Transaction[[#This Row],[GrossRevenue_Clean]]=Transaction[[#This Row],[ListPrice]]*Transaction[[#This Row],[Quantity]],"Valid","Invalid")</f>
        <v>Valid</v>
      </c>
      <c r="AA850">
        <v>491.76</v>
      </c>
      <c r="AB85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491.76</v>
      </c>
      <c r="AC850">
        <f>IF(Transaction[[#This Row],[DiscountAmount_Check2]]="Invalid",Transaction[[#This Row],[GrossRevenue_Analytical]]-Transaction[[#This Row],[NetRevenue_Analytical]],Transaction[[#This Row],[DiscountAmount_Clean]])</f>
        <v>491.76</v>
      </c>
      <c r="AD850">
        <v>2088.2399999999998</v>
      </c>
      <c r="AE850" t="str">
        <f>IF(ROUND(Transaction[[#This Row],[GrossRevenue_Analytical]]-Transaction[[#This Row],[NetRevenue_Analytical]],2)=ROUND(Transaction[[#This Row],[DiscountAmount_Clean]],2),"Valid","Invalid")</f>
        <v>Valid</v>
      </c>
      <c r="AF85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2088.2399999999998</v>
      </c>
      <c r="AG850">
        <f>IF(Transaction[[#This Row],[NetRevenue_Check]]="Invalid",(Transaction[[#This Row],[Quantity]]*Transaction[[#This Row],[UnitPrice_Clean]]),Transaction[[#This Row],[NetRevenue_Clean]])</f>
        <v>2088.2399999999998</v>
      </c>
      <c r="AH850" t="str">
        <f>IF(Transaction[[#This Row],[Quantity]]*Transaction[[#This Row],[UnitPrice_Clean]]=Transaction[[#This Row],[NetRevenue_Clean]],"Valid","Invalid")</f>
        <v>Valid</v>
      </c>
      <c r="AI850" t="s">
        <v>99</v>
      </c>
      <c r="AJ850" t="s">
        <v>1543</v>
      </c>
      <c r="AK850" t="str">
        <f>IF(Transaction[[#This Row],[Salesperson]]="","Missing Value",TRIM(PROPER(Transaction[[#This Row],[Salesperson]])))</f>
        <v>Stark-Em</v>
      </c>
      <c r="AL850" t="s">
        <v>55</v>
      </c>
      <c r="AM850" t="str">
        <f>IF(Transaction[[#This Row],[ContractType]]="","Missing Value",Transaction[[#This Row],[ContractType]])</f>
        <v>Spot</v>
      </c>
      <c r="AN850" t="s">
        <v>49</v>
      </c>
    </row>
    <row r="851" spans="1:40" x14ac:dyDescent="0.25">
      <c r="A851" t="s">
        <v>651</v>
      </c>
      <c r="B851" s="1">
        <v>45734</v>
      </c>
      <c r="C85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85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85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51" s="2">
        <f>IFERROR(DATE(Transaction[[#This Row],[TransactionDateY]],Transaction[[#This Row],[TransactionDateM]],Transaction[[#This Row],[TransactionDateD]]),"Missing Value")</f>
        <v>45734</v>
      </c>
      <c r="G851" t="s">
        <v>652</v>
      </c>
      <c r="H851" t="str">
        <f>IFERROR(VLOOKUP(Transaction[[#This Row],[CustomerID]],Custumer[],1,0),IF(LEN(Transaction[[#This Row],[CustomerID]])=7,LEFT(Transaction[[#This Row],[CustomerID]],6),"Invalid ID"))</f>
        <v>C-1049</v>
      </c>
      <c r="I851" t="s">
        <v>75</v>
      </c>
      <c r="J851" t="str">
        <f>TRIM(UPPER(Transaction[[#This Row],[ProductID]]))</f>
        <v>P-SA-005</v>
      </c>
      <c r="K851" t="str">
        <f>IFERROR(VLOOKUP(Transaction[[#This Row],[ProductID_Clean]],Product[],1,FALSE),"Invalid ID")</f>
        <v>P-SA-005</v>
      </c>
      <c r="L851" t="str">
        <f>TRIM(SUBSTITUTE(SUBSTITUTE(SUBSTITUTE(SUBSTITUTE(UPPER(Transaction[[#This Row],[Region]]),"EMEA REGION","EMEA"),"APAC REGION","APAC"),"NORTH AMERICA","N. AMERICA"),"N .AMERICA","N.AMERICA"))</f>
        <v>LATIN AMERICA</v>
      </c>
      <c r="M851" t="s">
        <v>82</v>
      </c>
      <c r="N851" t="s">
        <v>31</v>
      </c>
      <c r="O85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851" t="s">
        <v>22</v>
      </c>
      <c r="Q851" t="str">
        <f>IF(TRIM(Transaction[[#This Row],[SalesChannel]])="","Missing Value",TRIM(Transaction[[#This Row],[SalesChannel]]))</f>
        <v>Direct</v>
      </c>
      <c r="R851" s="4">
        <v>5</v>
      </c>
      <c r="S851" s="4" t="str">
        <f>IF(Transaction[[#This Row],[Quantity]]&lt;0,"Negative-review","Valid")</f>
        <v>Valid</v>
      </c>
      <c r="T851">
        <v>2947.07</v>
      </c>
      <c r="U85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2947.07</v>
      </c>
      <c r="V851">
        <v>3200</v>
      </c>
      <c r="W851">
        <v>16000</v>
      </c>
      <c r="X85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16000</v>
      </c>
      <c r="Y851">
        <f>IF(Transaction[[#This Row],[GrossRevenue_Check]]="Invalid",Transaction[[#This Row],[ListPrice]]*Transaction[[#This Row],[Quantity]],Transaction[[#This Row],[GrossRevenue_Clean]])</f>
        <v>16000</v>
      </c>
      <c r="Z851" t="str">
        <f>IF(Transaction[[#This Row],[GrossRevenue_Clean]]=Transaction[[#This Row],[ListPrice]]*Transaction[[#This Row],[Quantity]],"Valid","Invalid")</f>
        <v>Valid</v>
      </c>
      <c r="AA851">
        <v>1264.6500000000001</v>
      </c>
      <c r="AB85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1264.6500000000001</v>
      </c>
      <c r="AC851">
        <f>IF(Transaction[[#This Row],[DiscountAmount_Check2]]="Invalid",Transaction[[#This Row],[GrossRevenue_Analytical]]-Transaction[[#This Row],[NetRevenue_Analytical]],Transaction[[#This Row],[DiscountAmount_Clean]])</f>
        <v>1264.6500000000001</v>
      </c>
      <c r="AD851">
        <v>14735.35</v>
      </c>
      <c r="AE851" t="str">
        <f>IF(ROUND(Transaction[[#This Row],[GrossRevenue_Analytical]]-Transaction[[#This Row],[NetRevenue_Analytical]],2)=ROUND(Transaction[[#This Row],[DiscountAmount_Clean]],2),"Valid","Invalid")</f>
        <v>Valid</v>
      </c>
      <c r="AF85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14735.35</v>
      </c>
      <c r="AG851">
        <f>IF(Transaction[[#This Row],[NetRevenue_Check]]="Invalid",(Transaction[[#This Row],[Quantity]]*Transaction[[#This Row],[UnitPrice_Clean]]),Transaction[[#This Row],[NetRevenue_Clean]])</f>
        <v>14735.35</v>
      </c>
      <c r="AH851" t="str">
        <f>IF(Transaction[[#This Row],[Quantity]]*Transaction[[#This Row],[UnitPrice_Clean]]=Transaction[[#This Row],[NetRevenue_Clean]],"Valid","Invalid")</f>
        <v>Valid</v>
      </c>
      <c r="AI851" t="s">
        <v>23</v>
      </c>
      <c r="AJ851" t="s">
        <v>653</v>
      </c>
      <c r="AK851" t="str">
        <f>IF(Transaction[[#This Row],[Salesperson]]="","Missing Value",TRIM(PROPER(Transaction[[#This Row],[Salesperson]])))</f>
        <v>Bennett</v>
      </c>
      <c r="AL851" t="s">
        <v>34</v>
      </c>
      <c r="AM851" t="str">
        <f>IF(Transaction[[#This Row],[ContractType]]="","Missing Value",Transaction[[#This Row],[ContractType]])</f>
        <v>Annual License</v>
      </c>
      <c r="AN851" t="s">
        <v>65</v>
      </c>
    </row>
    <row r="852" spans="1:40" x14ac:dyDescent="0.25">
      <c r="A852" t="s">
        <v>1960</v>
      </c>
      <c r="B852" s="1">
        <v>45734</v>
      </c>
      <c r="C85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85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85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52" s="2">
        <f>IFERROR(DATE(Transaction[[#This Row],[TransactionDateY]],Transaction[[#This Row],[TransactionDateM]],Transaction[[#This Row],[TransactionDateD]]),"Missing Value")</f>
        <v>45734</v>
      </c>
      <c r="G852" t="s">
        <v>580</v>
      </c>
      <c r="H852" t="str">
        <f>IFERROR(VLOOKUP(Transaction[[#This Row],[CustomerID]],Custumer[],1,0),IF(LEN(Transaction[[#This Row],[CustomerID]])=7,LEFT(Transaction[[#This Row],[CustomerID]],6),"Invalid ID"))</f>
        <v>C-1053</v>
      </c>
      <c r="I852" t="s">
        <v>46</v>
      </c>
      <c r="J852" t="str">
        <f>TRIM(UPPER(Transaction[[#This Row],[ProductID]]))</f>
        <v>P-SI-006</v>
      </c>
      <c r="K852" t="str">
        <f>IFERROR(VLOOKUP(Transaction[[#This Row],[ProductID_Clean]],Product[],1,FALSE),"Invalid ID")</f>
        <v>P-SI-006</v>
      </c>
      <c r="L852" t="str">
        <f>TRIM(SUBSTITUTE(SUBSTITUTE(SUBSTITUTE(SUBSTITUTE(UPPER(Transaction[[#This Row],[Region]]),"EMEA REGION","EMEA"),"APAC REGION","APAC"),"NORTH AMERICA","N. AMERICA"),"N .AMERICA","N.AMERICA"))</f>
        <v>LATIN AMERICA</v>
      </c>
      <c r="M852" t="s">
        <v>82</v>
      </c>
      <c r="N852" t="s">
        <v>53</v>
      </c>
      <c r="O85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52" t="s">
        <v>40</v>
      </c>
      <c r="Q852" t="str">
        <f>IF(TRIM(Transaction[[#This Row],[SalesChannel]])="","Missing Value",TRIM(Transaction[[#This Row],[SalesChannel]]))</f>
        <v>Distributor</v>
      </c>
      <c r="R852" s="4">
        <v>1</v>
      </c>
      <c r="S852" s="4" t="str">
        <f>IF(Transaction[[#This Row],[Quantity]]&lt;0,"Negative-review","Valid")</f>
        <v>Valid</v>
      </c>
      <c r="T852">
        <v>147.11000000000001</v>
      </c>
      <c r="U85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147.11000000000001</v>
      </c>
      <c r="V852">
        <v>215</v>
      </c>
      <c r="W852">
        <v>215</v>
      </c>
      <c r="X85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852">
        <f>IF(Transaction[[#This Row],[GrossRevenue_Check]]="Invalid",Transaction[[#This Row],[ListPrice]]*Transaction[[#This Row],[Quantity]],Transaction[[#This Row],[GrossRevenue_Clean]])</f>
        <v>215</v>
      </c>
      <c r="Z852" t="str">
        <f>IF(Transaction[[#This Row],[GrossRevenue_Clean]]=Transaction[[#This Row],[ListPrice]]*Transaction[[#This Row],[Quantity]],"Valid","Invalid")</f>
        <v>Valid</v>
      </c>
      <c r="AA852">
        <v>67.89</v>
      </c>
      <c r="AB85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67.89</v>
      </c>
      <c r="AC852">
        <f>IF(Transaction[[#This Row],[DiscountAmount_Check2]]="Invalid",Transaction[[#This Row],[GrossRevenue_Analytical]]-Transaction[[#This Row],[NetRevenue_Analytical]],Transaction[[#This Row],[DiscountAmount_Clean]])</f>
        <v>67.89</v>
      </c>
      <c r="AD852">
        <v>147.11000000000001</v>
      </c>
      <c r="AE852" t="str">
        <f>IF(ROUND(Transaction[[#This Row],[GrossRevenue_Analytical]]-Transaction[[#This Row],[NetRevenue_Analytical]],2)=ROUND(Transaction[[#This Row],[DiscountAmount_Clean]],2),"Valid","Invalid")</f>
        <v>Valid</v>
      </c>
      <c r="AF85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147.11000000000001</v>
      </c>
      <c r="AG852">
        <f>IF(Transaction[[#This Row],[NetRevenue_Check]]="Invalid",(Transaction[[#This Row],[Quantity]]*Transaction[[#This Row],[UnitPrice_Clean]]),Transaction[[#This Row],[NetRevenue_Clean]])</f>
        <v>147.11000000000001</v>
      </c>
      <c r="AH852" t="str">
        <f>IF(Transaction[[#This Row],[Quantity]]*Transaction[[#This Row],[UnitPrice_Clean]]=Transaction[[#This Row],[NetRevenue_Clean]],"Valid","Invalid")</f>
        <v>Valid</v>
      </c>
      <c r="AI852" t="s">
        <v>23</v>
      </c>
      <c r="AJ852" t="s">
        <v>178</v>
      </c>
      <c r="AK852" t="str">
        <f>IF(Transaction[[#This Row],[Salesperson]]="","Missing Value",TRIM(PROPER(Transaction[[#This Row],[Salesperson]])))</f>
        <v>Miller</v>
      </c>
      <c r="AL852" t="s">
        <v>42</v>
      </c>
      <c r="AM852" t="str">
        <f>IF(Transaction[[#This Row],[ContractType]]="","Missing Value",Transaction[[#This Row],[ContractType]])</f>
        <v>Standard PO</v>
      </c>
      <c r="AN852" t="s">
        <v>35</v>
      </c>
    </row>
    <row r="853" spans="1:40" x14ac:dyDescent="0.25">
      <c r="A853" t="s">
        <v>347</v>
      </c>
      <c r="B853" s="1">
        <v>45838</v>
      </c>
      <c r="C85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85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85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53" s="2">
        <f>IFERROR(DATE(Transaction[[#This Row],[TransactionDateY]],Transaction[[#This Row],[TransactionDateM]],Transaction[[#This Row],[TransactionDateD]]),"Missing Value")</f>
        <v>45838</v>
      </c>
      <c r="G853" t="s">
        <v>139</v>
      </c>
      <c r="H853" t="str">
        <f>IFERROR(VLOOKUP(Transaction[[#This Row],[CustomerID]],Custumer[],1,0),IF(LEN(Transaction[[#This Row],[CustomerID]])=7,LEFT(Transaction[[#This Row],[CustomerID]],6),"Invalid ID"))</f>
        <v>C-1171</v>
      </c>
      <c r="I853" t="s">
        <v>222</v>
      </c>
      <c r="J853" t="str">
        <f>TRIM(UPPER(Transaction[[#This Row],[ProductID]]))</f>
        <v>P-FS-003</v>
      </c>
      <c r="K853" t="str">
        <f>IFERROR(VLOOKUP(Transaction[[#This Row],[ProductID_Clean]],Product[],1,FALSE),"Invalid ID")</f>
        <v>P-FS-003</v>
      </c>
      <c r="L853" t="str">
        <f>TRIM(SUBSTITUTE(SUBSTITUTE(SUBSTITUTE(SUBSTITUTE(UPPER(Transaction[[#This Row],[Region]]),"EMEA REGION","EMEA"),"APAC REGION","APAC"),"NORTH AMERICA","N. AMERICA"),"N .AMERICA","N.AMERICA"))</f>
        <v>APAC</v>
      </c>
      <c r="M853" t="s">
        <v>30</v>
      </c>
      <c r="N853" t="s">
        <v>21</v>
      </c>
      <c r="O85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853" t="s">
        <v>22</v>
      </c>
      <c r="Q853" t="str">
        <f>IF(TRIM(Transaction[[#This Row],[SalesChannel]])="","Missing Value",TRIM(Transaction[[#This Row],[SalesChannel]]))</f>
        <v>Direct</v>
      </c>
      <c r="R853" s="4">
        <v>1</v>
      </c>
      <c r="S853" s="4" t="str">
        <f>IF(Transaction[[#This Row],[Quantity]]&lt;0,"Negative-review","Valid")</f>
        <v>Valid</v>
      </c>
      <c r="T853">
        <v>3336.41</v>
      </c>
      <c r="U85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3336.41</v>
      </c>
      <c r="V853">
        <v>4100</v>
      </c>
      <c r="W853">
        <v>4100</v>
      </c>
      <c r="X85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4100</v>
      </c>
      <c r="Y853">
        <f>IF(Transaction[[#This Row],[GrossRevenue_Check]]="Invalid",Transaction[[#This Row],[ListPrice]]*Transaction[[#This Row],[Quantity]],Transaction[[#This Row],[GrossRevenue_Clean]])</f>
        <v>4100</v>
      </c>
      <c r="Z853" t="str">
        <f>IF(Transaction[[#This Row],[GrossRevenue_Clean]]=Transaction[[#This Row],[ListPrice]]*Transaction[[#This Row],[Quantity]],"Valid","Invalid")</f>
        <v>Valid</v>
      </c>
      <c r="AA853">
        <v>763.59</v>
      </c>
      <c r="AB85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763.59</v>
      </c>
      <c r="AC853">
        <f>IF(Transaction[[#This Row],[DiscountAmount_Check2]]="Invalid",Transaction[[#This Row],[GrossRevenue_Analytical]]-Transaction[[#This Row],[NetRevenue_Analytical]],Transaction[[#This Row],[DiscountAmount_Clean]])</f>
        <v>763.59</v>
      </c>
      <c r="AD853">
        <v>3336.41</v>
      </c>
      <c r="AE853" t="str">
        <f>IF(ROUND(Transaction[[#This Row],[GrossRevenue_Analytical]]-Transaction[[#This Row],[NetRevenue_Analytical]],2)=ROUND(Transaction[[#This Row],[DiscountAmount_Clean]],2),"Valid","Invalid")</f>
        <v>Valid</v>
      </c>
      <c r="AF85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3336.41</v>
      </c>
      <c r="AG853">
        <f>IF(Transaction[[#This Row],[NetRevenue_Check]]="Invalid",(Transaction[[#This Row],[Quantity]]*Transaction[[#This Row],[UnitPrice_Clean]]),Transaction[[#This Row],[NetRevenue_Clean]])</f>
        <v>3336.41</v>
      </c>
      <c r="AH853" t="str">
        <f>IF(Transaction[[#This Row],[Quantity]]*Transaction[[#This Row],[UnitPrice_Clean]]=Transaction[[#This Row],[NetRevenue_Clean]],"Valid","Invalid")</f>
        <v>Valid</v>
      </c>
      <c r="AI853" t="s">
        <v>23</v>
      </c>
      <c r="AJ853" t="s">
        <v>348</v>
      </c>
      <c r="AK853" t="str">
        <f>IF(Transaction[[#This Row],[Salesperson]]="","Missing Value",TRIM(PROPER(Transaction[[#This Row],[Salesperson]])))</f>
        <v>Brandt-Ap</v>
      </c>
      <c r="AL853" t="s">
        <v>224</v>
      </c>
      <c r="AM853" t="str">
        <f>IF(Transaction[[#This Row],[ContractType]]="","Missing Value",Transaction[[#This Row],[ContractType]])</f>
        <v>Annual</v>
      </c>
      <c r="AN853" t="s">
        <v>49</v>
      </c>
    </row>
    <row r="854" spans="1:40" x14ac:dyDescent="0.25">
      <c r="A854" t="s">
        <v>2221</v>
      </c>
      <c r="B854" s="1">
        <v>45783</v>
      </c>
      <c r="C85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85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85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54" s="2">
        <f>IFERROR(DATE(Transaction[[#This Row],[TransactionDateY]],Transaction[[#This Row],[TransactionDateM]],Transaction[[#This Row],[TransactionDateD]]),"Missing Value")</f>
        <v>45783</v>
      </c>
      <c r="G854" t="s">
        <v>1385</v>
      </c>
      <c r="H854" t="str">
        <f>IFERROR(VLOOKUP(Transaction[[#This Row],[CustomerID]],Custumer[],1,0),IF(LEN(Transaction[[#This Row],[CustomerID]])=7,LEFT(Transaction[[#This Row],[CustomerID]],6),"Invalid ID"))</f>
        <v>C-1022</v>
      </c>
      <c r="I854" t="s">
        <v>46</v>
      </c>
      <c r="J854" t="str">
        <f>TRIM(UPPER(Transaction[[#This Row],[ProductID]]))</f>
        <v>P-SI-006</v>
      </c>
      <c r="K854" t="str">
        <f>IFERROR(VLOOKUP(Transaction[[#This Row],[ProductID_Clean]],Product[],1,FALSE),"Invalid ID")</f>
        <v>P-SI-006</v>
      </c>
      <c r="L854" t="str">
        <f>TRIM(SUBSTITUTE(SUBSTITUTE(SUBSTITUTE(SUBSTITUTE(UPPER(Transaction[[#This Row],[Region]]),"EMEA REGION","EMEA"),"APAC REGION","APAC"),"NORTH AMERICA","N. AMERICA"),"N .AMERICA","N.AMERICA"))</f>
        <v>N. AMERICA</v>
      </c>
      <c r="M854" t="s">
        <v>20</v>
      </c>
      <c r="N854" t="s">
        <v>47</v>
      </c>
      <c r="O85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54" t="s">
        <v>181</v>
      </c>
      <c r="Q854" t="str">
        <f>IF(TRIM(Transaction[[#This Row],[SalesChannel]])="","Missing Value",TRIM(Transaction[[#This Row],[SalesChannel]]))</f>
        <v>Partner Portal</v>
      </c>
      <c r="R854" s="4">
        <v>10</v>
      </c>
      <c r="S854" s="4" t="str">
        <f>IF(Transaction[[#This Row],[Quantity]]&lt;0,"Negative-review","Valid")</f>
        <v>Valid</v>
      </c>
      <c r="T854">
        <v>179.6</v>
      </c>
      <c r="U85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179.6</v>
      </c>
      <c r="V854">
        <v>215</v>
      </c>
      <c r="W854">
        <v>2150</v>
      </c>
      <c r="X85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2150</v>
      </c>
      <c r="Y854">
        <f>IF(Transaction[[#This Row],[GrossRevenue_Check]]="Invalid",Transaction[[#This Row],[ListPrice]]*Transaction[[#This Row],[Quantity]],Transaction[[#This Row],[GrossRevenue_Clean]])</f>
        <v>2150</v>
      </c>
      <c r="Z854" t="str">
        <f>IF(Transaction[[#This Row],[GrossRevenue_Clean]]=Transaction[[#This Row],[ListPrice]]*Transaction[[#This Row],[Quantity]],"Valid","Invalid")</f>
        <v>Valid</v>
      </c>
      <c r="AA854">
        <v>354</v>
      </c>
      <c r="AB85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354</v>
      </c>
      <c r="AC854">
        <f>IF(Transaction[[#This Row],[DiscountAmount_Check2]]="Invalid",Transaction[[#This Row],[GrossRevenue_Analytical]]-Transaction[[#This Row],[NetRevenue_Analytical]],Transaction[[#This Row],[DiscountAmount_Clean]])</f>
        <v>354</v>
      </c>
      <c r="AD854">
        <v>1796</v>
      </c>
      <c r="AE854" t="str">
        <f>IF(ROUND(Transaction[[#This Row],[GrossRevenue_Analytical]]-Transaction[[#This Row],[NetRevenue_Analytical]],2)=ROUND(Transaction[[#This Row],[DiscountAmount_Clean]],2),"Valid","Invalid")</f>
        <v>Valid</v>
      </c>
      <c r="AF85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1796</v>
      </c>
      <c r="AG854">
        <f>IF(Transaction[[#This Row],[NetRevenue_Check]]="Invalid",(Transaction[[#This Row],[Quantity]]*Transaction[[#This Row],[UnitPrice_Clean]]),Transaction[[#This Row],[NetRevenue_Clean]])</f>
        <v>1796</v>
      </c>
      <c r="AH854" t="str">
        <f>IF(Transaction[[#This Row],[Quantity]]*Transaction[[#This Row],[UnitPrice_Clean]]=Transaction[[#This Row],[NetRevenue_Clean]],"Valid","Invalid")</f>
        <v>Valid</v>
      </c>
      <c r="AI854" t="s">
        <v>23</v>
      </c>
      <c r="AJ854" t="s">
        <v>2222</v>
      </c>
      <c r="AK854" t="str">
        <f>IF(Transaction[[#This Row],[Salesperson]]="","Missing Value",TRIM(PROPER(Transaction[[#This Row],[Salesperson]])))</f>
        <v>Baxter</v>
      </c>
      <c r="AL854" t="s">
        <v>42</v>
      </c>
      <c r="AM854" t="str">
        <f>IF(Transaction[[#This Row],[ContractType]]="","Missing Value",Transaction[[#This Row],[ContractType]])</f>
        <v>Standard PO</v>
      </c>
      <c r="AN854" t="s">
        <v>49</v>
      </c>
    </row>
    <row r="855" spans="1:40" x14ac:dyDescent="0.25">
      <c r="A855" t="s">
        <v>880</v>
      </c>
      <c r="B855" t="s">
        <v>881</v>
      </c>
      <c r="C85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85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03</v>
      </c>
      <c r="E85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55" s="2">
        <f>IFERROR(DATE(Transaction[[#This Row],[TransactionDateY]],Transaction[[#This Row],[TransactionDateM]],Transaction[[#This Row],[TransactionDateD]]),"Missing Value")</f>
        <v>45780</v>
      </c>
      <c r="G855" t="s">
        <v>571</v>
      </c>
      <c r="H855" t="str">
        <f>IFERROR(VLOOKUP(Transaction[[#This Row],[CustomerID]],Custumer[],1,0),IF(LEN(Transaction[[#This Row],[CustomerID]])=7,LEFT(Transaction[[#This Row],[CustomerID]],6),"Invalid ID"))</f>
        <v>C-1060</v>
      </c>
      <c r="I855" t="s">
        <v>62</v>
      </c>
      <c r="J855" t="str">
        <f>TRIM(UPPER(Transaction[[#This Row],[ProductID]]))</f>
        <v>P-SI-004</v>
      </c>
      <c r="K855" t="str">
        <f>IFERROR(VLOOKUP(Transaction[[#This Row],[ProductID_Clean]],Product[],1,FALSE),"Invalid ID")</f>
        <v>P-SI-004</v>
      </c>
      <c r="L855" t="str">
        <f>TRIM(SUBSTITUTE(SUBSTITUTE(SUBSTITUTE(SUBSTITUTE(UPPER(Transaction[[#This Row],[Region]]),"EMEA REGION","EMEA"),"APAC REGION","APAC"),"NORTH AMERICA","N. AMERICA"),"N .AMERICA","N.AMERICA"))</f>
        <v>APAC</v>
      </c>
      <c r="M855" t="s">
        <v>127</v>
      </c>
      <c r="N855" t="s">
        <v>53</v>
      </c>
      <c r="O85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55" t="s">
        <v>40</v>
      </c>
      <c r="Q855" t="str">
        <f>IF(TRIM(Transaction[[#This Row],[SalesChannel]])="","Missing Value",TRIM(Transaction[[#This Row],[SalesChannel]]))</f>
        <v>Distributor</v>
      </c>
      <c r="R855" s="4">
        <v>15</v>
      </c>
      <c r="S855" s="4" t="str">
        <f>IF(Transaction[[#This Row],[Quantity]]&lt;0,"Negative-review","Valid")</f>
        <v>Valid</v>
      </c>
      <c r="T855">
        <v>2064.5</v>
      </c>
      <c r="U85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2064.5</v>
      </c>
      <c r="V855">
        <v>2450</v>
      </c>
      <c r="W855">
        <v>36750</v>
      </c>
      <c r="X85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36750</v>
      </c>
      <c r="Y855">
        <f>IF(Transaction[[#This Row],[GrossRevenue_Check]]="Invalid",Transaction[[#This Row],[ListPrice]]*Transaction[[#This Row],[Quantity]],Transaction[[#This Row],[GrossRevenue_Clean]])</f>
        <v>36750</v>
      </c>
      <c r="Z855" t="str">
        <f>IF(Transaction[[#This Row],[GrossRevenue_Clean]]=Transaction[[#This Row],[ListPrice]]*Transaction[[#This Row],[Quantity]],"Valid","Invalid")</f>
        <v>Valid</v>
      </c>
      <c r="AA855">
        <v>5782.5</v>
      </c>
      <c r="AB85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5782.5</v>
      </c>
      <c r="AC855">
        <f>IF(Transaction[[#This Row],[DiscountAmount_Check2]]="Invalid",Transaction[[#This Row],[GrossRevenue_Analytical]]-Transaction[[#This Row],[NetRevenue_Analytical]],Transaction[[#This Row],[DiscountAmount_Clean]])</f>
        <v>5782.5</v>
      </c>
      <c r="AD855">
        <v>30967.5</v>
      </c>
      <c r="AE855" t="str">
        <f>IF(ROUND(Transaction[[#This Row],[GrossRevenue_Analytical]]-Transaction[[#This Row],[NetRevenue_Analytical]],2)=ROUND(Transaction[[#This Row],[DiscountAmount_Clean]],2),"Valid","Invalid")</f>
        <v>Valid</v>
      </c>
      <c r="AF85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30967.5</v>
      </c>
      <c r="AG855">
        <f>IF(Transaction[[#This Row],[NetRevenue_Check]]="Invalid",(Transaction[[#This Row],[Quantity]]*Transaction[[#This Row],[UnitPrice_Clean]]),Transaction[[#This Row],[NetRevenue_Clean]])</f>
        <v>30967.5</v>
      </c>
      <c r="AH855" t="str">
        <f>IF(Transaction[[#This Row],[Quantity]]*Transaction[[#This Row],[UnitPrice_Clean]]=Transaction[[#This Row],[NetRevenue_Clean]],"Valid","Invalid")</f>
        <v>Valid</v>
      </c>
      <c r="AI855" t="s">
        <v>23</v>
      </c>
      <c r="AJ855" t="s">
        <v>430</v>
      </c>
      <c r="AK855" t="str">
        <f>IF(Transaction[[#This Row],[Salesperson]]="","Missing Value",TRIM(PROPER(Transaction[[#This Row],[Salesperson]])))</f>
        <v>Anderson</v>
      </c>
      <c r="AL855" t="s">
        <v>42</v>
      </c>
      <c r="AM855" t="str">
        <f>IF(Transaction[[#This Row],[ContractType]]="","Missing Value",Transaction[[#This Row],[ContractType]])</f>
        <v>Standard PO</v>
      </c>
      <c r="AN855" t="s">
        <v>43</v>
      </c>
    </row>
    <row r="856" spans="1:40" x14ac:dyDescent="0.25">
      <c r="A856" t="s">
        <v>2556</v>
      </c>
      <c r="B856" s="1">
        <v>45801</v>
      </c>
      <c r="C85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85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85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56" s="2">
        <f>IFERROR(DATE(Transaction[[#This Row],[TransactionDateY]],Transaction[[#This Row],[TransactionDateM]],Transaction[[#This Row],[TransactionDateD]]),"Missing Value")</f>
        <v>45801</v>
      </c>
      <c r="G856" t="s">
        <v>795</v>
      </c>
      <c r="H856" t="str">
        <f>IFERROR(VLOOKUP(Transaction[[#This Row],[CustomerID]],Custumer[],1,0),IF(LEN(Transaction[[#This Row],[CustomerID]])=7,LEFT(Transaction[[#This Row],[CustomerID]],6),"Invalid ID"))</f>
        <v>C-1118</v>
      </c>
      <c r="I856" t="s">
        <v>226</v>
      </c>
      <c r="J856" t="str">
        <f>TRIM(UPPER(Transaction[[#This Row],[ProductID]]))</f>
        <v>P-SA-002</v>
      </c>
      <c r="K856" t="str">
        <f>IFERROR(VLOOKUP(Transaction[[#This Row],[ProductID_Clean]],Product[],1,FALSE),"Invalid ID")</f>
        <v>P-SA-002</v>
      </c>
      <c r="L856" t="str">
        <f>TRIM(SUBSTITUTE(SUBSTITUTE(SUBSTITUTE(SUBSTITUTE(UPPER(Transaction[[#This Row],[Region]]),"EMEA REGION","EMEA"),"APAC REGION","APAC"),"NORTH AMERICA","N. AMERICA"),"N .AMERICA","N.AMERICA"))</f>
        <v>N. AMERICA</v>
      </c>
      <c r="M856" t="s">
        <v>204</v>
      </c>
      <c r="N856" t="s">
        <v>31</v>
      </c>
      <c r="O85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856" t="s">
        <v>22</v>
      </c>
      <c r="Q856" t="str">
        <f>IF(TRIM(Transaction[[#This Row],[SalesChannel]])="","Missing Value",TRIM(Transaction[[#This Row],[SalesChannel]]))</f>
        <v>Direct</v>
      </c>
      <c r="R856" s="4">
        <v>1</v>
      </c>
      <c r="S856" s="4" t="str">
        <f>IF(Transaction[[#This Row],[Quantity]]&lt;0,"Negative-review","Valid")</f>
        <v>Valid</v>
      </c>
      <c r="T856">
        <v>9161.15</v>
      </c>
      <c r="U85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9161.15</v>
      </c>
      <c r="V856">
        <v>9800</v>
      </c>
      <c r="W856">
        <v>9800</v>
      </c>
      <c r="X85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856">
        <f>IF(Transaction[[#This Row],[GrossRevenue_Check]]="Invalid",Transaction[[#This Row],[ListPrice]]*Transaction[[#This Row],[Quantity]],Transaction[[#This Row],[GrossRevenue_Clean]])</f>
        <v>9800</v>
      </c>
      <c r="Z856" t="str">
        <f>IF(Transaction[[#This Row],[GrossRevenue_Clean]]=Transaction[[#This Row],[ListPrice]]*Transaction[[#This Row],[Quantity]],"Valid","Invalid")</f>
        <v>Valid</v>
      </c>
      <c r="AA856">
        <v>638.85</v>
      </c>
      <c r="AB85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638.85</v>
      </c>
      <c r="AC856">
        <f>IF(Transaction[[#This Row],[DiscountAmount_Check2]]="Invalid",Transaction[[#This Row],[GrossRevenue_Analytical]]-Transaction[[#This Row],[NetRevenue_Analytical]],Transaction[[#This Row],[DiscountAmount_Clean]])</f>
        <v>638.85</v>
      </c>
      <c r="AD856">
        <v>9161.15</v>
      </c>
      <c r="AE856" t="str">
        <f>IF(ROUND(Transaction[[#This Row],[GrossRevenue_Analytical]]-Transaction[[#This Row],[NetRevenue_Analytical]],2)=ROUND(Transaction[[#This Row],[DiscountAmount_Clean]],2),"Valid","Invalid")</f>
        <v>Valid</v>
      </c>
      <c r="AF856">
        <f>VALUE(IF(ISNUMBER(Transaction[[#This Row],[NetRevenue]]),Transaction[[#This Row],[NetRevenue]],IFERROR(IF(FIND("$",Transaction[[#This Row],[NetRevenue]])&gt;0,MID(Transaction[[#This Row],[NetRevenue]],2,10)),Transaction[[#This Row],[NetRevenue]])))</f>
        <v>9161.15</v>
      </c>
      <c r="AG856">
        <f>IF(Transaction[[#This Row],[NetRevenue_Check]]="Invalid",(Transaction[[#This Row],[Quantity]]*Transaction[[#This Row],[UnitPrice_Clean]]),Transaction[[#This Row],[NetRevenue_Clean]])</f>
        <v>9161.15</v>
      </c>
      <c r="AH856" t="str">
        <f>IF(Transaction[[#This Row],[Quantity]]*Transaction[[#This Row],[UnitPrice_Clean]]=Transaction[[#This Row],[NetRevenue_Clean]],"Valid","Invalid")</f>
        <v>Valid</v>
      </c>
      <c r="AI856" t="s">
        <v>23</v>
      </c>
      <c r="AJ856" t="s">
        <v>2557</v>
      </c>
      <c r="AK856" t="str">
        <f>IF(Transaction[[#This Row],[Salesperson]]="","Missing Value",TRIM(PROPER(Transaction[[#This Row],[Salesperson]])))</f>
        <v>Dalton-Ap</v>
      </c>
      <c r="AL856" t="s">
        <v>113</v>
      </c>
      <c r="AM856" t="str">
        <f>IF(Transaction[[#This Row],[ContractType]]="","Missing Value",Transaction[[#This Row],[ContractType]])</f>
        <v>Subscription</v>
      </c>
      <c r="AN856" t="s">
        <v>49</v>
      </c>
    </row>
    <row r="857" spans="1:40" x14ac:dyDescent="0.25">
      <c r="A857" t="s">
        <v>2778</v>
      </c>
      <c r="B857" t="s">
        <v>2779</v>
      </c>
      <c r="C85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85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85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57" s="2">
        <f>IFERROR(DATE(Transaction[[#This Row],[TransactionDateY]],Transaction[[#This Row],[TransactionDateM]],Transaction[[#This Row],[TransactionDateD]]),"Missing Value")</f>
        <v>45728</v>
      </c>
      <c r="G857" t="s">
        <v>45</v>
      </c>
      <c r="H857" t="str">
        <f>IFERROR(VLOOKUP(Transaction[[#This Row],[CustomerID]],Custumer[],1,0),IF(LEN(Transaction[[#This Row],[CustomerID]])=7,LEFT(Transaction[[#This Row],[CustomerID]],6),"Invalid ID"))</f>
        <v>C-1155</v>
      </c>
      <c r="I857" t="s">
        <v>46</v>
      </c>
      <c r="J857" t="str">
        <f>TRIM(UPPER(Transaction[[#This Row],[ProductID]]))</f>
        <v>P-SI-006</v>
      </c>
      <c r="K857" t="str">
        <f>IFERROR(VLOOKUP(Transaction[[#This Row],[ProductID_Clean]],Product[],1,FALSE),"Invalid ID")</f>
        <v>P-SI-006</v>
      </c>
      <c r="L857" t="str">
        <f>TRIM(SUBSTITUTE(SUBSTITUTE(SUBSTITUTE(SUBSTITUTE(UPPER(Transaction[[#This Row],[Region]]),"EMEA REGION","EMEA"),"APAC REGION","APAC"),"NORTH AMERICA","N. AMERICA"),"N .AMERICA","N.AMERICA"))</f>
        <v>APAC</v>
      </c>
      <c r="M857" t="s">
        <v>30</v>
      </c>
      <c r="N857" t="s">
        <v>47</v>
      </c>
      <c r="O85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57" t="s">
        <v>22</v>
      </c>
      <c r="Q857" t="str">
        <f>IF(TRIM(Transaction[[#This Row],[SalesChannel]])="","Missing Value",TRIM(Transaction[[#This Row],[SalesChannel]]))</f>
        <v>Direct</v>
      </c>
      <c r="R857" s="4">
        <v>2</v>
      </c>
      <c r="S857" s="4" t="str">
        <f>IF(Transaction[[#This Row],[Quantity]]&lt;0,"Negative-review","Valid")</f>
        <v>Valid</v>
      </c>
      <c r="T857">
        <v>182.45</v>
      </c>
      <c r="U85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182.45</v>
      </c>
      <c r="V857">
        <v>215</v>
      </c>
      <c r="W857">
        <v>430</v>
      </c>
      <c r="X85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857">
        <f>IF(Transaction[[#This Row],[GrossRevenue_Check]]="Invalid",Transaction[[#This Row],[ListPrice]]*Transaction[[#This Row],[Quantity]],Transaction[[#This Row],[GrossRevenue_Clean]])</f>
        <v>430</v>
      </c>
      <c r="Z857" t="str">
        <f>IF(Transaction[[#This Row],[GrossRevenue_Clean]]=Transaction[[#This Row],[ListPrice]]*Transaction[[#This Row],[Quantity]],"Valid","Invalid")</f>
        <v>Valid</v>
      </c>
      <c r="AA857">
        <v>65.099999999999994</v>
      </c>
      <c r="AB85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65.099999999999994</v>
      </c>
      <c r="AC857">
        <f>IF(Transaction[[#This Row],[DiscountAmount_Check2]]="Invalid",Transaction[[#This Row],[GrossRevenue_Analytical]]-Transaction[[#This Row],[NetRevenue_Analytical]],Transaction[[#This Row],[DiscountAmount_Clean]])</f>
        <v>65.099999999999994</v>
      </c>
      <c r="AD857">
        <v>364.9</v>
      </c>
      <c r="AE857" t="str">
        <f>IF(ROUND(Transaction[[#This Row],[GrossRevenue_Analytical]]-Transaction[[#This Row],[NetRevenue_Analytical]],2)=ROUND(Transaction[[#This Row],[DiscountAmount_Clean]],2),"Valid","Invalid")</f>
        <v>Valid</v>
      </c>
      <c r="AF85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364.9</v>
      </c>
      <c r="AG857">
        <f>IF(Transaction[[#This Row],[NetRevenue_Check]]="Invalid",(Transaction[[#This Row],[Quantity]]*Transaction[[#This Row],[UnitPrice_Clean]]),Transaction[[#This Row],[NetRevenue_Clean]])</f>
        <v>364.9</v>
      </c>
      <c r="AH857" t="str">
        <f>IF(Transaction[[#This Row],[Quantity]]*Transaction[[#This Row],[UnitPrice_Clean]]=Transaction[[#This Row],[NetRevenue_Clean]],"Valid","Invalid")</f>
        <v>Valid</v>
      </c>
      <c r="AI857" t="s">
        <v>23</v>
      </c>
      <c r="AJ857" t="s">
        <v>1291</v>
      </c>
      <c r="AK857" t="str">
        <f>IF(Transaction[[#This Row],[Salesperson]]="","Missing Value",TRIM(PROPER(Transaction[[#This Row],[Salesperson]])))</f>
        <v>Wilson</v>
      </c>
      <c r="AL857" t="s">
        <v>25</v>
      </c>
      <c r="AM857" t="str">
        <f>IF(Transaction[[#This Row],[ContractType]]="","Missing Value",Transaction[[#This Row],[ContractType]])</f>
        <v>Frame Agreement</v>
      </c>
      <c r="AN857" t="s">
        <v>49</v>
      </c>
    </row>
    <row r="858" spans="1:40" x14ac:dyDescent="0.25">
      <c r="A858" t="s">
        <v>1199</v>
      </c>
      <c r="B858" t="s">
        <v>1200</v>
      </c>
      <c r="C85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85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01</v>
      </c>
      <c r="E85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58" s="2">
        <f>IFERROR(DATE(Transaction[[#This Row],[TransactionDateY]],Transaction[[#This Row],[TransactionDateM]],Transaction[[#This Row],[TransactionDateD]]),"Missing Value")</f>
        <v>45689</v>
      </c>
      <c r="G858" t="s">
        <v>1143</v>
      </c>
      <c r="H858" t="str">
        <f>IFERROR(VLOOKUP(Transaction[[#This Row],[CustomerID]],Custumer[],1,0),IF(LEN(Transaction[[#This Row],[CustomerID]])=7,LEFT(Transaction[[#This Row],[CustomerID]],6),"Invalid ID"))</f>
        <v>C-1114</v>
      </c>
      <c r="I858" t="s">
        <v>268</v>
      </c>
      <c r="J858" t="str">
        <f>TRIM(UPPER(Transaction[[#This Row],[ProductID]]))</f>
        <v>P-FS-002</v>
      </c>
      <c r="K858" t="str">
        <f>IFERROR(VLOOKUP(Transaction[[#This Row],[ProductID_Clean]],Product[],1,FALSE),"Invalid ID")</f>
        <v>P-FS-002</v>
      </c>
      <c r="L858" t="str">
        <f>TRIM(SUBSTITUTE(SUBSTITUTE(SUBSTITUTE(SUBSTITUTE(UPPER(Transaction[[#This Row],[Region]]),"EMEA REGION","EMEA"),"APAC REGION","APAC"),"NORTH AMERICA","N. AMERICA"),"N .AMERICA","N.AMERICA"))</f>
        <v>N. AMERICA</v>
      </c>
      <c r="M858" t="s">
        <v>20</v>
      </c>
      <c r="N858" t="s">
        <v>244</v>
      </c>
      <c r="O858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858" t="s">
        <v>40</v>
      </c>
      <c r="Q858" t="str">
        <f>IF(TRIM(Transaction[[#This Row],[SalesChannel]])="","Missing Value",TRIM(Transaction[[#This Row],[SalesChannel]]))</f>
        <v>Distributor</v>
      </c>
      <c r="R858" s="4">
        <v>1</v>
      </c>
      <c r="S858" s="4" t="str">
        <f>IF(Transaction[[#This Row],[Quantity]]&lt;0,"Negative-review","Valid")</f>
        <v>Valid</v>
      </c>
      <c r="T858">
        <v>2067.44</v>
      </c>
      <c r="U85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2067.44</v>
      </c>
      <c r="V858">
        <v>2400</v>
      </c>
      <c r="W858">
        <v>2400</v>
      </c>
      <c r="X85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858">
        <f>IF(Transaction[[#This Row],[GrossRevenue_Check]]="Invalid",Transaction[[#This Row],[ListPrice]]*Transaction[[#This Row],[Quantity]],Transaction[[#This Row],[GrossRevenue_Clean]])</f>
        <v>2400</v>
      </c>
      <c r="Z858" t="str">
        <f>IF(Transaction[[#This Row],[GrossRevenue_Clean]]=Transaction[[#This Row],[ListPrice]]*Transaction[[#This Row],[Quantity]],"Valid","Invalid")</f>
        <v>Valid</v>
      </c>
      <c r="AA858">
        <v>332.56</v>
      </c>
      <c r="AB85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332.56</v>
      </c>
      <c r="AC858">
        <f>IF(Transaction[[#This Row],[DiscountAmount_Check2]]="Invalid",Transaction[[#This Row],[GrossRevenue_Analytical]]-Transaction[[#This Row],[NetRevenue_Analytical]],Transaction[[#This Row],[DiscountAmount_Clean]])</f>
        <v>332.56</v>
      </c>
      <c r="AD858">
        <v>2067.44</v>
      </c>
      <c r="AE858" t="str">
        <f>IF(ROUND(Transaction[[#This Row],[GrossRevenue_Analytical]]-Transaction[[#This Row],[NetRevenue_Analytical]],2)=ROUND(Transaction[[#This Row],[DiscountAmount_Clean]],2),"Valid","Invalid")</f>
        <v>Valid</v>
      </c>
      <c r="AF85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2067.44</v>
      </c>
      <c r="AG858">
        <f>IF(Transaction[[#This Row],[NetRevenue_Check]]="Invalid",(Transaction[[#This Row],[Quantity]]*Transaction[[#This Row],[UnitPrice_Clean]]),Transaction[[#This Row],[NetRevenue_Clean]])</f>
        <v>2067.44</v>
      </c>
      <c r="AH858" t="str">
        <f>IF(Transaction[[#This Row],[Quantity]]*Transaction[[#This Row],[UnitPrice_Clean]]=Transaction[[#This Row],[NetRevenue_Clean]],"Valid","Invalid")</f>
        <v>Valid</v>
      </c>
      <c r="AI858" t="s">
        <v>99</v>
      </c>
      <c r="AJ858" t="s">
        <v>1201</v>
      </c>
      <c r="AK858" t="str">
        <f>IF(Transaction[[#This Row],[Salesperson]]="","Missing Value",TRIM(PROPER(Transaction[[#This Row],[Salesperson]])))</f>
        <v>Haney-Em</v>
      </c>
      <c r="AL858" t="s">
        <v>224</v>
      </c>
      <c r="AM858" t="str">
        <f>IF(Transaction[[#This Row],[ContractType]]="","Missing Value",Transaction[[#This Row],[ContractType]])</f>
        <v>Annual</v>
      </c>
      <c r="AN858" t="s">
        <v>35</v>
      </c>
    </row>
    <row r="859" spans="1:40" x14ac:dyDescent="0.25">
      <c r="A859" t="s">
        <v>3045</v>
      </c>
      <c r="B859" s="1">
        <v>45831</v>
      </c>
      <c r="C85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85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85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59" s="2">
        <f>IFERROR(DATE(Transaction[[#This Row],[TransactionDateY]],Transaction[[#This Row],[TransactionDateM]],Transaction[[#This Row],[TransactionDateD]]),"Missing Value")</f>
        <v>45831</v>
      </c>
      <c r="G859" t="s">
        <v>385</v>
      </c>
      <c r="H859" t="str">
        <f>IFERROR(VLOOKUP(Transaction[[#This Row],[CustomerID]],Custumer[],1,0),IF(LEN(Transaction[[#This Row],[CustomerID]])=7,LEFT(Transaction[[#This Row],[CustomerID]],6),"Invalid ID"))</f>
        <v>C-1084</v>
      </c>
      <c r="I859" t="s">
        <v>268</v>
      </c>
      <c r="J859" t="str">
        <f>TRIM(UPPER(Transaction[[#This Row],[ProductID]]))</f>
        <v>P-FS-002</v>
      </c>
      <c r="K859" t="str">
        <f>IFERROR(VLOOKUP(Transaction[[#This Row],[ProductID_Clean]],Product[],1,FALSE),"Invalid ID")</f>
        <v>P-FS-002</v>
      </c>
      <c r="L859" t="str">
        <f>TRIM(SUBSTITUTE(SUBSTITUTE(SUBSTITUTE(SUBSTITUTE(UPPER(Transaction[[#This Row],[Region]]),"EMEA REGION","EMEA"),"APAC REGION","APAC"),"NORTH AMERICA","N. AMERICA"),"N .AMERICA","N.AMERICA"))</f>
        <v>N. AMERICA</v>
      </c>
      <c r="M859" t="s">
        <v>20</v>
      </c>
      <c r="N859" t="s">
        <v>21</v>
      </c>
      <c r="O859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859" t="s">
        <v>40</v>
      </c>
      <c r="Q859" t="str">
        <f>IF(TRIM(Transaction[[#This Row],[SalesChannel]])="","Missing Value",TRIM(Transaction[[#This Row],[SalesChannel]]))</f>
        <v>Distributor</v>
      </c>
      <c r="R859" s="4">
        <v>1</v>
      </c>
      <c r="S859" s="4" t="str">
        <f>IF(Transaction[[#This Row],[Quantity]]&lt;0,"Negative-review","Valid")</f>
        <v>Valid</v>
      </c>
      <c r="T859">
        <v>1879.76</v>
      </c>
      <c r="U85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1879.76</v>
      </c>
      <c r="V859">
        <v>2400</v>
      </c>
      <c r="W859">
        <v>2400</v>
      </c>
      <c r="X85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859">
        <f>IF(Transaction[[#This Row],[GrossRevenue_Check]]="Invalid",Transaction[[#This Row],[ListPrice]]*Transaction[[#This Row],[Quantity]],Transaction[[#This Row],[GrossRevenue_Clean]])</f>
        <v>2400</v>
      </c>
      <c r="Z859" t="str">
        <f>IF(Transaction[[#This Row],[GrossRevenue_Clean]]=Transaction[[#This Row],[ListPrice]]*Transaction[[#This Row],[Quantity]],"Valid","Invalid")</f>
        <v>Valid</v>
      </c>
      <c r="AA859">
        <v>520.24</v>
      </c>
      <c r="AB85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520.24</v>
      </c>
      <c r="AC859">
        <f>IF(Transaction[[#This Row],[DiscountAmount_Check2]]="Invalid",Transaction[[#This Row],[GrossRevenue_Analytical]]-Transaction[[#This Row],[NetRevenue_Analytical]],Transaction[[#This Row],[DiscountAmount_Clean]])</f>
        <v>520.24</v>
      </c>
      <c r="AD859">
        <v>1879.76</v>
      </c>
      <c r="AE859" t="str">
        <f>IF(ROUND(Transaction[[#This Row],[GrossRevenue_Analytical]]-Transaction[[#This Row],[NetRevenue_Analytical]],2)=ROUND(Transaction[[#This Row],[DiscountAmount_Clean]],2),"Valid","Invalid")</f>
        <v>Valid</v>
      </c>
      <c r="AF85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1879.76</v>
      </c>
      <c r="AG859">
        <f>IF(Transaction[[#This Row],[NetRevenue_Check]]="Invalid",(Transaction[[#This Row],[Quantity]]*Transaction[[#This Row],[UnitPrice_Clean]]),Transaction[[#This Row],[NetRevenue_Clean]])</f>
        <v>1879.76</v>
      </c>
      <c r="AH859" t="str">
        <f>IF(Transaction[[#This Row],[Quantity]]*Transaction[[#This Row],[UnitPrice_Clean]]=Transaction[[#This Row],[NetRevenue_Clean]],"Valid","Invalid")</f>
        <v>Valid</v>
      </c>
      <c r="AI859" t="s">
        <v>23</v>
      </c>
      <c r="AJ859" t="s">
        <v>3046</v>
      </c>
      <c r="AK859" t="str">
        <f>IF(Transaction[[#This Row],[Salesperson]]="","Missing Value",TRIM(PROPER(Transaction[[#This Row],[Salesperson]])))</f>
        <v>Long-Em</v>
      </c>
      <c r="AL859" t="s">
        <v>224</v>
      </c>
      <c r="AM859" t="str">
        <f>IF(Transaction[[#This Row],[ContractType]]="","Missing Value",Transaction[[#This Row],[ContractType]])</f>
        <v>Annual</v>
      </c>
      <c r="AN859" t="s">
        <v>43</v>
      </c>
    </row>
    <row r="860" spans="1:40" x14ac:dyDescent="0.25">
      <c r="A860" t="s">
        <v>1441</v>
      </c>
      <c r="B860" s="1">
        <v>45755</v>
      </c>
      <c r="C86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86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86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60" s="2">
        <f>IFERROR(DATE(Transaction[[#This Row],[TransactionDateY]],Transaction[[#This Row],[TransactionDateM]],Transaction[[#This Row],[TransactionDateD]]),"Missing Value")</f>
        <v>45755</v>
      </c>
      <c r="G860" t="s">
        <v>1367</v>
      </c>
      <c r="H860" t="str">
        <f>IFERROR(VLOOKUP(Transaction[[#This Row],[CustomerID]],Custumer[],1,0),IF(LEN(Transaction[[#This Row],[CustomerID]])=7,LEFT(Transaction[[#This Row],[CustomerID]],6),"Invalid ID"))</f>
        <v>C-1069</v>
      </c>
      <c r="I860" t="s">
        <v>46</v>
      </c>
      <c r="J860" t="str">
        <f>TRIM(UPPER(Transaction[[#This Row],[ProductID]]))</f>
        <v>P-SI-006</v>
      </c>
      <c r="K860" t="str">
        <f>IFERROR(VLOOKUP(Transaction[[#This Row],[ProductID_Clean]],Product[],1,FALSE),"Invalid ID")</f>
        <v>P-SI-006</v>
      </c>
      <c r="L860" t="str">
        <f>TRIM(SUBSTITUTE(SUBSTITUTE(SUBSTITUTE(SUBSTITUTE(UPPER(Transaction[[#This Row],[Region]]),"EMEA REGION","EMEA"),"APAC REGION","APAC"),"NORTH AMERICA","N. AMERICA"),"N .AMERICA","N.AMERICA"))</f>
        <v>EMEA</v>
      </c>
      <c r="M860" t="s">
        <v>76</v>
      </c>
      <c r="N860" t="s">
        <v>47</v>
      </c>
      <c r="O86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60" t="s">
        <v>93</v>
      </c>
      <c r="Q860" t="str">
        <f>IF(TRIM(Transaction[[#This Row],[SalesChannel]])="","Missing Value",TRIM(Transaction[[#This Row],[SalesChannel]]))</f>
        <v>direct</v>
      </c>
      <c r="R860" s="4">
        <v>1</v>
      </c>
      <c r="S860" s="4" t="str">
        <f>IF(Transaction[[#This Row],[Quantity]]&lt;0,"Negative-review","Valid")</f>
        <v>Valid</v>
      </c>
      <c r="T860">
        <v>167.8</v>
      </c>
      <c r="U86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167.8</v>
      </c>
      <c r="V860">
        <v>215</v>
      </c>
      <c r="W860">
        <v>215</v>
      </c>
      <c r="X86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860">
        <f>IF(Transaction[[#This Row],[GrossRevenue_Check]]="Invalid",Transaction[[#This Row],[ListPrice]]*Transaction[[#This Row],[Quantity]],Transaction[[#This Row],[GrossRevenue_Clean]])</f>
        <v>215</v>
      </c>
      <c r="Z860" t="str">
        <f>IF(Transaction[[#This Row],[GrossRevenue_Clean]]=Transaction[[#This Row],[ListPrice]]*Transaction[[#This Row],[Quantity]],"Valid","Invalid")</f>
        <v>Valid</v>
      </c>
      <c r="AA860">
        <v>47.2</v>
      </c>
      <c r="AB86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47.2</v>
      </c>
      <c r="AC860">
        <f>IF(Transaction[[#This Row],[DiscountAmount_Check2]]="Invalid",Transaction[[#This Row],[GrossRevenue_Analytical]]-Transaction[[#This Row],[NetRevenue_Analytical]],Transaction[[#This Row],[DiscountAmount_Clean]])</f>
        <v>47.2</v>
      </c>
      <c r="AD860">
        <v>167.8</v>
      </c>
      <c r="AE860" t="str">
        <f>IF(ROUND(Transaction[[#This Row],[GrossRevenue_Analytical]]-Transaction[[#This Row],[NetRevenue_Analytical]],2)=ROUND(Transaction[[#This Row],[DiscountAmount_Clean]],2),"Valid","Invalid")</f>
        <v>Valid</v>
      </c>
      <c r="AF86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167.8</v>
      </c>
      <c r="AG860">
        <f>IF(Transaction[[#This Row],[NetRevenue_Check]]="Invalid",(Transaction[[#This Row],[Quantity]]*Transaction[[#This Row],[UnitPrice_Clean]]),Transaction[[#This Row],[NetRevenue_Clean]])</f>
        <v>167.8</v>
      </c>
      <c r="AH860" t="str">
        <f>IF(Transaction[[#This Row],[Quantity]]*Transaction[[#This Row],[UnitPrice_Clean]]=Transaction[[#This Row],[NetRevenue_Clean]],"Valid","Invalid")</f>
        <v>Valid</v>
      </c>
      <c r="AI860" t="s">
        <v>23</v>
      </c>
      <c r="AJ860" t="s">
        <v>1442</v>
      </c>
      <c r="AK860" t="str">
        <f>IF(Transaction[[#This Row],[Salesperson]]="","Missing Value",TRIM(PROPER(Transaction[[#This Row],[Salesperson]])))</f>
        <v>Anderson-Na</v>
      </c>
      <c r="AL860" t="s">
        <v>42</v>
      </c>
      <c r="AM860" t="str">
        <f>IF(Transaction[[#This Row],[ContractType]]="","Missing Value",Transaction[[#This Row],[ContractType]])</f>
        <v>Standard PO</v>
      </c>
      <c r="AN860" t="s">
        <v>43</v>
      </c>
    </row>
    <row r="861" spans="1:40" x14ac:dyDescent="0.25">
      <c r="A861" t="s">
        <v>1042</v>
      </c>
      <c r="B861" s="1">
        <v>45746</v>
      </c>
      <c r="C86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86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86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61" s="2">
        <f>IFERROR(DATE(Transaction[[#This Row],[TransactionDateY]],Transaction[[#This Row],[TransactionDateM]],Transaction[[#This Row],[TransactionDateD]]),"Missing Value")</f>
        <v>45746</v>
      </c>
      <c r="G861" t="s">
        <v>1015</v>
      </c>
      <c r="H861" t="str">
        <f>IFERROR(VLOOKUP(Transaction[[#This Row],[CustomerID]],Custumer[],1,0),IF(LEN(Transaction[[#This Row],[CustomerID]])=7,LEFT(Transaction[[#This Row],[CustomerID]],6),"Invalid ID"))</f>
        <v>C-1012</v>
      </c>
      <c r="I861" t="s">
        <v>92</v>
      </c>
      <c r="J861" t="str">
        <f>TRIM(UPPER(Transaction[[#This Row],[ProductID]]))</f>
        <v>P-SI-008</v>
      </c>
      <c r="K861" t="str">
        <f>IFERROR(VLOOKUP(Transaction[[#This Row],[ProductID_Clean]],Product[],1,FALSE),"Invalid ID")</f>
        <v>P-SI-008</v>
      </c>
      <c r="L861" t="str">
        <f>TRIM(SUBSTITUTE(SUBSTITUTE(SUBSTITUTE(SUBSTITUTE(UPPER(Transaction[[#This Row],[Region]]),"EMEA REGION","EMEA"),"APAC REGION","APAC"),"NORTH AMERICA","N. AMERICA"),"N .AMERICA","N.AMERICA"))</f>
        <v>N. AMERICA</v>
      </c>
      <c r="M861" t="s">
        <v>20</v>
      </c>
      <c r="N861" t="s">
        <v>53</v>
      </c>
      <c r="O86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61" t="s">
        <v>22</v>
      </c>
      <c r="Q861" t="str">
        <f>IF(TRIM(Transaction[[#This Row],[SalesChannel]])="","Missing Value",TRIM(Transaction[[#This Row],[SalesChannel]]))</f>
        <v>Direct</v>
      </c>
      <c r="R861" s="4">
        <v>5</v>
      </c>
      <c r="S861" s="4" t="str">
        <f>IF(Transaction[[#This Row],[Quantity]]&lt;0,"Negative-review","Valid")</f>
        <v>Valid</v>
      </c>
      <c r="T861">
        <v>836.92</v>
      </c>
      <c r="U86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836.92</v>
      </c>
      <c r="V861">
        <v>950</v>
      </c>
      <c r="W861">
        <v>4750</v>
      </c>
      <c r="X86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4750</v>
      </c>
      <c r="Y861">
        <f>IF(Transaction[[#This Row],[GrossRevenue_Check]]="Invalid",Transaction[[#This Row],[ListPrice]]*Transaction[[#This Row],[Quantity]],Transaction[[#This Row],[GrossRevenue_Clean]])</f>
        <v>4750</v>
      </c>
      <c r="Z861" t="str">
        <f>IF(Transaction[[#This Row],[GrossRevenue_Clean]]=Transaction[[#This Row],[ListPrice]]*Transaction[[#This Row],[Quantity]],"Valid","Invalid")</f>
        <v>Valid</v>
      </c>
      <c r="AA861">
        <v>565.4</v>
      </c>
      <c r="AB86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565.4</v>
      </c>
      <c r="AC861">
        <f>IF(Transaction[[#This Row],[DiscountAmount_Check2]]="Invalid",Transaction[[#This Row],[GrossRevenue_Analytical]]-Transaction[[#This Row],[NetRevenue_Analytical]],Transaction[[#This Row],[DiscountAmount_Clean]])</f>
        <v>565.4</v>
      </c>
      <c r="AD861">
        <v>4184.6000000000004</v>
      </c>
      <c r="AE861" t="str">
        <f>IF(ROUND(Transaction[[#This Row],[GrossRevenue_Analytical]]-Transaction[[#This Row],[NetRevenue_Analytical]],2)=ROUND(Transaction[[#This Row],[DiscountAmount_Clean]],2),"Valid","Invalid")</f>
        <v>Valid</v>
      </c>
      <c r="AF861">
        <f>VALUE(IF(ISNUMBER(Transaction[[#This Row],[NetRevenue]]),Transaction[[#This Row],[NetRevenue]],IFERROR(IF(FIND("$",Transaction[[#This Row],[NetRevenue]])&gt;0,MID(Transaction[[#This Row],[NetRevenue]],2,10)),Transaction[[#This Row],[NetRevenue]])))</f>
        <v>4184.6000000000004</v>
      </c>
      <c r="AG861">
        <f>IF(Transaction[[#This Row],[NetRevenue_Check]]="Invalid",(Transaction[[#This Row],[Quantity]]*Transaction[[#This Row],[UnitPrice_Clean]]),Transaction[[#This Row],[NetRevenue_Clean]])</f>
        <v>4184.6000000000004</v>
      </c>
      <c r="AH861" t="str">
        <f>IF(Transaction[[#This Row],[Quantity]]*Transaction[[#This Row],[UnitPrice_Clean]]=Transaction[[#This Row],[NetRevenue_Clean]],"Valid","Invalid")</f>
        <v>Valid</v>
      </c>
      <c r="AI861" t="s">
        <v>99</v>
      </c>
      <c r="AJ861" t="s">
        <v>1043</v>
      </c>
      <c r="AK861" t="str">
        <f>IF(Transaction[[#This Row],[Salesperson]]="","Missing Value",TRIM(PROPER(Transaction[[#This Row],[Salesperson]])))</f>
        <v>Irwin</v>
      </c>
      <c r="AL861" t="s">
        <v>25</v>
      </c>
      <c r="AM861" t="str">
        <f>IF(Transaction[[#This Row],[ContractType]]="","Missing Value",Transaction[[#This Row],[ContractType]])</f>
        <v>Frame Agreement</v>
      </c>
      <c r="AN861" t="s">
        <v>65</v>
      </c>
    </row>
    <row r="862" spans="1:40" x14ac:dyDescent="0.25">
      <c r="A862" t="s">
        <v>1355</v>
      </c>
      <c r="B862" t="s">
        <v>1014</v>
      </c>
      <c r="C86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86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86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62" s="2">
        <f>IFERROR(DATE(Transaction[[#This Row],[TransactionDateY]],Transaction[[#This Row],[TransactionDateM]],Transaction[[#This Row],[TransactionDateD]]),"Missing Value")</f>
        <v>45732</v>
      </c>
      <c r="G862" t="s">
        <v>647</v>
      </c>
      <c r="H862" t="str">
        <f>IFERROR(VLOOKUP(Transaction[[#This Row],[CustomerID]],Custumer[],1,0),IF(LEN(Transaction[[#This Row],[CustomerID]])=7,LEFT(Transaction[[#This Row],[CustomerID]],6),"Invalid ID"))</f>
        <v>C-1085</v>
      </c>
      <c r="I862" t="s">
        <v>117</v>
      </c>
      <c r="J862" t="str">
        <f>TRIM(UPPER(Transaction[[#This Row],[ProductID]]))</f>
        <v>P-SI-007</v>
      </c>
      <c r="K862" t="str">
        <f>IFERROR(VLOOKUP(Transaction[[#This Row],[ProductID_Clean]],Product[],1,FALSE),"Invalid ID")</f>
        <v>P-SI-007</v>
      </c>
      <c r="L862" t="str">
        <f>TRIM(SUBSTITUTE(SUBSTITUTE(SUBSTITUTE(SUBSTITUTE(UPPER(Transaction[[#This Row],[Region]]),"EMEA REGION","EMEA"),"APAC REGION","APAC"),"NORTH AMERICA","N. AMERICA"),"N .AMERICA","N.AMERICA"))</f>
        <v>APAC</v>
      </c>
      <c r="M862" t="s">
        <v>30</v>
      </c>
      <c r="N862" t="s">
        <v>53</v>
      </c>
      <c r="O86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62" t="s">
        <v>22</v>
      </c>
      <c r="Q862" t="str">
        <f>IF(TRIM(Transaction[[#This Row],[SalesChannel]])="","Missing Value",TRIM(Transaction[[#This Row],[SalesChannel]]))</f>
        <v>Direct</v>
      </c>
      <c r="R862" s="4">
        <v>10</v>
      </c>
      <c r="S862" s="4" t="str">
        <f>IF(Transaction[[#This Row],[Quantity]]&lt;0,"Negative-review","Valid")</f>
        <v>Valid</v>
      </c>
      <c r="T862">
        <v>739.22</v>
      </c>
      <c r="U86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739.22</v>
      </c>
      <c r="V862">
        <v>980</v>
      </c>
      <c r="W862" t="s">
        <v>1356</v>
      </c>
      <c r="X86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862">
        <f>IF(Transaction[[#This Row],[GrossRevenue_Check]]="Invalid",Transaction[[#This Row],[ListPrice]]*Transaction[[#This Row],[Quantity]],Transaction[[#This Row],[GrossRevenue_Clean]])</f>
        <v>9800</v>
      </c>
      <c r="Z862" t="str">
        <f>IF(Transaction[[#This Row],[GrossRevenue_Clean]]=Transaction[[#This Row],[ListPrice]]*Transaction[[#This Row],[Quantity]],"Valid","Invalid")</f>
        <v>Valid</v>
      </c>
      <c r="AA862">
        <v>2407.8000000000002</v>
      </c>
      <c r="AB86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2407.8000000000002</v>
      </c>
      <c r="AC862">
        <f>IF(Transaction[[#This Row],[DiscountAmount_Check2]]="Invalid",Transaction[[#This Row],[GrossRevenue_Analytical]]-Transaction[[#This Row],[NetRevenue_Analytical]],Transaction[[#This Row],[DiscountAmount_Clean]])</f>
        <v>2407.8000000000002</v>
      </c>
      <c r="AD862">
        <v>7392.2</v>
      </c>
      <c r="AE862" t="str">
        <f>IF(ROUND(Transaction[[#This Row],[GrossRevenue_Analytical]]-Transaction[[#This Row],[NetRevenue_Analytical]],2)=ROUND(Transaction[[#This Row],[DiscountAmount_Clean]],2),"Valid","Invalid")</f>
        <v>Valid</v>
      </c>
      <c r="AF862">
        <f>VALUE(IF(ISNUMBER(Transaction[[#This Row],[NetRevenue]]),Transaction[[#This Row],[NetRevenue]],IFERROR(IF(FIND("$",Transaction[[#This Row],[NetRevenue]])&gt;0,MID(Transaction[[#This Row],[NetRevenue]],2,10)),Transaction[[#This Row],[NetRevenue]])))</f>
        <v>7392.2</v>
      </c>
      <c r="AG862">
        <f>IF(Transaction[[#This Row],[NetRevenue_Check]]="Invalid",(Transaction[[#This Row],[Quantity]]*Transaction[[#This Row],[UnitPrice_Clean]]),Transaction[[#This Row],[NetRevenue_Clean]])</f>
        <v>7392.2</v>
      </c>
      <c r="AH862" t="str">
        <f>IF(Transaction[[#This Row],[Quantity]]*Transaction[[#This Row],[UnitPrice_Clean]]=Transaction[[#This Row],[NetRevenue_Clean]],"Valid","Invalid")</f>
        <v>Valid</v>
      </c>
      <c r="AI862" t="s">
        <v>23</v>
      </c>
      <c r="AJ862" t="s">
        <v>1357</v>
      </c>
      <c r="AK862" t="str">
        <f>IF(Transaction[[#This Row],[Salesperson]]="","Missing Value",TRIM(PROPER(Transaction[[#This Row],[Salesperson]])))</f>
        <v>Davenport</v>
      </c>
      <c r="AL862" t="s">
        <v>42</v>
      </c>
      <c r="AM862" t="str">
        <f>IF(Transaction[[#This Row],[ContractType]]="","Missing Value",Transaction[[#This Row],[ContractType]])</f>
        <v>Standard PO</v>
      </c>
      <c r="AN862" t="s">
        <v>26</v>
      </c>
    </row>
    <row r="863" spans="1:40" x14ac:dyDescent="0.25">
      <c r="A863" t="s">
        <v>3088</v>
      </c>
      <c r="B863" s="1">
        <v>45731</v>
      </c>
      <c r="C86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86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86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63" s="2">
        <f>IFERROR(DATE(Transaction[[#This Row],[TransactionDateY]],Transaction[[#This Row],[TransactionDateM]],Transaction[[#This Row],[TransactionDateD]]),"Missing Value")</f>
        <v>45731</v>
      </c>
      <c r="G863" t="s">
        <v>18</v>
      </c>
      <c r="H863" t="str">
        <f>IFERROR(VLOOKUP(Transaction[[#This Row],[CustomerID]],Custumer[],1,0),IF(LEN(Transaction[[#This Row],[CustomerID]])=7,LEFT(Transaction[[#This Row],[CustomerID]],6),"Invalid ID"))</f>
        <v>C-1048</v>
      </c>
      <c r="I863" t="s">
        <v>121</v>
      </c>
      <c r="J863" t="str">
        <f>TRIM(UPPER(Transaction[[#This Row],[ProductID]]))</f>
        <v>P-FS-001</v>
      </c>
      <c r="K863" t="str">
        <f>IFERROR(VLOOKUP(Transaction[[#This Row],[ProductID_Clean]],Product[],1,FALSE),"Invalid ID")</f>
        <v>P-FS-001</v>
      </c>
      <c r="L863" t="str">
        <f>TRIM(SUBSTITUTE(SUBSTITUTE(SUBSTITUTE(SUBSTITUTE(UPPER(Transaction[[#This Row],[Region]]),"EMEA REGION","EMEA"),"APAC REGION","APAC"),"NORTH AMERICA","N. AMERICA"),"N .AMERICA","N.AMERICA"))</f>
        <v>N. AMERICA</v>
      </c>
      <c r="M863" t="s">
        <v>20</v>
      </c>
      <c r="N863" t="s">
        <v>21</v>
      </c>
      <c r="O86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863" t="s">
        <v>22</v>
      </c>
      <c r="Q863" t="str">
        <f>IF(TRIM(Transaction[[#This Row],[SalesChannel]])="","Missing Value",TRIM(Transaction[[#This Row],[SalesChannel]]))</f>
        <v>Direct</v>
      </c>
      <c r="R863" s="4">
        <v>1</v>
      </c>
      <c r="S863" s="4" t="str">
        <f>IF(Transaction[[#This Row],[Quantity]]&lt;0,"Negative-review","Valid")</f>
        <v>Valid</v>
      </c>
      <c r="T863">
        <v>1401.37</v>
      </c>
      <c r="U86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1401.37</v>
      </c>
      <c r="V863">
        <v>1850</v>
      </c>
      <c r="W863">
        <v>1850</v>
      </c>
      <c r="X86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863">
        <f>IF(Transaction[[#This Row],[GrossRevenue_Check]]="Invalid",Transaction[[#This Row],[ListPrice]]*Transaction[[#This Row],[Quantity]],Transaction[[#This Row],[GrossRevenue_Clean]])</f>
        <v>1850</v>
      </c>
      <c r="Z863" t="str">
        <f>IF(Transaction[[#This Row],[GrossRevenue_Clean]]=Transaction[[#This Row],[ListPrice]]*Transaction[[#This Row],[Quantity]],"Valid","Invalid")</f>
        <v>Valid</v>
      </c>
      <c r="AA863">
        <v>448.63</v>
      </c>
      <c r="AB86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448.63</v>
      </c>
      <c r="AC863">
        <f>IF(Transaction[[#This Row],[DiscountAmount_Check2]]="Invalid",Transaction[[#This Row],[GrossRevenue_Analytical]]-Transaction[[#This Row],[NetRevenue_Analytical]],Transaction[[#This Row],[DiscountAmount_Clean]])</f>
        <v>448.63</v>
      </c>
      <c r="AD863" t="s">
        <v>3089</v>
      </c>
      <c r="AE863" t="str">
        <f>IF(ROUND(Transaction[[#This Row],[GrossRevenue_Analytical]]-Transaction[[#This Row],[NetRevenue_Analytical]],2)=ROUND(Transaction[[#This Row],[DiscountAmount_Clean]],2),"Valid","Invalid")</f>
        <v>Valid</v>
      </c>
      <c r="AF86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1401.37</v>
      </c>
      <c r="AG863">
        <f>IF(Transaction[[#This Row],[NetRevenue_Check]]="Invalid",(Transaction[[#This Row],[Quantity]]*Transaction[[#This Row],[UnitPrice_Clean]]),Transaction[[#This Row],[NetRevenue_Clean]])</f>
        <v>1401.37</v>
      </c>
      <c r="AH863" t="str">
        <f>IF(Transaction[[#This Row],[Quantity]]*Transaction[[#This Row],[UnitPrice_Clean]]=Transaction[[#This Row],[NetRevenue_Clean]],"Valid","Invalid")</f>
        <v>Valid</v>
      </c>
      <c r="AI863" t="s">
        <v>23</v>
      </c>
      <c r="AJ863" t="s">
        <v>3090</v>
      </c>
      <c r="AK863" t="str">
        <f>IF(Transaction[[#This Row],[Salesperson]]="","Missing Value",TRIM(PROPER(Transaction[[#This Row],[Salesperson]])))</f>
        <v>Avila-Ap</v>
      </c>
      <c r="AL863" t="s">
        <v>42</v>
      </c>
      <c r="AM863" t="str">
        <f>IF(Transaction[[#This Row],[ContractType]]="","Missing Value",Transaction[[#This Row],[ContractType]])</f>
        <v>Standard PO</v>
      </c>
      <c r="AN863" t="s">
        <v>26</v>
      </c>
    </row>
    <row r="864" spans="1:40" x14ac:dyDescent="0.25">
      <c r="A864" t="s">
        <v>2107</v>
      </c>
      <c r="B864" s="1">
        <v>45678</v>
      </c>
      <c r="C86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86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86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64" s="2">
        <f>IFERROR(DATE(Transaction[[#This Row],[TransactionDateY]],Transaction[[#This Row],[TransactionDateM]],Transaction[[#This Row],[TransactionDateD]]),"Missing Value")</f>
        <v>45678</v>
      </c>
      <c r="G864" t="s">
        <v>405</v>
      </c>
      <c r="H864" t="str">
        <f>IFERROR(VLOOKUP(Transaction[[#This Row],[CustomerID]],Custumer[],1,0),IF(LEN(Transaction[[#This Row],[CustomerID]])=7,LEFT(Transaction[[#This Row],[CustomerID]],6),"Invalid ID"))</f>
        <v>C-1163</v>
      </c>
      <c r="I864" t="s">
        <v>71</v>
      </c>
      <c r="J864" t="str">
        <f>TRIM(UPPER(Transaction[[#This Row],[ProductID]]))</f>
        <v>P-SI-003</v>
      </c>
      <c r="K864" t="str">
        <f>IFERROR(VLOOKUP(Transaction[[#This Row],[ProductID_Clean]],Product[],1,FALSE),"Invalid ID")</f>
        <v>P-SI-003</v>
      </c>
      <c r="L864" t="str">
        <f>TRIM(SUBSTITUTE(SUBSTITUTE(SUBSTITUTE(SUBSTITUTE(UPPER(Transaction[[#This Row],[Region]]),"EMEA REGION","EMEA"),"APAC REGION","APAC"),"NORTH AMERICA","N. AMERICA"),"N .AMERICA","N.AMERICA"))</f>
        <v>APAC</v>
      </c>
      <c r="M864" t="s">
        <v>127</v>
      </c>
      <c r="N864" t="s">
        <v>53</v>
      </c>
      <c r="O86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64" t="s">
        <v>181</v>
      </c>
      <c r="Q864" t="str">
        <f>IF(TRIM(Transaction[[#This Row],[SalesChannel]])="","Missing Value",TRIM(Transaction[[#This Row],[SalesChannel]]))</f>
        <v>Partner Portal</v>
      </c>
      <c r="R864" s="4">
        <v>3</v>
      </c>
      <c r="S864" s="4" t="str">
        <f>IF(Transaction[[#This Row],[Quantity]]&lt;0,"Negative-review","Valid")</f>
        <v>Valid</v>
      </c>
      <c r="T864">
        <v>1510.99</v>
      </c>
      <c r="U86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1510.99</v>
      </c>
      <c r="V864">
        <v>1890</v>
      </c>
      <c r="W864">
        <v>5670</v>
      </c>
      <c r="X86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5670</v>
      </c>
      <c r="Y864">
        <f>IF(Transaction[[#This Row],[GrossRevenue_Check]]="Invalid",Transaction[[#This Row],[ListPrice]]*Transaction[[#This Row],[Quantity]],Transaction[[#This Row],[GrossRevenue_Clean]])</f>
        <v>5670</v>
      </c>
      <c r="Z864" t="str">
        <f>IF(Transaction[[#This Row],[GrossRevenue_Clean]]=Transaction[[#This Row],[ListPrice]]*Transaction[[#This Row],[Quantity]],"Valid","Invalid")</f>
        <v>Valid</v>
      </c>
      <c r="AA864">
        <v>1137.03</v>
      </c>
      <c r="AB86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1137.03</v>
      </c>
      <c r="AC864">
        <f>IF(Transaction[[#This Row],[DiscountAmount_Check2]]="Invalid",Transaction[[#This Row],[GrossRevenue_Analytical]]-Transaction[[#This Row],[NetRevenue_Analytical]],Transaction[[#This Row],[DiscountAmount_Clean]])</f>
        <v>1137.03</v>
      </c>
      <c r="AD864">
        <v>4532.97</v>
      </c>
      <c r="AE864" t="str">
        <f>IF(ROUND(Transaction[[#This Row],[GrossRevenue_Analytical]]-Transaction[[#This Row],[NetRevenue_Analytical]],2)=ROUND(Transaction[[#This Row],[DiscountAmount_Clean]],2),"Valid","Invalid")</f>
        <v>Valid</v>
      </c>
      <c r="AF864">
        <f>VALUE(IF(ISNUMBER(Transaction[[#This Row],[NetRevenue]]),Transaction[[#This Row],[NetRevenue]],IFERROR(IF(FIND("$",Transaction[[#This Row],[NetRevenue]])&gt;0,MID(Transaction[[#This Row],[NetRevenue]],2,10)),Transaction[[#This Row],[NetRevenue]])))</f>
        <v>4532.97</v>
      </c>
      <c r="AG864">
        <f>IF(Transaction[[#This Row],[NetRevenue_Check]]="Invalid",(Transaction[[#This Row],[Quantity]]*Transaction[[#This Row],[UnitPrice_Clean]]),Transaction[[#This Row],[NetRevenue_Clean]])</f>
        <v>4532.97</v>
      </c>
      <c r="AH864" t="str">
        <f>IF(Transaction[[#This Row],[Quantity]]*Transaction[[#This Row],[UnitPrice_Clean]]=Transaction[[#This Row],[NetRevenue_Clean]],"Valid","Invalid")</f>
        <v>Valid</v>
      </c>
      <c r="AI864" t="s">
        <v>23</v>
      </c>
      <c r="AJ864" t="s">
        <v>2108</v>
      </c>
      <c r="AK864" t="str">
        <f>IF(Transaction[[#This Row],[Salesperson]]="","Missing Value",TRIM(PROPER(Transaction[[#This Row],[Salesperson]])))</f>
        <v>Good</v>
      </c>
      <c r="AL864" t="s">
        <v>25</v>
      </c>
      <c r="AM864" t="str">
        <f>IF(Transaction[[#This Row],[ContractType]]="","Missing Value",Transaction[[#This Row],[ContractType]])</f>
        <v>Frame Agreement</v>
      </c>
      <c r="AN864" t="s">
        <v>65</v>
      </c>
    </row>
    <row r="865" spans="1:40" x14ac:dyDescent="0.25">
      <c r="A865" t="s">
        <v>1064</v>
      </c>
      <c r="B865" s="1">
        <v>45771</v>
      </c>
      <c r="C86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86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86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65" s="2">
        <f>IFERROR(DATE(Transaction[[#This Row],[TransactionDateY]],Transaction[[#This Row],[TransactionDateM]],Transaction[[#This Row],[TransactionDateD]]),"Missing Value")</f>
        <v>45771</v>
      </c>
      <c r="G865" t="s">
        <v>1065</v>
      </c>
      <c r="H865" t="str">
        <f>IFERROR(VLOOKUP(Transaction[[#This Row],[CustomerID]],Custumer[],1,0),IF(LEN(Transaction[[#This Row],[CustomerID]])=7,LEFT(Transaction[[#This Row],[CustomerID]],6),"Invalid ID"))</f>
        <v>C-1074</v>
      </c>
      <c r="I865" t="s">
        <v>268</v>
      </c>
      <c r="J865" t="str">
        <f>TRIM(UPPER(Transaction[[#This Row],[ProductID]]))</f>
        <v>P-FS-002</v>
      </c>
      <c r="K865" t="str">
        <f>IFERROR(VLOOKUP(Transaction[[#This Row],[ProductID_Clean]],Product[],1,FALSE),"Invalid ID")</f>
        <v>P-FS-002</v>
      </c>
      <c r="L865" t="str">
        <f>TRIM(SUBSTITUTE(SUBSTITUTE(SUBSTITUTE(SUBSTITUTE(UPPER(Transaction[[#This Row],[Region]]),"EMEA REGION","EMEA"),"APAC REGION","APAC"),"NORTH AMERICA","N. AMERICA"),"N .AMERICA","N.AMERICA"))</f>
        <v>LATIN AMERICA</v>
      </c>
      <c r="M865" t="s">
        <v>780</v>
      </c>
      <c r="N865" t="s">
        <v>21</v>
      </c>
      <c r="O86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865" t="s">
        <v>22</v>
      </c>
      <c r="Q865" t="str">
        <f>IF(TRIM(Transaction[[#This Row],[SalesChannel]])="","Missing Value",TRIM(Transaction[[#This Row],[SalesChannel]]))</f>
        <v>Direct</v>
      </c>
      <c r="R865" s="4">
        <v>1</v>
      </c>
      <c r="S865" s="4" t="str">
        <f>IF(Transaction[[#This Row],[Quantity]]&lt;0,"Negative-review","Valid")</f>
        <v>Valid</v>
      </c>
      <c r="T865">
        <v>2077.34</v>
      </c>
      <c r="U86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2077.34</v>
      </c>
      <c r="V865">
        <v>2400</v>
      </c>
      <c r="W865">
        <v>2400</v>
      </c>
      <c r="X86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865">
        <f>IF(Transaction[[#This Row],[GrossRevenue_Check]]="Invalid",Transaction[[#This Row],[ListPrice]]*Transaction[[#This Row],[Quantity]],Transaction[[#This Row],[GrossRevenue_Clean]])</f>
        <v>2400</v>
      </c>
      <c r="Z865" t="str">
        <f>IF(Transaction[[#This Row],[GrossRevenue_Clean]]=Transaction[[#This Row],[ListPrice]]*Transaction[[#This Row],[Quantity]],"Valid","Invalid")</f>
        <v>Valid</v>
      </c>
      <c r="AA865">
        <v>322.66000000000003</v>
      </c>
      <c r="AB86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322.66000000000003</v>
      </c>
      <c r="AC865">
        <f>IF(Transaction[[#This Row],[DiscountAmount_Check2]]="Invalid",Transaction[[#This Row],[GrossRevenue_Analytical]]-Transaction[[#This Row],[NetRevenue_Analytical]],Transaction[[#This Row],[DiscountAmount_Clean]])</f>
        <v>322.66000000000003</v>
      </c>
      <c r="AD865">
        <v>2077.34</v>
      </c>
      <c r="AE865" t="str">
        <f>IF(ROUND(Transaction[[#This Row],[GrossRevenue_Analytical]]-Transaction[[#This Row],[NetRevenue_Analytical]],2)=ROUND(Transaction[[#This Row],[DiscountAmount_Clean]],2),"Valid","Invalid")</f>
        <v>Valid</v>
      </c>
      <c r="AF865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2077.34</v>
      </c>
      <c r="AG865">
        <f>IF(Transaction[[#This Row],[NetRevenue_Check]]="Invalid",(Transaction[[#This Row],[Quantity]]*Transaction[[#This Row],[UnitPrice_Clean]]),Transaction[[#This Row],[NetRevenue_Clean]])</f>
        <v>2077.34</v>
      </c>
      <c r="AH865" t="str">
        <f>IF(Transaction[[#This Row],[Quantity]]*Transaction[[#This Row],[UnitPrice_Clean]]=Transaction[[#This Row],[NetRevenue_Clean]],"Valid","Invalid")</f>
        <v>Valid</v>
      </c>
      <c r="AI865" t="s">
        <v>23</v>
      </c>
      <c r="AJ865" t="s">
        <v>1066</v>
      </c>
      <c r="AK865" t="str">
        <f>IF(Transaction[[#This Row],[Salesperson]]="","Missing Value",TRIM(PROPER(Transaction[[#This Row],[Salesperson]])))</f>
        <v>Ford-Ap</v>
      </c>
      <c r="AL865" t="s">
        <v>224</v>
      </c>
      <c r="AM865" t="str">
        <f>IF(Transaction[[#This Row],[ContractType]]="","Missing Value",Transaction[[#This Row],[ContractType]])</f>
        <v>Annual</v>
      </c>
      <c r="AN865" t="s">
        <v>43</v>
      </c>
    </row>
    <row r="866" spans="1:40" x14ac:dyDescent="0.25">
      <c r="A866" t="s">
        <v>2855</v>
      </c>
      <c r="B866" s="1">
        <v>45723</v>
      </c>
      <c r="C86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86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86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66" s="2">
        <f>IFERROR(DATE(Transaction[[#This Row],[TransactionDateY]],Transaction[[#This Row],[TransactionDateM]],Transaction[[#This Row],[TransactionDateD]]),"Missing Value")</f>
        <v>45723</v>
      </c>
      <c r="G866" t="s">
        <v>276</v>
      </c>
      <c r="H866" t="str">
        <f>IFERROR(VLOOKUP(Transaction[[#This Row],[CustomerID]],Custumer[],1,0),IF(LEN(Transaction[[#This Row],[CustomerID]])=7,LEFT(Transaction[[#This Row],[CustomerID]],6),"Invalid ID"))</f>
        <v>C-1129</v>
      </c>
      <c r="I866" t="s">
        <v>121</v>
      </c>
      <c r="J866" t="str">
        <f>TRIM(UPPER(Transaction[[#This Row],[ProductID]]))</f>
        <v>P-FS-001</v>
      </c>
      <c r="K866" t="str">
        <f>IFERROR(VLOOKUP(Transaction[[#This Row],[ProductID_Clean]],Product[],1,FALSE),"Invalid ID")</f>
        <v>P-FS-001</v>
      </c>
      <c r="L866" t="str">
        <f>TRIM(SUBSTITUTE(SUBSTITUTE(SUBSTITUTE(SUBSTITUTE(UPPER(Transaction[[#This Row],[Region]]),"EMEA REGION","EMEA"),"APAC REGION","APAC"),"NORTH AMERICA","N. AMERICA"),"N .AMERICA","N.AMERICA"))</f>
        <v>N. AMERICA</v>
      </c>
      <c r="M866" t="s">
        <v>20</v>
      </c>
      <c r="N866" t="s">
        <v>21</v>
      </c>
      <c r="O86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866" t="s">
        <v>22</v>
      </c>
      <c r="Q866" t="str">
        <f>IF(TRIM(Transaction[[#This Row],[SalesChannel]])="","Missing Value",TRIM(Transaction[[#This Row],[SalesChannel]]))</f>
        <v>Direct</v>
      </c>
      <c r="R866" s="4">
        <v>1</v>
      </c>
      <c r="S866" s="4" t="str">
        <f>IF(Transaction[[#This Row],[Quantity]]&lt;0,"Negative-review","Valid")</f>
        <v>Valid</v>
      </c>
      <c r="T866">
        <v>1514.13</v>
      </c>
      <c r="U86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1514.13</v>
      </c>
      <c r="V866">
        <v>1850</v>
      </c>
      <c r="W866">
        <v>1850</v>
      </c>
      <c r="X86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866">
        <f>IF(Transaction[[#This Row],[GrossRevenue_Check]]="Invalid",Transaction[[#This Row],[ListPrice]]*Transaction[[#This Row],[Quantity]],Transaction[[#This Row],[GrossRevenue_Clean]])</f>
        <v>1850</v>
      </c>
      <c r="Z866" t="str">
        <f>IF(Transaction[[#This Row],[GrossRevenue_Clean]]=Transaction[[#This Row],[ListPrice]]*Transaction[[#This Row],[Quantity]],"Valid","Invalid")</f>
        <v>Valid</v>
      </c>
      <c r="AA866">
        <v>335.87</v>
      </c>
      <c r="AB86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335.87</v>
      </c>
      <c r="AC866">
        <f>IF(Transaction[[#This Row],[DiscountAmount_Check2]]="Invalid",Transaction[[#This Row],[GrossRevenue_Analytical]]-Transaction[[#This Row],[NetRevenue_Analytical]],Transaction[[#This Row],[DiscountAmount_Clean]])</f>
        <v>335.87</v>
      </c>
      <c r="AD866">
        <v>1514.13</v>
      </c>
      <c r="AE866" t="str">
        <f>IF(ROUND(Transaction[[#This Row],[GrossRevenue_Analytical]]-Transaction[[#This Row],[NetRevenue_Analytical]],2)=ROUND(Transaction[[#This Row],[DiscountAmount_Clean]],2),"Valid","Invalid")</f>
        <v>Valid</v>
      </c>
      <c r="AF86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1514.13</v>
      </c>
      <c r="AG866">
        <f>IF(Transaction[[#This Row],[NetRevenue_Check]]="Invalid",(Transaction[[#This Row],[Quantity]]*Transaction[[#This Row],[UnitPrice_Clean]]),Transaction[[#This Row],[NetRevenue_Clean]])</f>
        <v>1514.13</v>
      </c>
      <c r="AH866" t="str">
        <f>IF(Transaction[[#This Row],[Quantity]]*Transaction[[#This Row],[UnitPrice_Clean]]=Transaction[[#This Row],[NetRevenue_Clean]],"Valid","Invalid")</f>
        <v>Valid</v>
      </c>
      <c r="AI866" t="s">
        <v>99</v>
      </c>
      <c r="AJ866" t="s">
        <v>2856</v>
      </c>
      <c r="AK866" t="str">
        <f>IF(Transaction[[#This Row],[Salesperson]]="","Missing Value",TRIM(PROPER(Transaction[[#This Row],[Salesperson]])))</f>
        <v>Ball-Ap</v>
      </c>
      <c r="AL866" t="s">
        <v>25</v>
      </c>
      <c r="AM866" t="str">
        <f>IF(Transaction[[#This Row],[ContractType]]="","Missing Value",Transaction[[#This Row],[ContractType]])</f>
        <v>Frame Agreement</v>
      </c>
      <c r="AN866" t="s">
        <v>49</v>
      </c>
    </row>
    <row r="867" spans="1:40" x14ac:dyDescent="0.25">
      <c r="A867" t="s">
        <v>504</v>
      </c>
      <c r="B867" s="1">
        <v>45780</v>
      </c>
      <c r="C86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86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86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67" s="2">
        <f>IFERROR(DATE(Transaction[[#This Row],[TransactionDateY]],Transaction[[#This Row],[TransactionDateM]],Transaction[[#This Row],[TransactionDateD]]),"Missing Value")</f>
        <v>45780</v>
      </c>
      <c r="G867" t="s">
        <v>208</v>
      </c>
      <c r="H867" t="str">
        <f>IFERROR(VLOOKUP(Transaction[[#This Row],[CustomerID]],Custumer[],1,0),IF(LEN(Transaction[[#This Row],[CustomerID]])=7,LEFT(Transaction[[#This Row],[CustomerID]],6),"Invalid ID"))</f>
        <v>C-1076</v>
      </c>
      <c r="I867" t="s">
        <v>268</v>
      </c>
      <c r="J867" t="str">
        <f>TRIM(UPPER(Transaction[[#This Row],[ProductID]]))</f>
        <v>P-FS-002</v>
      </c>
      <c r="K867" t="str">
        <f>IFERROR(VLOOKUP(Transaction[[#This Row],[ProductID_Clean]],Product[],1,FALSE),"Invalid ID")</f>
        <v>P-FS-002</v>
      </c>
      <c r="L867" t="str">
        <f>TRIM(SUBSTITUTE(SUBSTITUTE(SUBSTITUTE(SUBSTITUTE(UPPER(Transaction[[#This Row],[Region]]),"EMEA REGION","EMEA"),"APAC REGION","APAC"),"NORTH AMERICA","N. AMERICA"),"N .AMERICA","N.AMERICA"))</f>
        <v>APAC</v>
      </c>
      <c r="M867" t="s">
        <v>63</v>
      </c>
      <c r="N867" t="s">
        <v>244</v>
      </c>
      <c r="O867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867" t="s">
        <v>22</v>
      </c>
      <c r="Q867" t="str">
        <f>IF(TRIM(Transaction[[#This Row],[SalesChannel]])="","Missing Value",TRIM(Transaction[[#This Row],[SalesChannel]]))</f>
        <v>Direct</v>
      </c>
      <c r="R867" s="4">
        <v>2</v>
      </c>
      <c r="S867" s="4" t="str">
        <f>IF(Transaction[[#This Row],[Quantity]]&lt;0,"Negative-review","Valid")</f>
        <v>Valid</v>
      </c>
      <c r="T867">
        <v>2023.94</v>
      </c>
      <c r="U86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2023.94</v>
      </c>
      <c r="V867">
        <v>2400</v>
      </c>
      <c r="W867">
        <v>4800</v>
      </c>
      <c r="X86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4800</v>
      </c>
      <c r="Y867">
        <f>IF(Transaction[[#This Row],[GrossRevenue_Check]]="Invalid",Transaction[[#This Row],[ListPrice]]*Transaction[[#This Row],[Quantity]],Transaction[[#This Row],[GrossRevenue_Clean]])</f>
        <v>4800</v>
      </c>
      <c r="Z867" t="str">
        <f>IF(Transaction[[#This Row],[GrossRevenue_Clean]]=Transaction[[#This Row],[ListPrice]]*Transaction[[#This Row],[Quantity]],"Valid","Invalid")</f>
        <v>Valid</v>
      </c>
      <c r="AA867">
        <v>752.12</v>
      </c>
      <c r="AB86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752.12</v>
      </c>
      <c r="AC867">
        <f>IF(Transaction[[#This Row],[DiscountAmount_Check2]]="Invalid",Transaction[[#This Row],[GrossRevenue_Analytical]]-Transaction[[#This Row],[NetRevenue_Analytical]],Transaction[[#This Row],[DiscountAmount_Clean]])</f>
        <v>752.12</v>
      </c>
      <c r="AD867">
        <v>4047.88</v>
      </c>
      <c r="AE867" t="str">
        <f>IF(ROUND(Transaction[[#This Row],[GrossRevenue_Analytical]]-Transaction[[#This Row],[NetRevenue_Analytical]],2)=ROUND(Transaction[[#This Row],[DiscountAmount_Clean]],2),"Valid","Invalid")</f>
        <v>Valid</v>
      </c>
      <c r="AF867">
        <f>VALUE(IF(ISNUMBER(Transaction[[#This Row],[NetRevenue]]),Transaction[[#This Row],[NetRevenue]],IFERROR(IF(FIND("$",Transaction[[#This Row],[NetRevenue]])&gt;0,MID(Transaction[[#This Row],[NetRevenue]],2,10)),Transaction[[#This Row],[NetRevenue]])))</f>
        <v>4047.88</v>
      </c>
      <c r="AG867">
        <f>IF(Transaction[[#This Row],[NetRevenue_Check]]="Invalid",(Transaction[[#This Row],[Quantity]]*Transaction[[#This Row],[UnitPrice_Clean]]),Transaction[[#This Row],[NetRevenue_Clean]])</f>
        <v>4047.88</v>
      </c>
      <c r="AH867" t="str">
        <f>IF(Transaction[[#This Row],[Quantity]]*Transaction[[#This Row],[UnitPrice_Clean]]=Transaction[[#This Row],[NetRevenue_Clean]],"Valid","Invalid")</f>
        <v>Valid</v>
      </c>
      <c r="AI867" t="s">
        <v>23</v>
      </c>
      <c r="AJ867" t="s">
        <v>505</v>
      </c>
      <c r="AK867" t="str">
        <f>IF(Transaction[[#This Row],[Salesperson]]="","Missing Value",TRIM(PROPER(Transaction[[#This Row],[Salesperson]])))</f>
        <v>Coleman</v>
      </c>
      <c r="AL867" t="s">
        <v>224</v>
      </c>
      <c r="AM867" t="str">
        <f>IF(Transaction[[#This Row],[ContractType]]="","Missing Value",Transaction[[#This Row],[ContractType]])</f>
        <v>Annual</v>
      </c>
      <c r="AN867" t="s">
        <v>49</v>
      </c>
    </row>
    <row r="868" spans="1:40" x14ac:dyDescent="0.25">
      <c r="A868" t="s">
        <v>431</v>
      </c>
      <c r="B868" s="1">
        <v>45709</v>
      </c>
      <c r="C86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86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86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68" s="2">
        <f>IFERROR(DATE(Transaction[[#This Row],[TransactionDateY]],Transaction[[#This Row],[TransactionDateM]],Transaction[[#This Row],[TransactionDateD]]),"Missing Value")</f>
        <v>45709</v>
      </c>
      <c r="G868" t="s">
        <v>38</v>
      </c>
      <c r="H868" t="str">
        <f>IFERROR(VLOOKUP(Transaction[[#This Row],[CustomerID]],Custumer[],1,0),IF(LEN(Transaction[[#This Row],[CustomerID]])=7,LEFT(Transaction[[#This Row],[CustomerID]],6),"Invalid ID"))</f>
        <v>C-1027</v>
      </c>
      <c r="I868" t="s">
        <v>39</v>
      </c>
      <c r="J868" t="str">
        <f>TRIM(UPPER(Transaction[[#This Row],[ProductID]]))</f>
        <v>P-FS-006</v>
      </c>
      <c r="K868" t="str">
        <f>IFERROR(VLOOKUP(Transaction[[#This Row],[ProductID_Clean]],Product[],1,FALSE),"Invalid ID")</f>
        <v>P-FS-006</v>
      </c>
      <c r="L868" t="str">
        <f>TRIM(SUBSTITUTE(SUBSTITUTE(SUBSTITUTE(SUBSTITUTE(UPPER(Transaction[[#This Row],[Region]]),"EMEA REGION","EMEA"),"APAC REGION","APAC"),"NORTH AMERICA","N. AMERICA"),"N .AMERICA","N.AMERICA"))</f>
        <v>N. AMERICA</v>
      </c>
      <c r="M868" t="s">
        <v>204</v>
      </c>
      <c r="N868" t="s">
        <v>21</v>
      </c>
      <c r="O868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868" t="s">
        <v>40</v>
      </c>
      <c r="Q868" t="str">
        <f>IF(TRIM(Transaction[[#This Row],[SalesChannel]])="","Missing Value",TRIM(Transaction[[#This Row],[SalesChannel]]))</f>
        <v>Distributor</v>
      </c>
      <c r="R868" s="4">
        <v>1</v>
      </c>
      <c r="S868" s="4" t="str">
        <f>IF(Transaction[[#This Row],[Quantity]]&lt;0,"Negative-review","Valid")</f>
        <v>Valid</v>
      </c>
      <c r="T868">
        <v>1162.25</v>
      </c>
      <c r="U86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1162.25</v>
      </c>
      <c r="V868">
        <v>1450</v>
      </c>
      <c r="W868">
        <v>1450</v>
      </c>
      <c r="X86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868">
        <f>IF(Transaction[[#This Row],[GrossRevenue_Check]]="Invalid",Transaction[[#This Row],[ListPrice]]*Transaction[[#This Row],[Quantity]],Transaction[[#This Row],[GrossRevenue_Clean]])</f>
        <v>1450</v>
      </c>
      <c r="Z868" t="str">
        <f>IF(Transaction[[#This Row],[GrossRevenue_Clean]]=Transaction[[#This Row],[ListPrice]]*Transaction[[#This Row],[Quantity]],"Valid","Invalid")</f>
        <v>Valid</v>
      </c>
      <c r="AA868">
        <v>287.75</v>
      </c>
      <c r="AB86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287.75</v>
      </c>
      <c r="AC868">
        <f>IF(Transaction[[#This Row],[DiscountAmount_Check2]]="Invalid",Transaction[[#This Row],[GrossRevenue_Analytical]]-Transaction[[#This Row],[NetRevenue_Analytical]],Transaction[[#This Row],[DiscountAmount_Clean]])</f>
        <v>287.75</v>
      </c>
      <c r="AD868">
        <v>1162.25</v>
      </c>
      <c r="AE868" t="str">
        <f>IF(ROUND(Transaction[[#This Row],[GrossRevenue_Analytical]]-Transaction[[#This Row],[NetRevenue_Analytical]],2)=ROUND(Transaction[[#This Row],[DiscountAmount_Clean]],2),"Valid","Invalid")</f>
        <v>Valid</v>
      </c>
      <c r="AF86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1162.25</v>
      </c>
      <c r="AG868">
        <f>IF(Transaction[[#This Row],[NetRevenue_Check]]="Invalid",(Transaction[[#This Row],[Quantity]]*Transaction[[#This Row],[UnitPrice_Clean]]),Transaction[[#This Row],[NetRevenue_Clean]])</f>
        <v>1162.25</v>
      </c>
      <c r="AH868" t="str">
        <f>IF(Transaction[[#This Row],[Quantity]]*Transaction[[#This Row],[UnitPrice_Clean]]=Transaction[[#This Row],[NetRevenue_Clean]],"Valid","Invalid")</f>
        <v>Valid</v>
      </c>
      <c r="AI868" t="s">
        <v>99</v>
      </c>
      <c r="AJ868" t="s">
        <v>432</v>
      </c>
      <c r="AK868" t="str">
        <f>IF(Transaction[[#This Row],[Salesperson]]="","Missing Value",TRIM(PROPER(Transaction[[#This Row],[Salesperson]])))</f>
        <v>Gray-Em</v>
      </c>
      <c r="AL868" t="s">
        <v>42</v>
      </c>
      <c r="AM868" t="str">
        <f>IF(Transaction[[#This Row],[ContractType]]="","Missing Value",Transaction[[#This Row],[ContractType]])</f>
        <v>Standard PO</v>
      </c>
      <c r="AN868" t="s">
        <v>43</v>
      </c>
    </row>
    <row r="869" spans="1:40" x14ac:dyDescent="0.25">
      <c r="A869" t="s">
        <v>2534</v>
      </c>
      <c r="B869" s="1">
        <v>45727</v>
      </c>
      <c r="C86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86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86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69" s="2">
        <f>IFERROR(DATE(Transaction[[#This Row],[TransactionDateY]],Transaction[[#This Row],[TransactionDateM]],Transaction[[#This Row],[TransactionDateD]]),"Missing Value")</f>
        <v>45727</v>
      </c>
      <c r="G869" t="s">
        <v>580</v>
      </c>
      <c r="H869" t="str">
        <f>IFERROR(VLOOKUP(Transaction[[#This Row],[CustomerID]],Custumer[],1,0),IF(LEN(Transaction[[#This Row],[CustomerID]])=7,LEFT(Transaction[[#This Row],[CustomerID]],6),"Invalid ID"))</f>
        <v>C-1053</v>
      </c>
      <c r="I869" t="s">
        <v>226</v>
      </c>
      <c r="J869" t="str">
        <f>TRIM(UPPER(Transaction[[#This Row],[ProductID]]))</f>
        <v>P-SA-002</v>
      </c>
      <c r="K869" t="str">
        <f>IFERROR(VLOOKUP(Transaction[[#This Row],[ProductID_Clean]],Product[],1,FALSE),"Invalid ID")</f>
        <v>P-SA-002</v>
      </c>
      <c r="L869" t="str">
        <f>TRIM(SUBSTITUTE(SUBSTITUTE(SUBSTITUTE(SUBSTITUTE(UPPER(Transaction[[#This Row],[Region]]),"EMEA REGION","EMEA"),"APAC REGION","APAC"),"NORTH AMERICA","N. AMERICA"),"N .AMERICA","N.AMERICA"))</f>
        <v>LATIN AMERICA</v>
      </c>
      <c r="M869" t="s">
        <v>82</v>
      </c>
      <c r="N869" t="s">
        <v>205</v>
      </c>
      <c r="O86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869" t="s">
        <v>22</v>
      </c>
      <c r="Q869" t="str">
        <f>IF(TRIM(Transaction[[#This Row],[SalesChannel]])="","Missing Value",TRIM(Transaction[[#This Row],[SalesChannel]]))</f>
        <v>Direct</v>
      </c>
      <c r="R869" s="4">
        <v>1</v>
      </c>
      <c r="S869" s="4" t="str">
        <f>IF(Transaction[[#This Row],[Quantity]]&lt;0,"Negative-review","Valid")</f>
        <v>Valid</v>
      </c>
      <c r="T869">
        <v>8583.31</v>
      </c>
      <c r="U86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8583.31</v>
      </c>
      <c r="V869">
        <v>9800</v>
      </c>
      <c r="W869">
        <v>9800</v>
      </c>
      <c r="X86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869">
        <f>IF(Transaction[[#This Row],[GrossRevenue_Check]]="Invalid",Transaction[[#This Row],[ListPrice]]*Transaction[[#This Row],[Quantity]],Transaction[[#This Row],[GrossRevenue_Clean]])</f>
        <v>9800</v>
      </c>
      <c r="Z869" t="str">
        <f>IF(Transaction[[#This Row],[GrossRevenue_Clean]]=Transaction[[#This Row],[ListPrice]]*Transaction[[#This Row],[Quantity]],"Valid","Invalid")</f>
        <v>Valid</v>
      </c>
      <c r="AA869">
        <v>1216.69</v>
      </c>
      <c r="AB86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1216.69</v>
      </c>
      <c r="AC869">
        <f>IF(Transaction[[#This Row],[DiscountAmount_Check2]]="Invalid",Transaction[[#This Row],[GrossRevenue_Analytical]]-Transaction[[#This Row],[NetRevenue_Analytical]],Transaction[[#This Row],[DiscountAmount_Clean]])</f>
        <v>1216.69</v>
      </c>
      <c r="AD869">
        <v>8583.31</v>
      </c>
      <c r="AE869" t="str">
        <f>IF(ROUND(Transaction[[#This Row],[GrossRevenue_Analytical]]-Transaction[[#This Row],[NetRevenue_Analytical]],2)=ROUND(Transaction[[#This Row],[DiscountAmount_Clean]],2),"Valid","Invalid")</f>
        <v>Valid</v>
      </c>
      <c r="AF869">
        <f>VALUE(IF(ISNUMBER(Transaction[[#This Row],[NetRevenue]]),Transaction[[#This Row],[NetRevenue]],IFERROR(IF(FIND("$",Transaction[[#This Row],[NetRevenue]])&gt;0,MID(Transaction[[#This Row],[NetRevenue]],2,10)),Transaction[[#This Row],[NetRevenue]])))</f>
        <v>8583.31</v>
      </c>
      <c r="AG869">
        <f>IF(Transaction[[#This Row],[NetRevenue_Check]]="Invalid",(Transaction[[#This Row],[Quantity]]*Transaction[[#This Row],[UnitPrice_Clean]]),Transaction[[#This Row],[NetRevenue_Clean]])</f>
        <v>8583.31</v>
      </c>
      <c r="AH869" t="str">
        <f>IF(Transaction[[#This Row],[Quantity]]*Transaction[[#This Row],[UnitPrice_Clean]]=Transaction[[#This Row],[NetRevenue_Clean]],"Valid","Invalid")</f>
        <v>Valid</v>
      </c>
      <c r="AI869" t="s">
        <v>23</v>
      </c>
      <c r="AJ869" t="s">
        <v>2535</v>
      </c>
      <c r="AK869" t="str">
        <f>IF(Transaction[[#This Row],[Salesperson]]="","Missing Value",TRIM(PROPER(Transaction[[#This Row],[Salesperson]])))</f>
        <v>Hall-Em</v>
      </c>
      <c r="AL869" t="s">
        <v>113</v>
      </c>
      <c r="AM869" t="str">
        <f>IF(Transaction[[#This Row],[ContractType]]="","Missing Value",Transaction[[#This Row],[ContractType]])</f>
        <v>Subscription</v>
      </c>
      <c r="AN869" t="s">
        <v>35</v>
      </c>
    </row>
    <row r="870" spans="1:40" x14ac:dyDescent="0.25">
      <c r="A870" t="s">
        <v>188</v>
      </c>
      <c r="B870" t="s">
        <v>189</v>
      </c>
      <c r="C87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87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87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70" s="2">
        <f>IFERROR(DATE(Transaction[[#This Row],[TransactionDateY]],Transaction[[#This Row],[TransactionDateM]],Transaction[[#This Row],[TransactionDateD]]),"Missing Value")</f>
        <v>45836</v>
      </c>
      <c r="G870" t="s">
        <v>190</v>
      </c>
      <c r="H870" t="str">
        <f>IFERROR(VLOOKUP(Transaction[[#This Row],[CustomerID]],Custumer[],1,0),IF(LEN(Transaction[[#This Row],[CustomerID]])=7,LEFT(Transaction[[#This Row],[CustomerID]],6),"Invalid ID"))</f>
        <v>C-1082</v>
      </c>
      <c r="I870" t="s">
        <v>29</v>
      </c>
      <c r="J870" t="str">
        <f>TRIM(UPPER(Transaction[[#This Row],[ProductID]]))</f>
        <v>P-SA-001</v>
      </c>
      <c r="K870" t="str">
        <f>IFERROR(VLOOKUP(Transaction[[#This Row],[ProductID_Clean]],Product[],1,FALSE),"Invalid ID")</f>
        <v>P-SA-001</v>
      </c>
      <c r="L870" t="str">
        <f>TRIM(SUBSTITUTE(SUBSTITUTE(SUBSTITUTE(SUBSTITUTE(UPPER(Transaction[[#This Row],[Region]]),"EMEA REGION","EMEA"),"APAC REGION","APAC"),"NORTH AMERICA","N. AMERICA"),"N .AMERICA","N.AMERICA"))</f>
        <v>N. AMERICA</v>
      </c>
      <c r="M870" t="s">
        <v>20</v>
      </c>
      <c r="N870" t="s">
        <v>31</v>
      </c>
      <c r="O870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870" t="s">
        <v>22</v>
      </c>
      <c r="Q870" t="str">
        <f>IF(TRIM(Transaction[[#This Row],[SalesChannel]])="","Missing Value",TRIM(Transaction[[#This Row],[SalesChannel]]))</f>
        <v>Direct</v>
      </c>
      <c r="R870" s="4">
        <v>1</v>
      </c>
      <c r="S870" s="4" t="str">
        <f>IF(Transaction[[#This Row],[Quantity]]&lt;0,"Negative-review","Valid")</f>
        <v>Valid</v>
      </c>
      <c r="T870">
        <v>3347.29</v>
      </c>
      <c r="U87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3347.29</v>
      </c>
      <c r="V870">
        <v>4200</v>
      </c>
      <c r="W870">
        <v>4200</v>
      </c>
      <c r="X87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870">
        <f>IF(Transaction[[#This Row],[GrossRevenue_Check]]="Invalid",Transaction[[#This Row],[ListPrice]]*Transaction[[#This Row],[Quantity]],Transaction[[#This Row],[GrossRevenue_Clean]])</f>
        <v>4200</v>
      </c>
      <c r="Z870" t="str">
        <f>IF(Transaction[[#This Row],[GrossRevenue_Clean]]=Transaction[[#This Row],[ListPrice]]*Transaction[[#This Row],[Quantity]],"Valid","Invalid")</f>
        <v>Valid</v>
      </c>
      <c r="AA870">
        <v>852.71</v>
      </c>
      <c r="AB87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852.71</v>
      </c>
      <c r="AC870">
        <f>IF(Transaction[[#This Row],[DiscountAmount_Check2]]="Invalid",Transaction[[#This Row],[GrossRevenue_Analytical]]-Transaction[[#This Row],[NetRevenue_Analytical]],Transaction[[#This Row],[DiscountAmount_Clean]])</f>
        <v>852.71</v>
      </c>
      <c r="AD870">
        <v>3347.29</v>
      </c>
      <c r="AE870" t="str">
        <f>IF(ROUND(Transaction[[#This Row],[GrossRevenue_Analytical]]-Transaction[[#This Row],[NetRevenue_Analytical]],2)=ROUND(Transaction[[#This Row],[DiscountAmount_Clean]],2),"Valid","Invalid")</f>
        <v>Valid</v>
      </c>
      <c r="AF870">
        <f>VALUE(IF(ISNUMBER(Transaction[[#This Row],[NetRevenue]]),Transaction[[#This Row],[NetRevenue]],IFERROR(IF(FIND("$",Transaction[[#This Row],[NetRevenue]])&gt;0,MID(Transaction[[#This Row],[NetRevenue]],2,10)),Transaction[[#This Row],[NetRevenue]])))</f>
        <v>3347.29</v>
      </c>
      <c r="AG870">
        <f>IF(Transaction[[#This Row],[NetRevenue_Check]]="Invalid",(Transaction[[#This Row],[Quantity]]*Transaction[[#This Row],[UnitPrice_Clean]]),Transaction[[#This Row],[NetRevenue_Clean]])</f>
        <v>3347.29</v>
      </c>
      <c r="AH870" t="str">
        <f>IF(Transaction[[#This Row],[Quantity]]*Transaction[[#This Row],[UnitPrice_Clean]]=Transaction[[#This Row],[NetRevenue_Clean]],"Valid","Invalid")</f>
        <v>Valid</v>
      </c>
      <c r="AI870" t="s">
        <v>23</v>
      </c>
      <c r="AJ870" t="s">
        <v>191</v>
      </c>
      <c r="AK870" t="str">
        <f>IF(Transaction[[#This Row],[Salesperson]]="","Missing Value",TRIM(PROPER(Transaction[[#This Row],[Salesperson]])))</f>
        <v>Murray</v>
      </c>
      <c r="AL870" t="s">
        <v>34</v>
      </c>
      <c r="AM870" t="str">
        <f>IF(Transaction[[#This Row],[ContractType]]="","Missing Value",Transaction[[#This Row],[ContractType]])</f>
        <v>Annual License</v>
      </c>
      <c r="AN870" t="s">
        <v>65</v>
      </c>
    </row>
    <row r="871" spans="1:40" x14ac:dyDescent="0.25">
      <c r="A871" t="s">
        <v>742</v>
      </c>
      <c r="B871" s="1">
        <v>45815</v>
      </c>
      <c r="C87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87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87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71" s="2">
        <f>IFERROR(DATE(Transaction[[#This Row],[TransactionDateY]],Transaction[[#This Row],[TransactionDateM]],Transaction[[#This Row],[TransactionDateD]]),"Missing Value")</f>
        <v>45815</v>
      </c>
      <c r="G871" t="s">
        <v>289</v>
      </c>
      <c r="H871" t="str">
        <f>IFERROR(VLOOKUP(Transaction[[#This Row],[CustomerID]],Custumer[],1,0),IF(LEN(Transaction[[#This Row],[CustomerID]])=7,LEFT(Transaction[[#This Row],[CustomerID]],6),"Invalid ID"))</f>
        <v>C-1081</v>
      </c>
      <c r="I871" t="s">
        <v>46</v>
      </c>
      <c r="J871" t="str">
        <f>TRIM(UPPER(Transaction[[#This Row],[ProductID]]))</f>
        <v>P-SI-006</v>
      </c>
      <c r="K871" t="str">
        <f>IFERROR(VLOOKUP(Transaction[[#This Row],[ProductID_Clean]],Product[],1,FALSE),"Invalid ID")</f>
        <v>P-SI-006</v>
      </c>
      <c r="L871" t="str">
        <f>TRIM(SUBSTITUTE(SUBSTITUTE(SUBSTITUTE(SUBSTITUTE(UPPER(Transaction[[#This Row],[Region]]),"EMEA REGION","EMEA"),"APAC REGION","APAC"),"NORTH AMERICA","N. AMERICA"),"N .AMERICA","N.AMERICA"))</f>
        <v>LATIN AMERICA</v>
      </c>
      <c r="M871" t="s">
        <v>82</v>
      </c>
      <c r="N871" t="s">
        <v>98</v>
      </c>
      <c r="O87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71" t="s">
        <v>22</v>
      </c>
      <c r="Q871" t="str">
        <f>IF(TRIM(Transaction[[#This Row],[SalesChannel]])="","Missing Value",TRIM(Transaction[[#This Row],[SalesChannel]]))</f>
        <v>Direct</v>
      </c>
      <c r="R871" s="4">
        <v>1</v>
      </c>
      <c r="S871" s="4" t="str">
        <f>IF(Transaction[[#This Row],[Quantity]]&lt;0,"Negative-review","Valid")</f>
        <v>Valid</v>
      </c>
      <c r="T871">
        <v>181.14</v>
      </c>
      <c r="U87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181.14</v>
      </c>
      <c r="V871">
        <v>215</v>
      </c>
      <c r="W871">
        <v>215</v>
      </c>
      <c r="X87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871">
        <f>IF(Transaction[[#This Row],[GrossRevenue_Check]]="Invalid",Transaction[[#This Row],[ListPrice]]*Transaction[[#This Row],[Quantity]],Transaction[[#This Row],[GrossRevenue_Clean]])</f>
        <v>215</v>
      </c>
      <c r="Z871" t="str">
        <f>IF(Transaction[[#This Row],[GrossRevenue_Clean]]=Transaction[[#This Row],[ListPrice]]*Transaction[[#This Row],[Quantity]],"Valid","Invalid")</f>
        <v>Valid</v>
      </c>
      <c r="AA871">
        <v>33.86</v>
      </c>
      <c r="AB87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33.86</v>
      </c>
      <c r="AC871">
        <f>IF(Transaction[[#This Row],[DiscountAmount_Check2]]="Invalid",Transaction[[#This Row],[GrossRevenue_Analytical]]-Transaction[[#This Row],[NetRevenue_Analytical]],Transaction[[#This Row],[DiscountAmount_Clean]])</f>
        <v>33.86</v>
      </c>
      <c r="AD871">
        <v>181.14</v>
      </c>
      <c r="AE871" t="str">
        <f>IF(ROUND(Transaction[[#This Row],[GrossRevenue_Analytical]]-Transaction[[#This Row],[NetRevenue_Analytical]],2)=ROUND(Transaction[[#This Row],[DiscountAmount_Clean]],2),"Valid","Invalid")</f>
        <v>Valid</v>
      </c>
      <c r="AF87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181.14</v>
      </c>
      <c r="AG871">
        <f>IF(Transaction[[#This Row],[NetRevenue_Check]]="Invalid",(Transaction[[#This Row],[Quantity]]*Transaction[[#This Row],[UnitPrice_Clean]]),Transaction[[#This Row],[NetRevenue_Clean]])</f>
        <v>181.14</v>
      </c>
      <c r="AH871" t="str">
        <f>IF(Transaction[[#This Row],[Quantity]]*Transaction[[#This Row],[UnitPrice_Clean]]=Transaction[[#This Row],[NetRevenue_Clean]],"Valid","Invalid")</f>
        <v>Valid</v>
      </c>
      <c r="AI871" t="s">
        <v>23</v>
      </c>
      <c r="AJ871" t="s">
        <v>342</v>
      </c>
      <c r="AK871" t="str">
        <f>IF(Transaction[[#This Row],[Salesperson]]="","Missing Value",TRIM(PROPER(Transaction[[#This Row],[Salesperson]])))</f>
        <v>Moore-Ap</v>
      </c>
      <c r="AL871" t="s">
        <v>42</v>
      </c>
      <c r="AM871" t="str">
        <f>IF(Transaction[[#This Row],[ContractType]]="","Missing Value",Transaction[[#This Row],[ContractType]])</f>
        <v>Standard PO</v>
      </c>
      <c r="AN871" t="s">
        <v>49</v>
      </c>
    </row>
    <row r="872" spans="1:40" x14ac:dyDescent="0.25">
      <c r="A872" t="s">
        <v>288</v>
      </c>
      <c r="B872" s="1">
        <v>45808</v>
      </c>
      <c r="C87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87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31</v>
      </c>
      <c r="E87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72" s="2">
        <f>IFERROR(DATE(Transaction[[#This Row],[TransactionDateY]],Transaction[[#This Row],[TransactionDateM]],Transaction[[#This Row],[TransactionDateD]]),"Missing Value")</f>
        <v>45808</v>
      </c>
      <c r="G872" t="s">
        <v>289</v>
      </c>
      <c r="H872" t="str">
        <f>IFERROR(VLOOKUP(Transaction[[#This Row],[CustomerID]],Custumer[],1,0),IF(LEN(Transaction[[#This Row],[CustomerID]])=7,LEFT(Transaction[[#This Row],[CustomerID]],6),"Invalid ID"))</f>
        <v>C-1081</v>
      </c>
      <c r="I872" t="s">
        <v>117</v>
      </c>
      <c r="J872" t="str">
        <f>TRIM(UPPER(Transaction[[#This Row],[ProductID]]))</f>
        <v>P-SI-007</v>
      </c>
      <c r="K872" t="str">
        <f>IFERROR(VLOOKUP(Transaction[[#This Row],[ProductID_Clean]],Product[],1,FALSE),"Invalid ID")</f>
        <v>P-SI-007</v>
      </c>
      <c r="L872" t="str">
        <f>TRIM(SUBSTITUTE(SUBSTITUTE(SUBSTITUTE(SUBSTITUTE(UPPER(Transaction[[#This Row],[Region]]),"EMEA REGION","EMEA"),"APAC REGION","APAC"),"NORTH AMERICA","N. AMERICA"),"N .AMERICA","N.AMERICA"))</f>
        <v>LATIN AMERICA</v>
      </c>
      <c r="M872" t="s">
        <v>82</v>
      </c>
      <c r="N872" t="s">
        <v>53</v>
      </c>
      <c r="O87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72" t="s">
        <v>181</v>
      </c>
      <c r="Q872" t="str">
        <f>IF(TRIM(Transaction[[#This Row],[SalesChannel]])="","Missing Value",TRIM(Transaction[[#This Row],[SalesChannel]]))</f>
        <v>Partner Portal</v>
      </c>
      <c r="R872" s="4">
        <v>1</v>
      </c>
      <c r="S872" s="4" t="str">
        <f>IF(Transaction[[#This Row],[Quantity]]&lt;0,"Negative-review","Valid")</f>
        <v>Valid</v>
      </c>
      <c r="T872">
        <v>866.7</v>
      </c>
      <c r="U87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866.7</v>
      </c>
      <c r="V872">
        <v>980</v>
      </c>
      <c r="W872">
        <v>980</v>
      </c>
      <c r="X87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872">
        <f>IF(Transaction[[#This Row],[GrossRevenue_Check]]="Invalid",Transaction[[#This Row],[ListPrice]]*Transaction[[#This Row],[Quantity]],Transaction[[#This Row],[GrossRevenue_Clean]])</f>
        <v>980</v>
      </c>
      <c r="Z872" t="str">
        <f>IF(Transaction[[#This Row],[GrossRevenue_Clean]]=Transaction[[#This Row],[ListPrice]]*Transaction[[#This Row],[Quantity]],"Valid","Invalid")</f>
        <v>Valid</v>
      </c>
      <c r="AA872">
        <v>113.3</v>
      </c>
      <c r="AB87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113.3</v>
      </c>
      <c r="AC872">
        <f>IF(Transaction[[#This Row],[DiscountAmount_Check2]]="Invalid",Transaction[[#This Row],[GrossRevenue_Analytical]]-Transaction[[#This Row],[NetRevenue_Analytical]],Transaction[[#This Row],[DiscountAmount_Clean]])</f>
        <v>113.3</v>
      </c>
      <c r="AD872">
        <v>866.7</v>
      </c>
      <c r="AE872" t="str">
        <f>IF(ROUND(Transaction[[#This Row],[GrossRevenue_Analytical]]-Transaction[[#This Row],[NetRevenue_Analytical]],2)=ROUND(Transaction[[#This Row],[DiscountAmount_Clean]],2),"Valid","Invalid")</f>
        <v>Valid</v>
      </c>
      <c r="AF872">
        <f>VALUE(IF(ISNUMBER(Transaction[[#This Row],[NetRevenue]]),Transaction[[#This Row],[NetRevenue]],IFERROR(IF(FIND("$",Transaction[[#This Row],[NetRevenue]])&gt;0,MID(Transaction[[#This Row],[NetRevenue]],2,10)),Transaction[[#This Row],[NetRevenue]])))</f>
        <v>866.7</v>
      </c>
      <c r="AG872">
        <f>IF(Transaction[[#This Row],[NetRevenue_Check]]="Invalid",(Transaction[[#This Row],[Quantity]]*Transaction[[#This Row],[UnitPrice_Clean]]),Transaction[[#This Row],[NetRevenue_Clean]])</f>
        <v>866.7</v>
      </c>
      <c r="AH872" t="str">
        <f>IF(Transaction[[#This Row],[Quantity]]*Transaction[[#This Row],[UnitPrice_Clean]]=Transaction[[#This Row],[NetRevenue_Clean]],"Valid","Invalid")</f>
        <v>Valid</v>
      </c>
      <c r="AI872" t="s">
        <v>23</v>
      </c>
      <c r="AJ872" t="s">
        <v>290</v>
      </c>
      <c r="AK872" t="str">
        <f>IF(Transaction[[#This Row],[Salesperson]]="","Missing Value",TRIM(PROPER(Transaction[[#This Row],[Salesperson]])))</f>
        <v>Lopez</v>
      </c>
      <c r="AL872" t="s">
        <v>42</v>
      </c>
      <c r="AM872" t="str">
        <f>IF(Transaction[[#This Row],[ContractType]]="","Missing Value",Transaction[[#This Row],[ContractType]])</f>
        <v>Standard PO</v>
      </c>
      <c r="AN872" t="s">
        <v>49</v>
      </c>
    </row>
    <row r="873" spans="1:40" x14ac:dyDescent="0.25">
      <c r="A873" t="s">
        <v>2869</v>
      </c>
      <c r="B873" s="1">
        <v>45829</v>
      </c>
      <c r="C87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87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87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73" s="2">
        <f>IFERROR(DATE(Transaction[[#This Row],[TransactionDateY]],Transaction[[#This Row],[TransactionDateM]],Transaction[[#This Row],[TransactionDateD]]),"Missing Value")</f>
        <v>45829</v>
      </c>
      <c r="G873" t="s">
        <v>110</v>
      </c>
      <c r="H873" t="str">
        <f>IFERROR(VLOOKUP(Transaction[[#This Row],[CustomerID]],Custumer[],1,0),IF(LEN(Transaction[[#This Row],[CustomerID]])=7,LEFT(Transaction[[#This Row],[CustomerID]],6),"Invalid ID"))</f>
        <v>C-1100</v>
      </c>
      <c r="I873" t="s">
        <v>226</v>
      </c>
      <c r="J873" t="str">
        <f>TRIM(UPPER(Transaction[[#This Row],[ProductID]]))</f>
        <v>P-SA-002</v>
      </c>
      <c r="K873" t="str">
        <f>IFERROR(VLOOKUP(Transaction[[#This Row],[ProductID_Clean]],Product[],1,FALSE),"Invalid ID")</f>
        <v>P-SA-002</v>
      </c>
      <c r="L873" t="str">
        <f>TRIM(SUBSTITUTE(SUBSTITUTE(SUBSTITUTE(SUBSTITUTE(UPPER(Transaction[[#This Row],[Region]]),"EMEA REGION","EMEA"),"APAC REGION","APAC"),"NORTH AMERICA","N. AMERICA"),"N .AMERICA","N.AMERICA"))</f>
        <v>EMEA</v>
      </c>
      <c r="M873" t="s">
        <v>76</v>
      </c>
      <c r="N873" t="s">
        <v>205</v>
      </c>
      <c r="O87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873" t="s">
        <v>40</v>
      </c>
      <c r="Q873" t="str">
        <f>IF(TRIM(Transaction[[#This Row],[SalesChannel]])="","Missing Value",TRIM(Transaction[[#This Row],[SalesChannel]]))</f>
        <v>Distributor</v>
      </c>
      <c r="R873" s="4">
        <v>1</v>
      </c>
      <c r="S873" s="4" t="str">
        <f>IF(Transaction[[#This Row],[Quantity]]&lt;0,"Negative-review","Valid")</f>
        <v>Valid</v>
      </c>
      <c r="T873">
        <v>7420.53</v>
      </c>
      <c r="U87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7420.53</v>
      </c>
      <c r="V873">
        <v>9800</v>
      </c>
      <c r="W873">
        <v>9800</v>
      </c>
      <c r="X87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873">
        <f>IF(Transaction[[#This Row],[GrossRevenue_Check]]="Invalid",Transaction[[#This Row],[ListPrice]]*Transaction[[#This Row],[Quantity]],Transaction[[#This Row],[GrossRevenue_Clean]])</f>
        <v>9800</v>
      </c>
      <c r="Z873" t="str">
        <f>IF(Transaction[[#This Row],[GrossRevenue_Clean]]=Transaction[[#This Row],[ListPrice]]*Transaction[[#This Row],[Quantity]],"Valid","Invalid")</f>
        <v>Valid</v>
      </c>
      <c r="AA873">
        <v>2379.4699999999998</v>
      </c>
      <c r="AB87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2379.4699999999998</v>
      </c>
      <c r="AC873">
        <f>IF(Transaction[[#This Row],[DiscountAmount_Check2]]="Invalid",Transaction[[#This Row],[GrossRevenue_Analytical]]-Transaction[[#This Row],[NetRevenue_Analytical]],Transaction[[#This Row],[DiscountAmount_Clean]])</f>
        <v>2379.4699999999998</v>
      </c>
      <c r="AD873" t="s">
        <v>2870</v>
      </c>
      <c r="AE873" t="str">
        <f>IF(ROUND(Transaction[[#This Row],[GrossRevenue_Analytical]]-Transaction[[#This Row],[NetRevenue_Analytical]],2)=ROUND(Transaction[[#This Row],[DiscountAmount_Clean]],2),"Valid","Invalid")</f>
        <v>Valid</v>
      </c>
      <c r="AF873">
        <f>VALUE(IF(ISNUMBER(Transaction[[#This Row],[NetRevenue]]),Transaction[[#This Row],[NetRevenue]],IFERROR(IF(FIND("$",Transaction[[#This Row],[NetRevenue]])&gt;0,MID(Transaction[[#This Row],[NetRevenue]],2,10)),Transaction[[#This Row],[NetRevenue]])))</f>
        <v>7420.53</v>
      </c>
      <c r="AG873">
        <f>IF(Transaction[[#This Row],[NetRevenue_Check]]="Invalid",(Transaction[[#This Row],[Quantity]]*Transaction[[#This Row],[UnitPrice_Clean]]),Transaction[[#This Row],[NetRevenue_Clean]])</f>
        <v>7420.53</v>
      </c>
      <c r="AH873" t="str">
        <f>IF(Transaction[[#This Row],[Quantity]]*Transaction[[#This Row],[UnitPrice_Clean]]=Transaction[[#This Row],[NetRevenue_Clean]],"Valid","Invalid")</f>
        <v>Valid</v>
      </c>
      <c r="AI873" t="s">
        <v>23</v>
      </c>
      <c r="AJ873" t="s">
        <v>2871</v>
      </c>
      <c r="AK873" t="str">
        <f>IF(Transaction[[#This Row],[Salesperson]]="","Missing Value",TRIM(PROPER(Transaction[[#This Row],[Salesperson]])))</f>
        <v>Golden-Em</v>
      </c>
      <c r="AL873" t="s">
        <v>34</v>
      </c>
      <c r="AM873" t="str">
        <f>IF(Transaction[[#This Row],[ContractType]]="","Missing Value",Transaction[[#This Row],[ContractType]])</f>
        <v>Annual License</v>
      </c>
      <c r="AN873" t="s">
        <v>43</v>
      </c>
    </row>
    <row r="874" spans="1:40" x14ac:dyDescent="0.25">
      <c r="A874" t="s">
        <v>3072</v>
      </c>
      <c r="B874" s="1">
        <v>45715</v>
      </c>
      <c r="C87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87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87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74" s="2">
        <f>IFERROR(DATE(Transaction[[#This Row],[TransactionDateY]],Transaction[[#This Row],[TransactionDateM]],Transaction[[#This Row],[TransactionDateD]]),"Missing Value")</f>
        <v>45715</v>
      </c>
      <c r="G874" t="s">
        <v>429</v>
      </c>
      <c r="H874" t="str">
        <f>IFERROR(VLOOKUP(Transaction[[#This Row],[CustomerID]],Custumer[],1,0),IF(LEN(Transaction[[#This Row],[CustomerID]])=7,LEFT(Transaction[[#This Row],[CustomerID]],6),"Invalid ID"))</f>
        <v>C-1009</v>
      </c>
      <c r="I874" t="s">
        <v>58</v>
      </c>
      <c r="J874" t="str">
        <f>TRIM(UPPER(Transaction[[#This Row],[ProductID]]))</f>
        <v>P-SI-005</v>
      </c>
      <c r="K874" t="str">
        <f>IFERROR(VLOOKUP(Transaction[[#This Row],[ProductID_Clean]],Product[],1,FALSE),"Invalid ID")</f>
        <v>P-SI-005</v>
      </c>
      <c r="L874" t="str">
        <f>TRIM(SUBSTITUTE(SUBSTITUTE(SUBSTITUTE(SUBSTITUTE(UPPER(Transaction[[#This Row],[Region]]),"EMEA REGION","EMEA"),"APAC REGION","APAC"),"NORTH AMERICA","N. AMERICA"),"N .AMERICA","N.AMERICA"))</f>
        <v>EMEA</v>
      </c>
      <c r="M874" t="s">
        <v>76</v>
      </c>
      <c r="N874" t="s">
        <v>53</v>
      </c>
      <c r="O87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74" t="s">
        <v>22</v>
      </c>
      <c r="Q874" t="str">
        <f>IF(TRIM(Transaction[[#This Row],[SalesChannel]])="","Missing Value",TRIM(Transaction[[#This Row],[SalesChannel]]))</f>
        <v>Direct</v>
      </c>
      <c r="R874" s="4">
        <v>1</v>
      </c>
      <c r="S874" s="4" t="str">
        <f>IF(Transaction[[#This Row],[Quantity]]&lt;0,"Negative-review","Valid")</f>
        <v>Valid</v>
      </c>
      <c r="T874">
        <v>905.99</v>
      </c>
      <c r="U87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905.99</v>
      </c>
      <c r="V874">
        <v>1120</v>
      </c>
      <c r="W874">
        <v>1120</v>
      </c>
      <c r="X87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1120</v>
      </c>
      <c r="Y874">
        <f>IF(Transaction[[#This Row],[GrossRevenue_Check]]="Invalid",Transaction[[#This Row],[ListPrice]]*Transaction[[#This Row],[Quantity]],Transaction[[#This Row],[GrossRevenue_Clean]])</f>
        <v>1120</v>
      </c>
      <c r="Z874" t="str">
        <f>IF(Transaction[[#This Row],[GrossRevenue_Clean]]=Transaction[[#This Row],[ListPrice]]*Transaction[[#This Row],[Quantity]],"Valid","Invalid")</f>
        <v>Valid</v>
      </c>
      <c r="AA874">
        <v>214.01</v>
      </c>
      <c r="AB87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214.01</v>
      </c>
      <c r="AC874">
        <f>IF(Transaction[[#This Row],[DiscountAmount_Check2]]="Invalid",Transaction[[#This Row],[GrossRevenue_Analytical]]-Transaction[[#This Row],[NetRevenue_Analytical]],Transaction[[#This Row],[DiscountAmount_Clean]])</f>
        <v>214.01</v>
      </c>
      <c r="AD874">
        <v>905.99</v>
      </c>
      <c r="AE874" t="str">
        <f>IF(ROUND(Transaction[[#This Row],[GrossRevenue_Analytical]]-Transaction[[#This Row],[NetRevenue_Analytical]],2)=ROUND(Transaction[[#This Row],[DiscountAmount_Clean]],2),"Valid","Invalid")</f>
        <v>Valid</v>
      </c>
      <c r="AF874">
        <f>VALUE(IF(ISNUMBER(Transaction[[#This Row],[NetRevenue]]),Transaction[[#This Row],[NetRevenue]],IFERROR(IF(FIND("$",Transaction[[#This Row],[NetRevenue]])&gt;0,MID(Transaction[[#This Row],[NetRevenue]],2,10)),Transaction[[#This Row],[NetRevenue]])))</f>
        <v>905.99</v>
      </c>
      <c r="AG874">
        <f>IF(Transaction[[#This Row],[NetRevenue_Check]]="Invalid",(Transaction[[#This Row],[Quantity]]*Transaction[[#This Row],[UnitPrice_Clean]]),Transaction[[#This Row],[NetRevenue_Clean]])</f>
        <v>905.99</v>
      </c>
      <c r="AH874" t="str">
        <f>IF(Transaction[[#This Row],[Quantity]]*Transaction[[#This Row],[UnitPrice_Clean]]=Transaction[[#This Row],[NetRevenue_Clean]],"Valid","Invalid")</f>
        <v>Valid</v>
      </c>
      <c r="AI874" t="s">
        <v>23</v>
      </c>
      <c r="AJ874" t="s">
        <v>3073</v>
      </c>
      <c r="AK874" t="str">
        <f>IF(Transaction[[#This Row],[Salesperson]]="","Missing Value",TRIM(PROPER(Transaction[[#This Row],[Salesperson]])))</f>
        <v>Cannon</v>
      </c>
      <c r="AL874" t="s">
        <v>42</v>
      </c>
      <c r="AM874" t="str">
        <f>IF(Transaction[[#This Row],[ContractType]]="","Missing Value",Transaction[[#This Row],[ContractType]])</f>
        <v>Standard PO</v>
      </c>
      <c r="AN874" t="s">
        <v>49</v>
      </c>
    </row>
    <row r="875" spans="1:40" x14ac:dyDescent="0.25">
      <c r="A875" t="s">
        <v>998</v>
      </c>
      <c r="B875" s="1">
        <v>45683</v>
      </c>
      <c r="C87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87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87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75" s="2">
        <f>IFERROR(DATE(Transaction[[#This Row],[TransactionDateY]],Transaction[[#This Row],[TransactionDateM]],Transaction[[#This Row],[TransactionDateD]]),"Missing Value")</f>
        <v>45683</v>
      </c>
      <c r="G875" t="s">
        <v>325</v>
      </c>
      <c r="H875" t="str">
        <f>IFERROR(VLOOKUP(Transaction[[#This Row],[CustomerID]],Custumer[],1,0),IF(LEN(Transaction[[#This Row],[CustomerID]])=7,LEFT(Transaction[[#This Row],[CustomerID]],6),"Invalid ID"))</f>
        <v>C-1030</v>
      </c>
      <c r="I875" t="s">
        <v>29</v>
      </c>
      <c r="J875" t="str">
        <f>TRIM(UPPER(Transaction[[#This Row],[ProductID]]))</f>
        <v>P-SA-001</v>
      </c>
      <c r="K875" t="str">
        <f>IFERROR(VLOOKUP(Transaction[[#This Row],[ProductID_Clean]],Product[],1,FALSE),"Invalid ID")</f>
        <v>P-SA-001</v>
      </c>
      <c r="L875" t="str">
        <f>TRIM(SUBSTITUTE(SUBSTITUTE(SUBSTITUTE(SUBSTITUTE(UPPER(Transaction[[#This Row],[Region]]),"EMEA REGION","EMEA"),"APAC REGION","APAC"),"NORTH AMERICA","N. AMERICA"),"N .AMERICA","N.AMERICA"))</f>
        <v>EMEA</v>
      </c>
      <c r="M875" t="s">
        <v>76</v>
      </c>
      <c r="N875" t="s">
        <v>205</v>
      </c>
      <c r="O87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875" t="s">
        <v>22</v>
      </c>
      <c r="Q875" t="str">
        <f>IF(TRIM(Transaction[[#This Row],[SalesChannel]])="","Missing Value",TRIM(Transaction[[#This Row],[SalesChannel]]))</f>
        <v>Direct</v>
      </c>
      <c r="R875" s="4">
        <v>1</v>
      </c>
      <c r="S875" s="4" t="str">
        <f>IF(Transaction[[#This Row],[Quantity]]&lt;0,"Negative-review","Valid")</f>
        <v>Valid</v>
      </c>
      <c r="T875">
        <v>3937.13</v>
      </c>
      <c r="U87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3937.13</v>
      </c>
      <c r="V875">
        <v>4200</v>
      </c>
      <c r="W875">
        <v>4200</v>
      </c>
      <c r="X87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875">
        <f>IF(Transaction[[#This Row],[GrossRevenue_Check]]="Invalid",Transaction[[#This Row],[ListPrice]]*Transaction[[#This Row],[Quantity]],Transaction[[#This Row],[GrossRevenue_Clean]])</f>
        <v>4200</v>
      </c>
      <c r="Z875" t="str">
        <f>IF(Transaction[[#This Row],[GrossRevenue_Clean]]=Transaction[[#This Row],[ListPrice]]*Transaction[[#This Row],[Quantity]],"Valid","Invalid")</f>
        <v>Valid</v>
      </c>
      <c r="AA875">
        <v>262.87</v>
      </c>
      <c r="AB87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262.87</v>
      </c>
      <c r="AC875">
        <f>IF(Transaction[[#This Row],[DiscountAmount_Check2]]="Invalid",Transaction[[#This Row],[GrossRevenue_Analytical]]-Transaction[[#This Row],[NetRevenue_Analytical]],Transaction[[#This Row],[DiscountAmount_Clean]])</f>
        <v>262.87</v>
      </c>
      <c r="AD875">
        <v>3937.13</v>
      </c>
      <c r="AE875" t="str">
        <f>IF(ROUND(Transaction[[#This Row],[GrossRevenue_Analytical]]-Transaction[[#This Row],[NetRevenue_Analytical]],2)=ROUND(Transaction[[#This Row],[DiscountAmount_Clean]],2),"Valid","Invalid")</f>
        <v>Valid</v>
      </c>
      <c r="AF87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3937.13</v>
      </c>
      <c r="AG875">
        <f>IF(Transaction[[#This Row],[NetRevenue_Check]]="Invalid",(Transaction[[#This Row],[Quantity]]*Transaction[[#This Row],[UnitPrice_Clean]]),Transaction[[#This Row],[NetRevenue_Clean]])</f>
        <v>3937.13</v>
      </c>
      <c r="AH875" t="str">
        <f>IF(Transaction[[#This Row],[Quantity]]*Transaction[[#This Row],[UnitPrice_Clean]]=Transaction[[#This Row],[NetRevenue_Clean]],"Valid","Invalid")</f>
        <v>Valid</v>
      </c>
      <c r="AI875" t="s">
        <v>23</v>
      </c>
      <c r="AJ875" t="s">
        <v>424</v>
      </c>
      <c r="AK875" t="str">
        <f>IF(Transaction[[#This Row],[Salesperson]]="","Missing Value",TRIM(PROPER(Transaction[[#This Row],[Salesperson]])))</f>
        <v>Johnson-Ap</v>
      </c>
      <c r="AL875" t="s">
        <v>34</v>
      </c>
      <c r="AM875" t="str">
        <f>IF(Transaction[[#This Row],[ContractType]]="","Missing Value",Transaction[[#This Row],[ContractType]])</f>
        <v>Annual License</v>
      </c>
      <c r="AN875" t="s">
        <v>49</v>
      </c>
    </row>
    <row r="876" spans="1:40" x14ac:dyDescent="0.25">
      <c r="A876" t="s">
        <v>207</v>
      </c>
      <c r="B876" s="1">
        <v>45778</v>
      </c>
      <c r="C87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87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87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76" s="2">
        <f>IFERROR(DATE(Transaction[[#This Row],[TransactionDateY]],Transaction[[#This Row],[TransactionDateM]],Transaction[[#This Row],[TransactionDateD]]),"Missing Value")</f>
        <v>45778</v>
      </c>
      <c r="G876" t="s">
        <v>208</v>
      </c>
      <c r="H876" t="str">
        <f>IFERROR(VLOOKUP(Transaction[[#This Row],[CustomerID]],Custumer[],1,0),IF(LEN(Transaction[[#This Row],[CustomerID]])=7,LEFT(Transaction[[#This Row],[CustomerID]],6),"Invalid ID"))</f>
        <v>C-1076</v>
      </c>
      <c r="I876" t="s">
        <v>29</v>
      </c>
      <c r="J876" t="str">
        <f>TRIM(UPPER(Transaction[[#This Row],[ProductID]]))</f>
        <v>P-SA-001</v>
      </c>
      <c r="K876" t="str">
        <f>IFERROR(VLOOKUP(Transaction[[#This Row],[ProductID_Clean]],Product[],1,FALSE),"Invalid ID")</f>
        <v>P-SA-001</v>
      </c>
      <c r="L876" t="str">
        <f>TRIM(SUBSTITUTE(SUBSTITUTE(SUBSTITUTE(SUBSTITUTE(UPPER(Transaction[[#This Row],[Region]]),"EMEA REGION","EMEA"),"APAC REGION","APAC"),"NORTH AMERICA","N. AMERICA"),"N .AMERICA","N.AMERICA"))</f>
        <v>APAC</v>
      </c>
      <c r="M876" t="s">
        <v>122</v>
      </c>
      <c r="N876" t="s">
        <v>31</v>
      </c>
      <c r="O87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876" t="s">
        <v>22</v>
      </c>
      <c r="Q876" t="str">
        <f>IF(TRIM(Transaction[[#This Row],[SalesChannel]])="","Missing Value",TRIM(Transaction[[#This Row],[SalesChannel]]))</f>
        <v>Direct</v>
      </c>
      <c r="R876" s="4">
        <v>1</v>
      </c>
      <c r="S876" s="4" t="str">
        <f>IF(Transaction[[#This Row],[Quantity]]&lt;0,"Negative-review","Valid")</f>
        <v>Valid</v>
      </c>
      <c r="T876">
        <v>3687.28</v>
      </c>
      <c r="U87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3687.28</v>
      </c>
      <c r="V876">
        <v>4200</v>
      </c>
      <c r="W876">
        <v>4200</v>
      </c>
      <c r="X87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876">
        <f>IF(Transaction[[#This Row],[GrossRevenue_Check]]="Invalid",Transaction[[#This Row],[ListPrice]]*Transaction[[#This Row],[Quantity]],Transaction[[#This Row],[GrossRevenue_Clean]])</f>
        <v>4200</v>
      </c>
      <c r="Z876" t="str">
        <f>IF(Transaction[[#This Row],[GrossRevenue_Clean]]=Transaction[[#This Row],[ListPrice]]*Transaction[[#This Row],[Quantity]],"Valid","Invalid")</f>
        <v>Valid</v>
      </c>
      <c r="AA876">
        <v>512.72</v>
      </c>
      <c r="AB87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512.72</v>
      </c>
      <c r="AC876">
        <f>IF(Transaction[[#This Row],[DiscountAmount_Check2]]="Invalid",Transaction[[#This Row],[GrossRevenue_Analytical]]-Transaction[[#This Row],[NetRevenue_Analytical]],Transaction[[#This Row],[DiscountAmount_Clean]])</f>
        <v>512.72</v>
      </c>
      <c r="AD876">
        <v>3687.28</v>
      </c>
      <c r="AE876" t="str">
        <f>IF(ROUND(Transaction[[#This Row],[GrossRevenue_Analytical]]-Transaction[[#This Row],[NetRevenue_Analytical]],2)=ROUND(Transaction[[#This Row],[DiscountAmount_Clean]],2),"Valid","Invalid")</f>
        <v>Valid</v>
      </c>
      <c r="AF876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3687.28</v>
      </c>
      <c r="AG876">
        <f>IF(Transaction[[#This Row],[NetRevenue_Check]]="Invalid",(Transaction[[#This Row],[Quantity]]*Transaction[[#This Row],[UnitPrice_Clean]]),Transaction[[#This Row],[NetRevenue_Clean]])</f>
        <v>3687.28</v>
      </c>
      <c r="AH876" t="str">
        <f>IF(Transaction[[#This Row],[Quantity]]*Transaction[[#This Row],[UnitPrice_Clean]]=Transaction[[#This Row],[NetRevenue_Clean]],"Valid","Invalid")</f>
        <v>Valid</v>
      </c>
      <c r="AI876" t="s">
        <v>23</v>
      </c>
      <c r="AJ876" t="s">
        <v>209</v>
      </c>
      <c r="AK876" t="str">
        <f>IF(Transaction[[#This Row],[Salesperson]]="","Missing Value",TRIM(PROPER(Transaction[[#This Row],[Salesperson]])))</f>
        <v>Keller</v>
      </c>
      <c r="AL876" t="s">
        <v>210</v>
      </c>
      <c r="AM876" t="str">
        <f>IF(Transaction[[#This Row],[ContractType]]="","Missing Value",Transaction[[#This Row],[ContractType]])</f>
        <v>Perpetual</v>
      </c>
      <c r="AN876" t="s">
        <v>49</v>
      </c>
    </row>
    <row r="877" spans="1:40" x14ac:dyDescent="0.25">
      <c r="A877" t="s">
        <v>1338</v>
      </c>
      <c r="B877" s="1">
        <v>45832</v>
      </c>
      <c r="C87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87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87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77" s="2">
        <f>IFERROR(DATE(Transaction[[#This Row],[TransactionDateY]],Transaction[[#This Row],[TransactionDateM]],Transaction[[#This Row],[TransactionDateD]]),"Missing Value")</f>
        <v>45832</v>
      </c>
      <c r="G877" t="s">
        <v>1339</v>
      </c>
      <c r="H877" t="str">
        <f>IFERROR(VLOOKUP(Transaction[[#This Row],[CustomerID]],Custumer[],1,0),IF(LEN(Transaction[[#This Row],[CustomerID]])=7,LEFT(Transaction[[#This Row],[CustomerID]],6),"Invalid ID"))</f>
        <v>C-1103</v>
      </c>
      <c r="I877" t="s">
        <v>222</v>
      </c>
      <c r="J877" t="str">
        <f>TRIM(UPPER(Transaction[[#This Row],[ProductID]]))</f>
        <v>P-FS-003</v>
      </c>
      <c r="K877" t="str">
        <f>IFERROR(VLOOKUP(Transaction[[#This Row],[ProductID_Clean]],Product[],1,FALSE),"Invalid ID")</f>
        <v>P-FS-003</v>
      </c>
      <c r="L877" t="str">
        <f>TRIM(SUBSTITUTE(SUBSTITUTE(SUBSTITUTE(SUBSTITUTE(UPPER(Transaction[[#This Row],[Region]]),"EMEA REGION","EMEA"),"APAC REGION","APAC"),"NORTH AMERICA","N. AMERICA"),"N .AMERICA","N.AMERICA"))</f>
        <v>N. AMERICA</v>
      </c>
      <c r="M877" t="s">
        <v>20</v>
      </c>
      <c r="N877" t="s">
        <v>21</v>
      </c>
      <c r="O877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877" t="s">
        <v>22</v>
      </c>
      <c r="Q877" t="str">
        <f>IF(TRIM(Transaction[[#This Row],[SalesChannel]])="","Missing Value",TRIM(Transaction[[#This Row],[SalesChannel]]))</f>
        <v>Direct</v>
      </c>
      <c r="R877" s="4">
        <v>1</v>
      </c>
      <c r="S877" s="4" t="str">
        <f>IF(Transaction[[#This Row],[Quantity]]&lt;0,"Negative-review","Valid")</f>
        <v>Valid</v>
      </c>
      <c r="T877">
        <v>3956.14</v>
      </c>
      <c r="U87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3956.14</v>
      </c>
      <c r="V877">
        <v>4100</v>
      </c>
      <c r="W877">
        <v>4100</v>
      </c>
      <c r="X87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4100</v>
      </c>
      <c r="Y877">
        <f>IF(Transaction[[#This Row],[GrossRevenue_Check]]="Invalid",Transaction[[#This Row],[ListPrice]]*Transaction[[#This Row],[Quantity]],Transaction[[#This Row],[GrossRevenue_Clean]])</f>
        <v>4100</v>
      </c>
      <c r="Z877" t="str">
        <f>IF(Transaction[[#This Row],[GrossRevenue_Clean]]=Transaction[[#This Row],[ListPrice]]*Transaction[[#This Row],[Quantity]],"Valid","Invalid")</f>
        <v>Valid</v>
      </c>
      <c r="AA877">
        <v>143.86000000000001</v>
      </c>
      <c r="AB87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143.86000000000001</v>
      </c>
      <c r="AC877">
        <f>IF(Transaction[[#This Row],[DiscountAmount_Check2]]="Invalid",Transaction[[#This Row],[GrossRevenue_Analytical]]-Transaction[[#This Row],[NetRevenue_Analytical]],Transaction[[#This Row],[DiscountAmount_Clean]])</f>
        <v>143.86000000000001</v>
      </c>
      <c r="AD877">
        <v>3956.14</v>
      </c>
      <c r="AE877" t="str">
        <f>IF(ROUND(Transaction[[#This Row],[GrossRevenue_Analytical]]-Transaction[[#This Row],[NetRevenue_Analytical]],2)=ROUND(Transaction[[#This Row],[DiscountAmount_Clean]],2),"Valid","Invalid")</f>
        <v>Valid</v>
      </c>
      <c r="AF87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3956.14</v>
      </c>
      <c r="AG877">
        <f>IF(Transaction[[#This Row],[NetRevenue_Check]]="Invalid",(Transaction[[#This Row],[Quantity]]*Transaction[[#This Row],[UnitPrice_Clean]]),Transaction[[#This Row],[NetRevenue_Clean]])</f>
        <v>3956.14</v>
      </c>
      <c r="AH877" t="str">
        <f>IF(Transaction[[#This Row],[Quantity]]*Transaction[[#This Row],[UnitPrice_Clean]]=Transaction[[#This Row],[NetRevenue_Clean]],"Valid","Invalid")</f>
        <v>Valid</v>
      </c>
      <c r="AI877" t="s">
        <v>23</v>
      </c>
      <c r="AJ877" t="s">
        <v>1340</v>
      </c>
      <c r="AK877" t="str">
        <f>IF(Transaction[[#This Row],[Salesperson]]="","Missing Value",TRIM(PROPER(Transaction[[#This Row],[Salesperson]])))</f>
        <v>Mendez</v>
      </c>
      <c r="AL877" t="s">
        <v>224</v>
      </c>
      <c r="AM877" t="str">
        <f>IF(Transaction[[#This Row],[ContractType]]="","Missing Value",Transaction[[#This Row],[ContractType]])</f>
        <v>Annual</v>
      </c>
      <c r="AN877" t="s">
        <v>35</v>
      </c>
    </row>
    <row r="878" spans="1:40" x14ac:dyDescent="0.25">
      <c r="A878" t="s">
        <v>1208</v>
      </c>
      <c r="B878" t="s">
        <v>1209</v>
      </c>
      <c r="C87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87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02</v>
      </c>
      <c r="E87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78" s="2">
        <f>IFERROR(DATE(Transaction[[#This Row],[TransactionDateY]],Transaction[[#This Row],[TransactionDateM]],Transaction[[#This Row],[TransactionDateD]]),"Missing Value")</f>
        <v>45659</v>
      </c>
      <c r="G878" t="s">
        <v>507</v>
      </c>
      <c r="H878" t="str">
        <f>IFERROR(VLOOKUP(Transaction[[#This Row],[CustomerID]],Custumer[],1,0),IF(LEN(Transaction[[#This Row],[CustomerID]])=7,LEFT(Transaction[[#This Row],[CustomerID]],6),"Invalid ID"))</f>
        <v>C-1091</v>
      </c>
      <c r="I878" t="s">
        <v>97</v>
      </c>
      <c r="J878" t="str">
        <f>TRIM(UPPER(Transaction[[#This Row],[ProductID]]))</f>
        <v>P-SI-001</v>
      </c>
      <c r="K878" t="str">
        <f>IFERROR(VLOOKUP(Transaction[[#This Row],[ProductID_Clean]],Product[],1,FALSE),"Invalid ID")</f>
        <v>P-SI-001</v>
      </c>
      <c r="L878" t="str">
        <f>TRIM(SUBSTITUTE(SUBSTITUTE(SUBSTITUTE(SUBSTITUTE(UPPER(Transaction[[#This Row],[Region]]),"EMEA REGION","EMEA"),"APAC REGION","APAC"),"NORTH AMERICA","N. AMERICA"),"N .AMERICA","N.AMERICA"))</f>
        <v>EMEA</v>
      </c>
      <c r="M878" t="s">
        <v>76</v>
      </c>
      <c r="N878" t="s">
        <v>53</v>
      </c>
      <c r="O87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78" t="s">
        <v>22</v>
      </c>
      <c r="Q878" t="str">
        <f>IF(TRIM(Transaction[[#This Row],[SalesChannel]])="","Missing Value",TRIM(Transaction[[#This Row],[SalesChannel]]))</f>
        <v>Direct</v>
      </c>
      <c r="R878" s="4">
        <v>5</v>
      </c>
      <c r="S878" s="4" t="str">
        <f>IF(Transaction[[#This Row],[Quantity]]&lt;0,"Negative-review","Valid")</f>
        <v>Valid</v>
      </c>
      <c r="T878">
        <v>429.31</v>
      </c>
      <c r="U87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429.31</v>
      </c>
      <c r="V878">
        <v>485</v>
      </c>
      <c r="W878">
        <v>2425</v>
      </c>
      <c r="X87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2425</v>
      </c>
      <c r="Y878">
        <f>IF(Transaction[[#This Row],[GrossRevenue_Check]]="Invalid",Transaction[[#This Row],[ListPrice]]*Transaction[[#This Row],[Quantity]],Transaction[[#This Row],[GrossRevenue_Clean]])</f>
        <v>2425</v>
      </c>
      <c r="Z878" t="str">
        <f>IF(Transaction[[#This Row],[GrossRevenue_Clean]]=Transaction[[#This Row],[ListPrice]]*Transaction[[#This Row],[Quantity]],"Valid","Invalid")</f>
        <v>Valid</v>
      </c>
      <c r="AA878">
        <v>278.45</v>
      </c>
      <c r="AB87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278.45</v>
      </c>
      <c r="AC878">
        <f>IF(Transaction[[#This Row],[DiscountAmount_Check2]]="Invalid",Transaction[[#This Row],[GrossRevenue_Analytical]]-Transaction[[#This Row],[NetRevenue_Analytical]],Transaction[[#This Row],[DiscountAmount_Clean]])</f>
        <v>278.45</v>
      </c>
      <c r="AD878">
        <v>2146.5500000000002</v>
      </c>
      <c r="AE878" t="str">
        <f>IF(ROUND(Transaction[[#This Row],[GrossRevenue_Analytical]]-Transaction[[#This Row],[NetRevenue_Analytical]],2)=ROUND(Transaction[[#This Row],[DiscountAmount_Clean]],2),"Valid","Invalid")</f>
        <v>Valid</v>
      </c>
      <c r="AF87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2146.5500000000002</v>
      </c>
      <c r="AG878">
        <f>IF(Transaction[[#This Row],[NetRevenue_Check]]="Invalid",(Transaction[[#This Row],[Quantity]]*Transaction[[#This Row],[UnitPrice_Clean]]),Transaction[[#This Row],[NetRevenue_Clean]])</f>
        <v>2146.5500000000002</v>
      </c>
      <c r="AH878" t="str">
        <f>IF(Transaction[[#This Row],[Quantity]]*Transaction[[#This Row],[UnitPrice_Clean]]=Transaction[[#This Row],[NetRevenue_Clean]],"Valid","Invalid")</f>
        <v>Valid</v>
      </c>
      <c r="AI878" t="s">
        <v>99</v>
      </c>
      <c r="AJ878" t="s">
        <v>1210</v>
      </c>
      <c r="AK878" t="str">
        <f>IF(Transaction[[#This Row],[Salesperson]]="","Missing Value",TRIM(PROPER(Transaction[[#This Row],[Salesperson]])))</f>
        <v>Mayer-Em</v>
      </c>
      <c r="AL878" t="s">
        <v>42</v>
      </c>
      <c r="AM878" t="str">
        <f>IF(Transaction[[#This Row],[ContractType]]="","Missing Value",Transaction[[#This Row],[ContractType]])</f>
        <v>Standard PO</v>
      </c>
      <c r="AN878" t="s">
        <v>26</v>
      </c>
    </row>
    <row r="879" spans="1:40" x14ac:dyDescent="0.25">
      <c r="A879" t="s">
        <v>2429</v>
      </c>
      <c r="B879" s="1">
        <v>45698</v>
      </c>
      <c r="C87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87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87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79" s="2">
        <f>IFERROR(DATE(Transaction[[#This Row],[TransactionDateY]],Transaction[[#This Row],[TransactionDateM]],Transaction[[#This Row],[TransactionDateD]]),"Missing Value")</f>
        <v>45698</v>
      </c>
      <c r="G879" t="s">
        <v>257</v>
      </c>
      <c r="H879" t="str">
        <f>IFERROR(VLOOKUP(Transaction[[#This Row],[CustomerID]],Custumer[],1,0),IF(LEN(Transaction[[#This Row],[CustomerID]])=7,LEFT(Transaction[[#This Row],[CustomerID]],6),"Invalid ID"))</f>
        <v>C-1154</v>
      </c>
      <c r="I879" t="s">
        <v>117</v>
      </c>
      <c r="J879" t="str">
        <f>TRIM(UPPER(Transaction[[#This Row],[ProductID]]))</f>
        <v>P-SI-007</v>
      </c>
      <c r="K879" t="str">
        <f>IFERROR(VLOOKUP(Transaction[[#This Row],[ProductID_Clean]],Product[],1,FALSE),"Invalid ID")</f>
        <v>P-SI-007</v>
      </c>
      <c r="L879" t="str">
        <f>TRIM(SUBSTITUTE(SUBSTITUTE(SUBSTITUTE(SUBSTITUTE(UPPER(Transaction[[#This Row],[Region]]),"EMEA REGION","EMEA"),"APAC REGION","APAC"),"NORTH AMERICA","N. AMERICA"),"N .AMERICA","N.AMERICA"))</f>
        <v>APAC</v>
      </c>
      <c r="M879" t="s">
        <v>30</v>
      </c>
      <c r="N879" t="s">
        <v>53</v>
      </c>
      <c r="O87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79" t="s">
        <v>22</v>
      </c>
      <c r="Q879" t="str">
        <f>IF(TRIM(Transaction[[#This Row],[SalesChannel]])="","Missing Value",TRIM(Transaction[[#This Row],[SalesChannel]]))</f>
        <v>Direct</v>
      </c>
      <c r="R879" s="4">
        <v>4</v>
      </c>
      <c r="S879" s="4" t="str">
        <f>IF(Transaction[[#This Row],[Quantity]]&lt;0,"Negative-review","Valid")</f>
        <v>Valid</v>
      </c>
      <c r="T879">
        <v>881.58</v>
      </c>
      <c r="U87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881.58</v>
      </c>
      <c r="V879">
        <v>980</v>
      </c>
      <c r="W879">
        <v>3920</v>
      </c>
      <c r="X87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3920</v>
      </c>
      <c r="Y879">
        <f>IF(Transaction[[#This Row],[GrossRevenue_Check]]="Invalid",Transaction[[#This Row],[ListPrice]]*Transaction[[#This Row],[Quantity]],Transaction[[#This Row],[GrossRevenue_Clean]])</f>
        <v>3920</v>
      </c>
      <c r="Z879" t="str">
        <f>IF(Transaction[[#This Row],[GrossRevenue_Clean]]=Transaction[[#This Row],[ListPrice]]*Transaction[[#This Row],[Quantity]],"Valid","Invalid")</f>
        <v>Valid</v>
      </c>
      <c r="AA879" t="s">
        <v>2430</v>
      </c>
      <c r="AB87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393.68</v>
      </c>
      <c r="AC879">
        <f>IF(Transaction[[#This Row],[DiscountAmount_Check2]]="Invalid",Transaction[[#This Row],[GrossRevenue_Analytical]]-Transaction[[#This Row],[NetRevenue_Analytical]],Transaction[[#This Row],[DiscountAmount_Clean]])</f>
        <v>393.68</v>
      </c>
      <c r="AD879">
        <v>3526.32</v>
      </c>
      <c r="AE879" t="str">
        <f>IF(ROUND(Transaction[[#This Row],[GrossRevenue_Analytical]]-Transaction[[#This Row],[NetRevenue_Analytical]],2)=ROUND(Transaction[[#This Row],[DiscountAmount_Clean]],2),"Valid","Invalid")</f>
        <v>Valid</v>
      </c>
      <c r="AF879">
        <f>VALUE(IF(ISNUMBER(Transaction[[#This Row],[NetRevenue]]),Transaction[[#This Row],[NetRevenue]],IFERROR(IF(FIND("$",Transaction[[#This Row],[NetRevenue]])&gt;0,MID(Transaction[[#This Row],[NetRevenue]],2,10)),Transaction[[#This Row],[NetRevenue]])))</f>
        <v>3526.32</v>
      </c>
      <c r="AG879">
        <f>IF(Transaction[[#This Row],[NetRevenue_Check]]="Invalid",(Transaction[[#This Row],[Quantity]]*Transaction[[#This Row],[UnitPrice_Clean]]),Transaction[[#This Row],[NetRevenue_Clean]])</f>
        <v>3526.32</v>
      </c>
      <c r="AH879" t="str">
        <f>IF(Transaction[[#This Row],[Quantity]]*Transaction[[#This Row],[UnitPrice_Clean]]=Transaction[[#This Row],[NetRevenue_Clean]],"Valid","Invalid")</f>
        <v>Valid</v>
      </c>
      <c r="AI879" t="s">
        <v>23</v>
      </c>
      <c r="AJ879" t="s">
        <v>2431</v>
      </c>
      <c r="AK879" t="str">
        <f>IF(Transaction[[#This Row],[Salesperson]]="","Missing Value",TRIM(PROPER(Transaction[[#This Row],[Salesperson]])))</f>
        <v>Small-Na</v>
      </c>
      <c r="AL879" t="s">
        <v>42</v>
      </c>
      <c r="AM879" t="str">
        <f>IF(Transaction[[#This Row],[ContractType]]="","Missing Value",Transaction[[#This Row],[ContractType]])</f>
        <v>Standard PO</v>
      </c>
      <c r="AN879" t="s">
        <v>35</v>
      </c>
    </row>
    <row r="880" spans="1:40" x14ac:dyDescent="0.25">
      <c r="A880" t="s">
        <v>2664</v>
      </c>
      <c r="B880" t="s">
        <v>992</v>
      </c>
      <c r="C88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88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88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80" s="2">
        <f>IFERROR(DATE(Transaction[[#This Row],[TransactionDateY]],Transaction[[#This Row],[TransactionDateM]],Transaction[[#This Row],[TransactionDateD]]),"Missing Value")</f>
        <v>45825</v>
      </c>
      <c r="G880" t="s">
        <v>180</v>
      </c>
      <c r="H880" t="str">
        <f>IFERROR(VLOOKUP(Transaction[[#This Row],[CustomerID]],Custumer[],1,0),IF(LEN(Transaction[[#This Row],[CustomerID]])=7,LEFT(Transaction[[#This Row],[CustomerID]],6),"Invalid ID"))</f>
        <v>C-1158</v>
      </c>
      <c r="I880" t="s">
        <v>258</v>
      </c>
      <c r="J880" t="str">
        <f>TRIM(UPPER(Transaction[[#This Row],[ProductID]]))</f>
        <v>P-SA-003</v>
      </c>
      <c r="K880" t="str">
        <f>IFERROR(VLOOKUP(Transaction[[#This Row],[ProductID_Clean]],Product[],1,FALSE),"Invalid ID")</f>
        <v>P-SA-003</v>
      </c>
      <c r="L880" t="str">
        <f>TRIM(SUBSTITUTE(SUBSTITUTE(SUBSTITUTE(SUBSTITUTE(UPPER(Transaction[[#This Row],[Region]]),"EMEA REGION","EMEA"),"APAC REGION","APAC"),"NORTH AMERICA","N. AMERICA"),"N .AMERICA","N.AMERICA"))</f>
        <v>EMEA</v>
      </c>
      <c r="M880" t="s">
        <v>87</v>
      </c>
      <c r="N880" t="s">
        <v>31</v>
      </c>
      <c r="O880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880" t="s">
        <v>93</v>
      </c>
      <c r="Q880" t="str">
        <f>IF(TRIM(Transaction[[#This Row],[SalesChannel]])="","Missing Value",TRIM(Transaction[[#This Row],[SalesChannel]]))</f>
        <v>direct</v>
      </c>
      <c r="R880" s="4">
        <v>1</v>
      </c>
      <c r="S880" s="4" t="str">
        <f>IF(Transaction[[#This Row],[Quantity]]&lt;0,"Negative-review","Valid")</f>
        <v>Valid</v>
      </c>
      <c r="T880">
        <v>2679.42</v>
      </c>
      <c r="U88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2679.42</v>
      </c>
      <c r="V880">
        <v>2750</v>
      </c>
      <c r="W880" t="s">
        <v>1217</v>
      </c>
      <c r="X88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880">
        <f>IF(Transaction[[#This Row],[GrossRevenue_Check]]="Invalid",Transaction[[#This Row],[ListPrice]]*Transaction[[#This Row],[Quantity]],Transaction[[#This Row],[GrossRevenue_Clean]])</f>
        <v>2750</v>
      </c>
      <c r="Z880" t="str">
        <f>IF(Transaction[[#This Row],[GrossRevenue_Clean]]=Transaction[[#This Row],[ListPrice]]*Transaction[[#This Row],[Quantity]],"Valid","Invalid")</f>
        <v>Valid</v>
      </c>
      <c r="AA880">
        <v>70.58</v>
      </c>
      <c r="AB88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70.58</v>
      </c>
      <c r="AC880">
        <f>IF(Transaction[[#This Row],[DiscountAmount_Check2]]="Invalid",Transaction[[#This Row],[GrossRevenue_Analytical]]-Transaction[[#This Row],[NetRevenue_Analytical]],Transaction[[#This Row],[DiscountAmount_Clean]])</f>
        <v>70.58</v>
      </c>
      <c r="AD880">
        <v>2679.42</v>
      </c>
      <c r="AE880" t="str">
        <f>IF(ROUND(Transaction[[#This Row],[GrossRevenue_Analytical]]-Transaction[[#This Row],[NetRevenue_Analytical]],2)=ROUND(Transaction[[#This Row],[DiscountAmount_Clean]],2),"Valid","Invalid")</f>
        <v>Valid</v>
      </c>
      <c r="AF88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2679.42</v>
      </c>
      <c r="AG880">
        <f>IF(Transaction[[#This Row],[NetRevenue_Check]]="Invalid",(Transaction[[#This Row],[Quantity]]*Transaction[[#This Row],[UnitPrice_Clean]]),Transaction[[#This Row],[NetRevenue_Clean]])</f>
        <v>2679.42</v>
      </c>
      <c r="AH880" t="str">
        <f>IF(Transaction[[#This Row],[Quantity]]*Transaction[[#This Row],[UnitPrice_Clean]]=Transaction[[#This Row],[NetRevenue_Clean]],"Valid","Invalid")</f>
        <v>Valid</v>
      </c>
      <c r="AI880" t="s">
        <v>23</v>
      </c>
      <c r="AJ880" t="s">
        <v>2314</v>
      </c>
      <c r="AK880" t="str">
        <f>IF(Transaction[[#This Row],[Salesperson]]="","Missing Value",TRIM(PROPER(Transaction[[#This Row],[Salesperson]])))</f>
        <v>Allen-Na</v>
      </c>
      <c r="AL880" t="s">
        <v>34</v>
      </c>
      <c r="AM880" t="str">
        <f>IF(Transaction[[#This Row],[ContractType]]="","Missing Value",Transaction[[#This Row],[ContractType]])</f>
        <v>Annual License</v>
      </c>
      <c r="AN880" t="s">
        <v>65</v>
      </c>
    </row>
    <row r="881" spans="1:40" x14ac:dyDescent="0.25">
      <c r="A881" t="s">
        <v>2956</v>
      </c>
      <c r="B881" s="1">
        <v>45780</v>
      </c>
      <c r="C88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88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88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81" s="2">
        <f>IFERROR(DATE(Transaction[[#This Row],[TransactionDateY]],Transaction[[#This Row],[TransactionDateM]],Transaction[[#This Row],[TransactionDateD]]),"Missing Value")</f>
        <v>45780</v>
      </c>
      <c r="G881" t="s">
        <v>2373</v>
      </c>
      <c r="H881" t="str">
        <f>IFERROR(VLOOKUP(Transaction[[#This Row],[CustomerID]],Custumer[],1,0),IF(LEN(Transaction[[#This Row],[CustomerID]])=7,LEFT(Transaction[[#This Row],[CustomerID]],6),"Invalid ID"))</f>
        <v>C-1046</v>
      </c>
      <c r="I881" t="s">
        <v>46</v>
      </c>
      <c r="J881" t="str">
        <f>TRIM(UPPER(Transaction[[#This Row],[ProductID]]))</f>
        <v>P-SI-006</v>
      </c>
      <c r="K881" t="str">
        <f>IFERROR(VLOOKUP(Transaction[[#This Row],[ProductID_Clean]],Product[],1,FALSE),"Invalid ID")</f>
        <v>P-SI-006</v>
      </c>
      <c r="L881" t="str">
        <f>TRIM(SUBSTITUTE(SUBSTITUTE(SUBSTITUTE(SUBSTITUTE(UPPER(Transaction[[#This Row],[Region]]),"EMEA REGION","EMEA"),"APAC REGION","APAC"),"NORTH AMERICA","N. AMERICA"),"N .AMERICA","N.AMERICA"))</f>
        <v>LATIN AMERICA</v>
      </c>
      <c r="M881" t="s">
        <v>82</v>
      </c>
      <c r="N881" t="s">
        <v>53</v>
      </c>
      <c r="O88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81" t="s">
        <v>22</v>
      </c>
      <c r="Q881" t="str">
        <f>IF(TRIM(Transaction[[#This Row],[SalesChannel]])="","Missing Value",TRIM(Transaction[[#This Row],[SalesChannel]]))</f>
        <v>Direct</v>
      </c>
      <c r="R881" s="4">
        <v>2</v>
      </c>
      <c r="S881" s="4" t="str">
        <f>IF(Transaction[[#This Row],[Quantity]]&lt;0,"Negative-review","Valid")</f>
        <v>Valid</v>
      </c>
      <c r="T881">
        <v>185.65</v>
      </c>
      <c r="U88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185.65</v>
      </c>
      <c r="V881">
        <v>215</v>
      </c>
      <c r="W881">
        <v>430</v>
      </c>
      <c r="X88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881">
        <f>IF(Transaction[[#This Row],[GrossRevenue_Check]]="Invalid",Transaction[[#This Row],[ListPrice]]*Transaction[[#This Row],[Quantity]],Transaction[[#This Row],[GrossRevenue_Clean]])</f>
        <v>430</v>
      </c>
      <c r="Z881" t="str">
        <f>IF(Transaction[[#This Row],[GrossRevenue_Clean]]=Transaction[[#This Row],[ListPrice]]*Transaction[[#This Row],[Quantity]],"Valid","Invalid")</f>
        <v>Valid</v>
      </c>
      <c r="AA881">
        <v>58.7</v>
      </c>
      <c r="AB88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58.7</v>
      </c>
      <c r="AC881">
        <f>IF(Transaction[[#This Row],[DiscountAmount_Check2]]="Invalid",Transaction[[#This Row],[GrossRevenue_Analytical]]-Transaction[[#This Row],[NetRevenue_Analytical]],Transaction[[#This Row],[DiscountAmount_Clean]])</f>
        <v>58.7</v>
      </c>
      <c r="AD881">
        <v>371.3</v>
      </c>
      <c r="AE881" t="str">
        <f>IF(ROUND(Transaction[[#This Row],[GrossRevenue_Analytical]]-Transaction[[#This Row],[NetRevenue_Analytical]],2)=ROUND(Transaction[[#This Row],[DiscountAmount_Clean]],2),"Valid","Invalid")</f>
        <v>Valid</v>
      </c>
      <c r="AF881">
        <f>VALUE(IF(ISNUMBER(Transaction[[#This Row],[NetRevenue]]),Transaction[[#This Row],[NetRevenue]],IFERROR(IF(FIND("$",Transaction[[#This Row],[NetRevenue]])&gt;0,MID(Transaction[[#This Row],[NetRevenue]],2,10)),Transaction[[#This Row],[NetRevenue]])))</f>
        <v>371.3</v>
      </c>
      <c r="AG881">
        <f>IF(Transaction[[#This Row],[NetRevenue_Check]]="Invalid",(Transaction[[#This Row],[Quantity]]*Transaction[[#This Row],[UnitPrice_Clean]]),Transaction[[#This Row],[NetRevenue_Clean]])</f>
        <v>371.3</v>
      </c>
      <c r="AH881" t="str">
        <f>IF(Transaction[[#This Row],[Quantity]]*Transaction[[#This Row],[UnitPrice_Clean]]=Transaction[[#This Row],[NetRevenue_Clean]],"Valid","Invalid")</f>
        <v>Valid</v>
      </c>
      <c r="AI881" t="s">
        <v>23</v>
      </c>
      <c r="AJ881" t="s">
        <v>688</v>
      </c>
      <c r="AK881" t="str">
        <f>IF(Transaction[[#This Row],[Salesperson]]="","Missing Value",TRIM(PROPER(Transaction[[#This Row],[Salesperson]])))</f>
        <v>Jones-Ap</v>
      </c>
      <c r="AL881" t="s">
        <v>42</v>
      </c>
      <c r="AM881" t="str">
        <f>IF(Transaction[[#This Row],[ContractType]]="","Missing Value",Transaction[[#This Row],[ContractType]])</f>
        <v>Standard PO</v>
      </c>
      <c r="AN881" t="s">
        <v>49</v>
      </c>
    </row>
    <row r="882" spans="1:40" x14ac:dyDescent="0.25">
      <c r="A882" t="s">
        <v>1232</v>
      </c>
      <c r="B882" s="1">
        <v>45772</v>
      </c>
      <c r="C88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88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88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82" s="2">
        <f>IFERROR(DATE(Transaction[[#This Row],[TransactionDateY]],Transaction[[#This Row],[TransactionDateM]],Transaction[[#This Row],[TransactionDateD]]),"Missing Value")</f>
        <v>45772</v>
      </c>
      <c r="G882" t="s">
        <v>284</v>
      </c>
      <c r="H882" t="str">
        <f>IFERROR(VLOOKUP(Transaction[[#This Row],[CustomerID]],Custumer[],1,0),IF(LEN(Transaction[[#This Row],[CustomerID]])=7,LEFT(Transaction[[#This Row],[CustomerID]],6),"Invalid ID"))</f>
        <v>C-1101</v>
      </c>
      <c r="I882" t="s">
        <v>52</v>
      </c>
      <c r="J882" t="str">
        <f>TRIM(UPPER(Transaction[[#This Row],[ProductID]]))</f>
        <v>P-SI-002</v>
      </c>
      <c r="K882" t="str">
        <f>IFERROR(VLOOKUP(Transaction[[#This Row],[ProductID_Clean]],Product[],1,FALSE),"Invalid ID")</f>
        <v>P-SI-002</v>
      </c>
      <c r="L882" t="str">
        <f>TRIM(SUBSTITUTE(SUBSTITUTE(SUBSTITUTE(SUBSTITUTE(UPPER(Transaction[[#This Row],[Region]]),"EMEA REGION","EMEA"),"APAC REGION","APAC"),"NORTH AMERICA","N. AMERICA"),"N .AMERICA","N.AMERICA"))</f>
        <v>EMEA</v>
      </c>
      <c r="M882" t="s">
        <v>87</v>
      </c>
      <c r="N882" t="s">
        <v>53</v>
      </c>
      <c r="O88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82" t="s">
        <v>22</v>
      </c>
      <c r="Q882" t="str">
        <f>IF(TRIM(Transaction[[#This Row],[SalesChannel]])="","Missing Value",TRIM(Transaction[[#This Row],[SalesChannel]]))</f>
        <v>Direct</v>
      </c>
      <c r="R882" s="4">
        <v>20</v>
      </c>
      <c r="S882" s="4" t="str">
        <f>IF(Transaction[[#This Row],[Quantity]]&lt;0,"Negative-review","Valid")</f>
        <v>Valid</v>
      </c>
      <c r="T882">
        <v>663.43</v>
      </c>
      <c r="U88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663.43</v>
      </c>
      <c r="V882">
        <v>725</v>
      </c>
      <c r="W882">
        <v>14500</v>
      </c>
      <c r="X88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14500</v>
      </c>
      <c r="Y882">
        <f>IF(Transaction[[#This Row],[GrossRevenue_Check]]="Invalid",Transaction[[#This Row],[ListPrice]]*Transaction[[#This Row],[Quantity]],Transaction[[#This Row],[GrossRevenue_Clean]])</f>
        <v>14500</v>
      </c>
      <c r="Z882" t="str">
        <f>IF(Transaction[[#This Row],[GrossRevenue_Clean]]=Transaction[[#This Row],[ListPrice]]*Transaction[[#This Row],[Quantity]],"Valid","Invalid")</f>
        <v>Valid</v>
      </c>
      <c r="AB88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882">
        <f>IF(Transaction[[#This Row],[DiscountAmount_Check2]]="Invalid",Transaction[[#This Row],[GrossRevenue_Analytical]]-Transaction[[#This Row],[NetRevenue_Analytical]],Transaction[[#This Row],[DiscountAmount_Clean]])</f>
        <v>1231.3999999999996</v>
      </c>
      <c r="AD882" t="s">
        <v>1233</v>
      </c>
      <c r="AE882" t="str">
        <f>IF(ROUND(Transaction[[#This Row],[GrossRevenue_Analytical]]-Transaction[[#This Row],[NetRevenue_Analytical]],2)=ROUND(Transaction[[#This Row],[DiscountAmount_Clean]],2),"Valid","Invalid")</f>
        <v>Invalid</v>
      </c>
      <c r="AF88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13268.6</v>
      </c>
      <c r="AG882">
        <f>IF(Transaction[[#This Row],[NetRevenue_Check]]="Invalid",(Transaction[[#This Row],[Quantity]]*Transaction[[#This Row],[UnitPrice_Clean]]),Transaction[[#This Row],[NetRevenue_Clean]])</f>
        <v>13268.6</v>
      </c>
      <c r="AH882" t="str">
        <f>IF(Transaction[[#This Row],[Quantity]]*Transaction[[#This Row],[UnitPrice_Clean]]=Transaction[[#This Row],[NetRevenue_Clean]],"Valid","Invalid")</f>
        <v>Valid</v>
      </c>
      <c r="AI882" t="s">
        <v>23</v>
      </c>
      <c r="AK882" t="str">
        <f>IF(Transaction[[#This Row],[Salesperson]]="","Missing Value",TRIM(PROPER(Transaction[[#This Row],[Salesperson]])))</f>
        <v>Missing Value</v>
      </c>
      <c r="AL882" t="s">
        <v>42</v>
      </c>
      <c r="AM882" t="str">
        <f>IF(Transaction[[#This Row],[ContractType]]="","Missing Value",Transaction[[#This Row],[ContractType]])</f>
        <v>Standard PO</v>
      </c>
      <c r="AN882" t="s">
        <v>35</v>
      </c>
    </row>
    <row r="883" spans="1:40" x14ac:dyDescent="0.25">
      <c r="A883" t="s">
        <v>579</v>
      </c>
      <c r="B883" s="1">
        <v>45651</v>
      </c>
      <c r="C88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12</v>
      </c>
      <c r="D88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88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2024</v>
      </c>
      <c r="F883" s="2">
        <f>IFERROR(DATE(Transaction[[#This Row],[TransactionDateY]],Transaction[[#This Row],[TransactionDateM]],Transaction[[#This Row],[TransactionDateD]]),"Missing Value")</f>
        <v>45651</v>
      </c>
      <c r="G883" t="s">
        <v>580</v>
      </c>
      <c r="H883" t="str">
        <f>IFERROR(VLOOKUP(Transaction[[#This Row],[CustomerID]],Custumer[],1,0),IF(LEN(Transaction[[#This Row],[CustomerID]])=7,LEFT(Transaction[[#This Row],[CustomerID]],6),"Invalid ID"))</f>
        <v>C-1053</v>
      </c>
      <c r="I883" t="s">
        <v>58</v>
      </c>
      <c r="J883" t="str">
        <f>TRIM(UPPER(Transaction[[#This Row],[ProductID]]))</f>
        <v>P-SI-005</v>
      </c>
      <c r="K883" t="str">
        <f>IFERROR(VLOOKUP(Transaction[[#This Row],[ProductID_Clean]],Product[],1,FALSE),"Invalid ID")</f>
        <v>P-SI-005</v>
      </c>
      <c r="L883" t="str">
        <f>TRIM(SUBSTITUTE(SUBSTITUTE(SUBSTITUTE(SUBSTITUTE(UPPER(Transaction[[#This Row],[Region]]),"EMEA REGION","EMEA"),"APAC REGION","APAC"),"NORTH AMERICA","N. AMERICA"),"N .AMERICA","N.AMERICA"))</f>
        <v>LATIN AMERICA</v>
      </c>
      <c r="M883" t="s">
        <v>82</v>
      </c>
      <c r="N883" t="s">
        <v>53</v>
      </c>
      <c r="O88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83" t="s">
        <v>181</v>
      </c>
      <c r="Q883" t="str">
        <f>IF(TRIM(Transaction[[#This Row],[SalesChannel]])="","Missing Value",TRIM(Transaction[[#This Row],[SalesChannel]]))</f>
        <v>Partner Portal</v>
      </c>
      <c r="R883" s="4">
        <v>10</v>
      </c>
      <c r="S883" s="4" t="str">
        <f>IF(Transaction[[#This Row],[Quantity]]&lt;0,"Negative-review","Valid")</f>
        <v>Valid</v>
      </c>
      <c r="T883">
        <v>836.47</v>
      </c>
      <c r="U88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836.47</v>
      </c>
      <c r="V883">
        <v>1120</v>
      </c>
      <c r="W883">
        <v>11200</v>
      </c>
      <c r="X88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11200</v>
      </c>
      <c r="Y883">
        <f>IF(Transaction[[#This Row],[GrossRevenue_Check]]="Invalid",Transaction[[#This Row],[ListPrice]]*Transaction[[#This Row],[Quantity]],Transaction[[#This Row],[GrossRevenue_Clean]])</f>
        <v>11200</v>
      </c>
      <c r="Z883" t="str">
        <f>IF(Transaction[[#This Row],[GrossRevenue_Clean]]=Transaction[[#This Row],[ListPrice]]*Transaction[[#This Row],[Quantity]],"Valid","Invalid")</f>
        <v>Valid</v>
      </c>
      <c r="AA883">
        <v>2835.3</v>
      </c>
      <c r="AB88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2835.3</v>
      </c>
      <c r="AC883">
        <f>IF(Transaction[[#This Row],[DiscountAmount_Check2]]="Invalid",Transaction[[#This Row],[GrossRevenue_Analytical]]-Transaction[[#This Row],[NetRevenue_Analytical]],Transaction[[#This Row],[DiscountAmount_Clean]])</f>
        <v>2835.3</v>
      </c>
      <c r="AD883">
        <v>8364.7000000000007</v>
      </c>
      <c r="AE883" t="str">
        <f>IF(ROUND(Transaction[[#This Row],[GrossRevenue_Analytical]]-Transaction[[#This Row],[NetRevenue_Analytical]],2)=ROUND(Transaction[[#This Row],[DiscountAmount_Clean]],2),"Valid","Invalid")</f>
        <v>Valid</v>
      </c>
      <c r="AF883">
        <f>VALUE(IF(ISNUMBER(Transaction[[#This Row],[NetRevenue]]),Transaction[[#This Row],[NetRevenue]],IFERROR(IF(FIND("$",Transaction[[#This Row],[NetRevenue]])&gt;0,MID(Transaction[[#This Row],[NetRevenue]],2,10)),Transaction[[#This Row],[NetRevenue]])))</f>
        <v>8364.7000000000007</v>
      </c>
      <c r="AG883">
        <f>IF(Transaction[[#This Row],[NetRevenue_Check]]="Invalid",(Transaction[[#This Row],[Quantity]]*Transaction[[#This Row],[UnitPrice_Clean]]),Transaction[[#This Row],[NetRevenue_Clean]])</f>
        <v>8364.7000000000007</v>
      </c>
      <c r="AH883" t="str">
        <f>IF(Transaction[[#This Row],[Quantity]]*Transaction[[#This Row],[UnitPrice_Clean]]=Transaction[[#This Row],[NetRevenue_Clean]],"Valid","Invalid")</f>
        <v>Valid</v>
      </c>
      <c r="AI883" t="s">
        <v>23</v>
      </c>
      <c r="AJ883" t="s">
        <v>581</v>
      </c>
      <c r="AK883" t="str">
        <f>IF(Transaction[[#This Row],[Salesperson]]="","Missing Value",TRIM(PROPER(Transaction[[#This Row],[Salesperson]])))</f>
        <v>Fernandez-Na</v>
      </c>
      <c r="AL883" t="s">
        <v>42</v>
      </c>
      <c r="AM883" t="str">
        <f>IF(Transaction[[#This Row],[ContractType]]="","Missing Value",Transaction[[#This Row],[ContractType]])</f>
        <v>Standard PO</v>
      </c>
      <c r="AN883" t="s">
        <v>35</v>
      </c>
    </row>
    <row r="884" spans="1:40" x14ac:dyDescent="0.25">
      <c r="A884" t="s">
        <v>2706</v>
      </c>
      <c r="B884" s="1">
        <v>45740</v>
      </c>
      <c r="C88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88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88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84" s="2">
        <f>IFERROR(DATE(Transaction[[#This Row],[TransactionDateY]],Transaction[[#This Row],[TransactionDateM]],Transaction[[#This Row],[TransactionDateD]]),"Missing Value")</f>
        <v>45740</v>
      </c>
      <c r="G884" t="s">
        <v>467</v>
      </c>
      <c r="H884" t="str">
        <f>IFERROR(VLOOKUP(Transaction[[#This Row],[CustomerID]],Custumer[],1,0),IF(LEN(Transaction[[#This Row],[CustomerID]])=7,LEFT(Transaction[[#This Row],[CustomerID]],6),"Invalid ID"))</f>
        <v>C-1111</v>
      </c>
      <c r="I884" t="s">
        <v>71</v>
      </c>
      <c r="J884" t="str">
        <f>TRIM(UPPER(Transaction[[#This Row],[ProductID]]))</f>
        <v>P-SI-003</v>
      </c>
      <c r="K884" t="str">
        <f>IFERROR(VLOOKUP(Transaction[[#This Row],[ProductID_Clean]],Product[],1,FALSE),"Invalid ID")</f>
        <v>P-SI-003</v>
      </c>
      <c r="L884" t="str">
        <f>TRIM(SUBSTITUTE(SUBSTITUTE(SUBSTITUTE(SUBSTITUTE(UPPER(Transaction[[#This Row],[Region]]),"EMEA REGION","EMEA"),"APAC REGION","APAC"),"NORTH AMERICA","N. AMERICA"),"N .AMERICA","N.AMERICA"))</f>
        <v>APAC</v>
      </c>
      <c r="M884" t="s">
        <v>30</v>
      </c>
      <c r="N884" t="s">
        <v>47</v>
      </c>
      <c r="O88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84" t="s">
        <v>181</v>
      </c>
      <c r="Q884" t="str">
        <f>IF(TRIM(Transaction[[#This Row],[SalesChannel]])="","Missing Value",TRIM(Transaction[[#This Row],[SalesChannel]]))</f>
        <v>Partner Portal</v>
      </c>
      <c r="R884" s="4">
        <v>2</v>
      </c>
      <c r="S884" s="4" t="str">
        <f>IF(Transaction[[#This Row],[Quantity]]&lt;0,"Negative-review","Valid")</f>
        <v>Valid</v>
      </c>
      <c r="T884">
        <v>1588.07</v>
      </c>
      <c r="U88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1588.07</v>
      </c>
      <c r="V884">
        <v>1890</v>
      </c>
      <c r="W884">
        <v>3780</v>
      </c>
      <c r="X88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3780</v>
      </c>
      <c r="Y884">
        <f>IF(Transaction[[#This Row],[GrossRevenue_Check]]="Invalid",Transaction[[#This Row],[ListPrice]]*Transaction[[#This Row],[Quantity]],Transaction[[#This Row],[GrossRevenue_Clean]])</f>
        <v>3780</v>
      </c>
      <c r="Z884" t="str">
        <f>IF(Transaction[[#This Row],[GrossRevenue_Clean]]=Transaction[[#This Row],[ListPrice]]*Transaction[[#This Row],[Quantity]],"Valid","Invalid")</f>
        <v>Valid</v>
      </c>
      <c r="AA884">
        <v>603.86</v>
      </c>
      <c r="AB88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603.86</v>
      </c>
      <c r="AC884">
        <f>IF(Transaction[[#This Row],[DiscountAmount_Check2]]="Invalid",Transaction[[#This Row],[GrossRevenue_Analytical]]-Transaction[[#This Row],[NetRevenue_Analytical]],Transaction[[#This Row],[DiscountAmount_Clean]])</f>
        <v>603.86</v>
      </c>
      <c r="AD884">
        <v>3176.14</v>
      </c>
      <c r="AE884" t="str">
        <f>IF(ROUND(Transaction[[#This Row],[GrossRevenue_Analytical]]-Transaction[[#This Row],[NetRevenue_Analytical]],2)=ROUND(Transaction[[#This Row],[DiscountAmount_Clean]],2),"Valid","Invalid")</f>
        <v>Valid</v>
      </c>
      <c r="AF884">
        <f>VALUE(IF(ISNUMBER(Transaction[[#This Row],[NetRevenue]]),Transaction[[#This Row],[NetRevenue]],IFERROR(IF(FIND("$",Transaction[[#This Row],[NetRevenue]])&gt;0,MID(Transaction[[#This Row],[NetRevenue]],2,10)),Transaction[[#This Row],[NetRevenue]])))</f>
        <v>3176.14</v>
      </c>
      <c r="AG884">
        <f>IF(Transaction[[#This Row],[NetRevenue_Check]]="Invalid",(Transaction[[#This Row],[Quantity]]*Transaction[[#This Row],[UnitPrice_Clean]]),Transaction[[#This Row],[NetRevenue_Clean]])</f>
        <v>3176.14</v>
      </c>
      <c r="AH884" t="str">
        <f>IF(Transaction[[#This Row],[Quantity]]*Transaction[[#This Row],[UnitPrice_Clean]]=Transaction[[#This Row],[NetRevenue_Clean]],"Valid","Invalid")</f>
        <v>Valid</v>
      </c>
      <c r="AI884" t="s">
        <v>23</v>
      </c>
      <c r="AJ884" t="s">
        <v>1259</v>
      </c>
      <c r="AK884" t="str">
        <f>IF(Transaction[[#This Row],[Salesperson]]="","Missing Value",TRIM(PROPER(Transaction[[#This Row],[Salesperson]])))</f>
        <v>Griffin</v>
      </c>
      <c r="AL884" t="s">
        <v>42</v>
      </c>
      <c r="AM884" t="str">
        <f>IF(Transaction[[#This Row],[ContractType]]="","Missing Value",Transaction[[#This Row],[ContractType]])</f>
        <v>Standard PO</v>
      </c>
      <c r="AN884" t="s">
        <v>43</v>
      </c>
    </row>
    <row r="885" spans="1:40" x14ac:dyDescent="0.25">
      <c r="A885" t="s">
        <v>819</v>
      </c>
      <c r="B885" t="s">
        <v>820</v>
      </c>
      <c r="C88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88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88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85" s="2">
        <f>IFERROR(DATE(Transaction[[#This Row],[TransactionDateY]],Transaction[[#This Row],[TransactionDateM]],Transaction[[#This Row],[TransactionDateD]]),"Missing Value")</f>
        <v>45823</v>
      </c>
      <c r="G885" t="s">
        <v>51</v>
      </c>
      <c r="H885" t="str">
        <f>IFERROR(VLOOKUP(Transaction[[#This Row],[CustomerID]],Custumer[],1,0),IF(LEN(Transaction[[#This Row],[CustomerID]])=7,LEFT(Transaction[[#This Row],[CustomerID]],6),"Invalid ID"))</f>
        <v>C-1006</v>
      </c>
      <c r="I885" t="s">
        <v>29</v>
      </c>
      <c r="J885" t="str">
        <f>TRIM(UPPER(Transaction[[#This Row],[ProductID]]))</f>
        <v>P-SA-001</v>
      </c>
      <c r="K885" t="str">
        <f>IFERROR(VLOOKUP(Transaction[[#This Row],[ProductID_Clean]],Product[],1,FALSE),"Invalid ID")</f>
        <v>P-SA-001</v>
      </c>
      <c r="L885" t="str">
        <f>TRIM(SUBSTITUTE(SUBSTITUTE(SUBSTITUTE(SUBSTITUTE(UPPER(Transaction[[#This Row],[Region]]),"EMEA REGION","EMEA"),"APAC REGION","APAC"),"NORTH AMERICA","N. AMERICA"),"N .AMERICA","N.AMERICA"))</f>
        <v>N. AMERICA</v>
      </c>
      <c r="M885" t="s">
        <v>168</v>
      </c>
      <c r="N885" t="s">
        <v>205</v>
      </c>
      <c r="O88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885" t="s">
        <v>22</v>
      </c>
      <c r="Q885" t="str">
        <f>IF(TRIM(Transaction[[#This Row],[SalesChannel]])="","Missing Value",TRIM(Transaction[[#This Row],[SalesChannel]]))</f>
        <v>Direct</v>
      </c>
      <c r="R885" s="4">
        <v>1</v>
      </c>
      <c r="S885" s="4" t="str">
        <f>IF(Transaction[[#This Row],[Quantity]]&lt;0,"Negative-review","Valid")</f>
        <v>Valid</v>
      </c>
      <c r="T885">
        <v>3699.03</v>
      </c>
      <c r="U88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3699.03</v>
      </c>
      <c r="V885">
        <v>4200</v>
      </c>
      <c r="W885">
        <v>4200</v>
      </c>
      <c r="X88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885">
        <f>IF(Transaction[[#This Row],[GrossRevenue_Check]]="Invalid",Transaction[[#This Row],[ListPrice]]*Transaction[[#This Row],[Quantity]],Transaction[[#This Row],[GrossRevenue_Clean]])</f>
        <v>4200</v>
      </c>
      <c r="Z885" t="str">
        <f>IF(Transaction[[#This Row],[GrossRevenue_Clean]]=Transaction[[#This Row],[ListPrice]]*Transaction[[#This Row],[Quantity]],"Valid","Invalid")</f>
        <v>Valid</v>
      </c>
      <c r="AA885">
        <v>500.97</v>
      </c>
      <c r="AB88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500.97</v>
      </c>
      <c r="AC885">
        <f>IF(Transaction[[#This Row],[DiscountAmount_Check2]]="Invalid",Transaction[[#This Row],[GrossRevenue_Analytical]]-Transaction[[#This Row],[NetRevenue_Analytical]],Transaction[[#This Row],[DiscountAmount_Clean]])</f>
        <v>500.97</v>
      </c>
      <c r="AD885">
        <v>3699.03</v>
      </c>
      <c r="AE885" t="str">
        <f>IF(ROUND(Transaction[[#This Row],[GrossRevenue_Analytical]]-Transaction[[#This Row],[NetRevenue_Analytical]],2)=ROUND(Transaction[[#This Row],[DiscountAmount_Clean]],2),"Valid","Invalid")</f>
        <v>Valid</v>
      </c>
      <c r="AF88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3699.03</v>
      </c>
      <c r="AG885">
        <f>IF(Transaction[[#This Row],[NetRevenue_Check]]="Invalid",(Transaction[[#This Row],[Quantity]]*Transaction[[#This Row],[UnitPrice_Clean]]),Transaction[[#This Row],[NetRevenue_Clean]])</f>
        <v>3699.03</v>
      </c>
      <c r="AH885" t="str">
        <f>IF(Transaction[[#This Row],[Quantity]]*Transaction[[#This Row],[UnitPrice_Clean]]=Transaction[[#This Row],[NetRevenue_Clean]],"Valid","Invalid")</f>
        <v>Valid</v>
      </c>
      <c r="AI885" t="s">
        <v>23</v>
      </c>
      <c r="AJ885" t="s">
        <v>821</v>
      </c>
      <c r="AK885" t="str">
        <f>IF(Transaction[[#This Row],[Salesperson]]="","Missing Value",TRIM(PROPER(Transaction[[#This Row],[Salesperson]])))</f>
        <v>Powers</v>
      </c>
      <c r="AL885" t="s">
        <v>113</v>
      </c>
      <c r="AM885" t="str">
        <f>IF(Transaction[[#This Row],[ContractType]]="","Missing Value",Transaction[[#This Row],[ContractType]])</f>
        <v>Subscription</v>
      </c>
      <c r="AN885" t="s">
        <v>26</v>
      </c>
    </row>
    <row r="886" spans="1:40" x14ac:dyDescent="0.25">
      <c r="A886" t="s">
        <v>2500</v>
      </c>
      <c r="B886" s="1">
        <v>45680</v>
      </c>
      <c r="C88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88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88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86" s="2">
        <f>IFERROR(DATE(Transaction[[#This Row],[TransactionDateY]],Transaction[[#This Row],[TransactionDateM]],Transaction[[#This Row],[TransactionDateD]]),"Missing Value")</f>
        <v>45680</v>
      </c>
      <c r="G886" t="s">
        <v>913</v>
      </c>
      <c r="H886" t="str">
        <f>IFERROR(VLOOKUP(Transaction[[#This Row],[CustomerID]],Custumer[],1,0),IF(LEN(Transaction[[#This Row],[CustomerID]])=7,LEFT(Transaction[[#This Row],[CustomerID]],6),"Invalid ID"))</f>
        <v>C-1073</v>
      </c>
      <c r="I886" t="s">
        <v>52</v>
      </c>
      <c r="J886" t="str">
        <f>TRIM(UPPER(Transaction[[#This Row],[ProductID]]))</f>
        <v>P-SI-002</v>
      </c>
      <c r="K886" t="str">
        <f>IFERROR(VLOOKUP(Transaction[[#This Row],[ProductID_Clean]],Product[],1,FALSE),"Invalid ID")</f>
        <v>P-SI-002</v>
      </c>
      <c r="L886" t="str">
        <f>TRIM(SUBSTITUTE(SUBSTITUTE(SUBSTITUTE(SUBSTITUTE(UPPER(Transaction[[#This Row],[Region]]),"EMEA REGION","EMEA"),"APAC REGION","APAC"),"NORTH AMERICA","N. AMERICA"),"N .AMERICA","N.AMERICA"))</f>
        <v>EMEA</v>
      </c>
      <c r="M886" t="s">
        <v>87</v>
      </c>
      <c r="N886" t="s">
        <v>53</v>
      </c>
      <c r="O88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86" t="s">
        <v>40</v>
      </c>
      <c r="Q886" t="str">
        <f>IF(TRIM(Transaction[[#This Row],[SalesChannel]])="","Missing Value",TRIM(Transaction[[#This Row],[SalesChannel]]))</f>
        <v>Distributor</v>
      </c>
      <c r="R886" s="4">
        <v>2</v>
      </c>
      <c r="S886" s="4" t="str">
        <f>IF(Transaction[[#This Row],[Quantity]]&lt;0,"Negative-review","Valid")</f>
        <v>Valid</v>
      </c>
      <c r="T886">
        <v>630.89</v>
      </c>
      <c r="U88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630.89</v>
      </c>
      <c r="V886">
        <v>725</v>
      </c>
      <c r="W886">
        <v>1450</v>
      </c>
      <c r="X88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886">
        <f>IF(Transaction[[#This Row],[GrossRevenue_Check]]="Invalid",Transaction[[#This Row],[ListPrice]]*Transaction[[#This Row],[Quantity]],Transaction[[#This Row],[GrossRevenue_Clean]])</f>
        <v>1450</v>
      </c>
      <c r="Z886" t="str">
        <f>IF(Transaction[[#This Row],[GrossRevenue_Clean]]=Transaction[[#This Row],[ListPrice]]*Transaction[[#This Row],[Quantity]],"Valid","Invalid")</f>
        <v>Valid</v>
      </c>
      <c r="AA886">
        <v>188.22</v>
      </c>
      <c r="AB88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188.22</v>
      </c>
      <c r="AC886">
        <f>IF(Transaction[[#This Row],[DiscountAmount_Check2]]="Invalid",Transaction[[#This Row],[GrossRevenue_Analytical]]-Transaction[[#This Row],[NetRevenue_Analytical]],Transaction[[#This Row],[DiscountAmount_Clean]])</f>
        <v>188.22</v>
      </c>
      <c r="AD886">
        <v>1261.78</v>
      </c>
      <c r="AE886" t="str">
        <f>IF(ROUND(Transaction[[#This Row],[GrossRevenue_Analytical]]-Transaction[[#This Row],[NetRevenue_Analytical]],2)=ROUND(Transaction[[#This Row],[DiscountAmount_Clean]],2),"Valid","Invalid")</f>
        <v>Valid</v>
      </c>
      <c r="AF88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1261.78</v>
      </c>
      <c r="AG886">
        <f>IF(Transaction[[#This Row],[NetRevenue_Check]]="Invalid",(Transaction[[#This Row],[Quantity]]*Transaction[[#This Row],[UnitPrice_Clean]]),Transaction[[#This Row],[NetRevenue_Clean]])</f>
        <v>1261.78</v>
      </c>
      <c r="AH886" t="str">
        <f>IF(Transaction[[#This Row],[Quantity]]*Transaction[[#This Row],[UnitPrice_Clean]]=Transaction[[#This Row],[NetRevenue_Clean]],"Valid","Invalid")</f>
        <v>Valid</v>
      </c>
      <c r="AI886" t="s">
        <v>23</v>
      </c>
      <c r="AJ886" t="s">
        <v>2501</v>
      </c>
      <c r="AK886" t="str">
        <f>IF(Transaction[[#This Row],[Salesperson]]="","Missing Value",TRIM(PROPER(Transaction[[#This Row],[Salesperson]])))</f>
        <v>Brennan-Ap</v>
      </c>
      <c r="AL886" t="s">
        <v>42</v>
      </c>
      <c r="AM886" t="str">
        <f>IF(Transaction[[#This Row],[ContractType]]="","Missing Value",Transaction[[#This Row],[ContractType]])</f>
        <v>Standard PO</v>
      </c>
      <c r="AN886" t="s">
        <v>43</v>
      </c>
    </row>
    <row r="887" spans="1:40" x14ac:dyDescent="0.25">
      <c r="A887" t="s">
        <v>631</v>
      </c>
      <c r="B887" s="1">
        <v>45773</v>
      </c>
      <c r="C88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88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88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87" s="2">
        <f>IFERROR(DATE(Transaction[[#This Row],[TransactionDateY]],Transaction[[#This Row],[TransactionDateM]],Transaction[[#This Row],[TransactionDateD]]),"Missing Value")</f>
        <v>45773</v>
      </c>
      <c r="G887" t="s">
        <v>632</v>
      </c>
      <c r="H887" t="str">
        <f>IFERROR(VLOOKUP(Transaction[[#This Row],[CustomerID]],Custumer[],1,0),IF(LEN(Transaction[[#This Row],[CustomerID]])=7,LEFT(Transaction[[#This Row],[CustomerID]],6),"Invalid ID"))</f>
        <v>C-1179</v>
      </c>
      <c r="I887" t="s">
        <v>196</v>
      </c>
      <c r="J887" t="str">
        <f>TRIM(UPPER(Transaction[[#This Row],[ProductID]]))</f>
        <v>P-SI-002</v>
      </c>
      <c r="K887" t="str">
        <f>IFERROR(VLOOKUP(Transaction[[#This Row],[ProductID_Clean]],Product[],1,FALSE),"Invalid ID")</f>
        <v>P-SI-002</v>
      </c>
      <c r="L887" t="str">
        <f>TRIM(SUBSTITUTE(SUBSTITUTE(SUBSTITUTE(SUBSTITUTE(UPPER(Transaction[[#This Row],[Region]]),"EMEA REGION","EMEA"),"APAC REGION","APAC"),"NORTH AMERICA","N. AMERICA"),"N .AMERICA","N.AMERICA"))</f>
        <v>APAC</v>
      </c>
      <c r="M887" t="s">
        <v>63</v>
      </c>
      <c r="N887" t="s">
        <v>53</v>
      </c>
      <c r="O88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87" t="s">
        <v>633</v>
      </c>
      <c r="Q887" t="str">
        <f>IF(TRIM(Transaction[[#This Row],[SalesChannel]])="","Missing Value",TRIM(Transaction[[#This Row],[SalesChannel]]))</f>
        <v>distributor</v>
      </c>
      <c r="R887" s="4">
        <v>3</v>
      </c>
      <c r="S887" s="4" t="str">
        <f>IF(Transaction[[#This Row],[Quantity]]&lt;0,"Negative-review","Valid")</f>
        <v>Valid</v>
      </c>
      <c r="T887">
        <v>36.25</v>
      </c>
      <c r="U88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36.25</v>
      </c>
      <c r="V887">
        <v>725</v>
      </c>
      <c r="W887">
        <v>2175</v>
      </c>
      <c r="X88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2175</v>
      </c>
      <c r="Y887">
        <f>IF(Transaction[[#This Row],[GrossRevenue_Check]]="Invalid",Transaction[[#This Row],[ListPrice]]*Transaction[[#This Row],[Quantity]],Transaction[[#This Row],[GrossRevenue_Clean]])</f>
        <v>2175</v>
      </c>
      <c r="Z887" t="str">
        <f>IF(Transaction[[#This Row],[GrossRevenue_Clean]]=Transaction[[#This Row],[ListPrice]]*Transaction[[#This Row],[Quantity]],"Valid","Invalid")</f>
        <v>Valid</v>
      </c>
      <c r="AA887">
        <v>410.31</v>
      </c>
      <c r="AB88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410.31</v>
      </c>
      <c r="AC887">
        <f>IF(Transaction[[#This Row],[DiscountAmount_Check2]]="Invalid",Transaction[[#This Row],[GrossRevenue_Analytical]]-Transaction[[#This Row],[NetRevenue_Analytical]],Transaction[[#This Row],[DiscountAmount_Clean]])</f>
        <v>2066.25</v>
      </c>
      <c r="AD887">
        <v>1764.69</v>
      </c>
      <c r="AE887" t="str">
        <f>IF(ROUND(Transaction[[#This Row],[GrossRevenue_Analytical]]-Transaction[[#This Row],[NetRevenue_Analytical]],2)=ROUND(Transaction[[#This Row],[DiscountAmount_Clean]],2),"Valid","Invalid")</f>
        <v>Invalid</v>
      </c>
      <c r="AF88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1764.69</v>
      </c>
      <c r="AG887">
        <f>IF(Transaction[[#This Row],[NetRevenue_Check]]="Invalid",(Transaction[[#This Row],[Quantity]]*Transaction[[#This Row],[UnitPrice_Clean]]),Transaction[[#This Row],[NetRevenue_Clean]])</f>
        <v>108.75</v>
      </c>
      <c r="AH887" t="str">
        <f>IF(Transaction[[#This Row],[Quantity]]*Transaction[[#This Row],[UnitPrice_Clean]]=Transaction[[#This Row],[NetRevenue_Clean]],"Valid","Invalid")</f>
        <v>Invalid</v>
      </c>
      <c r="AI887" t="s">
        <v>23</v>
      </c>
      <c r="AJ887" t="s">
        <v>634</v>
      </c>
      <c r="AK887" t="str">
        <f>IF(Transaction[[#This Row],[Salesperson]]="","Missing Value",TRIM(PROPER(Transaction[[#This Row],[Salesperson]])))</f>
        <v>Pearson-Em</v>
      </c>
      <c r="AL887" t="s">
        <v>55</v>
      </c>
      <c r="AM887" t="str">
        <f>IF(Transaction[[#This Row],[ContractType]]="","Missing Value",Transaction[[#This Row],[ContractType]])</f>
        <v>Spot</v>
      </c>
      <c r="AN887" t="s">
        <v>26</v>
      </c>
    </row>
    <row r="888" spans="1:40" x14ac:dyDescent="0.25">
      <c r="A888" t="s">
        <v>2342</v>
      </c>
      <c r="B888" t="s">
        <v>2343</v>
      </c>
      <c r="C88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88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88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88" s="2">
        <f>IFERROR(DATE(Transaction[[#This Row],[TransactionDateY]],Transaction[[#This Row],[TransactionDateM]],Transaction[[#This Row],[TransactionDateD]]),"Missing Value")</f>
        <v>45667</v>
      </c>
      <c r="G888" t="s">
        <v>300</v>
      </c>
      <c r="H888" t="str">
        <f>IFERROR(VLOOKUP(Transaction[[#This Row],[CustomerID]],Custumer[],1,0),IF(LEN(Transaction[[#This Row],[CustomerID]])=7,LEFT(Transaction[[#This Row],[CustomerID]],6),"Invalid ID"))</f>
        <v>C-1089</v>
      </c>
      <c r="I888" t="s">
        <v>258</v>
      </c>
      <c r="J888" t="str">
        <f>TRIM(UPPER(Transaction[[#This Row],[ProductID]]))</f>
        <v>P-SA-003</v>
      </c>
      <c r="K888" t="str">
        <f>IFERROR(VLOOKUP(Transaction[[#This Row],[ProductID_Clean]],Product[],1,FALSE),"Invalid ID")</f>
        <v>P-SA-003</v>
      </c>
      <c r="L888" t="str">
        <f>TRIM(SUBSTITUTE(SUBSTITUTE(SUBSTITUTE(SUBSTITUTE(UPPER(Transaction[[#This Row],[Region]]),"EMEA REGION","EMEA"),"APAC REGION","APAC"),"NORTH AMERICA","N. AMERICA"),"N .AMERICA","N.AMERICA"))</f>
        <v>LATIN AMERICA</v>
      </c>
      <c r="M888" t="s">
        <v>82</v>
      </c>
      <c r="N888" t="s">
        <v>572</v>
      </c>
      <c r="O88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888" t="s">
        <v>181</v>
      </c>
      <c r="Q888" t="str">
        <f>IF(TRIM(Transaction[[#This Row],[SalesChannel]])="","Missing Value",TRIM(Transaction[[#This Row],[SalesChannel]]))</f>
        <v>Partner Portal</v>
      </c>
      <c r="R888" s="4">
        <v>1</v>
      </c>
      <c r="S888" s="4" t="str">
        <f>IF(Transaction[[#This Row],[Quantity]]&lt;0,"Negative-review","Valid")</f>
        <v>Valid</v>
      </c>
      <c r="T888">
        <v>2483.1799999999998</v>
      </c>
      <c r="U88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2483.1799999999998</v>
      </c>
      <c r="V888">
        <v>2750</v>
      </c>
      <c r="W888">
        <v>2750</v>
      </c>
      <c r="X88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888">
        <f>IF(Transaction[[#This Row],[GrossRevenue_Check]]="Invalid",Transaction[[#This Row],[ListPrice]]*Transaction[[#This Row],[Quantity]],Transaction[[#This Row],[GrossRevenue_Clean]])</f>
        <v>2750</v>
      </c>
      <c r="Z888" t="str">
        <f>IF(Transaction[[#This Row],[GrossRevenue_Clean]]=Transaction[[#This Row],[ListPrice]]*Transaction[[#This Row],[Quantity]],"Valid","Invalid")</f>
        <v>Valid</v>
      </c>
      <c r="AA888">
        <v>266.82</v>
      </c>
      <c r="AB88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266.82</v>
      </c>
      <c r="AC888">
        <f>IF(Transaction[[#This Row],[DiscountAmount_Check2]]="Invalid",Transaction[[#This Row],[GrossRevenue_Analytical]]-Transaction[[#This Row],[NetRevenue_Analytical]],Transaction[[#This Row],[DiscountAmount_Clean]])</f>
        <v>266.82</v>
      </c>
      <c r="AD888">
        <v>2483.1799999999998</v>
      </c>
      <c r="AE888" t="str">
        <f>IF(ROUND(Transaction[[#This Row],[GrossRevenue_Analytical]]-Transaction[[#This Row],[NetRevenue_Analytical]],2)=ROUND(Transaction[[#This Row],[DiscountAmount_Clean]],2),"Valid","Invalid")</f>
        <v>Valid</v>
      </c>
      <c r="AF88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2483.1799999999998</v>
      </c>
      <c r="AG888">
        <f>IF(Transaction[[#This Row],[NetRevenue_Check]]="Invalid",(Transaction[[#This Row],[Quantity]]*Transaction[[#This Row],[UnitPrice_Clean]]),Transaction[[#This Row],[NetRevenue_Clean]])</f>
        <v>2483.1799999999998</v>
      </c>
      <c r="AH888" t="str">
        <f>IF(Transaction[[#This Row],[Quantity]]*Transaction[[#This Row],[UnitPrice_Clean]]=Transaction[[#This Row],[NetRevenue_Clean]],"Valid","Invalid")</f>
        <v>Valid</v>
      </c>
      <c r="AI888" t="s">
        <v>23</v>
      </c>
      <c r="AJ888" t="s">
        <v>1165</v>
      </c>
      <c r="AK888" t="str">
        <f>IF(Transaction[[#This Row],[Salesperson]]="","Missing Value",TRIM(PROPER(Transaction[[#This Row],[Salesperson]])))</f>
        <v>Williams</v>
      </c>
      <c r="AL888" t="s">
        <v>34</v>
      </c>
      <c r="AM888" t="str">
        <f>IF(Transaction[[#This Row],[ContractType]]="","Missing Value",Transaction[[#This Row],[ContractType]])</f>
        <v>Annual License</v>
      </c>
      <c r="AN888" t="s">
        <v>49</v>
      </c>
    </row>
    <row r="889" spans="1:40" x14ac:dyDescent="0.25">
      <c r="A889" t="s">
        <v>2467</v>
      </c>
      <c r="B889" t="s">
        <v>2468</v>
      </c>
      <c r="C88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88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88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89" s="2">
        <f>IFERROR(DATE(Transaction[[#This Row],[TransactionDateY]],Transaction[[#This Row],[TransactionDateM]],Transaction[[#This Row],[TransactionDateD]]),"Missing Value")</f>
        <v>45774</v>
      </c>
      <c r="G889" t="s">
        <v>1023</v>
      </c>
      <c r="H889" t="str">
        <f>IFERROR(VLOOKUP(Transaction[[#This Row],[CustomerID]],Custumer[],1,0),IF(LEN(Transaction[[#This Row],[CustomerID]])=7,LEFT(Transaction[[#This Row],[CustomerID]],6),"Invalid ID"))</f>
        <v>C-1122</v>
      </c>
      <c r="I889" t="s">
        <v>1819</v>
      </c>
      <c r="J889" t="str">
        <f>TRIM(UPPER(Transaction[[#This Row],[ProductID]]))</f>
        <v>P-SI-005</v>
      </c>
      <c r="K889" t="str">
        <f>IFERROR(VLOOKUP(Transaction[[#This Row],[ProductID_Clean]],Product[],1,FALSE),"Invalid ID")</f>
        <v>P-SI-005</v>
      </c>
      <c r="L889" t="str">
        <f>TRIM(SUBSTITUTE(SUBSTITUTE(SUBSTITUTE(SUBSTITUTE(UPPER(Transaction[[#This Row],[Region]]),"EMEA REGION","EMEA"),"APAC REGION","APAC"),"NORTH AMERICA","N. AMERICA"),"N .AMERICA","N.AMERICA"))</f>
        <v>N. AMERICA</v>
      </c>
      <c r="M889" t="s">
        <v>168</v>
      </c>
      <c r="N889" t="s">
        <v>53</v>
      </c>
      <c r="O88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89" t="s">
        <v>181</v>
      </c>
      <c r="Q889" t="str">
        <f>IF(TRIM(Transaction[[#This Row],[SalesChannel]])="","Missing Value",TRIM(Transaction[[#This Row],[SalesChannel]]))</f>
        <v>Partner Portal</v>
      </c>
      <c r="R889" s="4">
        <v>8</v>
      </c>
      <c r="S889" s="4" t="str">
        <f>IF(Transaction[[#This Row],[Quantity]]&lt;0,"Negative-review","Valid")</f>
        <v>Valid</v>
      </c>
      <c r="T889">
        <v>897.27</v>
      </c>
      <c r="U88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897.27</v>
      </c>
      <c r="V889">
        <v>1120</v>
      </c>
      <c r="W889">
        <v>8960</v>
      </c>
      <c r="X88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8960</v>
      </c>
      <c r="Y889">
        <f>IF(Transaction[[#This Row],[GrossRevenue_Check]]="Invalid",Transaction[[#This Row],[ListPrice]]*Transaction[[#This Row],[Quantity]],Transaction[[#This Row],[GrossRevenue_Clean]])</f>
        <v>8960</v>
      </c>
      <c r="Z889" t="str">
        <f>IF(Transaction[[#This Row],[GrossRevenue_Clean]]=Transaction[[#This Row],[ListPrice]]*Transaction[[#This Row],[Quantity]],"Valid","Invalid")</f>
        <v>Valid</v>
      </c>
      <c r="AB88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889">
        <f>IF(Transaction[[#This Row],[DiscountAmount_Check2]]="Invalid",Transaction[[#This Row],[GrossRevenue_Analytical]]-Transaction[[#This Row],[NetRevenue_Analytical]],Transaction[[#This Row],[DiscountAmount_Clean]])</f>
        <v>1781.8400000000001</v>
      </c>
      <c r="AD889">
        <v>7178.16</v>
      </c>
      <c r="AE889" t="str">
        <f>IF(ROUND(Transaction[[#This Row],[GrossRevenue_Analytical]]-Transaction[[#This Row],[NetRevenue_Analytical]],2)=ROUND(Transaction[[#This Row],[DiscountAmount_Clean]],2),"Valid","Invalid")</f>
        <v>Invalid</v>
      </c>
      <c r="AF889">
        <f>VALUE(IF(ISNUMBER(Transaction[[#This Row],[NetRevenue]]),Transaction[[#This Row],[NetRevenue]],IFERROR(IF(FIND("$",Transaction[[#This Row],[NetRevenue]])&gt;0,MID(Transaction[[#This Row],[NetRevenue]],2,10)),Transaction[[#This Row],[NetRevenue]])))</f>
        <v>7178.16</v>
      </c>
      <c r="AG889">
        <f>IF(Transaction[[#This Row],[NetRevenue_Check]]="Invalid",(Transaction[[#This Row],[Quantity]]*Transaction[[#This Row],[UnitPrice_Clean]]),Transaction[[#This Row],[NetRevenue_Clean]])</f>
        <v>7178.16</v>
      </c>
      <c r="AH889" t="str">
        <f>IF(Transaction[[#This Row],[Quantity]]*Transaction[[#This Row],[UnitPrice_Clean]]=Transaction[[#This Row],[NetRevenue_Clean]],"Valid","Invalid")</f>
        <v>Valid</v>
      </c>
      <c r="AI889" t="s">
        <v>128</v>
      </c>
      <c r="AJ889" t="s">
        <v>2469</v>
      </c>
      <c r="AK889" t="str">
        <f>IF(Transaction[[#This Row],[Salesperson]]="","Missing Value",TRIM(PROPER(Transaction[[#This Row],[Salesperson]])))</f>
        <v>Duncan-Ap</v>
      </c>
      <c r="AM889" t="str">
        <f>IF(Transaction[[#This Row],[ContractType]]="","Missing Value",Transaction[[#This Row],[ContractType]])</f>
        <v>Missing Value</v>
      </c>
      <c r="AN889" t="s">
        <v>43</v>
      </c>
    </row>
    <row r="890" spans="1:40" x14ac:dyDescent="0.25">
      <c r="A890" t="s">
        <v>1681</v>
      </c>
      <c r="B890" s="1">
        <v>45667</v>
      </c>
      <c r="C89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89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89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90" s="2">
        <f>IFERROR(DATE(Transaction[[#This Row],[TransactionDateY]],Transaction[[#This Row],[TransactionDateM]],Transaction[[#This Row],[TransactionDateD]]),"Missing Value")</f>
        <v>45667</v>
      </c>
      <c r="G890" t="s">
        <v>460</v>
      </c>
      <c r="H890" t="str">
        <f>IFERROR(VLOOKUP(Transaction[[#This Row],[CustomerID]],Custumer[],1,0),IF(LEN(Transaction[[#This Row],[CustomerID]])=7,LEFT(Transaction[[#This Row],[CustomerID]],6),"Invalid ID"))</f>
        <v>C-1153</v>
      </c>
      <c r="I890" t="s">
        <v>46</v>
      </c>
      <c r="J890" t="str">
        <f>TRIM(UPPER(Transaction[[#This Row],[ProductID]]))</f>
        <v>P-SI-006</v>
      </c>
      <c r="K890" t="str">
        <f>IFERROR(VLOOKUP(Transaction[[#This Row],[ProductID_Clean]],Product[],1,FALSE),"Invalid ID")</f>
        <v>P-SI-006</v>
      </c>
      <c r="L890" t="str">
        <f>TRIM(SUBSTITUTE(SUBSTITUTE(SUBSTITUTE(SUBSTITUTE(UPPER(Transaction[[#This Row],[Region]]),"EMEA REGION","EMEA"),"APAC REGION","APAC"),"NORTH AMERICA","N. AMERICA"),"N .AMERICA","N.AMERICA"))</f>
        <v>N. AMERICA</v>
      </c>
      <c r="M890" t="s">
        <v>204</v>
      </c>
      <c r="N890" t="s">
        <v>47</v>
      </c>
      <c r="O89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90" t="s">
        <v>22</v>
      </c>
      <c r="Q890" t="str">
        <f>IF(TRIM(Transaction[[#This Row],[SalesChannel]])="","Missing Value",TRIM(Transaction[[#This Row],[SalesChannel]]))</f>
        <v>Direct</v>
      </c>
      <c r="R890" s="4">
        <v>5</v>
      </c>
      <c r="S890" s="4" t="str">
        <f>IF(Transaction[[#This Row],[Quantity]]&lt;0,"Negative-review","Valid")</f>
        <v>Valid</v>
      </c>
      <c r="T890">
        <v>193.11</v>
      </c>
      <c r="U89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193.11</v>
      </c>
      <c r="V890">
        <v>215</v>
      </c>
      <c r="W890">
        <v>1075</v>
      </c>
      <c r="X89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1075</v>
      </c>
      <c r="Y890">
        <f>IF(Transaction[[#This Row],[GrossRevenue_Check]]="Invalid",Transaction[[#This Row],[ListPrice]]*Transaction[[#This Row],[Quantity]],Transaction[[#This Row],[GrossRevenue_Clean]])</f>
        <v>1075</v>
      </c>
      <c r="Z890" t="str">
        <f>IF(Transaction[[#This Row],[GrossRevenue_Clean]]=Transaction[[#This Row],[ListPrice]]*Transaction[[#This Row],[Quantity]],"Valid","Invalid")</f>
        <v>Valid</v>
      </c>
      <c r="AA890">
        <v>109.45</v>
      </c>
      <c r="AB89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109.45</v>
      </c>
      <c r="AC890">
        <f>IF(Transaction[[#This Row],[DiscountAmount_Check2]]="Invalid",Transaction[[#This Row],[GrossRevenue_Analytical]]-Transaction[[#This Row],[NetRevenue_Analytical]],Transaction[[#This Row],[DiscountAmount_Clean]])</f>
        <v>109.45</v>
      </c>
      <c r="AD890">
        <v>965.55</v>
      </c>
      <c r="AE890" t="str">
        <f>IF(ROUND(Transaction[[#This Row],[GrossRevenue_Analytical]]-Transaction[[#This Row],[NetRevenue_Analytical]],2)=ROUND(Transaction[[#This Row],[DiscountAmount_Clean]],2),"Valid","Invalid")</f>
        <v>Valid</v>
      </c>
      <c r="AF890">
        <f>VALUE(IF(ISNUMBER(Transaction[[#This Row],[NetRevenue]]),Transaction[[#This Row],[NetRevenue]],IFERROR(IF(FIND("$",Transaction[[#This Row],[NetRevenue]])&gt;0,MID(Transaction[[#This Row],[NetRevenue]],2,10)),Transaction[[#This Row],[NetRevenue]])))</f>
        <v>965.55</v>
      </c>
      <c r="AG890">
        <f>IF(Transaction[[#This Row],[NetRevenue_Check]]="Invalid",(Transaction[[#This Row],[Quantity]]*Transaction[[#This Row],[UnitPrice_Clean]]),Transaction[[#This Row],[NetRevenue_Clean]])</f>
        <v>965.55</v>
      </c>
      <c r="AH890" t="str">
        <f>IF(Transaction[[#This Row],[Quantity]]*Transaction[[#This Row],[UnitPrice_Clean]]=Transaction[[#This Row],[NetRevenue_Clean]],"Valid","Invalid")</f>
        <v>Valid</v>
      </c>
      <c r="AI890" t="s">
        <v>23</v>
      </c>
      <c r="AJ890" t="s">
        <v>1682</v>
      </c>
      <c r="AK890" t="str">
        <f>IF(Transaction[[#This Row],[Salesperson]]="","Missing Value",TRIM(PROPER(Transaction[[#This Row],[Salesperson]])))</f>
        <v>Fernandez-Na</v>
      </c>
      <c r="AL890" t="s">
        <v>25</v>
      </c>
      <c r="AM890" t="str">
        <f>IF(Transaction[[#This Row],[ContractType]]="","Missing Value",Transaction[[#This Row],[ContractType]])</f>
        <v>Frame Agreement</v>
      </c>
      <c r="AN890" t="s">
        <v>49</v>
      </c>
    </row>
    <row r="891" spans="1:40" x14ac:dyDescent="0.25">
      <c r="A891" t="s">
        <v>906</v>
      </c>
      <c r="B891" t="s">
        <v>907</v>
      </c>
      <c r="C89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89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89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91" s="2">
        <f>IFERROR(DATE(Transaction[[#This Row],[TransactionDateY]],Transaction[[#This Row],[TransactionDateM]],Transaction[[#This Row],[TransactionDateD]]),"Missing Value")</f>
        <v>45784</v>
      </c>
      <c r="G891" t="s">
        <v>267</v>
      </c>
      <c r="H891" t="str">
        <f>IFERROR(VLOOKUP(Transaction[[#This Row],[CustomerID]],Custumer[],1,0),IF(LEN(Transaction[[#This Row],[CustomerID]])=7,LEFT(Transaction[[#This Row],[CustomerID]],6),"Invalid ID"))</f>
        <v>C-1119</v>
      </c>
      <c r="I891" t="s">
        <v>908</v>
      </c>
      <c r="J891" t="str">
        <f>TRIM(UPPER(Transaction[[#This Row],[ProductID]]))</f>
        <v>P-SA-002</v>
      </c>
      <c r="K891" t="str">
        <f>IFERROR(VLOOKUP(Transaction[[#This Row],[ProductID_Clean]],Product[],1,FALSE),"Invalid ID")</f>
        <v>P-SA-002</v>
      </c>
      <c r="L891" t="str">
        <f>TRIM(SUBSTITUTE(SUBSTITUTE(SUBSTITUTE(SUBSTITUTE(UPPER(Transaction[[#This Row],[Region]]),"EMEA REGION","EMEA"),"APAC REGION","APAC"),"NORTH AMERICA","N. AMERICA"),"N .AMERICA","N.AMERICA"))</f>
        <v>EMEA</v>
      </c>
      <c r="M891" t="s">
        <v>683</v>
      </c>
      <c r="N891" t="s">
        <v>31</v>
      </c>
      <c r="O89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891" t="s">
        <v>40</v>
      </c>
      <c r="Q891" t="str">
        <f>IF(TRIM(Transaction[[#This Row],[SalesChannel]])="","Missing Value",TRIM(Transaction[[#This Row],[SalesChannel]]))</f>
        <v>Distributor</v>
      </c>
      <c r="R891" s="4">
        <v>1</v>
      </c>
      <c r="S891" s="4" t="str">
        <f>IF(Transaction[[#This Row],[Quantity]]&lt;0,"Negative-review","Valid")</f>
        <v>Valid</v>
      </c>
      <c r="T891">
        <v>8098.03</v>
      </c>
      <c r="U89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8098.03</v>
      </c>
      <c r="V891">
        <v>9800</v>
      </c>
      <c r="W891">
        <v>9800</v>
      </c>
      <c r="X89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891">
        <f>IF(Transaction[[#This Row],[GrossRevenue_Check]]="Invalid",Transaction[[#This Row],[ListPrice]]*Transaction[[#This Row],[Quantity]],Transaction[[#This Row],[GrossRevenue_Clean]])</f>
        <v>9800</v>
      </c>
      <c r="Z891" t="str">
        <f>IF(Transaction[[#This Row],[GrossRevenue_Clean]]=Transaction[[#This Row],[ListPrice]]*Transaction[[#This Row],[Quantity]],"Valid","Invalid")</f>
        <v>Valid</v>
      </c>
      <c r="AA891">
        <v>1701.97</v>
      </c>
      <c r="AB89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1701.97</v>
      </c>
      <c r="AC891">
        <f>IF(Transaction[[#This Row],[DiscountAmount_Check2]]="Invalid",Transaction[[#This Row],[GrossRevenue_Analytical]]-Transaction[[#This Row],[NetRevenue_Analytical]],Transaction[[#This Row],[DiscountAmount_Clean]])</f>
        <v>1701.97</v>
      </c>
      <c r="AD891">
        <v>8098.03</v>
      </c>
      <c r="AE891" t="str">
        <f>IF(ROUND(Transaction[[#This Row],[GrossRevenue_Analytical]]-Transaction[[#This Row],[NetRevenue_Analytical]],2)=ROUND(Transaction[[#This Row],[DiscountAmount_Clean]],2),"Valid","Invalid")</f>
        <v>Valid</v>
      </c>
      <c r="AF891">
        <f>VALUE(IF(ISNUMBER(Transaction[[#This Row],[NetRevenue]]),Transaction[[#This Row],[NetRevenue]],IFERROR(IF(FIND("$",Transaction[[#This Row],[NetRevenue]])&gt;0,MID(Transaction[[#This Row],[NetRevenue]],2,10)),Transaction[[#This Row],[NetRevenue]])))</f>
        <v>8098.03</v>
      </c>
      <c r="AG891">
        <f>IF(Transaction[[#This Row],[NetRevenue_Check]]="Invalid",(Transaction[[#This Row],[Quantity]]*Transaction[[#This Row],[UnitPrice_Clean]]),Transaction[[#This Row],[NetRevenue_Clean]])</f>
        <v>8098.03</v>
      </c>
      <c r="AH891" t="str">
        <f>IF(Transaction[[#This Row],[Quantity]]*Transaction[[#This Row],[UnitPrice_Clean]]=Transaction[[#This Row],[NetRevenue_Clean]],"Valid","Invalid")</f>
        <v>Valid</v>
      </c>
      <c r="AI891" t="s">
        <v>23</v>
      </c>
      <c r="AJ891" t="s">
        <v>909</v>
      </c>
      <c r="AK891" t="str">
        <f>IF(Transaction[[#This Row],[Salesperson]]="","Missing Value",TRIM(PROPER(Transaction[[#This Row],[Salesperson]])))</f>
        <v>Webster</v>
      </c>
      <c r="AL891" t="s">
        <v>113</v>
      </c>
      <c r="AM891" t="str">
        <f>IF(Transaction[[#This Row],[ContractType]]="","Missing Value",Transaction[[#This Row],[ContractType]])</f>
        <v>Subscription</v>
      </c>
      <c r="AN891" t="s">
        <v>49</v>
      </c>
    </row>
    <row r="892" spans="1:40" x14ac:dyDescent="0.25">
      <c r="A892" t="s">
        <v>1013</v>
      </c>
      <c r="B892" t="s">
        <v>1014</v>
      </c>
      <c r="C89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89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89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92" s="2">
        <f>IFERROR(DATE(Transaction[[#This Row],[TransactionDateY]],Transaction[[#This Row],[TransactionDateM]],Transaction[[#This Row],[TransactionDateD]]),"Missing Value")</f>
        <v>45732</v>
      </c>
      <c r="G892" t="s">
        <v>1015</v>
      </c>
      <c r="H892" t="str">
        <f>IFERROR(VLOOKUP(Transaction[[#This Row],[CustomerID]],Custumer[],1,0),IF(LEN(Transaction[[#This Row],[CustomerID]])=7,LEFT(Transaction[[#This Row],[CustomerID]],6),"Invalid ID"))</f>
        <v>C-1012</v>
      </c>
      <c r="I892" t="s">
        <v>268</v>
      </c>
      <c r="J892" t="str">
        <f>TRIM(UPPER(Transaction[[#This Row],[ProductID]]))</f>
        <v>P-FS-002</v>
      </c>
      <c r="K892" t="str">
        <f>IFERROR(VLOOKUP(Transaction[[#This Row],[ProductID_Clean]],Product[],1,FALSE),"Invalid ID")</f>
        <v>P-FS-002</v>
      </c>
      <c r="L892" t="str">
        <f>TRIM(SUBSTITUTE(SUBSTITUTE(SUBSTITUTE(SUBSTITUTE(UPPER(Transaction[[#This Row],[Region]]),"EMEA REGION","EMEA"),"APAC REGION","APAC"),"NORTH AMERICA","N. AMERICA"),"N .AMERICA","N.AMERICA"))</f>
        <v>N. AMERICA</v>
      </c>
      <c r="M892" t="s">
        <v>20</v>
      </c>
      <c r="N892" t="s">
        <v>21</v>
      </c>
      <c r="O892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892" t="s">
        <v>22</v>
      </c>
      <c r="Q892" t="str">
        <f>IF(TRIM(Transaction[[#This Row],[SalesChannel]])="","Missing Value",TRIM(Transaction[[#This Row],[SalesChannel]]))</f>
        <v>Direct</v>
      </c>
      <c r="R892" s="4">
        <v>1</v>
      </c>
      <c r="S892" s="4" t="str">
        <f>IF(Transaction[[#This Row],[Quantity]]&lt;0,"Negative-review","Valid")</f>
        <v>Valid</v>
      </c>
      <c r="T892">
        <v>2114.71</v>
      </c>
      <c r="U89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2114.71</v>
      </c>
      <c r="V892">
        <v>2400</v>
      </c>
      <c r="W892">
        <v>2400</v>
      </c>
      <c r="X89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892">
        <f>IF(Transaction[[#This Row],[GrossRevenue_Check]]="Invalid",Transaction[[#This Row],[ListPrice]]*Transaction[[#This Row],[Quantity]],Transaction[[#This Row],[GrossRevenue_Clean]])</f>
        <v>2400</v>
      </c>
      <c r="Z892" t="str">
        <f>IF(Transaction[[#This Row],[GrossRevenue_Clean]]=Transaction[[#This Row],[ListPrice]]*Transaction[[#This Row],[Quantity]],"Valid","Invalid")</f>
        <v>Valid</v>
      </c>
      <c r="AA892">
        <v>285.29000000000002</v>
      </c>
      <c r="AB89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285.29000000000002</v>
      </c>
      <c r="AC892">
        <f>IF(Transaction[[#This Row],[DiscountAmount_Check2]]="Invalid",Transaction[[#This Row],[GrossRevenue_Analytical]]-Transaction[[#This Row],[NetRevenue_Analytical]],Transaction[[#This Row],[DiscountAmount_Clean]])</f>
        <v>285.29000000000002</v>
      </c>
      <c r="AD892">
        <v>2114.71</v>
      </c>
      <c r="AE892" t="str">
        <f>IF(ROUND(Transaction[[#This Row],[GrossRevenue_Analytical]]-Transaction[[#This Row],[NetRevenue_Analytical]],2)=ROUND(Transaction[[#This Row],[DiscountAmount_Clean]],2),"Valid","Invalid")</f>
        <v>Valid</v>
      </c>
      <c r="AF89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2114.71</v>
      </c>
      <c r="AG892">
        <f>IF(Transaction[[#This Row],[NetRevenue_Check]]="Invalid",(Transaction[[#This Row],[Quantity]]*Transaction[[#This Row],[UnitPrice_Clean]]),Transaction[[#This Row],[NetRevenue_Clean]])</f>
        <v>2114.71</v>
      </c>
      <c r="AH892" t="str">
        <f>IF(Transaction[[#This Row],[Quantity]]*Transaction[[#This Row],[UnitPrice_Clean]]=Transaction[[#This Row],[NetRevenue_Clean]],"Valid","Invalid")</f>
        <v>Valid</v>
      </c>
      <c r="AI892" t="s">
        <v>23</v>
      </c>
      <c r="AJ892" t="s">
        <v>926</v>
      </c>
      <c r="AK892" t="str">
        <f>IF(Transaction[[#This Row],[Salesperson]]="","Missing Value",TRIM(PROPER(Transaction[[#This Row],[Salesperson]])))</f>
        <v>Parsons</v>
      </c>
      <c r="AL892" t="s">
        <v>224</v>
      </c>
      <c r="AM892" t="str">
        <f>IF(Transaction[[#This Row],[ContractType]]="","Missing Value",Transaction[[#This Row],[ContractType]])</f>
        <v>Annual</v>
      </c>
      <c r="AN892" t="s">
        <v>65</v>
      </c>
    </row>
    <row r="893" spans="1:40" x14ac:dyDescent="0.25">
      <c r="A893" t="s">
        <v>1263</v>
      </c>
      <c r="B893" t="s">
        <v>1264</v>
      </c>
      <c r="C89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89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89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93" s="2">
        <f>IFERROR(DATE(Transaction[[#This Row],[TransactionDateY]],Transaction[[#This Row],[TransactionDateM]],Transaction[[#This Row],[TransactionDateD]]),"Missing Value")</f>
        <v>45803</v>
      </c>
      <c r="G893" t="s">
        <v>429</v>
      </c>
      <c r="H893" t="str">
        <f>IFERROR(VLOOKUP(Transaction[[#This Row],[CustomerID]],Custumer[],1,0),IF(LEN(Transaction[[#This Row],[CustomerID]])=7,LEFT(Transaction[[#This Row],[CustomerID]],6),"Invalid ID"))</f>
        <v>C-1009</v>
      </c>
      <c r="I893" t="s">
        <v>92</v>
      </c>
      <c r="J893" t="str">
        <f>TRIM(UPPER(Transaction[[#This Row],[ProductID]]))</f>
        <v>P-SI-008</v>
      </c>
      <c r="K893" t="str">
        <f>IFERROR(VLOOKUP(Transaction[[#This Row],[ProductID_Clean]],Product[],1,FALSE),"Invalid ID")</f>
        <v>P-SI-008</v>
      </c>
      <c r="L893" t="str">
        <f>TRIM(SUBSTITUTE(SUBSTITUTE(SUBSTITUTE(SUBSTITUTE(UPPER(Transaction[[#This Row],[Region]]),"EMEA REGION","EMEA"),"APAC REGION","APAC"),"NORTH AMERICA","N. AMERICA"),"N .AMERICA","N.AMERICA"))</f>
        <v>EMEA</v>
      </c>
      <c r="M893" t="s">
        <v>76</v>
      </c>
      <c r="N893" t="s">
        <v>53</v>
      </c>
      <c r="O89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93" t="s">
        <v>181</v>
      </c>
      <c r="Q893" t="str">
        <f>IF(TRIM(Transaction[[#This Row],[SalesChannel]])="","Missing Value",TRIM(Transaction[[#This Row],[SalesChannel]]))</f>
        <v>Partner Portal</v>
      </c>
      <c r="R893" s="4">
        <v>8</v>
      </c>
      <c r="S893" s="4" t="str">
        <f>IF(Transaction[[#This Row],[Quantity]]&lt;0,"Negative-review","Valid")</f>
        <v>Valid</v>
      </c>
      <c r="T893">
        <v>829.56</v>
      </c>
      <c r="U89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829.56</v>
      </c>
      <c r="V893">
        <v>950</v>
      </c>
      <c r="W893">
        <v>7600</v>
      </c>
      <c r="X89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7600</v>
      </c>
      <c r="Y893">
        <f>IF(Transaction[[#This Row],[GrossRevenue_Check]]="Invalid",Transaction[[#This Row],[ListPrice]]*Transaction[[#This Row],[Quantity]],Transaction[[#This Row],[GrossRevenue_Clean]])</f>
        <v>7600</v>
      </c>
      <c r="Z893" t="str">
        <f>IF(Transaction[[#This Row],[GrossRevenue_Clean]]=Transaction[[#This Row],[ListPrice]]*Transaction[[#This Row],[Quantity]],"Valid","Invalid")</f>
        <v>Valid</v>
      </c>
      <c r="AA893">
        <v>963.52</v>
      </c>
      <c r="AB89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963.52</v>
      </c>
      <c r="AC893">
        <f>IF(Transaction[[#This Row],[DiscountAmount_Check2]]="Invalid",Transaction[[#This Row],[GrossRevenue_Analytical]]-Transaction[[#This Row],[NetRevenue_Analytical]],Transaction[[#This Row],[DiscountAmount_Clean]])</f>
        <v>963.52</v>
      </c>
      <c r="AD893">
        <v>6636.48</v>
      </c>
      <c r="AE893" t="str">
        <f>IF(ROUND(Transaction[[#This Row],[GrossRevenue_Analytical]]-Transaction[[#This Row],[NetRevenue_Analytical]],2)=ROUND(Transaction[[#This Row],[DiscountAmount_Clean]],2),"Valid","Invalid")</f>
        <v>Valid</v>
      </c>
      <c r="AF893">
        <f>VALUE(IF(ISNUMBER(Transaction[[#This Row],[NetRevenue]]),Transaction[[#This Row],[NetRevenue]],IFERROR(IF(FIND("$",Transaction[[#This Row],[NetRevenue]])&gt;0,MID(Transaction[[#This Row],[NetRevenue]],2,10)),Transaction[[#This Row],[NetRevenue]])))</f>
        <v>6636.48</v>
      </c>
      <c r="AG893">
        <f>IF(Transaction[[#This Row],[NetRevenue_Check]]="Invalid",(Transaction[[#This Row],[Quantity]]*Transaction[[#This Row],[UnitPrice_Clean]]),Transaction[[#This Row],[NetRevenue_Clean]])</f>
        <v>6636.48</v>
      </c>
      <c r="AH893" t="str">
        <f>IF(Transaction[[#This Row],[Quantity]]*Transaction[[#This Row],[UnitPrice_Clean]]=Transaction[[#This Row],[NetRevenue_Clean]],"Valid","Invalid")</f>
        <v>Valid</v>
      </c>
      <c r="AI893" t="s">
        <v>23</v>
      </c>
      <c r="AJ893" t="s">
        <v>1265</v>
      </c>
      <c r="AK893" t="str">
        <f>IF(Transaction[[#This Row],[Salesperson]]="","Missing Value",TRIM(PROPER(Transaction[[#This Row],[Salesperson]])))</f>
        <v>Holder</v>
      </c>
      <c r="AL893" t="s">
        <v>55</v>
      </c>
      <c r="AM893" t="str">
        <f>IF(Transaction[[#This Row],[ContractType]]="","Missing Value",Transaction[[#This Row],[ContractType]])</f>
        <v>Spot</v>
      </c>
      <c r="AN893" t="s">
        <v>49</v>
      </c>
    </row>
    <row r="894" spans="1:40" x14ac:dyDescent="0.25">
      <c r="A894" t="s">
        <v>2857</v>
      </c>
      <c r="B894" s="1">
        <v>45730</v>
      </c>
      <c r="C89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89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89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94" s="2">
        <f>IFERROR(DATE(Transaction[[#This Row],[TransactionDateY]],Transaction[[#This Row],[TransactionDateM]],Transaction[[#This Row],[TransactionDateD]]),"Missing Value")</f>
        <v>45730</v>
      </c>
      <c r="G894" t="s">
        <v>357</v>
      </c>
      <c r="H894" t="str">
        <f>IFERROR(VLOOKUP(Transaction[[#This Row],[CustomerID]],Custumer[],1,0),IF(LEN(Transaction[[#This Row],[CustomerID]])=7,LEFT(Transaction[[#This Row],[CustomerID]],6),"Invalid ID"))</f>
        <v>C-1078</v>
      </c>
      <c r="I894" t="s">
        <v>97</v>
      </c>
      <c r="J894" t="str">
        <f>TRIM(UPPER(Transaction[[#This Row],[ProductID]]))</f>
        <v>P-SI-001</v>
      </c>
      <c r="K894" t="str">
        <f>IFERROR(VLOOKUP(Transaction[[#This Row],[ProductID_Clean]],Product[],1,FALSE),"Invalid ID")</f>
        <v>P-SI-001</v>
      </c>
      <c r="L894" t="str">
        <f>TRIM(SUBSTITUTE(SUBSTITUTE(SUBSTITUTE(SUBSTITUTE(UPPER(Transaction[[#This Row],[Region]]),"EMEA REGION","EMEA"),"APAC REGION","APAC"),"NORTH AMERICA","N. AMERICA"),"N .AMERICA","N.AMERICA"))</f>
        <v>N. AMERICA</v>
      </c>
      <c r="M894" t="s">
        <v>20</v>
      </c>
      <c r="N894" t="s">
        <v>53</v>
      </c>
      <c r="O89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94" t="s">
        <v>22</v>
      </c>
      <c r="Q894" t="str">
        <f>IF(TRIM(Transaction[[#This Row],[SalesChannel]])="","Missing Value",TRIM(Transaction[[#This Row],[SalesChannel]]))</f>
        <v>Direct</v>
      </c>
      <c r="R894" s="4">
        <v>10</v>
      </c>
      <c r="S894" s="4" t="str">
        <f>IF(Transaction[[#This Row],[Quantity]]&lt;0,"Negative-review","Valid")</f>
        <v>Valid</v>
      </c>
      <c r="T894">
        <v>441.27</v>
      </c>
      <c r="U89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441.27</v>
      </c>
      <c r="V894">
        <v>485</v>
      </c>
      <c r="W894">
        <v>4850</v>
      </c>
      <c r="X89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4850</v>
      </c>
      <c r="Y894">
        <f>IF(Transaction[[#This Row],[GrossRevenue_Check]]="Invalid",Transaction[[#This Row],[ListPrice]]*Transaction[[#This Row],[Quantity]],Transaction[[#This Row],[GrossRevenue_Clean]])</f>
        <v>4850</v>
      </c>
      <c r="Z894" t="str">
        <f>IF(Transaction[[#This Row],[GrossRevenue_Clean]]=Transaction[[#This Row],[ListPrice]]*Transaction[[#This Row],[Quantity]],"Valid","Invalid")</f>
        <v>Valid</v>
      </c>
      <c r="AA894">
        <v>437.3</v>
      </c>
      <c r="AB89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437.3</v>
      </c>
      <c r="AC894">
        <f>IF(Transaction[[#This Row],[DiscountAmount_Check2]]="Invalid",Transaction[[#This Row],[GrossRevenue_Analytical]]-Transaction[[#This Row],[NetRevenue_Analytical]],Transaction[[#This Row],[DiscountAmount_Clean]])</f>
        <v>437.3</v>
      </c>
      <c r="AD894" t="s">
        <v>2858</v>
      </c>
      <c r="AE894" t="str">
        <f>IF(ROUND(Transaction[[#This Row],[GrossRevenue_Analytical]]-Transaction[[#This Row],[NetRevenue_Analytical]],2)=ROUND(Transaction[[#This Row],[DiscountAmount_Clean]],2),"Valid","Invalid")</f>
        <v>Valid</v>
      </c>
      <c r="AF894">
        <f>VALUE(IF(ISNUMBER(Transaction[[#This Row],[NetRevenue]]),Transaction[[#This Row],[NetRevenue]],IFERROR(IF(FIND("$",Transaction[[#This Row],[NetRevenue]])&gt;0,MID(Transaction[[#This Row],[NetRevenue]],2,10)),Transaction[[#This Row],[NetRevenue]])))</f>
        <v>4412.7</v>
      </c>
      <c r="AG894">
        <f>IF(Transaction[[#This Row],[NetRevenue_Check]]="Invalid",(Transaction[[#This Row],[Quantity]]*Transaction[[#This Row],[UnitPrice_Clean]]),Transaction[[#This Row],[NetRevenue_Clean]])</f>
        <v>4412.7</v>
      </c>
      <c r="AH894" t="str">
        <f>IF(Transaction[[#This Row],[Quantity]]*Transaction[[#This Row],[UnitPrice_Clean]]=Transaction[[#This Row],[NetRevenue_Clean]],"Valid","Invalid")</f>
        <v>Valid</v>
      </c>
      <c r="AI894" t="s">
        <v>23</v>
      </c>
      <c r="AJ894" t="s">
        <v>681</v>
      </c>
      <c r="AK894" t="str">
        <f>IF(Transaction[[#This Row],[Salesperson]]="","Missing Value",TRIM(PROPER(Transaction[[#This Row],[Salesperson]])))</f>
        <v>Young-Na</v>
      </c>
      <c r="AL894" t="s">
        <v>42</v>
      </c>
      <c r="AM894" t="str">
        <f>IF(Transaction[[#This Row],[ContractType]]="","Missing Value",Transaction[[#This Row],[ContractType]])</f>
        <v>Standard PO</v>
      </c>
      <c r="AN894" t="s">
        <v>26</v>
      </c>
    </row>
    <row r="895" spans="1:40" x14ac:dyDescent="0.25">
      <c r="A895" t="s">
        <v>1642</v>
      </c>
      <c r="C89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89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89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895" s="2" t="str">
        <f>IFERROR(DATE(Transaction[[#This Row],[TransactionDateY]],Transaction[[#This Row],[TransactionDateM]],Transaction[[#This Row],[TransactionDateD]]),"Missing Value")</f>
        <v>Missing Value</v>
      </c>
      <c r="G895" t="s">
        <v>28</v>
      </c>
      <c r="H895" t="str">
        <f>IFERROR(VLOOKUP(Transaction[[#This Row],[CustomerID]],Custumer[],1,0),IF(LEN(Transaction[[#This Row],[CustomerID]])=7,LEFT(Transaction[[#This Row],[CustomerID]],6),"Invalid ID"))</f>
        <v>C-1038</v>
      </c>
      <c r="I895" t="s">
        <v>97</v>
      </c>
      <c r="J895" t="str">
        <f>TRIM(UPPER(Transaction[[#This Row],[ProductID]]))</f>
        <v>P-SI-001</v>
      </c>
      <c r="K895" t="str">
        <f>IFERROR(VLOOKUP(Transaction[[#This Row],[ProductID_Clean]],Product[],1,FALSE),"Invalid ID")</f>
        <v>P-SI-001</v>
      </c>
      <c r="L895" t="str">
        <f>TRIM(SUBSTITUTE(SUBSTITUTE(SUBSTITUTE(SUBSTITUTE(UPPER(Transaction[[#This Row],[Region]]),"EMEA REGION","EMEA"),"APAC REGION","APAC"),"NORTH AMERICA","N. AMERICA"),"N .AMERICA","N.AMERICA"))</f>
        <v>APAC</v>
      </c>
      <c r="M895" t="s">
        <v>30</v>
      </c>
      <c r="N895" t="s">
        <v>53</v>
      </c>
      <c r="O89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95" t="s">
        <v>22</v>
      </c>
      <c r="Q895" t="str">
        <f>IF(TRIM(Transaction[[#This Row],[SalesChannel]])="","Missing Value",TRIM(Transaction[[#This Row],[SalesChannel]]))</f>
        <v>Direct</v>
      </c>
      <c r="R895" s="4">
        <v>3</v>
      </c>
      <c r="S895" s="4" t="str">
        <f>IF(Transaction[[#This Row],[Quantity]]&lt;0,"Negative-review","Valid")</f>
        <v>Valid</v>
      </c>
      <c r="T895">
        <v>433.56</v>
      </c>
      <c r="U89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433.56</v>
      </c>
      <c r="V895">
        <v>485</v>
      </c>
      <c r="W895">
        <v>1455</v>
      </c>
      <c r="X89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895">
        <f>IF(Transaction[[#This Row],[GrossRevenue_Check]]="Invalid",Transaction[[#This Row],[ListPrice]]*Transaction[[#This Row],[Quantity]],Transaction[[#This Row],[GrossRevenue_Clean]])</f>
        <v>1455</v>
      </c>
      <c r="Z895" t="str">
        <f>IF(Transaction[[#This Row],[GrossRevenue_Clean]]=Transaction[[#This Row],[ListPrice]]*Transaction[[#This Row],[Quantity]],"Valid","Invalid")</f>
        <v>Valid</v>
      </c>
      <c r="AA895">
        <v>154.32</v>
      </c>
      <c r="AB89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154.32</v>
      </c>
      <c r="AC895">
        <f>IF(Transaction[[#This Row],[DiscountAmount_Check2]]="Invalid",Transaction[[#This Row],[GrossRevenue_Analytical]]-Transaction[[#This Row],[NetRevenue_Analytical]],Transaction[[#This Row],[DiscountAmount_Clean]])</f>
        <v>154.32</v>
      </c>
      <c r="AD895">
        <v>1300.68</v>
      </c>
      <c r="AE895" t="str">
        <f>IF(ROUND(Transaction[[#This Row],[GrossRevenue_Analytical]]-Transaction[[#This Row],[NetRevenue_Analytical]],2)=ROUND(Transaction[[#This Row],[DiscountAmount_Clean]],2),"Valid","Invalid")</f>
        <v>Valid</v>
      </c>
      <c r="AF89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1300.68</v>
      </c>
      <c r="AG895">
        <f>IF(Transaction[[#This Row],[NetRevenue_Check]]="Invalid",(Transaction[[#This Row],[Quantity]]*Transaction[[#This Row],[UnitPrice_Clean]]),Transaction[[#This Row],[NetRevenue_Clean]])</f>
        <v>1300.68</v>
      </c>
      <c r="AH895" t="str">
        <f>IF(Transaction[[#This Row],[Quantity]]*Transaction[[#This Row],[UnitPrice_Clean]]=Transaction[[#This Row],[NetRevenue_Clean]],"Valid","Invalid")</f>
        <v>Valid</v>
      </c>
      <c r="AI895" t="s">
        <v>23</v>
      </c>
      <c r="AJ895" t="s">
        <v>1643</v>
      </c>
      <c r="AK895" t="str">
        <f>IF(Transaction[[#This Row],[Salesperson]]="","Missing Value",TRIM(PROPER(Transaction[[#This Row],[Salesperson]])))</f>
        <v>Hendricks-Em</v>
      </c>
      <c r="AL895" t="s">
        <v>25</v>
      </c>
      <c r="AM895" t="str">
        <f>IF(Transaction[[#This Row],[ContractType]]="","Missing Value",Transaction[[#This Row],[ContractType]])</f>
        <v>Frame Agreement</v>
      </c>
      <c r="AN895" t="s">
        <v>35</v>
      </c>
    </row>
    <row r="896" spans="1:40" x14ac:dyDescent="0.25">
      <c r="A896" t="s">
        <v>1036</v>
      </c>
      <c r="B896" s="1">
        <v>45792</v>
      </c>
      <c r="C89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89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89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96" s="2">
        <f>IFERROR(DATE(Transaction[[#This Row],[TransactionDateY]],Transaction[[#This Row],[TransactionDateM]],Transaction[[#This Row],[TransactionDateD]]),"Missing Value")</f>
        <v>45792</v>
      </c>
      <c r="G896" t="s">
        <v>345</v>
      </c>
      <c r="H896" t="str">
        <f>IFERROR(VLOOKUP(Transaction[[#This Row],[CustomerID]],Custumer[],1,0),IF(LEN(Transaction[[#This Row],[CustomerID]])=7,LEFT(Transaction[[#This Row],[CustomerID]],6),"Invalid ID"))</f>
        <v>C-1125</v>
      </c>
      <c r="I896" t="s">
        <v>46</v>
      </c>
      <c r="J896" t="str">
        <f>TRIM(UPPER(Transaction[[#This Row],[ProductID]]))</f>
        <v>P-SI-006</v>
      </c>
      <c r="K896" t="str">
        <f>IFERROR(VLOOKUP(Transaction[[#This Row],[ProductID_Clean]],Product[],1,FALSE),"Invalid ID")</f>
        <v>P-SI-006</v>
      </c>
      <c r="L896" t="str">
        <f>TRIM(SUBSTITUTE(SUBSTITUTE(SUBSTITUTE(SUBSTITUTE(UPPER(Transaction[[#This Row],[Region]]),"EMEA REGION","EMEA"),"APAC REGION","APAC"),"NORTH AMERICA","N. AMERICA"),"N .AMERICA","N.AMERICA"))</f>
        <v>N. AMERICA</v>
      </c>
      <c r="M896" t="s">
        <v>204</v>
      </c>
      <c r="N896" t="s">
        <v>53</v>
      </c>
      <c r="O89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96" t="s">
        <v>32</v>
      </c>
      <c r="Q896" t="str">
        <f>IF(TRIM(Transaction[[#This Row],[SalesChannel]])="","Missing Value",TRIM(Transaction[[#This Row],[SalesChannel]]))</f>
        <v>Direct</v>
      </c>
      <c r="R896" s="4">
        <v>3</v>
      </c>
      <c r="S896" s="4" t="str">
        <f>IF(Transaction[[#This Row],[Quantity]]&lt;0,"Negative-review","Valid")</f>
        <v>Valid</v>
      </c>
      <c r="T896">
        <v>180.9</v>
      </c>
      <c r="U89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180.9</v>
      </c>
      <c r="V896">
        <v>215</v>
      </c>
      <c r="W896">
        <v>645</v>
      </c>
      <c r="X89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896">
        <f>IF(Transaction[[#This Row],[GrossRevenue_Check]]="Invalid",Transaction[[#This Row],[ListPrice]]*Transaction[[#This Row],[Quantity]],Transaction[[#This Row],[GrossRevenue_Clean]])</f>
        <v>645</v>
      </c>
      <c r="Z896" t="str">
        <f>IF(Transaction[[#This Row],[GrossRevenue_Clean]]=Transaction[[#This Row],[ListPrice]]*Transaction[[#This Row],[Quantity]],"Valid","Invalid")</f>
        <v>Valid</v>
      </c>
      <c r="AA896">
        <v>102.3</v>
      </c>
      <c r="AB89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102.3</v>
      </c>
      <c r="AC896">
        <f>IF(Transaction[[#This Row],[DiscountAmount_Check2]]="Invalid",Transaction[[#This Row],[GrossRevenue_Analytical]]-Transaction[[#This Row],[NetRevenue_Analytical]],Transaction[[#This Row],[DiscountAmount_Clean]])</f>
        <v>102.3</v>
      </c>
      <c r="AD896">
        <v>542.70000000000005</v>
      </c>
      <c r="AE896" t="str">
        <f>IF(ROUND(Transaction[[#This Row],[GrossRevenue_Analytical]]-Transaction[[#This Row],[NetRevenue_Analytical]],2)=ROUND(Transaction[[#This Row],[DiscountAmount_Clean]],2),"Valid","Invalid")</f>
        <v>Valid</v>
      </c>
      <c r="AF896">
        <f>VALUE(IF(ISNUMBER(Transaction[[#This Row],[NetRevenue]]),Transaction[[#This Row],[NetRevenue]],IFERROR(IF(FIND("$",Transaction[[#This Row],[NetRevenue]])&gt;0,MID(Transaction[[#This Row],[NetRevenue]],2,10)),Transaction[[#This Row],[NetRevenue]])))</f>
        <v>542.70000000000005</v>
      </c>
      <c r="AG896">
        <f>IF(Transaction[[#This Row],[NetRevenue_Check]]="Invalid",(Transaction[[#This Row],[Quantity]]*Transaction[[#This Row],[UnitPrice_Clean]]),Transaction[[#This Row],[NetRevenue_Clean]])</f>
        <v>542.70000000000005</v>
      </c>
      <c r="AH896" t="str">
        <f>IF(Transaction[[#This Row],[Quantity]]*Transaction[[#This Row],[UnitPrice_Clean]]=Transaction[[#This Row],[NetRevenue_Clean]],"Valid","Invalid")</f>
        <v>Valid</v>
      </c>
      <c r="AI896" t="s">
        <v>23</v>
      </c>
      <c r="AJ896" t="s">
        <v>1037</v>
      </c>
      <c r="AK896" t="str">
        <f>IF(Transaction[[#This Row],[Salesperson]]="","Missing Value",TRIM(PROPER(Transaction[[#This Row],[Salesperson]])))</f>
        <v>Johnston-Na</v>
      </c>
      <c r="AL896" t="s">
        <v>25</v>
      </c>
      <c r="AM896" t="str">
        <f>IF(Transaction[[#This Row],[ContractType]]="","Missing Value",Transaction[[#This Row],[ContractType]])</f>
        <v>Frame Agreement</v>
      </c>
      <c r="AN896" t="s">
        <v>49</v>
      </c>
    </row>
    <row r="897" spans="1:40" x14ac:dyDescent="0.25">
      <c r="A897" t="s">
        <v>626</v>
      </c>
      <c r="B897" s="1">
        <v>45692</v>
      </c>
      <c r="C89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89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89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97" s="2">
        <f>IFERROR(DATE(Transaction[[#This Row],[TransactionDateY]],Transaction[[#This Row],[TransactionDateM]],Transaction[[#This Row],[TransactionDateD]]),"Missing Value")</f>
        <v>45692</v>
      </c>
      <c r="G897" t="s">
        <v>627</v>
      </c>
      <c r="H897" t="str">
        <f>IFERROR(VLOOKUP(Transaction[[#This Row],[CustomerID]],Custumer[],1,0),IF(LEN(Transaction[[#This Row],[CustomerID]])=7,LEFT(Transaction[[#This Row],[CustomerID]],6),"Invalid ID"))</f>
        <v>C-1170</v>
      </c>
      <c r="I897" t="s">
        <v>52</v>
      </c>
      <c r="J897" t="str">
        <f>TRIM(UPPER(Transaction[[#This Row],[ProductID]]))</f>
        <v>P-SI-002</v>
      </c>
      <c r="K897" t="str">
        <f>IFERROR(VLOOKUP(Transaction[[#This Row],[ProductID_Clean]],Product[],1,FALSE),"Invalid ID")</f>
        <v>P-SI-002</v>
      </c>
      <c r="L897" t="str">
        <f>TRIM(SUBSTITUTE(SUBSTITUTE(SUBSTITUTE(SUBSTITUTE(UPPER(Transaction[[#This Row],[Region]]),"EMEA REGION","EMEA"),"APAC REGION","APAC"),"NORTH AMERICA","N. AMERICA"),"N .AMERICA","N.AMERICA"))</f>
        <v>N. AMERICA</v>
      </c>
      <c r="M897" t="s">
        <v>20</v>
      </c>
      <c r="N897" t="s">
        <v>272</v>
      </c>
      <c r="O89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97" t="s">
        <v>22</v>
      </c>
      <c r="Q897" t="str">
        <f>IF(TRIM(Transaction[[#This Row],[SalesChannel]])="","Missing Value",TRIM(Transaction[[#This Row],[SalesChannel]]))</f>
        <v>Direct</v>
      </c>
      <c r="R897" s="4">
        <v>1</v>
      </c>
      <c r="S897" s="4" t="str">
        <f>IF(Transaction[[#This Row],[Quantity]]&lt;0,"Negative-review","Valid")</f>
        <v>Valid</v>
      </c>
      <c r="T897">
        <v>664.18</v>
      </c>
      <c r="U89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664.18</v>
      </c>
      <c r="V897">
        <v>725</v>
      </c>
      <c r="W897">
        <v>725</v>
      </c>
      <c r="X89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897">
        <f>IF(Transaction[[#This Row],[GrossRevenue_Check]]="Invalid",Transaction[[#This Row],[ListPrice]]*Transaction[[#This Row],[Quantity]],Transaction[[#This Row],[GrossRevenue_Clean]])</f>
        <v>725</v>
      </c>
      <c r="Z897" t="str">
        <f>IF(Transaction[[#This Row],[GrossRevenue_Clean]]=Transaction[[#This Row],[ListPrice]]*Transaction[[#This Row],[Quantity]],"Valid","Invalid")</f>
        <v>Valid</v>
      </c>
      <c r="AA897">
        <v>60.82</v>
      </c>
      <c r="AB89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60.82</v>
      </c>
      <c r="AC897">
        <f>IF(Transaction[[#This Row],[DiscountAmount_Check2]]="Invalid",Transaction[[#This Row],[GrossRevenue_Analytical]]-Transaction[[#This Row],[NetRevenue_Analytical]],Transaction[[#This Row],[DiscountAmount_Clean]])</f>
        <v>60.82</v>
      </c>
      <c r="AD897">
        <v>664.18</v>
      </c>
      <c r="AE897" t="str">
        <f>IF(ROUND(Transaction[[#This Row],[GrossRevenue_Analytical]]-Transaction[[#This Row],[NetRevenue_Analytical]],2)=ROUND(Transaction[[#This Row],[DiscountAmount_Clean]],2),"Valid","Invalid")</f>
        <v>Valid</v>
      </c>
      <c r="AF897">
        <f>VALUE(IF(ISNUMBER(Transaction[[#This Row],[NetRevenue]]),Transaction[[#This Row],[NetRevenue]],IFERROR(IF(FIND("$",Transaction[[#This Row],[NetRevenue]])&gt;0,MID(Transaction[[#This Row],[NetRevenue]],2,10)),Transaction[[#This Row],[NetRevenue]])))</f>
        <v>664.18</v>
      </c>
      <c r="AG897">
        <f>IF(Transaction[[#This Row],[NetRevenue_Check]]="Invalid",(Transaction[[#This Row],[Quantity]]*Transaction[[#This Row],[UnitPrice_Clean]]),Transaction[[#This Row],[NetRevenue_Clean]])</f>
        <v>664.18</v>
      </c>
      <c r="AH897" t="str">
        <f>IF(Transaction[[#This Row],[Quantity]]*Transaction[[#This Row],[UnitPrice_Clean]]=Transaction[[#This Row],[NetRevenue_Clean]],"Valid","Invalid")</f>
        <v>Valid</v>
      </c>
      <c r="AI897" t="s">
        <v>23</v>
      </c>
      <c r="AJ897" t="s">
        <v>628</v>
      </c>
      <c r="AK897" t="str">
        <f>IF(Transaction[[#This Row],[Salesperson]]="","Missing Value",TRIM(PROPER(Transaction[[#This Row],[Salesperson]])))</f>
        <v>Ray-Em</v>
      </c>
      <c r="AL897" t="s">
        <v>42</v>
      </c>
      <c r="AM897" t="str">
        <f>IF(Transaction[[#This Row],[ContractType]]="","Missing Value",Transaction[[#This Row],[ContractType]])</f>
        <v>Standard PO</v>
      </c>
      <c r="AN897" t="s">
        <v>43</v>
      </c>
    </row>
    <row r="898" spans="1:40" x14ac:dyDescent="0.25">
      <c r="A898" t="s">
        <v>1431</v>
      </c>
      <c r="B898" s="1">
        <v>45777</v>
      </c>
      <c r="C89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89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89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98" s="2">
        <f>IFERROR(DATE(Transaction[[#This Row],[TransactionDateY]],Transaction[[#This Row],[TransactionDateM]],Transaction[[#This Row],[TransactionDateD]]),"Missing Value")</f>
        <v>45777</v>
      </c>
      <c r="G898" t="s">
        <v>565</v>
      </c>
      <c r="H898" t="str">
        <f>IFERROR(VLOOKUP(Transaction[[#This Row],[CustomerID]],Custumer[],1,0),IF(LEN(Transaction[[#This Row],[CustomerID]])=7,LEFT(Transaction[[#This Row],[CustomerID]],6),"Invalid ID"))</f>
        <v>C-1007</v>
      </c>
      <c r="I898" t="s">
        <v>58</v>
      </c>
      <c r="J898" t="str">
        <f>TRIM(UPPER(Transaction[[#This Row],[ProductID]]))</f>
        <v>P-SI-005</v>
      </c>
      <c r="K898" t="str">
        <f>IFERROR(VLOOKUP(Transaction[[#This Row],[ProductID_Clean]],Product[],1,FALSE),"Invalid ID")</f>
        <v>P-SI-005</v>
      </c>
      <c r="L898" t="str">
        <f>TRIM(SUBSTITUTE(SUBSTITUTE(SUBSTITUTE(SUBSTITUTE(UPPER(Transaction[[#This Row],[Region]]),"EMEA REGION","EMEA"),"APAC REGION","APAC"),"NORTH AMERICA","N. AMERICA"),"N .AMERICA","N.AMERICA"))</f>
        <v>N. AMERICA</v>
      </c>
      <c r="M898" t="s">
        <v>168</v>
      </c>
      <c r="N898" t="s">
        <v>53</v>
      </c>
      <c r="O89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898" t="s">
        <v>40</v>
      </c>
      <c r="Q898" t="str">
        <f>IF(TRIM(Transaction[[#This Row],[SalesChannel]])="","Missing Value",TRIM(Transaction[[#This Row],[SalesChannel]]))</f>
        <v>Distributor</v>
      </c>
      <c r="R898" s="4">
        <v>5</v>
      </c>
      <c r="S898" s="4" t="str">
        <f>IF(Transaction[[#This Row],[Quantity]]&lt;0,"Negative-review","Valid")</f>
        <v>Valid</v>
      </c>
      <c r="T898" t="s">
        <v>1432</v>
      </c>
      <c r="U89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805.39</v>
      </c>
      <c r="V898">
        <v>1120</v>
      </c>
      <c r="W898">
        <v>5600</v>
      </c>
      <c r="X89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5600</v>
      </c>
      <c r="Y898">
        <f>IF(Transaction[[#This Row],[GrossRevenue_Check]]="Invalid",Transaction[[#This Row],[ListPrice]]*Transaction[[#This Row],[Quantity]],Transaction[[#This Row],[GrossRevenue_Clean]])</f>
        <v>5600</v>
      </c>
      <c r="Z898" t="str">
        <f>IF(Transaction[[#This Row],[GrossRevenue_Clean]]=Transaction[[#This Row],[ListPrice]]*Transaction[[#This Row],[Quantity]],"Valid","Invalid")</f>
        <v>Valid</v>
      </c>
      <c r="AA898">
        <v>1573.05</v>
      </c>
      <c r="AB89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1573.05</v>
      </c>
      <c r="AC898">
        <f>IF(Transaction[[#This Row],[DiscountAmount_Check2]]="Invalid",Transaction[[#This Row],[GrossRevenue_Analytical]]-Transaction[[#This Row],[NetRevenue_Analytical]],Transaction[[#This Row],[DiscountAmount_Clean]])</f>
        <v>1573.05</v>
      </c>
      <c r="AD898">
        <v>4026.95</v>
      </c>
      <c r="AE898" t="str">
        <f>IF(ROUND(Transaction[[#This Row],[GrossRevenue_Analytical]]-Transaction[[#This Row],[NetRevenue_Analytical]],2)=ROUND(Transaction[[#This Row],[DiscountAmount_Clean]],2),"Valid","Invalid")</f>
        <v>Valid</v>
      </c>
      <c r="AF898">
        <f>VALUE(IF(ISNUMBER(Transaction[[#This Row],[NetRevenue]]),Transaction[[#This Row],[NetRevenue]],IFERROR(IF(FIND("$",Transaction[[#This Row],[NetRevenue]])&gt;0,MID(Transaction[[#This Row],[NetRevenue]],2,10)),Transaction[[#This Row],[NetRevenue]])))</f>
        <v>4026.95</v>
      </c>
      <c r="AG898">
        <f>IF(Transaction[[#This Row],[NetRevenue_Check]]="Invalid",(Transaction[[#This Row],[Quantity]]*Transaction[[#This Row],[UnitPrice_Clean]]),Transaction[[#This Row],[NetRevenue_Clean]])</f>
        <v>4026.95</v>
      </c>
      <c r="AH898" t="str">
        <f>IF(Transaction[[#This Row],[Quantity]]*Transaction[[#This Row],[UnitPrice_Clean]]=Transaction[[#This Row],[NetRevenue_Clean]],"Valid","Invalid")</f>
        <v>Valid</v>
      </c>
      <c r="AI898" t="s">
        <v>23</v>
      </c>
      <c r="AJ898" t="s">
        <v>1433</v>
      </c>
      <c r="AK898" t="str">
        <f>IF(Transaction[[#This Row],[Salesperson]]="","Missing Value",TRIM(PROPER(Transaction[[#This Row],[Salesperson]])))</f>
        <v>Barton</v>
      </c>
      <c r="AL898" t="s">
        <v>42</v>
      </c>
      <c r="AM898" t="str">
        <f>IF(Transaction[[#This Row],[ContractType]]="","Missing Value",Transaction[[#This Row],[ContractType]])</f>
        <v>Standard PO</v>
      </c>
      <c r="AN898" t="s">
        <v>35</v>
      </c>
    </row>
    <row r="899" spans="1:40" x14ac:dyDescent="0.25">
      <c r="A899" t="s">
        <v>2702</v>
      </c>
      <c r="B899" s="1">
        <v>45742</v>
      </c>
      <c r="C89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89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89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899" s="2">
        <f>IFERROR(DATE(Transaction[[#This Row],[TransactionDateY]],Transaction[[#This Row],[TransactionDateM]],Transaction[[#This Row],[TransactionDateD]]),"Missing Value")</f>
        <v>45742</v>
      </c>
      <c r="G899" t="s">
        <v>74</v>
      </c>
      <c r="H899" t="str">
        <f>IFERROR(VLOOKUP(Transaction[[#This Row],[CustomerID]],Custumer[],1,0),IF(LEN(Transaction[[#This Row],[CustomerID]])=7,LEFT(Transaction[[#This Row],[CustomerID]],6),"Invalid ID"))</f>
        <v>C-1152</v>
      </c>
      <c r="I899" t="s">
        <v>39</v>
      </c>
      <c r="J899" t="str">
        <f>TRIM(UPPER(Transaction[[#This Row],[ProductID]]))</f>
        <v>P-FS-006</v>
      </c>
      <c r="K899" t="str">
        <f>IFERROR(VLOOKUP(Transaction[[#This Row],[ProductID_Clean]],Product[],1,FALSE),"Invalid ID")</f>
        <v>P-FS-006</v>
      </c>
      <c r="L899" t="str">
        <f>TRIM(SUBSTITUTE(SUBSTITUTE(SUBSTITUTE(SUBSTITUTE(UPPER(Transaction[[#This Row],[Region]]),"EMEA REGION","EMEA"),"APAC REGION","APAC"),"NORTH AMERICA","N. AMERICA"),"N .AMERICA","N.AMERICA"))</f>
        <v>EMEA</v>
      </c>
      <c r="M899" t="s">
        <v>76</v>
      </c>
      <c r="N899" t="s">
        <v>21</v>
      </c>
      <c r="O899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899" t="s">
        <v>22</v>
      </c>
      <c r="Q899" t="str">
        <f>IF(TRIM(Transaction[[#This Row],[SalesChannel]])="","Missing Value",TRIM(Transaction[[#This Row],[SalesChannel]]))</f>
        <v>Direct</v>
      </c>
      <c r="R899" s="4">
        <v>1</v>
      </c>
      <c r="S899" s="4" t="str">
        <f>IF(Transaction[[#This Row],[Quantity]]&lt;0,"Negative-review","Valid")</f>
        <v>Valid</v>
      </c>
      <c r="T899" t="s">
        <v>2703</v>
      </c>
      <c r="U89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1380.7</v>
      </c>
      <c r="V899">
        <v>1450</v>
      </c>
      <c r="W899">
        <v>1450</v>
      </c>
      <c r="X89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899">
        <f>IF(Transaction[[#This Row],[GrossRevenue_Check]]="Invalid",Transaction[[#This Row],[ListPrice]]*Transaction[[#This Row],[Quantity]],Transaction[[#This Row],[GrossRevenue_Clean]])</f>
        <v>1450</v>
      </c>
      <c r="Z899" t="str">
        <f>IF(Transaction[[#This Row],[GrossRevenue_Clean]]=Transaction[[#This Row],[ListPrice]]*Transaction[[#This Row],[Quantity]],"Valid","Invalid")</f>
        <v>Valid</v>
      </c>
      <c r="AA899">
        <v>69.3</v>
      </c>
      <c r="AB89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69.3</v>
      </c>
      <c r="AC899">
        <f>IF(Transaction[[#This Row],[DiscountAmount_Check2]]="Invalid",Transaction[[#This Row],[GrossRevenue_Analytical]]-Transaction[[#This Row],[NetRevenue_Analytical]],Transaction[[#This Row],[DiscountAmount_Clean]])</f>
        <v>69.3</v>
      </c>
      <c r="AD899">
        <v>1380.7</v>
      </c>
      <c r="AE899" t="str">
        <f>IF(ROUND(Transaction[[#This Row],[GrossRevenue_Analytical]]-Transaction[[#This Row],[NetRevenue_Analytical]],2)=ROUND(Transaction[[#This Row],[DiscountAmount_Clean]],2),"Valid","Invalid")</f>
        <v>Valid</v>
      </c>
      <c r="AF89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1380.7</v>
      </c>
      <c r="AG899">
        <f>IF(Transaction[[#This Row],[NetRevenue_Check]]="Invalid",(Transaction[[#This Row],[Quantity]]*Transaction[[#This Row],[UnitPrice_Clean]]),Transaction[[#This Row],[NetRevenue_Clean]])</f>
        <v>1380.7</v>
      </c>
      <c r="AH899" t="str">
        <f>IF(Transaction[[#This Row],[Quantity]]*Transaction[[#This Row],[UnitPrice_Clean]]=Transaction[[#This Row],[NetRevenue_Clean]],"Valid","Invalid")</f>
        <v>Valid</v>
      </c>
      <c r="AI899" t="s">
        <v>23</v>
      </c>
      <c r="AJ899" t="s">
        <v>2704</v>
      </c>
      <c r="AK899" t="str">
        <f>IF(Transaction[[#This Row],[Salesperson]]="","Missing Value",TRIM(PROPER(Transaction[[#This Row],[Salesperson]])))</f>
        <v>Cardenas-Na</v>
      </c>
      <c r="AL899" t="s">
        <v>42</v>
      </c>
      <c r="AM899" t="str">
        <f>IF(Transaction[[#This Row],[ContractType]]="","Missing Value",Transaction[[#This Row],[ContractType]])</f>
        <v>Standard PO</v>
      </c>
      <c r="AN899" t="s">
        <v>26</v>
      </c>
    </row>
    <row r="900" spans="1:40" x14ac:dyDescent="0.25">
      <c r="A900" t="s">
        <v>3001</v>
      </c>
      <c r="B900" s="1">
        <v>45823</v>
      </c>
      <c r="C90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90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90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00" s="2">
        <f>IFERROR(DATE(Transaction[[#This Row],[TransactionDateY]],Transaction[[#This Row],[TransactionDateM]],Transaction[[#This Row],[TransactionDateD]]),"Missing Value")</f>
        <v>45823</v>
      </c>
      <c r="G900" t="s">
        <v>476</v>
      </c>
      <c r="H900" t="str">
        <f>IFERROR(VLOOKUP(Transaction[[#This Row],[CustomerID]],Custumer[],1,0),IF(LEN(Transaction[[#This Row],[CustomerID]])=7,LEFT(Transaction[[#This Row],[CustomerID]],6),"Invalid ID"))</f>
        <v>C-1174</v>
      </c>
      <c r="I900" t="s">
        <v>46</v>
      </c>
      <c r="J900" t="str">
        <f>TRIM(UPPER(Transaction[[#This Row],[ProductID]]))</f>
        <v>P-SI-006</v>
      </c>
      <c r="K900" t="str">
        <f>IFERROR(VLOOKUP(Transaction[[#This Row],[ProductID_Clean]],Product[],1,FALSE),"Invalid ID")</f>
        <v>P-SI-006</v>
      </c>
      <c r="L900" t="str">
        <f>TRIM(SUBSTITUTE(SUBSTITUTE(SUBSTITUTE(SUBSTITUTE(UPPER(Transaction[[#This Row],[Region]]),"EMEA REGION","EMEA"),"APAC REGION","APAC"),"NORTH AMERICA","N. AMERICA"),"N .AMERICA","N.AMERICA"))</f>
        <v>N. AMERICA</v>
      </c>
      <c r="M900" t="s">
        <v>20</v>
      </c>
      <c r="N900" t="s">
        <v>53</v>
      </c>
      <c r="O90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00" t="s">
        <v>40</v>
      </c>
      <c r="Q900" t="str">
        <f>IF(TRIM(Transaction[[#This Row],[SalesChannel]])="","Missing Value",TRIM(Transaction[[#This Row],[SalesChannel]]))</f>
        <v>Distributor</v>
      </c>
      <c r="R900" s="4">
        <v>10</v>
      </c>
      <c r="S900" s="4" t="str">
        <f>IF(Transaction[[#This Row],[Quantity]]&lt;0,"Negative-review","Valid")</f>
        <v>Valid</v>
      </c>
      <c r="T900">
        <v>152.54</v>
      </c>
      <c r="U90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152.54</v>
      </c>
      <c r="V900">
        <v>215</v>
      </c>
      <c r="W900">
        <v>2150</v>
      </c>
      <c r="X90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2150</v>
      </c>
      <c r="Y900">
        <f>IF(Transaction[[#This Row],[GrossRevenue_Check]]="Invalid",Transaction[[#This Row],[ListPrice]]*Transaction[[#This Row],[Quantity]],Transaction[[#This Row],[GrossRevenue_Clean]])</f>
        <v>2150</v>
      </c>
      <c r="Z900" t="str">
        <f>IF(Transaction[[#This Row],[GrossRevenue_Clean]]=Transaction[[#This Row],[ListPrice]]*Transaction[[#This Row],[Quantity]],"Valid","Invalid")</f>
        <v>Valid</v>
      </c>
      <c r="AA900">
        <v>624.6</v>
      </c>
      <c r="AB90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624.6</v>
      </c>
      <c r="AC900">
        <f>IF(Transaction[[#This Row],[DiscountAmount_Check2]]="Invalid",Transaction[[#This Row],[GrossRevenue_Analytical]]-Transaction[[#This Row],[NetRevenue_Analytical]],Transaction[[#This Row],[DiscountAmount_Clean]])</f>
        <v>624.6</v>
      </c>
      <c r="AD900">
        <v>1525.4</v>
      </c>
      <c r="AE900" t="str">
        <f>IF(ROUND(Transaction[[#This Row],[GrossRevenue_Analytical]]-Transaction[[#This Row],[NetRevenue_Analytical]],2)=ROUND(Transaction[[#This Row],[DiscountAmount_Clean]],2),"Valid","Invalid")</f>
        <v>Valid</v>
      </c>
      <c r="AF90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1525.4</v>
      </c>
      <c r="AG900">
        <f>IF(Transaction[[#This Row],[NetRevenue_Check]]="Invalid",(Transaction[[#This Row],[Quantity]]*Transaction[[#This Row],[UnitPrice_Clean]]),Transaction[[#This Row],[NetRevenue_Clean]])</f>
        <v>1525.4</v>
      </c>
      <c r="AH900" t="str">
        <f>IF(Transaction[[#This Row],[Quantity]]*Transaction[[#This Row],[UnitPrice_Clean]]=Transaction[[#This Row],[NetRevenue_Clean]],"Valid","Invalid")</f>
        <v>Valid</v>
      </c>
      <c r="AI900" t="s">
        <v>23</v>
      </c>
      <c r="AJ900" t="s">
        <v>838</v>
      </c>
      <c r="AK900" t="str">
        <f>IF(Transaction[[#This Row],[Salesperson]]="","Missing Value",TRIM(PROPER(Transaction[[#This Row],[Salesperson]])))</f>
        <v>Young</v>
      </c>
      <c r="AL900" t="s">
        <v>25</v>
      </c>
      <c r="AM900" t="str">
        <f>IF(Transaction[[#This Row],[ContractType]]="","Missing Value",Transaction[[#This Row],[ContractType]])</f>
        <v>Frame Agreement</v>
      </c>
      <c r="AN900" t="s">
        <v>35</v>
      </c>
    </row>
    <row r="901" spans="1:40" x14ac:dyDescent="0.25">
      <c r="A901" t="s">
        <v>1303</v>
      </c>
      <c r="B901" s="1">
        <v>45705</v>
      </c>
      <c r="C90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90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90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01" s="2">
        <f>IFERROR(DATE(Transaction[[#This Row],[TransactionDateY]],Transaction[[#This Row],[TransactionDateM]],Transaction[[#This Row],[TransactionDateD]]),"Missing Value")</f>
        <v>45705</v>
      </c>
      <c r="G901" t="s">
        <v>1304</v>
      </c>
      <c r="H901" t="str">
        <f>IFERROR(VLOOKUP(Transaction[[#This Row],[CustomerID]],Custumer[],1,0),IF(LEN(Transaction[[#This Row],[CustomerID]])=7,LEFT(Transaction[[#This Row],[CustomerID]],6),"Invalid ID"))</f>
        <v>C-1181</v>
      </c>
      <c r="I901" t="s">
        <v>258</v>
      </c>
      <c r="J901" t="str">
        <f>TRIM(UPPER(Transaction[[#This Row],[ProductID]]))</f>
        <v>P-SA-003</v>
      </c>
      <c r="K901" t="str">
        <f>IFERROR(VLOOKUP(Transaction[[#This Row],[ProductID_Clean]],Product[],1,FALSE),"Invalid ID")</f>
        <v>P-SA-003</v>
      </c>
      <c r="L901" t="str">
        <f>TRIM(SUBSTITUTE(SUBSTITUTE(SUBSTITUTE(SUBSTITUTE(UPPER(Transaction[[#This Row],[Region]]),"EMEA REGION","EMEA"),"APAC REGION","APAC"),"NORTH AMERICA","N. AMERICA"),"N .AMERICA","N.AMERICA"))</f>
        <v>N. AMERICA</v>
      </c>
      <c r="M901" t="s">
        <v>204</v>
      </c>
      <c r="N901" t="s">
        <v>31</v>
      </c>
      <c r="O90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901" t="s">
        <v>22</v>
      </c>
      <c r="Q901" t="str">
        <f>IF(TRIM(Transaction[[#This Row],[SalesChannel]])="","Missing Value",TRIM(Transaction[[#This Row],[SalesChannel]]))</f>
        <v>Direct</v>
      </c>
      <c r="R901" s="4">
        <v>1</v>
      </c>
      <c r="S901" s="4" t="str">
        <f>IF(Transaction[[#This Row],[Quantity]]&lt;0,"Negative-review","Valid")</f>
        <v>Valid</v>
      </c>
      <c r="T901">
        <v>2333.0700000000002</v>
      </c>
      <c r="U90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2333.0700000000002</v>
      </c>
      <c r="V901">
        <v>2750</v>
      </c>
      <c r="W901">
        <v>2750</v>
      </c>
      <c r="X90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901">
        <f>IF(Transaction[[#This Row],[GrossRevenue_Check]]="Invalid",Transaction[[#This Row],[ListPrice]]*Transaction[[#This Row],[Quantity]],Transaction[[#This Row],[GrossRevenue_Clean]])</f>
        <v>2750</v>
      </c>
      <c r="Z901" t="str">
        <f>IF(Transaction[[#This Row],[GrossRevenue_Clean]]=Transaction[[#This Row],[ListPrice]]*Transaction[[#This Row],[Quantity]],"Valid","Invalid")</f>
        <v>Valid</v>
      </c>
      <c r="AA901">
        <v>416.93</v>
      </c>
      <c r="AB90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416.93</v>
      </c>
      <c r="AC901">
        <f>IF(Transaction[[#This Row],[DiscountAmount_Check2]]="Invalid",Transaction[[#This Row],[GrossRevenue_Analytical]]-Transaction[[#This Row],[NetRevenue_Analytical]],Transaction[[#This Row],[DiscountAmount_Clean]])</f>
        <v>416.93</v>
      </c>
      <c r="AD901">
        <v>2333.0700000000002</v>
      </c>
      <c r="AE901" t="str">
        <f>IF(ROUND(Transaction[[#This Row],[GrossRevenue_Analytical]]-Transaction[[#This Row],[NetRevenue_Analytical]],2)=ROUND(Transaction[[#This Row],[DiscountAmount_Clean]],2),"Valid","Invalid")</f>
        <v>Valid</v>
      </c>
      <c r="AF90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2333.0700000000002</v>
      </c>
      <c r="AG901">
        <f>IF(Transaction[[#This Row],[NetRevenue_Check]]="Invalid",(Transaction[[#This Row],[Quantity]]*Transaction[[#This Row],[UnitPrice_Clean]]),Transaction[[#This Row],[NetRevenue_Clean]])</f>
        <v>2333.0700000000002</v>
      </c>
      <c r="AH901" t="str">
        <f>IF(Transaction[[#This Row],[Quantity]]*Transaction[[#This Row],[UnitPrice_Clean]]=Transaction[[#This Row],[NetRevenue_Clean]],"Valid","Invalid")</f>
        <v>Valid</v>
      </c>
      <c r="AI901" t="s">
        <v>23</v>
      </c>
      <c r="AJ901" t="s">
        <v>1305</v>
      </c>
      <c r="AK901" t="str">
        <f>IF(Transaction[[#This Row],[Salesperson]]="","Missing Value",TRIM(PROPER(Transaction[[#This Row],[Salesperson]])))</f>
        <v>Walter</v>
      </c>
      <c r="AL901" t="s">
        <v>34</v>
      </c>
      <c r="AM901" t="str">
        <f>IF(Transaction[[#This Row],[ContractType]]="","Missing Value",Transaction[[#This Row],[ContractType]])</f>
        <v>Annual License</v>
      </c>
      <c r="AN901" t="s">
        <v>49</v>
      </c>
    </row>
    <row r="902" spans="1:40" x14ac:dyDescent="0.25">
      <c r="A902" t="s">
        <v>469</v>
      </c>
      <c r="B902" s="1">
        <v>45744</v>
      </c>
      <c r="C90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90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90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02" s="2">
        <f>IFERROR(DATE(Transaction[[#This Row],[TransactionDateY]],Transaction[[#This Row],[TransactionDateM]],Transaction[[#This Row],[TransactionDateD]]),"Missing Value")</f>
        <v>45744</v>
      </c>
      <c r="G902" t="s">
        <v>470</v>
      </c>
      <c r="H902" t="str">
        <f>IFERROR(VLOOKUP(Transaction[[#This Row],[CustomerID]],Custumer[],1,0),IF(LEN(Transaction[[#This Row],[CustomerID]])=7,LEFT(Transaction[[#This Row],[CustomerID]],6),"Invalid ID"))</f>
        <v>C-1151</v>
      </c>
      <c r="I902" t="s">
        <v>46</v>
      </c>
      <c r="J902" t="str">
        <f>TRIM(UPPER(Transaction[[#This Row],[ProductID]]))</f>
        <v>P-SI-006</v>
      </c>
      <c r="K902" t="str">
        <f>IFERROR(VLOOKUP(Transaction[[#This Row],[ProductID_Clean]],Product[],1,FALSE),"Invalid ID")</f>
        <v>P-SI-006</v>
      </c>
      <c r="L902" t="str">
        <f>TRIM(SUBSTITUTE(SUBSTITUTE(SUBSTITUTE(SUBSTITUTE(UPPER(Transaction[[#This Row],[Region]]),"EMEA REGION","EMEA"),"APAC REGION","APAC"),"NORTH AMERICA","N. AMERICA"),"N .AMERICA","N.AMERICA"))</f>
        <v>LATIN AMERICA</v>
      </c>
      <c r="M902" t="s">
        <v>82</v>
      </c>
      <c r="N902" t="s">
        <v>98</v>
      </c>
      <c r="O90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02" t="s">
        <v>22</v>
      </c>
      <c r="Q902" t="str">
        <f>IF(TRIM(Transaction[[#This Row],[SalesChannel]])="","Missing Value",TRIM(Transaction[[#This Row],[SalesChannel]]))</f>
        <v>Direct</v>
      </c>
      <c r="R902" s="4">
        <v>3</v>
      </c>
      <c r="S902" s="4" t="str">
        <f>IF(Transaction[[#This Row],[Quantity]]&lt;0,"Negative-review","Valid")</f>
        <v>Valid</v>
      </c>
      <c r="T902">
        <v>172.39</v>
      </c>
      <c r="U90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172.39</v>
      </c>
      <c r="V902">
        <v>215</v>
      </c>
      <c r="W902">
        <v>645</v>
      </c>
      <c r="X90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902">
        <f>IF(Transaction[[#This Row],[GrossRevenue_Check]]="Invalid",Transaction[[#This Row],[ListPrice]]*Transaction[[#This Row],[Quantity]],Transaction[[#This Row],[GrossRevenue_Clean]])</f>
        <v>645</v>
      </c>
      <c r="Z902" t="str">
        <f>IF(Transaction[[#This Row],[GrossRevenue_Clean]]=Transaction[[#This Row],[ListPrice]]*Transaction[[#This Row],[Quantity]],"Valid","Invalid")</f>
        <v>Valid</v>
      </c>
      <c r="AA902">
        <v>127.83</v>
      </c>
      <c r="AB90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127.83</v>
      </c>
      <c r="AC902">
        <f>IF(Transaction[[#This Row],[DiscountAmount_Check2]]="Invalid",Transaction[[#This Row],[GrossRevenue_Analytical]]-Transaction[[#This Row],[NetRevenue_Analytical]],Transaction[[#This Row],[DiscountAmount_Clean]])</f>
        <v>127.83</v>
      </c>
      <c r="AD902">
        <v>517.16999999999996</v>
      </c>
      <c r="AE902" t="str">
        <f>IF(ROUND(Transaction[[#This Row],[GrossRevenue_Analytical]]-Transaction[[#This Row],[NetRevenue_Analytical]],2)=ROUND(Transaction[[#This Row],[DiscountAmount_Clean]],2),"Valid","Invalid")</f>
        <v>Valid</v>
      </c>
      <c r="AF902">
        <f>VALUE(IF(ISNUMBER(Transaction[[#This Row],[NetRevenue]]),Transaction[[#This Row],[NetRevenue]],IFERROR(IF(FIND("$",Transaction[[#This Row],[NetRevenue]])&gt;0,MID(Transaction[[#This Row],[NetRevenue]],2,10)),Transaction[[#This Row],[NetRevenue]])))</f>
        <v>517.16999999999996</v>
      </c>
      <c r="AG902">
        <f>IF(Transaction[[#This Row],[NetRevenue_Check]]="Invalid",(Transaction[[#This Row],[Quantity]]*Transaction[[#This Row],[UnitPrice_Clean]]),Transaction[[#This Row],[NetRevenue_Clean]])</f>
        <v>517.16999999999996</v>
      </c>
      <c r="AH902" t="str">
        <f>IF(Transaction[[#This Row],[Quantity]]*Transaction[[#This Row],[UnitPrice_Clean]]=Transaction[[#This Row],[NetRevenue_Clean]],"Valid","Invalid")</f>
        <v>Valid</v>
      </c>
      <c r="AI902" t="s">
        <v>23</v>
      </c>
      <c r="AJ902" t="s">
        <v>471</v>
      </c>
      <c r="AK902" t="str">
        <f>IF(Transaction[[#This Row],[Salesperson]]="","Missing Value",TRIM(PROPER(Transaction[[#This Row],[Salesperson]])))</f>
        <v>Odom-Em</v>
      </c>
      <c r="AL902" t="s">
        <v>42</v>
      </c>
      <c r="AM902" t="str">
        <f>IF(Transaction[[#This Row],[ContractType]]="","Missing Value",Transaction[[#This Row],[ContractType]])</f>
        <v>Standard PO</v>
      </c>
      <c r="AN902" t="s">
        <v>49</v>
      </c>
    </row>
    <row r="903" spans="1:40" x14ac:dyDescent="0.25">
      <c r="A903" t="s">
        <v>1187</v>
      </c>
      <c r="B903" s="1">
        <v>45830</v>
      </c>
      <c r="C90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90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90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03" s="2">
        <f>IFERROR(DATE(Transaction[[#This Row],[TransactionDateY]],Transaction[[#This Row],[TransactionDateM]],Transaction[[#This Row],[TransactionDateD]]),"Missing Value")</f>
        <v>45830</v>
      </c>
      <c r="G903" t="s">
        <v>38</v>
      </c>
      <c r="H903" t="str">
        <f>IFERROR(VLOOKUP(Transaction[[#This Row],[CustomerID]],Custumer[],1,0),IF(LEN(Transaction[[#This Row],[CustomerID]])=7,LEFT(Transaction[[#This Row],[CustomerID]],6),"Invalid ID"))</f>
        <v>C-1027</v>
      </c>
      <c r="I903" t="s">
        <v>52</v>
      </c>
      <c r="J903" t="str">
        <f>TRIM(UPPER(Transaction[[#This Row],[ProductID]]))</f>
        <v>P-SI-002</v>
      </c>
      <c r="K903" t="str">
        <f>IFERROR(VLOOKUP(Transaction[[#This Row],[ProductID_Clean]],Product[],1,FALSE),"Invalid ID")</f>
        <v>P-SI-002</v>
      </c>
      <c r="L903" t="str">
        <f>TRIM(SUBSTITUTE(SUBSTITUTE(SUBSTITUTE(SUBSTITUTE(UPPER(Transaction[[#This Row],[Region]]),"EMEA REGION","EMEA"),"APAC REGION","APAC"),"NORTH AMERICA","N. AMERICA"),"N .AMERICA","N.AMERICA"))</f>
        <v>N. AMERICA</v>
      </c>
      <c r="M903" t="s">
        <v>20</v>
      </c>
      <c r="N903" t="s">
        <v>53</v>
      </c>
      <c r="O90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03" t="s">
        <v>22</v>
      </c>
      <c r="Q903" t="str">
        <f>IF(TRIM(Transaction[[#This Row],[SalesChannel]])="","Missing Value",TRIM(Transaction[[#This Row],[SalesChannel]]))</f>
        <v>Direct</v>
      </c>
      <c r="R903" s="4">
        <v>15</v>
      </c>
      <c r="S903" s="4" t="str">
        <f>IF(Transaction[[#This Row],[Quantity]]&lt;0,"Negative-review","Valid")</f>
        <v>Valid</v>
      </c>
      <c r="T903">
        <v>618.79</v>
      </c>
      <c r="U90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618.79</v>
      </c>
      <c r="V903">
        <v>725</v>
      </c>
      <c r="W903">
        <v>10875</v>
      </c>
      <c r="X90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10875</v>
      </c>
      <c r="Y903">
        <f>IF(Transaction[[#This Row],[GrossRevenue_Check]]="Invalid",Transaction[[#This Row],[ListPrice]]*Transaction[[#This Row],[Quantity]],Transaction[[#This Row],[GrossRevenue_Clean]])</f>
        <v>10875</v>
      </c>
      <c r="Z903" t="str">
        <f>IF(Transaction[[#This Row],[GrossRevenue_Clean]]=Transaction[[#This Row],[ListPrice]]*Transaction[[#This Row],[Quantity]],"Valid","Invalid")</f>
        <v>Valid</v>
      </c>
      <c r="AA903" t="s">
        <v>1188</v>
      </c>
      <c r="AB90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1593.15</v>
      </c>
      <c r="AC903">
        <f>IF(Transaction[[#This Row],[DiscountAmount_Check2]]="Invalid",Transaction[[#This Row],[GrossRevenue_Analytical]]-Transaction[[#This Row],[NetRevenue_Analytical]],Transaction[[#This Row],[DiscountAmount_Clean]])</f>
        <v>1593.15</v>
      </c>
      <c r="AD903">
        <v>9281.85</v>
      </c>
      <c r="AE903" t="str">
        <f>IF(ROUND(Transaction[[#This Row],[GrossRevenue_Analytical]]-Transaction[[#This Row],[NetRevenue_Analytical]],2)=ROUND(Transaction[[#This Row],[DiscountAmount_Clean]],2),"Valid","Invalid")</f>
        <v>Valid</v>
      </c>
      <c r="AF903">
        <f>VALUE(IF(ISNUMBER(Transaction[[#This Row],[NetRevenue]]),Transaction[[#This Row],[NetRevenue]],IFERROR(IF(FIND("$",Transaction[[#This Row],[NetRevenue]])&gt;0,MID(Transaction[[#This Row],[NetRevenue]],2,10)),Transaction[[#This Row],[NetRevenue]])))</f>
        <v>9281.85</v>
      </c>
      <c r="AG903">
        <f>IF(Transaction[[#This Row],[NetRevenue_Check]]="Invalid",(Transaction[[#This Row],[Quantity]]*Transaction[[#This Row],[UnitPrice_Clean]]),Transaction[[#This Row],[NetRevenue_Clean]])</f>
        <v>9281.85</v>
      </c>
      <c r="AH903" t="str">
        <f>IF(Transaction[[#This Row],[Quantity]]*Transaction[[#This Row],[UnitPrice_Clean]]=Transaction[[#This Row],[NetRevenue_Clean]],"Valid","Invalid")</f>
        <v>Valid</v>
      </c>
      <c r="AI903" t="s">
        <v>23</v>
      </c>
      <c r="AJ903" t="s">
        <v>1189</v>
      </c>
      <c r="AK903" t="str">
        <f>IF(Transaction[[#This Row],[Salesperson]]="","Missing Value",TRIM(PROPER(Transaction[[#This Row],[Salesperson]])))</f>
        <v>Boyd</v>
      </c>
      <c r="AL903" t="s">
        <v>25</v>
      </c>
      <c r="AM903" t="str">
        <f>IF(Transaction[[#This Row],[ContractType]]="","Missing Value",Transaction[[#This Row],[ContractType]])</f>
        <v>Frame Agreement</v>
      </c>
      <c r="AN903" t="s">
        <v>43</v>
      </c>
    </row>
    <row r="904" spans="1:40" x14ac:dyDescent="0.25">
      <c r="A904" t="s">
        <v>1826</v>
      </c>
      <c r="B904" s="1">
        <v>45702</v>
      </c>
      <c r="C90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90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90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04" s="2">
        <f>IFERROR(DATE(Transaction[[#This Row],[TransactionDateY]],Transaction[[#This Row],[TransactionDateM]],Transaction[[#This Row],[TransactionDateD]]),"Missing Value")</f>
        <v>45702</v>
      </c>
      <c r="G904" t="s">
        <v>1660</v>
      </c>
      <c r="H904" t="str">
        <f>IFERROR(VLOOKUP(Transaction[[#This Row],[CustomerID]],Custumer[],1,0),IF(LEN(Transaction[[#This Row],[CustomerID]])=7,LEFT(Transaction[[#This Row],[CustomerID]],6),"Invalid ID"))</f>
        <v>C-1117</v>
      </c>
      <c r="I904" t="s">
        <v>97</v>
      </c>
      <c r="J904" t="str">
        <f>TRIM(UPPER(Transaction[[#This Row],[ProductID]]))</f>
        <v>P-SI-001</v>
      </c>
      <c r="K904" t="str">
        <f>IFERROR(VLOOKUP(Transaction[[#This Row],[ProductID_Clean]],Product[],1,FALSE),"Invalid ID")</f>
        <v>P-SI-001</v>
      </c>
      <c r="L904" t="str">
        <f>TRIM(SUBSTITUTE(SUBSTITUTE(SUBSTITUTE(SUBSTITUTE(UPPER(Transaction[[#This Row],[Region]]),"EMEA REGION","EMEA"),"APAC REGION","APAC"),"NORTH AMERICA","N. AMERICA"),"N .AMERICA","N.AMERICA"))</f>
        <v>LATIN AMERICA</v>
      </c>
      <c r="M904" t="s">
        <v>82</v>
      </c>
      <c r="N904" t="s">
        <v>53</v>
      </c>
      <c r="O90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04" t="s">
        <v>22</v>
      </c>
      <c r="Q904" t="str">
        <f>IF(TRIM(Transaction[[#This Row],[SalesChannel]])="","Missing Value",TRIM(Transaction[[#This Row],[SalesChannel]]))</f>
        <v>Direct</v>
      </c>
      <c r="R904" s="4">
        <v>10</v>
      </c>
      <c r="S904" s="4" t="str">
        <f>IF(Transaction[[#This Row],[Quantity]]&lt;0,"Negative-review","Valid")</f>
        <v>Valid</v>
      </c>
      <c r="T904">
        <v>421.7</v>
      </c>
      <c r="U90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421.7</v>
      </c>
      <c r="V904">
        <v>485</v>
      </c>
      <c r="W904">
        <v>4850</v>
      </c>
      <c r="X90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4850</v>
      </c>
      <c r="Y904">
        <f>IF(Transaction[[#This Row],[GrossRevenue_Check]]="Invalid",Transaction[[#This Row],[ListPrice]]*Transaction[[#This Row],[Quantity]],Transaction[[#This Row],[GrossRevenue_Clean]])</f>
        <v>4850</v>
      </c>
      <c r="Z904" t="str">
        <f>IF(Transaction[[#This Row],[GrossRevenue_Clean]]=Transaction[[#This Row],[ListPrice]]*Transaction[[#This Row],[Quantity]],"Valid","Invalid")</f>
        <v>Valid</v>
      </c>
      <c r="AA904">
        <v>633</v>
      </c>
      <c r="AB90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633</v>
      </c>
      <c r="AC904">
        <f>IF(Transaction[[#This Row],[DiscountAmount_Check2]]="Invalid",Transaction[[#This Row],[GrossRevenue_Analytical]]-Transaction[[#This Row],[NetRevenue_Analytical]],Transaction[[#This Row],[DiscountAmount_Clean]])</f>
        <v>633</v>
      </c>
      <c r="AD904">
        <v>4217</v>
      </c>
      <c r="AE904" t="str">
        <f>IF(ROUND(Transaction[[#This Row],[GrossRevenue_Analytical]]-Transaction[[#This Row],[NetRevenue_Analytical]],2)=ROUND(Transaction[[#This Row],[DiscountAmount_Clean]],2),"Valid","Invalid")</f>
        <v>Valid</v>
      </c>
      <c r="AF904">
        <f>VALUE(IF(ISNUMBER(Transaction[[#This Row],[NetRevenue]]),Transaction[[#This Row],[NetRevenue]],IFERROR(IF(FIND("$",Transaction[[#This Row],[NetRevenue]])&gt;0,MID(Transaction[[#This Row],[NetRevenue]],2,10)),Transaction[[#This Row],[NetRevenue]])))</f>
        <v>4217</v>
      </c>
      <c r="AG904">
        <f>IF(Transaction[[#This Row],[NetRevenue_Check]]="Invalid",(Transaction[[#This Row],[Quantity]]*Transaction[[#This Row],[UnitPrice_Clean]]),Transaction[[#This Row],[NetRevenue_Clean]])</f>
        <v>4217</v>
      </c>
      <c r="AH904" t="str">
        <f>IF(Transaction[[#This Row],[Quantity]]*Transaction[[#This Row],[UnitPrice_Clean]]=Transaction[[#This Row],[NetRevenue_Clean]],"Valid","Invalid")</f>
        <v>Valid</v>
      </c>
      <c r="AI904" t="s">
        <v>99</v>
      </c>
      <c r="AJ904" t="s">
        <v>1827</v>
      </c>
      <c r="AK904" t="str">
        <f>IF(Transaction[[#This Row],[Salesperson]]="","Missing Value",TRIM(PROPER(Transaction[[#This Row],[Salesperson]])))</f>
        <v>Gutierrez-Em</v>
      </c>
      <c r="AL904" t="s">
        <v>55</v>
      </c>
      <c r="AM904" t="str">
        <f>IF(Transaction[[#This Row],[ContractType]]="","Missing Value",Transaction[[#This Row],[ContractType]])</f>
        <v>Spot</v>
      </c>
      <c r="AN904" t="s">
        <v>43</v>
      </c>
    </row>
    <row r="905" spans="1:40" x14ac:dyDescent="0.25">
      <c r="A905" t="s">
        <v>2519</v>
      </c>
      <c r="B905" s="1">
        <v>45821</v>
      </c>
      <c r="C90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90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90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05" s="2">
        <f>IFERROR(DATE(Transaction[[#This Row],[TransactionDateY]],Transaction[[#This Row],[TransactionDateM]],Transaction[[#This Row],[TransactionDateD]]),"Missing Value")</f>
        <v>45821</v>
      </c>
      <c r="G905" t="s">
        <v>1133</v>
      </c>
      <c r="H905" t="str">
        <f>IFERROR(VLOOKUP(Transaction[[#This Row],[CustomerID]],Custumer[],1,0),IF(LEN(Transaction[[#This Row],[CustomerID]])=7,LEFT(Transaction[[#This Row],[CustomerID]],6),"Invalid ID"))</f>
        <v>C-1058</v>
      </c>
      <c r="I905" t="s">
        <v>121</v>
      </c>
      <c r="J905" t="str">
        <f>TRIM(UPPER(Transaction[[#This Row],[ProductID]]))</f>
        <v>P-FS-001</v>
      </c>
      <c r="K905" t="str">
        <f>IFERROR(VLOOKUP(Transaction[[#This Row],[ProductID_Clean]],Product[],1,FALSE),"Invalid ID")</f>
        <v>P-FS-001</v>
      </c>
      <c r="L905" t="str">
        <f>TRIM(SUBSTITUTE(SUBSTITUTE(SUBSTITUTE(SUBSTITUTE(UPPER(Transaction[[#This Row],[Region]]),"EMEA REGION","EMEA"),"APAC REGION","APAC"),"NORTH AMERICA","N. AMERICA"),"N .AMERICA","N.AMERICA"))</f>
        <v>EMEA</v>
      </c>
      <c r="M905" t="s">
        <v>76</v>
      </c>
      <c r="N905" t="s">
        <v>21</v>
      </c>
      <c r="O90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905" t="s">
        <v>22</v>
      </c>
      <c r="Q905" t="str">
        <f>IF(TRIM(Transaction[[#This Row],[SalesChannel]])="","Missing Value",TRIM(Transaction[[#This Row],[SalesChannel]]))</f>
        <v>Direct</v>
      </c>
      <c r="R905" s="4">
        <v>1</v>
      </c>
      <c r="S905" s="4" t="str">
        <f>IF(Transaction[[#This Row],[Quantity]]&lt;0,"Negative-review","Valid")</f>
        <v>Valid</v>
      </c>
      <c r="T905">
        <v>1567.76</v>
      </c>
      <c r="U90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1567.76</v>
      </c>
      <c r="V905">
        <v>1850</v>
      </c>
      <c r="W905">
        <v>1850</v>
      </c>
      <c r="X90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905">
        <f>IF(Transaction[[#This Row],[GrossRevenue_Check]]="Invalid",Transaction[[#This Row],[ListPrice]]*Transaction[[#This Row],[Quantity]],Transaction[[#This Row],[GrossRevenue_Clean]])</f>
        <v>1850</v>
      </c>
      <c r="Z905" t="str">
        <f>IF(Transaction[[#This Row],[GrossRevenue_Clean]]=Transaction[[#This Row],[ListPrice]]*Transaction[[#This Row],[Quantity]],"Valid","Invalid")</f>
        <v>Valid</v>
      </c>
      <c r="AA905">
        <v>282.24</v>
      </c>
      <c r="AB90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282.24</v>
      </c>
      <c r="AC905">
        <f>IF(Transaction[[#This Row],[DiscountAmount_Check2]]="Invalid",Transaction[[#This Row],[GrossRevenue_Analytical]]-Transaction[[#This Row],[NetRevenue_Analytical]],Transaction[[#This Row],[DiscountAmount_Clean]])</f>
        <v>282.24</v>
      </c>
      <c r="AD905">
        <v>1567.76</v>
      </c>
      <c r="AE905" t="str">
        <f>IF(ROUND(Transaction[[#This Row],[GrossRevenue_Analytical]]-Transaction[[#This Row],[NetRevenue_Analytical]],2)=ROUND(Transaction[[#This Row],[DiscountAmount_Clean]],2),"Valid","Invalid")</f>
        <v>Valid</v>
      </c>
      <c r="AF90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1567.76</v>
      </c>
      <c r="AG905">
        <f>IF(Transaction[[#This Row],[NetRevenue_Check]]="Invalid",(Transaction[[#This Row],[Quantity]]*Transaction[[#This Row],[UnitPrice_Clean]]),Transaction[[#This Row],[NetRevenue_Clean]])</f>
        <v>1567.76</v>
      </c>
      <c r="AH905" t="str">
        <f>IF(Transaction[[#This Row],[Quantity]]*Transaction[[#This Row],[UnitPrice_Clean]]=Transaction[[#This Row],[NetRevenue_Clean]],"Valid","Invalid")</f>
        <v>Valid</v>
      </c>
      <c r="AI905" t="s">
        <v>23</v>
      </c>
      <c r="AJ905" t="s">
        <v>2520</v>
      </c>
      <c r="AK905" t="str">
        <f>IF(Transaction[[#This Row],[Salesperson]]="","Missing Value",TRIM(PROPER(Transaction[[#This Row],[Salesperson]])))</f>
        <v>Hill-Na</v>
      </c>
      <c r="AL905" t="s">
        <v>25</v>
      </c>
      <c r="AM905" t="str">
        <f>IF(Transaction[[#This Row],[ContractType]]="","Missing Value",Transaction[[#This Row],[ContractType]])</f>
        <v>Frame Agreement</v>
      </c>
      <c r="AN905" t="s">
        <v>49</v>
      </c>
    </row>
    <row r="906" spans="1:40" x14ac:dyDescent="0.25">
      <c r="A906" t="s">
        <v>1888</v>
      </c>
      <c r="B906" s="1">
        <v>45767</v>
      </c>
      <c r="C90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90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90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06" s="2">
        <f>IFERROR(DATE(Transaction[[#This Row],[TransactionDateY]],Transaction[[#This Row],[TransactionDateM]],Transaction[[#This Row],[TransactionDateD]]),"Missing Value")</f>
        <v>45767</v>
      </c>
      <c r="G906" t="s">
        <v>284</v>
      </c>
      <c r="H906" t="str">
        <f>IFERROR(VLOOKUP(Transaction[[#This Row],[CustomerID]],Custumer[],1,0),IF(LEN(Transaction[[#This Row],[CustomerID]])=7,LEFT(Transaction[[#This Row],[CustomerID]],6),"Invalid ID"))</f>
        <v>C-1101</v>
      </c>
      <c r="I906" t="s">
        <v>58</v>
      </c>
      <c r="J906" t="str">
        <f>TRIM(UPPER(Transaction[[#This Row],[ProductID]]))</f>
        <v>P-SI-005</v>
      </c>
      <c r="K906" t="str">
        <f>IFERROR(VLOOKUP(Transaction[[#This Row],[ProductID_Clean]],Product[],1,FALSE),"Invalid ID")</f>
        <v>P-SI-005</v>
      </c>
      <c r="L906" t="str">
        <f>TRIM(SUBSTITUTE(SUBSTITUTE(SUBSTITUTE(SUBSTITUTE(UPPER(Transaction[[#This Row],[Region]]),"EMEA REGION","EMEA"),"APAC REGION","APAC"),"NORTH AMERICA","N. AMERICA"),"N .AMERICA","N.AMERICA"))</f>
        <v>EMEA</v>
      </c>
      <c r="M906" t="s">
        <v>683</v>
      </c>
      <c r="N906" t="s">
        <v>53</v>
      </c>
      <c r="O90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06" t="s">
        <v>181</v>
      </c>
      <c r="Q906" t="str">
        <f>IF(TRIM(Transaction[[#This Row],[SalesChannel]])="","Missing Value",TRIM(Transaction[[#This Row],[SalesChannel]]))</f>
        <v>Partner Portal</v>
      </c>
      <c r="R906" s="4">
        <v>2</v>
      </c>
      <c r="S906" s="4" t="str">
        <f>IF(Transaction[[#This Row],[Quantity]]&lt;0,"Negative-review","Valid")</f>
        <v>Valid</v>
      </c>
      <c r="T906">
        <v>948.47</v>
      </c>
      <c r="U90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948.47</v>
      </c>
      <c r="V906">
        <v>1120</v>
      </c>
      <c r="W906">
        <v>2240</v>
      </c>
      <c r="X90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2240</v>
      </c>
      <c r="Y906">
        <f>IF(Transaction[[#This Row],[GrossRevenue_Check]]="Invalid",Transaction[[#This Row],[ListPrice]]*Transaction[[#This Row],[Quantity]],Transaction[[#This Row],[GrossRevenue_Clean]])</f>
        <v>2240</v>
      </c>
      <c r="Z906" t="str">
        <f>IF(Transaction[[#This Row],[GrossRevenue_Clean]]=Transaction[[#This Row],[ListPrice]]*Transaction[[#This Row],[Quantity]],"Valid","Invalid")</f>
        <v>Valid</v>
      </c>
      <c r="AA906">
        <v>343.06</v>
      </c>
      <c r="AB90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343.06</v>
      </c>
      <c r="AC906">
        <f>IF(Transaction[[#This Row],[DiscountAmount_Check2]]="Invalid",Transaction[[#This Row],[GrossRevenue_Analytical]]-Transaction[[#This Row],[NetRevenue_Analytical]],Transaction[[#This Row],[DiscountAmount_Clean]])</f>
        <v>343.06</v>
      </c>
      <c r="AD906">
        <v>1896.94</v>
      </c>
      <c r="AE906" t="str">
        <f>IF(ROUND(Transaction[[#This Row],[GrossRevenue_Analytical]]-Transaction[[#This Row],[NetRevenue_Analytical]],2)=ROUND(Transaction[[#This Row],[DiscountAmount_Clean]],2),"Valid","Invalid")</f>
        <v>Valid</v>
      </c>
      <c r="AF90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1896.94</v>
      </c>
      <c r="AG906">
        <f>IF(Transaction[[#This Row],[NetRevenue_Check]]="Invalid",(Transaction[[#This Row],[Quantity]]*Transaction[[#This Row],[UnitPrice_Clean]]),Transaction[[#This Row],[NetRevenue_Clean]])</f>
        <v>1896.94</v>
      </c>
      <c r="AH906" t="str">
        <f>IF(Transaction[[#This Row],[Quantity]]*Transaction[[#This Row],[UnitPrice_Clean]]=Transaction[[#This Row],[NetRevenue_Clean]],"Valid","Invalid")</f>
        <v>Valid</v>
      </c>
      <c r="AI906" t="s">
        <v>23</v>
      </c>
      <c r="AJ906" t="s">
        <v>1889</v>
      </c>
      <c r="AK906" t="str">
        <f>IF(Transaction[[#This Row],[Salesperson]]="","Missing Value",TRIM(PROPER(Transaction[[#This Row],[Salesperson]])))</f>
        <v>Hawkins-Em</v>
      </c>
      <c r="AL906" t="s">
        <v>42</v>
      </c>
      <c r="AM906" t="str">
        <f>IF(Transaction[[#This Row],[ContractType]]="","Missing Value",Transaction[[#This Row],[ContractType]])</f>
        <v>Standard PO</v>
      </c>
      <c r="AN906" t="s">
        <v>35</v>
      </c>
    </row>
    <row r="907" spans="1:40" x14ac:dyDescent="0.25">
      <c r="A907" t="s">
        <v>2184</v>
      </c>
      <c r="B907" s="1">
        <v>45741</v>
      </c>
      <c r="C90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90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90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07" s="2">
        <f>IFERROR(DATE(Transaction[[#This Row],[TransactionDateY]],Transaction[[#This Row],[TransactionDateM]],Transaction[[#This Row],[TransactionDateD]]),"Missing Value")</f>
        <v>45741</v>
      </c>
      <c r="G907" t="s">
        <v>190</v>
      </c>
      <c r="H907" t="str">
        <f>IFERROR(VLOOKUP(Transaction[[#This Row],[CustomerID]],Custumer[],1,0),IF(LEN(Transaction[[#This Row],[CustomerID]])=7,LEFT(Transaction[[#This Row],[CustomerID]],6),"Invalid ID"))</f>
        <v>C-1082</v>
      </c>
      <c r="I907" t="s">
        <v>97</v>
      </c>
      <c r="J907" t="str">
        <f>TRIM(UPPER(Transaction[[#This Row],[ProductID]]))</f>
        <v>P-SI-001</v>
      </c>
      <c r="K907" t="str">
        <f>IFERROR(VLOOKUP(Transaction[[#This Row],[ProductID_Clean]],Product[],1,FALSE),"Invalid ID")</f>
        <v>P-SI-001</v>
      </c>
      <c r="L907" t="str">
        <f>TRIM(SUBSTITUTE(SUBSTITUTE(SUBSTITUTE(SUBSTITUTE(UPPER(Transaction[[#This Row],[Region]]),"EMEA REGION","EMEA"),"APAC REGION","APAC"),"NORTH AMERICA","N. AMERICA"),"N .AMERICA","N.AMERICA"))</f>
        <v>N. AMERICA</v>
      </c>
      <c r="M907" t="s">
        <v>20</v>
      </c>
      <c r="N907" t="s">
        <v>272</v>
      </c>
      <c r="O90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07" t="s">
        <v>40</v>
      </c>
      <c r="Q907" t="str">
        <f>IF(TRIM(Transaction[[#This Row],[SalesChannel]])="","Missing Value",TRIM(Transaction[[#This Row],[SalesChannel]]))</f>
        <v>Distributor</v>
      </c>
      <c r="R907" s="4">
        <v>3</v>
      </c>
      <c r="S907" s="4" t="str">
        <f>IF(Transaction[[#This Row],[Quantity]]&lt;0,"Negative-review","Valid")</f>
        <v>Valid</v>
      </c>
      <c r="T907">
        <v>353.04</v>
      </c>
      <c r="U90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353.04</v>
      </c>
      <c r="V907">
        <v>485</v>
      </c>
      <c r="W907">
        <v>1455</v>
      </c>
      <c r="X90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907">
        <f>IF(Transaction[[#This Row],[GrossRevenue_Check]]="Invalid",Transaction[[#This Row],[ListPrice]]*Transaction[[#This Row],[Quantity]],Transaction[[#This Row],[GrossRevenue_Clean]])</f>
        <v>1455</v>
      </c>
      <c r="Z907" t="str">
        <f>IF(Transaction[[#This Row],[GrossRevenue_Clean]]=Transaction[[#This Row],[ListPrice]]*Transaction[[#This Row],[Quantity]],"Valid","Invalid")</f>
        <v>Valid</v>
      </c>
      <c r="AA907">
        <v>395.88</v>
      </c>
      <c r="AB90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395.88</v>
      </c>
      <c r="AC907">
        <f>IF(Transaction[[#This Row],[DiscountAmount_Check2]]="Invalid",Transaction[[#This Row],[GrossRevenue_Analytical]]-Transaction[[#This Row],[NetRevenue_Analytical]],Transaction[[#This Row],[DiscountAmount_Clean]])</f>
        <v>395.88</v>
      </c>
      <c r="AD907">
        <v>1059.1199999999999</v>
      </c>
      <c r="AE907" t="str">
        <f>IF(ROUND(Transaction[[#This Row],[GrossRevenue_Analytical]]-Transaction[[#This Row],[NetRevenue_Analytical]],2)=ROUND(Transaction[[#This Row],[DiscountAmount_Clean]],2),"Valid","Invalid")</f>
        <v>Valid</v>
      </c>
      <c r="AF90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1059.1199999999999</v>
      </c>
      <c r="AG907">
        <f>IF(Transaction[[#This Row],[NetRevenue_Check]]="Invalid",(Transaction[[#This Row],[Quantity]]*Transaction[[#This Row],[UnitPrice_Clean]]),Transaction[[#This Row],[NetRevenue_Clean]])</f>
        <v>1059.1199999999999</v>
      </c>
      <c r="AH907" t="str">
        <f>IF(Transaction[[#This Row],[Quantity]]*Transaction[[#This Row],[UnitPrice_Clean]]=Transaction[[#This Row],[NetRevenue_Clean]],"Valid","Invalid")</f>
        <v>Valid</v>
      </c>
      <c r="AI907" t="s">
        <v>23</v>
      </c>
      <c r="AJ907" t="s">
        <v>1124</v>
      </c>
      <c r="AK907" t="str">
        <f>IF(Transaction[[#This Row],[Salesperson]]="","Missing Value",TRIM(PROPER(Transaction[[#This Row],[Salesperson]])))</f>
        <v>Vargas</v>
      </c>
      <c r="AL907" t="s">
        <v>42</v>
      </c>
      <c r="AM907" t="str">
        <f>IF(Transaction[[#This Row],[ContractType]]="","Missing Value",Transaction[[#This Row],[ContractType]])</f>
        <v>Standard PO</v>
      </c>
      <c r="AN907" t="s">
        <v>65</v>
      </c>
    </row>
    <row r="908" spans="1:40" x14ac:dyDescent="0.25">
      <c r="A908" t="s">
        <v>60</v>
      </c>
      <c r="B908" s="1">
        <v>45760</v>
      </c>
      <c r="C90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90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90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08" s="2">
        <f>IFERROR(DATE(Transaction[[#This Row],[TransactionDateY]],Transaction[[#This Row],[TransactionDateM]],Transaction[[#This Row],[TransactionDateD]]),"Missing Value")</f>
        <v>45760</v>
      </c>
      <c r="G908" t="s">
        <v>61</v>
      </c>
      <c r="H908" t="str">
        <f>IFERROR(VLOOKUP(Transaction[[#This Row],[CustomerID]],Custumer[],1,0),IF(LEN(Transaction[[#This Row],[CustomerID]])=7,LEFT(Transaction[[#This Row],[CustomerID]],6),"Invalid ID"))</f>
        <v>C-1108</v>
      </c>
      <c r="I908" t="s">
        <v>62</v>
      </c>
      <c r="J908" t="str">
        <f>TRIM(UPPER(Transaction[[#This Row],[ProductID]]))</f>
        <v>P-SI-004</v>
      </c>
      <c r="K908" t="str">
        <f>IFERROR(VLOOKUP(Transaction[[#This Row],[ProductID_Clean]],Product[],1,FALSE),"Invalid ID")</f>
        <v>P-SI-004</v>
      </c>
      <c r="L908" t="str">
        <f>TRIM(SUBSTITUTE(SUBSTITUTE(SUBSTITUTE(SUBSTITUTE(UPPER(Transaction[[#This Row],[Region]]),"EMEA REGION","EMEA"),"APAC REGION","APAC"),"NORTH AMERICA","N. AMERICA"),"N .AMERICA","N.AMERICA"))</f>
        <v>APAC</v>
      </c>
      <c r="M908" t="s">
        <v>63</v>
      </c>
      <c r="N908" t="s">
        <v>53</v>
      </c>
      <c r="O90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08" t="s">
        <v>40</v>
      </c>
      <c r="Q908" t="str">
        <f>IF(TRIM(Transaction[[#This Row],[SalesChannel]])="","Missing Value",TRIM(Transaction[[#This Row],[SalesChannel]]))</f>
        <v>Distributor</v>
      </c>
      <c r="R908" s="4">
        <v>1</v>
      </c>
      <c r="S908" s="4" t="str">
        <f>IF(Transaction[[#This Row],[Quantity]]&lt;0,"Negative-review","Valid")</f>
        <v>Valid</v>
      </c>
      <c r="T908">
        <v>1899.32</v>
      </c>
      <c r="U90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1899.32</v>
      </c>
      <c r="V908">
        <v>2450</v>
      </c>
      <c r="W908">
        <v>2450</v>
      </c>
      <c r="X90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908">
        <f>IF(Transaction[[#This Row],[GrossRevenue_Check]]="Invalid",Transaction[[#This Row],[ListPrice]]*Transaction[[#This Row],[Quantity]],Transaction[[#This Row],[GrossRevenue_Clean]])</f>
        <v>2450</v>
      </c>
      <c r="Z908" t="str">
        <f>IF(Transaction[[#This Row],[GrossRevenue_Clean]]=Transaction[[#This Row],[ListPrice]]*Transaction[[#This Row],[Quantity]],"Valid","Invalid")</f>
        <v>Valid</v>
      </c>
      <c r="AA908">
        <v>550.67999999999995</v>
      </c>
      <c r="AB90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550.67999999999995</v>
      </c>
      <c r="AC908">
        <f>IF(Transaction[[#This Row],[DiscountAmount_Check2]]="Invalid",Transaction[[#This Row],[GrossRevenue_Analytical]]-Transaction[[#This Row],[NetRevenue_Analytical]],Transaction[[#This Row],[DiscountAmount_Clean]])</f>
        <v>550.67999999999995</v>
      </c>
      <c r="AD908">
        <v>1899.32</v>
      </c>
      <c r="AE908" t="str">
        <f>IF(ROUND(Transaction[[#This Row],[GrossRevenue_Analytical]]-Transaction[[#This Row],[NetRevenue_Analytical]],2)=ROUND(Transaction[[#This Row],[DiscountAmount_Clean]],2),"Valid","Invalid")</f>
        <v>Valid</v>
      </c>
      <c r="AF90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1899.32</v>
      </c>
      <c r="AG908">
        <f>IF(Transaction[[#This Row],[NetRevenue_Check]]="Invalid",(Transaction[[#This Row],[Quantity]]*Transaction[[#This Row],[UnitPrice_Clean]]),Transaction[[#This Row],[NetRevenue_Clean]])</f>
        <v>1899.32</v>
      </c>
      <c r="AH908" t="str">
        <f>IF(Transaction[[#This Row],[Quantity]]*Transaction[[#This Row],[UnitPrice_Clean]]=Transaction[[#This Row],[NetRevenue_Clean]],"Valid","Invalid")</f>
        <v>Valid</v>
      </c>
      <c r="AI908" t="s">
        <v>23</v>
      </c>
      <c r="AJ908" t="s">
        <v>64</v>
      </c>
      <c r="AK908" t="str">
        <f>IF(Transaction[[#This Row],[Salesperson]]="","Missing Value",TRIM(PROPER(Transaction[[#This Row],[Salesperson]])))</f>
        <v>Moss-Ap</v>
      </c>
      <c r="AL908" t="s">
        <v>42</v>
      </c>
      <c r="AM908" t="str">
        <f>IF(Transaction[[#This Row],[ContractType]]="","Missing Value",Transaction[[#This Row],[ContractType]])</f>
        <v>Standard PO</v>
      </c>
      <c r="AN908" t="s">
        <v>65</v>
      </c>
    </row>
    <row r="909" spans="1:40" x14ac:dyDescent="0.25">
      <c r="A909" t="s">
        <v>1348</v>
      </c>
      <c r="B909" t="s">
        <v>1349</v>
      </c>
      <c r="C90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90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90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09" s="2">
        <f>IFERROR(DATE(Transaction[[#This Row],[TransactionDateY]],Transaction[[#This Row],[TransactionDateM]],Transaction[[#This Row],[TransactionDateD]]),"Missing Value")</f>
        <v>45682</v>
      </c>
      <c r="G909" t="s">
        <v>795</v>
      </c>
      <c r="H909" t="str">
        <f>IFERROR(VLOOKUP(Transaction[[#This Row],[CustomerID]],Custumer[],1,0),IF(LEN(Transaction[[#This Row],[CustomerID]])=7,LEFT(Transaction[[#This Row],[CustomerID]],6),"Invalid ID"))</f>
        <v>C-1118</v>
      </c>
      <c r="I909" t="s">
        <v>29</v>
      </c>
      <c r="J909" t="str">
        <f>TRIM(UPPER(Transaction[[#This Row],[ProductID]]))</f>
        <v>P-SA-001</v>
      </c>
      <c r="K909" t="str">
        <f>IFERROR(VLOOKUP(Transaction[[#This Row],[ProductID_Clean]],Product[],1,FALSE),"Invalid ID")</f>
        <v>P-SA-001</v>
      </c>
      <c r="L909" t="str">
        <f>TRIM(SUBSTITUTE(SUBSTITUTE(SUBSTITUTE(SUBSTITUTE(UPPER(Transaction[[#This Row],[Region]]),"EMEA REGION","EMEA"),"APAC REGION","APAC"),"NORTH AMERICA","N. AMERICA"),"N .AMERICA","N.AMERICA"))</f>
        <v>N. AMERICA</v>
      </c>
      <c r="M909" t="s">
        <v>20</v>
      </c>
      <c r="N909" t="s">
        <v>31</v>
      </c>
      <c r="O90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909" t="s">
        <v>40</v>
      </c>
      <c r="Q909" t="str">
        <f>IF(TRIM(Transaction[[#This Row],[SalesChannel]])="","Missing Value",TRIM(Transaction[[#This Row],[SalesChannel]]))</f>
        <v>Distributor</v>
      </c>
      <c r="R909" s="4">
        <v>1</v>
      </c>
      <c r="S909" s="4" t="str">
        <f>IF(Transaction[[#This Row],[Quantity]]&lt;0,"Negative-review","Valid")</f>
        <v>Valid</v>
      </c>
      <c r="T909">
        <v>3729.54</v>
      </c>
      <c r="U90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3729.54</v>
      </c>
      <c r="V909">
        <v>4200</v>
      </c>
      <c r="W909">
        <v>4200</v>
      </c>
      <c r="X90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909">
        <f>IF(Transaction[[#This Row],[GrossRevenue_Check]]="Invalid",Transaction[[#This Row],[ListPrice]]*Transaction[[#This Row],[Quantity]],Transaction[[#This Row],[GrossRevenue_Clean]])</f>
        <v>4200</v>
      </c>
      <c r="Z909" t="str">
        <f>IF(Transaction[[#This Row],[GrossRevenue_Clean]]=Transaction[[#This Row],[ListPrice]]*Transaction[[#This Row],[Quantity]],"Valid","Invalid")</f>
        <v>Valid</v>
      </c>
      <c r="AA909">
        <v>470.46</v>
      </c>
      <c r="AB90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470.46</v>
      </c>
      <c r="AC909">
        <f>IF(Transaction[[#This Row],[DiscountAmount_Check2]]="Invalid",Transaction[[#This Row],[GrossRevenue_Analytical]]-Transaction[[#This Row],[NetRevenue_Analytical]],Transaction[[#This Row],[DiscountAmount_Clean]])</f>
        <v>470.46</v>
      </c>
      <c r="AD909">
        <v>3729.54</v>
      </c>
      <c r="AE909" t="str">
        <f>IF(ROUND(Transaction[[#This Row],[GrossRevenue_Analytical]]-Transaction[[#This Row],[NetRevenue_Analytical]],2)=ROUND(Transaction[[#This Row],[DiscountAmount_Clean]],2),"Valid","Invalid")</f>
        <v>Valid</v>
      </c>
      <c r="AF909">
        <f>VALUE(IF(ISNUMBER(Transaction[[#This Row],[NetRevenue]]),Transaction[[#This Row],[NetRevenue]],IFERROR(IF(FIND("$",Transaction[[#This Row],[NetRevenue]])&gt;0,MID(Transaction[[#This Row],[NetRevenue]],2,10)),Transaction[[#This Row],[NetRevenue]])))</f>
        <v>3729.54</v>
      </c>
      <c r="AG909">
        <f>IF(Transaction[[#This Row],[NetRevenue_Check]]="Invalid",(Transaction[[#This Row],[Quantity]]*Transaction[[#This Row],[UnitPrice_Clean]]),Transaction[[#This Row],[NetRevenue_Clean]])</f>
        <v>3729.54</v>
      </c>
      <c r="AH909" t="str">
        <f>IF(Transaction[[#This Row],[Quantity]]*Transaction[[#This Row],[UnitPrice_Clean]]=Transaction[[#This Row],[NetRevenue_Clean]],"Valid","Invalid")</f>
        <v>Valid</v>
      </c>
      <c r="AI909" t="s">
        <v>23</v>
      </c>
      <c r="AJ909" t="s">
        <v>1350</v>
      </c>
      <c r="AK909" t="str">
        <f>IF(Transaction[[#This Row],[Salesperson]]="","Missing Value",TRIM(PROPER(Transaction[[#This Row],[Salesperson]])))</f>
        <v>Thompson</v>
      </c>
      <c r="AL909" t="s">
        <v>113</v>
      </c>
      <c r="AM909" t="str">
        <f>IF(Transaction[[#This Row],[ContractType]]="","Missing Value",Transaction[[#This Row],[ContractType]])</f>
        <v>Subscription</v>
      </c>
      <c r="AN909" t="s">
        <v>49</v>
      </c>
    </row>
    <row r="910" spans="1:40" x14ac:dyDescent="0.25">
      <c r="A910" t="s">
        <v>2372</v>
      </c>
      <c r="B910" s="1">
        <v>45693</v>
      </c>
      <c r="C91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91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91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10" s="2">
        <f>IFERROR(DATE(Transaction[[#This Row],[TransactionDateY]],Transaction[[#This Row],[TransactionDateM]],Transaction[[#This Row],[TransactionDateD]]),"Missing Value")</f>
        <v>45693</v>
      </c>
      <c r="G910" t="s">
        <v>2373</v>
      </c>
      <c r="H910" t="str">
        <f>IFERROR(VLOOKUP(Transaction[[#This Row],[CustomerID]],Custumer[],1,0),IF(LEN(Transaction[[#This Row],[CustomerID]])=7,LEFT(Transaction[[#This Row],[CustomerID]],6),"Invalid ID"))</f>
        <v>C-1046</v>
      </c>
      <c r="I910" t="s">
        <v>71</v>
      </c>
      <c r="J910" t="str">
        <f>TRIM(UPPER(Transaction[[#This Row],[ProductID]]))</f>
        <v>P-SI-003</v>
      </c>
      <c r="K910" t="str">
        <f>IFERROR(VLOOKUP(Transaction[[#This Row],[ProductID_Clean]],Product[],1,FALSE),"Invalid ID")</f>
        <v>P-SI-003</v>
      </c>
      <c r="L910" t="str">
        <f>TRIM(SUBSTITUTE(SUBSTITUTE(SUBSTITUTE(SUBSTITUTE(UPPER(Transaction[[#This Row],[Region]]),"EMEA REGION","EMEA"),"APAC REGION","APAC"),"NORTH AMERICA","N. AMERICA"),"N .AMERICA","N.AMERICA"))</f>
        <v>LATIN AMERICA</v>
      </c>
      <c r="M910" t="s">
        <v>82</v>
      </c>
      <c r="N910" t="s">
        <v>53</v>
      </c>
      <c r="O91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10" t="s">
        <v>22</v>
      </c>
      <c r="Q910" t="str">
        <f>IF(TRIM(Transaction[[#This Row],[SalesChannel]])="","Missing Value",TRIM(Transaction[[#This Row],[SalesChannel]]))</f>
        <v>Direct</v>
      </c>
      <c r="R910" s="4">
        <v>2</v>
      </c>
      <c r="S910" s="4" t="str">
        <f>IF(Transaction[[#This Row],[Quantity]]&lt;0,"Negative-review","Valid")</f>
        <v>Valid</v>
      </c>
      <c r="T910">
        <v>1698.7</v>
      </c>
      <c r="U91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1698.7</v>
      </c>
      <c r="V910">
        <v>1890</v>
      </c>
      <c r="W910">
        <v>3780</v>
      </c>
      <c r="X91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3780</v>
      </c>
      <c r="Y910">
        <f>IF(Transaction[[#This Row],[GrossRevenue_Check]]="Invalid",Transaction[[#This Row],[ListPrice]]*Transaction[[#This Row],[Quantity]],Transaction[[#This Row],[GrossRevenue_Clean]])</f>
        <v>3780</v>
      </c>
      <c r="Z910" t="str">
        <f>IF(Transaction[[#This Row],[GrossRevenue_Clean]]=Transaction[[#This Row],[ListPrice]]*Transaction[[#This Row],[Quantity]],"Valid","Invalid")</f>
        <v>Valid</v>
      </c>
      <c r="AA910">
        <v>382.6</v>
      </c>
      <c r="AB91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382.6</v>
      </c>
      <c r="AC910">
        <f>IF(Transaction[[#This Row],[DiscountAmount_Check2]]="Invalid",Transaction[[#This Row],[GrossRevenue_Analytical]]-Transaction[[#This Row],[NetRevenue_Analytical]],Transaction[[#This Row],[DiscountAmount_Clean]])</f>
        <v>382.6</v>
      </c>
      <c r="AD910">
        <v>3397.4</v>
      </c>
      <c r="AE910" t="str">
        <f>IF(ROUND(Transaction[[#This Row],[GrossRevenue_Analytical]]-Transaction[[#This Row],[NetRevenue_Analytical]],2)=ROUND(Transaction[[#This Row],[DiscountAmount_Clean]],2),"Valid","Invalid")</f>
        <v>Valid</v>
      </c>
      <c r="AF910">
        <f>VALUE(IF(ISNUMBER(Transaction[[#This Row],[NetRevenue]]),Transaction[[#This Row],[NetRevenue]],IFERROR(IF(FIND("$",Transaction[[#This Row],[NetRevenue]])&gt;0,MID(Transaction[[#This Row],[NetRevenue]],2,10)),Transaction[[#This Row],[NetRevenue]])))</f>
        <v>3397.4</v>
      </c>
      <c r="AG910">
        <f>IF(Transaction[[#This Row],[NetRevenue_Check]]="Invalid",(Transaction[[#This Row],[Quantity]]*Transaction[[#This Row],[UnitPrice_Clean]]),Transaction[[#This Row],[NetRevenue_Clean]])</f>
        <v>3397.4</v>
      </c>
      <c r="AH910" t="str">
        <f>IF(Transaction[[#This Row],[Quantity]]*Transaction[[#This Row],[UnitPrice_Clean]]=Transaction[[#This Row],[NetRevenue_Clean]],"Valid","Invalid")</f>
        <v>Valid</v>
      </c>
      <c r="AI910" t="s">
        <v>23</v>
      </c>
      <c r="AJ910" t="s">
        <v>2374</v>
      </c>
      <c r="AK910" t="str">
        <f>IF(Transaction[[#This Row],[Salesperson]]="","Missing Value",TRIM(PROPER(Transaction[[#This Row],[Salesperson]])))</f>
        <v>Shelton-Na</v>
      </c>
      <c r="AL910" t="s">
        <v>55</v>
      </c>
      <c r="AM910" t="str">
        <f>IF(Transaction[[#This Row],[ContractType]]="","Missing Value",Transaction[[#This Row],[ContractType]])</f>
        <v>Spot</v>
      </c>
      <c r="AN910" t="s">
        <v>49</v>
      </c>
    </row>
    <row r="911" spans="1:40" x14ac:dyDescent="0.25">
      <c r="A911" t="s">
        <v>1798</v>
      </c>
      <c r="B911" t="s">
        <v>1799</v>
      </c>
      <c r="C91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91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91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11" s="2">
        <f>IFERROR(DATE(Transaction[[#This Row],[TransactionDateY]],Transaction[[#This Row],[TransactionDateM]],Transaction[[#This Row],[TransactionDateD]]),"Missing Value")</f>
        <v>45740</v>
      </c>
      <c r="G911" t="s">
        <v>139</v>
      </c>
      <c r="H911" t="str">
        <f>IFERROR(VLOOKUP(Transaction[[#This Row],[CustomerID]],Custumer[],1,0),IF(LEN(Transaction[[#This Row],[CustomerID]])=7,LEFT(Transaction[[#This Row],[CustomerID]],6),"Invalid ID"))</f>
        <v>C-1171</v>
      </c>
      <c r="I911" t="s">
        <v>268</v>
      </c>
      <c r="J911" t="str">
        <f>TRIM(UPPER(Transaction[[#This Row],[ProductID]]))</f>
        <v>P-FS-002</v>
      </c>
      <c r="K911" t="str">
        <f>IFERROR(VLOOKUP(Transaction[[#This Row],[ProductID_Clean]],Product[],1,FALSE),"Invalid ID")</f>
        <v>P-FS-002</v>
      </c>
      <c r="L911" t="str">
        <f>TRIM(SUBSTITUTE(SUBSTITUTE(SUBSTITUTE(SUBSTITUTE(UPPER(Transaction[[#This Row],[Region]]),"EMEA REGION","EMEA"),"APAC REGION","APAC"),"NORTH AMERICA","N. AMERICA"),"N .AMERICA","N.AMERICA"))</f>
        <v>APAC</v>
      </c>
      <c r="M911" t="s">
        <v>127</v>
      </c>
      <c r="N911" t="s">
        <v>21</v>
      </c>
      <c r="O911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911" t="s">
        <v>22</v>
      </c>
      <c r="Q911" t="str">
        <f>IF(TRIM(Transaction[[#This Row],[SalesChannel]])="","Missing Value",TRIM(Transaction[[#This Row],[SalesChannel]]))</f>
        <v>Direct</v>
      </c>
      <c r="R911" s="4">
        <v>1</v>
      </c>
      <c r="S911" s="4" t="str">
        <f>IF(Transaction[[#This Row],[Quantity]]&lt;0,"Negative-review","Valid")</f>
        <v>Valid</v>
      </c>
      <c r="T911">
        <v>1954.75</v>
      </c>
      <c r="U91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1954.75</v>
      </c>
      <c r="V911">
        <v>2400</v>
      </c>
      <c r="W911">
        <v>2400</v>
      </c>
      <c r="X91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911">
        <f>IF(Transaction[[#This Row],[GrossRevenue_Check]]="Invalid",Transaction[[#This Row],[ListPrice]]*Transaction[[#This Row],[Quantity]],Transaction[[#This Row],[GrossRevenue_Clean]])</f>
        <v>2400</v>
      </c>
      <c r="Z911" t="str">
        <f>IF(Transaction[[#This Row],[GrossRevenue_Clean]]=Transaction[[#This Row],[ListPrice]]*Transaction[[#This Row],[Quantity]],"Valid","Invalid")</f>
        <v>Valid</v>
      </c>
      <c r="AA911">
        <v>445.25</v>
      </c>
      <c r="AB91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445.25</v>
      </c>
      <c r="AC911">
        <f>IF(Transaction[[#This Row],[DiscountAmount_Check2]]="Invalid",Transaction[[#This Row],[GrossRevenue_Analytical]]-Transaction[[#This Row],[NetRevenue_Analytical]],Transaction[[#This Row],[DiscountAmount_Clean]])</f>
        <v>445.25</v>
      </c>
      <c r="AD911">
        <v>1954.75</v>
      </c>
      <c r="AE911" t="str">
        <f>IF(ROUND(Transaction[[#This Row],[GrossRevenue_Analytical]]-Transaction[[#This Row],[NetRevenue_Analytical]],2)=ROUND(Transaction[[#This Row],[DiscountAmount_Clean]],2),"Valid","Invalid")</f>
        <v>Valid</v>
      </c>
      <c r="AF91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1954.75</v>
      </c>
      <c r="AG911">
        <f>IF(Transaction[[#This Row],[NetRevenue_Check]]="Invalid",(Transaction[[#This Row],[Quantity]]*Transaction[[#This Row],[UnitPrice_Clean]]),Transaction[[#This Row],[NetRevenue_Clean]])</f>
        <v>1954.75</v>
      </c>
      <c r="AH911" t="str">
        <f>IF(Transaction[[#This Row],[Quantity]]*Transaction[[#This Row],[UnitPrice_Clean]]=Transaction[[#This Row],[NetRevenue_Clean]],"Valid","Invalid")</f>
        <v>Valid</v>
      </c>
      <c r="AI911" t="s">
        <v>23</v>
      </c>
      <c r="AJ911" t="s">
        <v>1800</v>
      </c>
      <c r="AK911" t="str">
        <f>IF(Transaction[[#This Row],[Salesperson]]="","Missing Value",TRIM(PROPER(Transaction[[#This Row],[Salesperson]])))</f>
        <v>Peters</v>
      </c>
      <c r="AM911" t="str">
        <f>IF(Transaction[[#This Row],[ContractType]]="","Missing Value",Transaction[[#This Row],[ContractType]])</f>
        <v>Missing Value</v>
      </c>
      <c r="AN911" t="s">
        <v>49</v>
      </c>
    </row>
    <row r="912" spans="1:40" x14ac:dyDescent="0.25">
      <c r="A912" t="s">
        <v>1641</v>
      </c>
      <c r="B912" s="1">
        <v>45659</v>
      </c>
      <c r="C91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91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91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12" s="2">
        <f>IFERROR(DATE(Transaction[[#This Row],[TransactionDateY]],Transaction[[#This Row],[TransactionDateM]],Transaction[[#This Row],[TransactionDateD]]),"Missing Value")</f>
        <v>45659</v>
      </c>
      <c r="G912" t="s">
        <v>1492</v>
      </c>
      <c r="H912" t="str">
        <f>IFERROR(VLOOKUP(Transaction[[#This Row],[CustomerID]],Custumer[],1,0),IF(LEN(Transaction[[#This Row],[CustomerID]])=7,LEFT(Transaction[[#This Row],[CustomerID]],6),"Invalid ID"))</f>
        <v>C-1090</v>
      </c>
      <c r="I912" t="s">
        <v>92</v>
      </c>
      <c r="J912" t="str">
        <f>TRIM(UPPER(Transaction[[#This Row],[ProductID]]))</f>
        <v>P-SI-008</v>
      </c>
      <c r="K912" t="str">
        <f>IFERROR(VLOOKUP(Transaction[[#This Row],[ProductID_Clean]],Product[],1,FALSE),"Invalid ID")</f>
        <v>P-SI-008</v>
      </c>
      <c r="L912" t="str">
        <f>TRIM(SUBSTITUTE(SUBSTITUTE(SUBSTITUTE(SUBSTITUTE(UPPER(Transaction[[#This Row],[Region]]),"EMEA REGION","EMEA"),"APAC REGION","APAC"),"NORTH AMERICA","N. AMERICA"),"N .AMERICA","N.AMERICA"))</f>
        <v>LATIN AMERICA</v>
      </c>
      <c r="M912" t="s">
        <v>82</v>
      </c>
      <c r="N912" t="s">
        <v>47</v>
      </c>
      <c r="O91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12" t="s">
        <v>22</v>
      </c>
      <c r="Q912" t="str">
        <f>IF(TRIM(Transaction[[#This Row],[SalesChannel]])="","Missing Value",TRIM(Transaction[[#This Row],[SalesChannel]]))</f>
        <v>Direct</v>
      </c>
      <c r="R912" s="4">
        <v>2</v>
      </c>
      <c r="S912" s="4" t="str">
        <f>IF(Transaction[[#This Row],[Quantity]]&lt;0,"Negative-review","Valid")</f>
        <v>Valid</v>
      </c>
      <c r="T912">
        <v>891.25</v>
      </c>
      <c r="U91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891.25</v>
      </c>
      <c r="V912">
        <v>950</v>
      </c>
      <c r="W912">
        <v>1900</v>
      </c>
      <c r="X91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1900</v>
      </c>
      <c r="Y912">
        <f>IF(Transaction[[#This Row],[GrossRevenue_Check]]="Invalid",Transaction[[#This Row],[ListPrice]]*Transaction[[#This Row],[Quantity]],Transaction[[#This Row],[GrossRevenue_Clean]])</f>
        <v>1900</v>
      </c>
      <c r="Z912" t="str">
        <f>IF(Transaction[[#This Row],[GrossRevenue_Clean]]=Transaction[[#This Row],[ListPrice]]*Transaction[[#This Row],[Quantity]],"Valid","Invalid")</f>
        <v>Valid</v>
      </c>
      <c r="AA912">
        <v>117.5</v>
      </c>
      <c r="AB91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117.5</v>
      </c>
      <c r="AC912">
        <f>IF(Transaction[[#This Row],[DiscountAmount_Check2]]="Invalid",Transaction[[#This Row],[GrossRevenue_Analytical]]-Transaction[[#This Row],[NetRevenue_Analytical]],Transaction[[#This Row],[DiscountAmount_Clean]])</f>
        <v>117.5</v>
      </c>
      <c r="AD912">
        <v>1782.5</v>
      </c>
      <c r="AE912" t="str">
        <f>IF(ROUND(Transaction[[#This Row],[GrossRevenue_Analytical]]-Transaction[[#This Row],[NetRevenue_Analytical]],2)=ROUND(Transaction[[#This Row],[DiscountAmount_Clean]],2),"Valid","Invalid")</f>
        <v>Valid</v>
      </c>
      <c r="AF91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1782.5</v>
      </c>
      <c r="AG912">
        <f>IF(Transaction[[#This Row],[NetRevenue_Check]]="Invalid",(Transaction[[#This Row],[Quantity]]*Transaction[[#This Row],[UnitPrice_Clean]]),Transaction[[#This Row],[NetRevenue_Clean]])</f>
        <v>1782.5</v>
      </c>
      <c r="AH912" t="str">
        <f>IF(Transaction[[#This Row],[Quantity]]*Transaction[[#This Row],[UnitPrice_Clean]]=Transaction[[#This Row],[NetRevenue_Clean]],"Valid","Invalid")</f>
        <v>Valid</v>
      </c>
      <c r="AI912" t="s">
        <v>23</v>
      </c>
      <c r="AJ912" t="s">
        <v>1165</v>
      </c>
      <c r="AK912" t="str">
        <f>IF(Transaction[[#This Row],[Salesperson]]="","Missing Value",TRIM(PROPER(Transaction[[#This Row],[Salesperson]])))</f>
        <v>Williams</v>
      </c>
      <c r="AL912" t="s">
        <v>42</v>
      </c>
      <c r="AM912" t="str">
        <f>IF(Transaction[[#This Row],[ContractType]]="","Missing Value",Transaction[[#This Row],[ContractType]])</f>
        <v>Standard PO</v>
      </c>
      <c r="AN912" t="s">
        <v>65</v>
      </c>
    </row>
    <row r="913" spans="1:40" x14ac:dyDescent="0.25">
      <c r="A913" t="s">
        <v>1484</v>
      </c>
      <c r="B913" t="s">
        <v>1485</v>
      </c>
      <c r="C91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91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91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13" s="2">
        <f>IFERROR(DATE(Transaction[[#This Row],[TransactionDateY]],Transaction[[#This Row],[TransactionDateM]],Transaction[[#This Row],[TransactionDateD]]),"Missing Value")</f>
        <v>45775</v>
      </c>
      <c r="G913" t="s">
        <v>284</v>
      </c>
      <c r="H913" t="str">
        <f>IFERROR(VLOOKUP(Transaction[[#This Row],[CustomerID]],Custumer[],1,0),IF(LEN(Transaction[[#This Row],[CustomerID]])=7,LEFT(Transaction[[#This Row],[CustomerID]],6),"Invalid ID"))</f>
        <v>C-1101</v>
      </c>
      <c r="I913" t="s">
        <v>46</v>
      </c>
      <c r="J913" t="str">
        <f>TRIM(UPPER(Transaction[[#This Row],[ProductID]]))</f>
        <v>P-SI-006</v>
      </c>
      <c r="K913" t="str">
        <f>IFERROR(VLOOKUP(Transaction[[#This Row],[ProductID_Clean]],Product[],1,FALSE),"Invalid ID")</f>
        <v>P-SI-006</v>
      </c>
      <c r="L913" t="str">
        <f>TRIM(SUBSTITUTE(SUBSTITUTE(SUBSTITUTE(SUBSTITUTE(UPPER(Transaction[[#This Row],[Region]]),"EMEA REGION","EMEA"),"APAC REGION","APAC"),"NORTH AMERICA","N. AMERICA"),"N .AMERICA","N.AMERICA"))</f>
        <v>EMEA</v>
      </c>
      <c r="M913" t="s">
        <v>76</v>
      </c>
      <c r="N913" t="s">
        <v>53</v>
      </c>
      <c r="O91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13" t="s">
        <v>22</v>
      </c>
      <c r="Q913" t="str">
        <f>IF(TRIM(Transaction[[#This Row],[SalesChannel]])="","Missing Value",TRIM(Transaction[[#This Row],[SalesChannel]]))</f>
        <v>Direct</v>
      </c>
      <c r="R913" s="4">
        <v>2</v>
      </c>
      <c r="S913" s="4" t="str">
        <f>IF(Transaction[[#This Row],[Quantity]]&lt;0,"Negative-review","Valid")</f>
        <v>Valid</v>
      </c>
      <c r="T913">
        <v>175.91</v>
      </c>
      <c r="U91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175.91</v>
      </c>
      <c r="V913">
        <v>215</v>
      </c>
      <c r="W913">
        <v>430</v>
      </c>
      <c r="X91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913">
        <f>IF(Transaction[[#This Row],[GrossRevenue_Check]]="Invalid",Transaction[[#This Row],[ListPrice]]*Transaction[[#This Row],[Quantity]],Transaction[[#This Row],[GrossRevenue_Clean]])</f>
        <v>430</v>
      </c>
      <c r="Z913" t="str">
        <f>IF(Transaction[[#This Row],[GrossRevenue_Clean]]=Transaction[[#This Row],[ListPrice]]*Transaction[[#This Row],[Quantity]],"Valid","Invalid")</f>
        <v>Valid</v>
      </c>
      <c r="AB91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913">
        <f>IF(Transaction[[#This Row],[DiscountAmount_Check2]]="Invalid",Transaction[[#This Row],[GrossRevenue_Analytical]]-Transaction[[#This Row],[NetRevenue_Analytical]],Transaction[[#This Row],[DiscountAmount_Clean]])</f>
        <v>78.180000000000007</v>
      </c>
      <c r="AD913">
        <v>351.82</v>
      </c>
      <c r="AE913" t="str">
        <f>IF(ROUND(Transaction[[#This Row],[GrossRevenue_Analytical]]-Transaction[[#This Row],[NetRevenue_Analytical]],2)=ROUND(Transaction[[#This Row],[DiscountAmount_Clean]],2),"Valid","Invalid")</f>
        <v>Invalid</v>
      </c>
      <c r="AF91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351.82</v>
      </c>
      <c r="AG913">
        <f>IF(Transaction[[#This Row],[NetRevenue_Check]]="Invalid",(Transaction[[#This Row],[Quantity]]*Transaction[[#This Row],[UnitPrice_Clean]]),Transaction[[#This Row],[NetRevenue_Clean]])</f>
        <v>351.82</v>
      </c>
      <c r="AH913" t="str">
        <f>IF(Transaction[[#This Row],[Quantity]]*Transaction[[#This Row],[UnitPrice_Clean]]=Transaction[[#This Row],[NetRevenue_Clean]],"Valid","Invalid")</f>
        <v>Valid</v>
      </c>
      <c r="AI913" t="s">
        <v>23</v>
      </c>
      <c r="AJ913" t="s">
        <v>1486</v>
      </c>
      <c r="AK913" t="str">
        <f>IF(Transaction[[#This Row],[Salesperson]]="","Missing Value",TRIM(PROPER(Transaction[[#This Row],[Salesperson]])))</f>
        <v>Bailey-Ap</v>
      </c>
      <c r="AL913" t="s">
        <v>55</v>
      </c>
      <c r="AM913" t="str">
        <f>IF(Transaction[[#This Row],[ContractType]]="","Missing Value",Transaction[[#This Row],[ContractType]])</f>
        <v>Spot</v>
      </c>
      <c r="AN913" t="s">
        <v>35</v>
      </c>
    </row>
    <row r="914" spans="1:40" x14ac:dyDescent="0.25">
      <c r="A914" t="s">
        <v>2304</v>
      </c>
      <c r="B914" t="s">
        <v>2268</v>
      </c>
      <c r="C91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91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91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14" s="2">
        <f>IFERROR(DATE(Transaction[[#This Row],[TransactionDateY]],Transaction[[#This Row],[TransactionDateM]],Transaction[[#This Row],[TransactionDateD]]),"Missing Value")</f>
        <v>45777</v>
      </c>
      <c r="G914" t="s">
        <v>146</v>
      </c>
      <c r="H914" t="str">
        <f>IFERROR(VLOOKUP(Transaction[[#This Row],[CustomerID]],Custumer[],1,0),IF(LEN(Transaction[[#This Row],[CustomerID]])=7,LEFT(Transaction[[#This Row],[CustomerID]],6),"Invalid ID"))</f>
        <v>C-1095</v>
      </c>
      <c r="I914" t="s">
        <v>226</v>
      </c>
      <c r="J914" t="str">
        <f>TRIM(UPPER(Transaction[[#This Row],[ProductID]]))</f>
        <v>P-SA-002</v>
      </c>
      <c r="K914" t="str">
        <f>IFERROR(VLOOKUP(Transaction[[#This Row],[ProductID_Clean]],Product[],1,FALSE),"Invalid ID")</f>
        <v>P-SA-002</v>
      </c>
      <c r="L914" t="str">
        <f>TRIM(SUBSTITUTE(SUBSTITUTE(SUBSTITUTE(SUBSTITUTE(UPPER(Transaction[[#This Row],[Region]]),"EMEA REGION","EMEA"),"APAC REGION","APAC"),"NORTH AMERICA","N. AMERICA"),"N .AMERICA","N.AMERICA"))</f>
        <v>LATIN AMERICA</v>
      </c>
      <c r="M914" t="s">
        <v>82</v>
      </c>
      <c r="N914" t="s">
        <v>31</v>
      </c>
      <c r="O91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914" t="s">
        <v>22</v>
      </c>
      <c r="Q914" t="str">
        <f>IF(TRIM(Transaction[[#This Row],[SalesChannel]])="","Missing Value",TRIM(Transaction[[#This Row],[SalesChannel]]))</f>
        <v>Direct</v>
      </c>
      <c r="R914" s="4">
        <v>1</v>
      </c>
      <c r="S914" s="4" t="str">
        <f>IF(Transaction[[#This Row],[Quantity]]&lt;0,"Negative-review","Valid")</f>
        <v>Valid</v>
      </c>
      <c r="T914">
        <v>7470.53</v>
      </c>
      <c r="U91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7470.53</v>
      </c>
      <c r="V914">
        <v>9800</v>
      </c>
      <c r="W914">
        <v>9800</v>
      </c>
      <c r="X91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914">
        <f>IF(Transaction[[#This Row],[GrossRevenue_Check]]="Invalid",Transaction[[#This Row],[ListPrice]]*Transaction[[#This Row],[Quantity]],Transaction[[#This Row],[GrossRevenue_Clean]])</f>
        <v>9800</v>
      </c>
      <c r="Z914" t="str">
        <f>IF(Transaction[[#This Row],[GrossRevenue_Clean]]=Transaction[[#This Row],[ListPrice]]*Transaction[[#This Row],[Quantity]],"Valid","Invalid")</f>
        <v>Valid</v>
      </c>
      <c r="AB91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914">
        <f>IF(Transaction[[#This Row],[DiscountAmount_Check2]]="Invalid",Transaction[[#This Row],[GrossRevenue_Analytical]]-Transaction[[#This Row],[NetRevenue_Analytical]],Transaction[[#This Row],[DiscountAmount_Clean]])</f>
        <v>2329.4700000000003</v>
      </c>
      <c r="AD914">
        <v>7470.53</v>
      </c>
      <c r="AE914" t="str">
        <f>IF(ROUND(Transaction[[#This Row],[GrossRevenue_Analytical]]-Transaction[[#This Row],[NetRevenue_Analytical]],2)=ROUND(Transaction[[#This Row],[DiscountAmount_Clean]],2),"Valid","Invalid")</f>
        <v>Invalid</v>
      </c>
      <c r="AF914">
        <f>VALUE(IF(ISNUMBER(Transaction[[#This Row],[NetRevenue]]),Transaction[[#This Row],[NetRevenue]],IFERROR(IF(FIND("$",Transaction[[#This Row],[NetRevenue]])&gt;0,MID(Transaction[[#This Row],[NetRevenue]],2,10)),Transaction[[#This Row],[NetRevenue]])))</f>
        <v>7470.53</v>
      </c>
      <c r="AG914">
        <f>IF(Transaction[[#This Row],[NetRevenue_Check]]="Invalid",(Transaction[[#This Row],[Quantity]]*Transaction[[#This Row],[UnitPrice_Clean]]),Transaction[[#This Row],[NetRevenue_Clean]])</f>
        <v>7470.53</v>
      </c>
      <c r="AH914" t="str">
        <f>IF(Transaction[[#This Row],[Quantity]]*Transaction[[#This Row],[UnitPrice_Clean]]=Transaction[[#This Row],[NetRevenue_Clean]],"Valid","Invalid")</f>
        <v>Valid</v>
      </c>
      <c r="AI914" t="s">
        <v>23</v>
      </c>
      <c r="AJ914" t="s">
        <v>2305</v>
      </c>
      <c r="AK914" t="str">
        <f>IF(Transaction[[#This Row],[Salesperson]]="","Missing Value",TRIM(PROPER(Transaction[[#This Row],[Salesperson]])))</f>
        <v>Dougherty-Ap</v>
      </c>
      <c r="AL914" t="s">
        <v>113</v>
      </c>
      <c r="AM914" t="str">
        <f>IF(Transaction[[#This Row],[ContractType]]="","Missing Value",Transaction[[#This Row],[ContractType]])</f>
        <v>Subscription</v>
      </c>
      <c r="AN914" t="s">
        <v>49</v>
      </c>
    </row>
    <row r="915" spans="1:40" x14ac:dyDescent="0.25">
      <c r="A915" t="s">
        <v>1195</v>
      </c>
      <c r="B915" s="1">
        <v>45742</v>
      </c>
      <c r="C91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91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91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15" s="2">
        <f>IFERROR(DATE(Transaction[[#This Row],[TransactionDateY]],Transaction[[#This Row],[TransactionDateM]],Transaction[[#This Row],[TransactionDateD]]),"Missing Value")</f>
        <v>45742</v>
      </c>
      <c r="G915" t="s">
        <v>190</v>
      </c>
      <c r="H915" t="str">
        <f>IFERROR(VLOOKUP(Transaction[[#This Row],[CustomerID]],Custumer[],1,0),IF(LEN(Transaction[[#This Row],[CustomerID]])=7,LEFT(Transaction[[#This Row],[CustomerID]],6),"Invalid ID"))</f>
        <v>C-1082</v>
      </c>
      <c r="I915" t="s">
        <v>258</v>
      </c>
      <c r="J915" t="str">
        <f>TRIM(UPPER(Transaction[[#This Row],[ProductID]]))</f>
        <v>P-SA-003</v>
      </c>
      <c r="K915" t="str">
        <f>IFERROR(VLOOKUP(Transaction[[#This Row],[ProductID_Clean]],Product[],1,FALSE),"Invalid ID")</f>
        <v>P-SA-003</v>
      </c>
      <c r="L915" t="str">
        <f>TRIM(SUBSTITUTE(SUBSTITUTE(SUBSTITUTE(SUBSTITUTE(UPPER(Transaction[[#This Row],[Region]]),"EMEA REGION","EMEA"),"APAC REGION","APAC"),"NORTH AMERICA","N. AMERICA"),"N .AMERICA","N.AMERICA"))</f>
        <v>N. AMERICA</v>
      </c>
      <c r="M915" t="s">
        <v>20</v>
      </c>
      <c r="N915" t="s">
        <v>205</v>
      </c>
      <c r="O91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915" t="s">
        <v>40</v>
      </c>
      <c r="Q915" t="str">
        <f>IF(TRIM(Transaction[[#This Row],[SalesChannel]])="","Missing Value",TRIM(Transaction[[#This Row],[SalesChannel]]))</f>
        <v>Distributor</v>
      </c>
      <c r="R915" s="4">
        <v>1</v>
      </c>
      <c r="S915" s="4" t="str">
        <f>IF(Transaction[[#This Row],[Quantity]]&lt;0,"Negative-review","Valid")</f>
        <v>Valid</v>
      </c>
      <c r="T915">
        <v>1997.24</v>
      </c>
      <c r="U91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1997.24</v>
      </c>
      <c r="V915">
        <v>2750</v>
      </c>
      <c r="W915">
        <v>2750</v>
      </c>
      <c r="X91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915">
        <f>IF(Transaction[[#This Row],[GrossRevenue_Check]]="Invalid",Transaction[[#This Row],[ListPrice]]*Transaction[[#This Row],[Quantity]],Transaction[[#This Row],[GrossRevenue_Clean]])</f>
        <v>2750</v>
      </c>
      <c r="Z915" t="str">
        <f>IF(Transaction[[#This Row],[GrossRevenue_Clean]]=Transaction[[#This Row],[ListPrice]]*Transaction[[#This Row],[Quantity]],"Valid","Invalid")</f>
        <v>Valid</v>
      </c>
      <c r="AA915">
        <v>752.76</v>
      </c>
      <c r="AB91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752.76</v>
      </c>
      <c r="AC915">
        <f>IF(Transaction[[#This Row],[DiscountAmount_Check2]]="Invalid",Transaction[[#This Row],[GrossRevenue_Analytical]]-Transaction[[#This Row],[NetRevenue_Analytical]],Transaction[[#This Row],[DiscountAmount_Clean]])</f>
        <v>752.76</v>
      </c>
      <c r="AD915">
        <v>1997.24</v>
      </c>
      <c r="AE915" t="str">
        <f>IF(ROUND(Transaction[[#This Row],[GrossRevenue_Analytical]]-Transaction[[#This Row],[NetRevenue_Analytical]],2)=ROUND(Transaction[[#This Row],[DiscountAmount_Clean]],2),"Valid","Invalid")</f>
        <v>Valid</v>
      </c>
      <c r="AF91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1997.24</v>
      </c>
      <c r="AG915">
        <f>IF(Transaction[[#This Row],[NetRevenue_Check]]="Invalid",(Transaction[[#This Row],[Quantity]]*Transaction[[#This Row],[UnitPrice_Clean]]),Transaction[[#This Row],[NetRevenue_Clean]])</f>
        <v>1997.24</v>
      </c>
      <c r="AH915" t="str">
        <f>IF(Transaction[[#This Row],[Quantity]]*Transaction[[#This Row],[UnitPrice_Clean]]=Transaction[[#This Row],[NetRevenue_Clean]],"Valid","Invalid")</f>
        <v>Valid</v>
      </c>
      <c r="AI915" t="s">
        <v>23</v>
      </c>
      <c r="AJ915" t="s">
        <v>1196</v>
      </c>
      <c r="AK915" t="str">
        <f>IF(Transaction[[#This Row],[Salesperson]]="","Missing Value",TRIM(PROPER(Transaction[[#This Row],[Salesperson]])))</f>
        <v>James-Ap</v>
      </c>
      <c r="AL915" t="s">
        <v>34</v>
      </c>
      <c r="AM915" t="str">
        <f>IF(Transaction[[#This Row],[ContractType]]="","Missing Value",Transaction[[#This Row],[ContractType]])</f>
        <v>Annual License</v>
      </c>
      <c r="AN915" t="s">
        <v>65</v>
      </c>
    </row>
    <row r="916" spans="1:40" x14ac:dyDescent="0.25">
      <c r="A916" t="s">
        <v>2665</v>
      </c>
      <c r="B916" s="1">
        <v>45804</v>
      </c>
      <c r="C91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91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91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16" s="2">
        <f>IFERROR(DATE(Transaction[[#This Row],[TransactionDateY]],Transaction[[#This Row],[TransactionDateM]],Transaction[[#This Row],[TransactionDateD]]),"Missing Value")</f>
        <v>45804</v>
      </c>
      <c r="G916" t="s">
        <v>919</v>
      </c>
      <c r="H916" t="str">
        <f>IFERROR(VLOOKUP(Transaction[[#This Row],[CustomerID]],Custumer[],1,0),IF(LEN(Transaction[[#This Row],[CustomerID]])=7,LEFT(Transaction[[#This Row],[CustomerID]],6),"Invalid ID"))</f>
        <v>C-1047</v>
      </c>
      <c r="I916" t="s">
        <v>46</v>
      </c>
      <c r="J916" t="str">
        <f>TRIM(UPPER(Transaction[[#This Row],[ProductID]]))</f>
        <v>P-SI-006</v>
      </c>
      <c r="K916" t="str">
        <f>IFERROR(VLOOKUP(Transaction[[#This Row],[ProductID_Clean]],Product[],1,FALSE),"Invalid ID")</f>
        <v>P-SI-006</v>
      </c>
      <c r="L916" t="str">
        <f>TRIM(SUBSTITUTE(SUBSTITUTE(SUBSTITUTE(SUBSTITUTE(UPPER(Transaction[[#This Row],[Region]]),"EMEA REGION","EMEA"),"APAC REGION","APAC"),"NORTH AMERICA","N. AMERICA"),"N .AMERICA","N.AMERICA"))</f>
        <v>EMEA</v>
      </c>
      <c r="M916" t="s">
        <v>76</v>
      </c>
      <c r="N916" t="s">
        <v>53</v>
      </c>
      <c r="O91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16" t="s">
        <v>40</v>
      </c>
      <c r="Q916" t="str">
        <f>IF(TRIM(Transaction[[#This Row],[SalesChannel]])="","Missing Value",TRIM(Transaction[[#This Row],[SalesChannel]]))</f>
        <v>Distributor</v>
      </c>
      <c r="R916" s="4">
        <v>1</v>
      </c>
      <c r="S916" s="4" t="str">
        <f>IF(Transaction[[#This Row],[Quantity]]&lt;0,"Negative-review","Valid")</f>
        <v>Valid</v>
      </c>
      <c r="T916">
        <v>160.56</v>
      </c>
      <c r="U91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160.56</v>
      </c>
      <c r="V916">
        <v>215</v>
      </c>
      <c r="W916">
        <v>215</v>
      </c>
      <c r="X91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916">
        <f>IF(Transaction[[#This Row],[GrossRevenue_Check]]="Invalid",Transaction[[#This Row],[ListPrice]]*Transaction[[#This Row],[Quantity]],Transaction[[#This Row],[GrossRevenue_Clean]])</f>
        <v>215</v>
      </c>
      <c r="Z916" t="str">
        <f>IF(Transaction[[#This Row],[GrossRevenue_Clean]]=Transaction[[#This Row],[ListPrice]]*Transaction[[#This Row],[Quantity]],"Valid","Invalid")</f>
        <v>Valid</v>
      </c>
      <c r="AA916">
        <v>54.44</v>
      </c>
      <c r="AB91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54.44</v>
      </c>
      <c r="AC916">
        <f>IF(Transaction[[#This Row],[DiscountAmount_Check2]]="Invalid",Transaction[[#This Row],[GrossRevenue_Analytical]]-Transaction[[#This Row],[NetRevenue_Analytical]],Transaction[[#This Row],[DiscountAmount_Clean]])</f>
        <v>54.44</v>
      </c>
      <c r="AD916">
        <v>160.56</v>
      </c>
      <c r="AE916" t="str">
        <f>IF(ROUND(Transaction[[#This Row],[GrossRevenue_Analytical]]-Transaction[[#This Row],[NetRevenue_Analytical]],2)=ROUND(Transaction[[#This Row],[DiscountAmount_Clean]],2),"Valid","Invalid")</f>
        <v>Valid</v>
      </c>
      <c r="AF91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160.56</v>
      </c>
      <c r="AG916">
        <f>IF(Transaction[[#This Row],[NetRevenue_Check]]="Invalid",(Transaction[[#This Row],[Quantity]]*Transaction[[#This Row],[UnitPrice_Clean]]),Transaction[[#This Row],[NetRevenue_Clean]])</f>
        <v>160.56</v>
      </c>
      <c r="AH916" t="str">
        <f>IF(Transaction[[#This Row],[Quantity]]*Transaction[[#This Row],[UnitPrice_Clean]]=Transaction[[#This Row],[NetRevenue_Clean]],"Valid","Invalid")</f>
        <v>Valid</v>
      </c>
      <c r="AI916" t="s">
        <v>23</v>
      </c>
      <c r="AJ916" t="s">
        <v>2666</v>
      </c>
      <c r="AK916" t="str">
        <f>IF(Transaction[[#This Row],[Salesperson]]="","Missing Value",TRIM(PROPER(Transaction[[#This Row],[Salesperson]])))</f>
        <v>Warren-Ap</v>
      </c>
      <c r="AL916" t="s">
        <v>42</v>
      </c>
      <c r="AM916" t="str">
        <f>IF(Transaction[[#This Row],[ContractType]]="","Missing Value",Transaction[[#This Row],[ContractType]])</f>
        <v>Standard PO</v>
      </c>
      <c r="AN916" t="s">
        <v>26</v>
      </c>
    </row>
    <row r="917" spans="1:40" x14ac:dyDescent="0.25">
      <c r="A917" t="s">
        <v>520</v>
      </c>
      <c r="B917" s="1">
        <v>45750</v>
      </c>
      <c r="C91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91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91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17" s="2">
        <f>IFERROR(DATE(Transaction[[#This Row],[TransactionDateY]],Transaction[[#This Row],[TransactionDateM]],Transaction[[#This Row],[TransactionDateD]]),"Missing Value")</f>
        <v>45750</v>
      </c>
      <c r="G917" t="s">
        <v>150</v>
      </c>
      <c r="H917" t="str">
        <f>IFERROR(VLOOKUP(Transaction[[#This Row],[CustomerID]],Custumer[],1,0),IF(LEN(Transaction[[#This Row],[CustomerID]])=7,LEFT(Transaction[[#This Row],[CustomerID]],6),"Invalid ID"))</f>
        <v>C-1061</v>
      </c>
      <c r="I917" t="s">
        <v>92</v>
      </c>
      <c r="J917" t="str">
        <f>TRIM(UPPER(Transaction[[#This Row],[ProductID]]))</f>
        <v>P-SI-008</v>
      </c>
      <c r="K917" t="str">
        <f>IFERROR(VLOOKUP(Transaction[[#This Row],[ProductID_Clean]],Product[],1,FALSE),"Invalid ID")</f>
        <v>P-SI-008</v>
      </c>
      <c r="L917" t="str">
        <f>TRIM(SUBSTITUTE(SUBSTITUTE(SUBSTITUTE(SUBSTITUTE(UPPER(Transaction[[#This Row],[Region]]),"EMEA REGION","EMEA"),"APAC REGION","APAC"),"NORTH AMERICA","N. AMERICA"),"N .AMERICA","N.AMERICA"))</f>
        <v>EMEA</v>
      </c>
      <c r="M917" t="s">
        <v>177</v>
      </c>
      <c r="N917" t="s">
        <v>53</v>
      </c>
      <c r="O91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17" t="s">
        <v>22</v>
      </c>
      <c r="Q917" t="str">
        <f>IF(TRIM(Transaction[[#This Row],[SalesChannel]])="","Missing Value",TRIM(Transaction[[#This Row],[SalesChannel]]))</f>
        <v>Direct</v>
      </c>
      <c r="R917" s="4">
        <v>12</v>
      </c>
      <c r="S917" s="4" t="str">
        <f>IF(Transaction[[#This Row],[Quantity]]&lt;0,"Negative-review","Valid")</f>
        <v>Valid</v>
      </c>
      <c r="T917">
        <v>874.8</v>
      </c>
      <c r="U91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874.8</v>
      </c>
      <c r="V917">
        <v>950</v>
      </c>
      <c r="W917">
        <v>11400</v>
      </c>
      <c r="X91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11400</v>
      </c>
      <c r="Y917">
        <f>IF(Transaction[[#This Row],[GrossRevenue_Check]]="Invalid",Transaction[[#This Row],[ListPrice]]*Transaction[[#This Row],[Quantity]],Transaction[[#This Row],[GrossRevenue_Clean]])</f>
        <v>11400</v>
      </c>
      <c r="Z917" t="str">
        <f>IF(Transaction[[#This Row],[GrossRevenue_Clean]]=Transaction[[#This Row],[ListPrice]]*Transaction[[#This Row],[Quantity]],"Valid","Invalid")</f>
        <v>Valid</v>
      </c>
      <c r="AA917">
        <v>902.4</v>
      </c>
      <c r="AB91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902.4</v>
      </c>
      <c r="AC917">
        <f>IF(Transaction[[#This Row],[DiscountAmount_Check2]]="Invalid",Transaction[[#This Row],[GrossRevenue_Analytical]]-Transaction[[#This Row],[NetRevenue_Analytical]],Transaction[[#This Row],[DiscountAmount_Clean]])</f>
        <v>902.4</v>
      </c>
      <c r="AD917">
        <v>10497.6</v>
      </c>
      <c r="AE917" t="str">
        <f>IF(ROUND(Transaction[[#This Row],[GrossRevenue_Analytical]]-Transaction[[#This Row],[NetRevenue_Analytical]],2)=ROUND(Transaction[[#This Row],[DiscountAmount_Clean]],2),"Valid","Invalid")</f>
        <v>Valid</v>
      </c>
      <c r="AF91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10497.6</v>
      </c>
      <c r="AG917">
        <f>IF(Transaction[[#This Row],[NetRevenue_Check]]="Invalid",(Transaction[[#This Row],[Quantity]]*Transaction[[#This Row],[UnitPrice_Clean]]),Transaction[[#This Row],[NetRevenue_Clean]])</f>
        <v>10497.6</v>
      </c>
      <c r="AH917" t="str">
        <f>IF(Transaction[[#This Row],[Quantity]]*Transaction[[#This Row],[UnitPrice_Clean]]=Transaction[[#This Row],[NetRevenue_Clean]],"Valid","Invalid")</f>
        <v>Valid</v>
      </c>
      <c r="AI917" t="s">
        <v>99</v>
      </c>
      <c r="AJ917" t="s">
        <v>521</v>
      </c>
      <c r="AK917" t="str">
        <f>IF(Transaction[[#This Row],[Salesperson]]="","Missing Value",TRIM(PROPER(Transaction[[#This Row],[Salesperson]])))</f>
        <v>Horton-Ap</v>
      </c>
      <c r="AL917" t="s">
        <v>42</v>
      </c>
      <c r="AM917" t="str">
        <f>IF(Transaction[[#This Row],[ContractType]]="","Missing Value",Transaction[[#This Row],[ContractType]])</f>
        <v>Standard PO</v>
      </c>
      <c r="AN917" t="s">
        <v>49</v>
      </c>
    </row>
    <row r="918" spans="1:40" x14ac:dyDescent="0.25">
      <c r="A918" t="s">
        <v>1589</v>
      </c>
      <c r="B918" s="1">
        <v>45718</v>
      </c>
      <c r="C91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91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91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18" s="2">
        <f>IFERROR(DATE(Transaction[[#This Row],[TransactionDateY]],Transaction[[#This Row],[TransactionDateM]],Transaction[[#This Row],[TransactionDateD]]),"Missing Value")</f>
        <v>45718</v>
      </c>
      <c r="G918" t="s">
        <v>45</v>
      </c>
      <c r="H918" t="str">
        <f>IFERROR(VLOOKUP(Transaction[[#This Row],[CustomerID]],Custumer[],1,0),IF(LEN(Transaction[[#This Row],[CustomerID]])=7,LEFT(Transaction[[#This Row],[CustomerID]],6),"Invalid ID"))</f>
        <v>C-1155</v>
      </c>
      <c r="I918" t="s">
        <v>111</v>
      </c>
      <c r="J918" t="str">
        <f>TRIM(UPPER(Transaction[[#This Row],[ProductID]]))</f>
        <v>P-SA-004</v>
      </c>
      <c r="K918" t="str">
        <f>IFERROR(VLOOKUP(Transaction[[#This Row],[ProductID_Clean]],Product[],1,FALSE),"Invalid ID")</f>
        <v>P-SA-004</v>
      </c>
      <c r="L918" t="str">
        <f>TRIM(SUBSTITUTE(SUBSTITUTE(SUBSTITUTE(SUBSTITUTE(UPPER(Transaction[[#This Row],[Region]]),"EMEA REGION","EMEA"),"APAC REGION","APAC"),"NORTH AMERICA","N. AMERICA"),"N .AMERICA","N.AMERICA"))</f>
        <v>APAC</v>
      </c>
      <c r="M918" t="s">
        <v>30</v>
      </c>
      <c r="N918" t="s">
        <v>31</v>
      </c>
      <c r="O91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918" t="s">
        <v>93</v>
      </c>
      <c r="Q918" t="str">
        <f>IF(TRIM(Transaction[[#This Row],[SalesChannel]])="","Missing Value",TRIM(Transaction[[#This Row],[SalesChannel]]))</f>
        <v>direct</v>
      </c>
      <c r="R918" s="4">
        <v>1</v>
      </c>
      <c r="S918" s="4" t="str">
        <f>IF(Transaction[[#This Row],[Quantity]]&lt;0,"Negative-review","Valid")</f>
        <v>Valid</v>
      </c>
      <c r="T918">
        <v>1426.48</v>
      </c>
      <c r="U91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1426.48</v>
      </c>
      <c r="V918">
        <v>1650</v>
      </c>
      <c r="W918">
        <v>1650</v>
      </c>
      <c r="X91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918">
        <f>IF(Transaction[[#This Row],[GrossRevenue_Check]]="Invalid",Transaction[[#This Row],[ListPrice]]*Transaction[[#This Row],[Quantity]],Transaction[[#This Row],[GrossRevenue_Clean]])</f>
        <v>1650</v>
      </c>
      <c r="Z918" t="str">
        <f>IF(Transaction[[#This Row],[GrossRevenue_Clean]]=Transaction[[#This Row],[ListPrice]]*Transaction[[#This Row],[Quantity]],"Valid","Invalid")</f>
        <v>Valid</v>
      </c>
      <c r="AA918">
        <v>223.52</v>
      </c>
      <c r="AB91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223.52</v>
      </c>
      <c r="AC918">
        <f>IF(Transaction[[#This Row],[DiscountAmount_Check2]]="Invalid",Transaction[[#This Row],[GrossRevenue_Analytical]]-Transaction[[#This Row],[NetRevenue_Analytical]],Transaction[[#This Row],[DiscountAmount_Clean]])</f>
        <v>223.52</v>
      </c>
      <c r="AD918">
        <v>1426.48</v>
      </c>
      <c r="AE918" t="str">
        <f>IF(ROUND(Transaction[[#This Row],[GrossRevenue_Analytical]]-Transaction[[#This Row],[NetRevenue_Analytical]],2)=ROUND(Transaction[[#This Row],[DiscountAmount_Clean]],2),"Valid","Invalid")</f>
        <v>Valid</v>
      </c>
      <c r="AF91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1426.48</v>
      </c>
      <c r="AG918">
        <f>IF(Transaction[[#This Row],[NetRevenue_Check]]="Invalid",(Transaction[[#This Row],[Quantity]]*Transaction[[#This Row],[UnitPrice_Clean]]),Transaction[[#This Row],[NetRevenue_Clean]])</f>
        <v>1426.48</v>
      </c>
      <c r="AH918" t="str">
        <f>IF(Transaction[[#This Row],[Quantity]]*Transaction[[#This Row],[UnitPrice_Clean]]=Transaction[[#This Row],[NetRevenue_Clean]],"Valid","Invalid")</f>
        <v>Valid</v>
      </c>
      <c r="AI918" t="s">
        <v>23</v>
      </c>
      <c r="AJ918" t="s">
        <v>1590</v>
      </c>
      <c r="AK918" t="str">
        <f>IF(Transaction[[#This Row],[Salesperson]]="","Missing Value",TRIM(PROPER(Transaction[[#This Row],[Salesperson]])))</f>
        <v>Russell</v>
      </c>
      <c r="AL918" t="s">
        <v>34</v>
      </c>
      <c r="AM918" t="str">
        <f>IF(Transaction[[#This Row],[ContractType]]="","Missing Value",Transaction[[#This Row],[ContractType]])</f>
        <v>Annual License</v>
      </c>
      <c r="AN918" t="s">
        <v>49</v>
      </c>
    </row>
    <row r="919" spans="1:40" x14ac:dyDescent="0.25">
      <c r="A919" t="s">
        <v>1561</v>
      </c>
      <c r="B919" t="s">
        <v>1562</v>
      </c>
      <c r="C91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91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91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19" s="2">
        <f>IFERROR(DATE(Transaction[[#This Row],[TransactionDateY]],Transaction[[#This Row],[TransactionDateM]],Transaction[[#This Row],[TransactionDateD]]),"Missing Value")</f>
        <v>45828</v>
      </c>
      <c r="G919" t="s">
        <v>405</v>
      </c>
      <c r="H919" t="str">
        <f>IFERROR(VLOOKUP(Transaction[[#This Row],[CustomerID]],Custumer[],1,0),IF(LEN(Transaction[[#This Row],[CustomerID]])=7,LEFT(Transaction[[#This Row],[CustomerID]],6),"Invalid ID"))</f>
        <v>C-1163</v>
      </c>
      <c r="I919" t="s">
        <v>258</v>
      </c>
      <c r="J919" t="str">
        <f>TRIM(UPPER(Transaction[[#This Row],[ProductID]]))</f>
        <v>P-SA-003</v>
      </c>
      <c r="K919" t="str">
        <f>IFERROR(VLOOKUP(Transaction[[#This Row],[ProductID_Clean]],Product[],1,FALSE),"Invalid ID")</f>
        <v>P-SA-003</v>
      </c>
      <c r="L919" t="str">
        <f>TRIM(SUBSTITUTE(SUBSTITUTE(SUBSTITUTE(SUBSTITUTE(UPPER(Transaction[[#This Row],[Region]]),"EMEA REGION","EMEA"),"APAC REGION","APAC"),"NORTH AMERICA","N. AMERICA"),"N .AMERICA","N.AMERICA"))</f>
        <v>APAC</v>
      </c>
      <c r="M919" t="s">
        <v>30</v>
      </c>
      <c r="N919" t="s">
        <v>31</v>
      </c>
      <c r="O91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919" t="s">
        <v>22</v>
      </c>
      <c r="Q919" t="str">
        <f>IF(TRIM(Transaction[[#This Row],[SalesChannel]])="","Missing Value",TRIM(Transaction[[#This Row],[SalesChannel]]))</f>
        <v>Direct</v>
      </c>
      <c r="R919" s="4">
        <v>1</v>
      </c>
      <c r="S919" s="4" t="str">
        <f>IF(Transaction[[#This Row],[Quantity]]&lt;0,"Negative-review","Valid")</f>
        <v>Valid</v>
      </c>
      <c r="T919">
        <v>2319.12</v>
      </c>
      <c r="U91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2319.12</v>
      </c>
      <c r="V919">
        <v>2750</v>
      </c>
      <c r="W919">
        <v>2750</v>
      </c>
      <c r="X91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919">
        <f>IF(Transaction[[#This Row],[GrossRevenue_Check]]="Invalid",Transaction[[#This Row],[ListPrice]]*Transaction[[#This Row],[Quantity]],Transaction[[#This Row],[GrossRevenue_Clean]])</f>
        <v>2750</v>
      </c>
      <c r="Z919" t="str">
        <f>IF(Transaction[[#This Row],[GrossRevenue_Clean]]=Transaction[[#This Row],[ListPrice]]*Transaction[[#This Row],[Quantity]],"Valid","Invalid")</f>
        <v>Valid</v>
      </c>
      <c r="AA919">
        <v>430.88</v>
      </c>
      <c r="AB91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430.88</v>
      </c>
      <c r="AC919">
        <f>IF(Transaction[[#This Row],[DiscountAmount_Check2]]="Invalid",Transaction[[#This Row],[GrossRevenue_Analytical]]-Transaction[[#This Row],[NetRevenue_Analytical]],Transaction[[#This Row],[DiscountAmount_Clean]])</f>
        <v>430.88</v>
      </c>
      <c r="AD919" t="s">
        <v>1563</v>
      </c>
      <c r="AE919" t="str">
        <f>IF(ROUND(Transaction[[#This Row],[GrossRevenue_Analytical]]-Transaction[[#This Row],[NetRevenue_Analytical]],2)=ROUND(Transaction[[#This Row],[DiscountAmount_Clean]],2),"Valid","Invalid")</f>
        <v>Valid</v>
      </c>
      <c r="AF91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2319.12</v>
      </c>
      <c r="AG919">
        <f>IF(Transaction[[#This Row],[NetRevenue_Check]]="Invalid",(Transaction[[#This Row],[Quantity]]*Transaction[[#This Row],[UnitPrice_Clean]]),Transaction[[#This Row],[NetRevenue_Clean]])</f>
        <v>2319.12</v>
      </c>
      <c r="AH919" t="str">
        <f>IF(Transaction[[#This Row],[Quantity]]*Transaction[[#This Row],[UnitPrice_Clean]]=Transaction[[#This Row],[NetRevenue_Clean]],"Valid","Invalid")</f>
        <v>Valid</v>
      </c>
      <c r="AI919" t="s">
        <v>23</v>
      </c>
      <c r="AJ919" t="s">
        <v>1115</v>
      </c>
      <c r="AK919" t="str">
        <f>IF(Transaction[[#This Row],[Salesperson]]="","Missing Value",TRIM(PROPER(Transaction[[#This Row],[Salesperson]])))</f>
        <v>Evans</v>
      </c>
      <c r="AL919" t="s">
        <v>113</v>
      </c>
      <c r="AM919" t="str">
        <f>IF(Transaction[[#This Row],[ContractType]]="","Missing Value",Transaction[[#This Row],[ContractType]])</f>
        <v>Subscription</v>
      </c>
      <c r="AN919" t="s">
        <v>65</v>
      </c>
    </row>
    <row r="920" spans="1:40" x14ac:dyDescent="0.25">
      <c r="A920" t="s">
        <v>56</v>
      </c>
      <c r="B920" s="1">
        <v>45777</v>
      </c>
      <c r="C92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92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92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20" s="2">
        <f>IFERROR(DATE(Transaction[[#This Row],[TransactionDateY]],Transaction[[#This Row],[TransactionDateM]],Transaction[[#This Row],[TransactionDateD]]),"Missing Value")</f>
        <v>45777</v>
      </c>
      <c r="G920" t="s">
        <v>57</v>
      </c>
      <c r="H920" t="str">
        <f>IFERROR(VLOOKUP(Transaction[[#This Row],[CustomerID]],Custumer[],1,0),IF(LEN(Transaction[[#This Row],[CustomerID]])=7,LEFT(Transaction[[#This Row],[CustomerID]],6),"Invalid ID"))</f>
        <v>C-1035</v>
      </c>
      <c r="I920" t="s">
        <v>58</v>
      </c>
      <c r="J920" t="str">
        <f>TRIM(UPPER(Transaction[[#This Row],[ProductID]]))</f>
        <v>P-SI-005</v>
      </c>
      <c r="K920" t="str">
        <f>IFERROR(VLOOKUP(Transaction[[#This Row],[ProductID_Clean]],Product[],1,FALSE),"Invalid ID")</f>
        <v>P-SI-005</v>
      </c>
      <c r="L920" t="str">
        <f>TRIM(SUBSTITUTE(SUBSTITUTE(SUBSTITUTE(SUBSTITUTE(UPPER(Transaction[[#This Row],[Region]]),"EMEA REGION","EMEA"),"APAC REGION","APAC"),"NORTH AMERICA","N. AMERICA"),"N .AMERICA","N.AMERICA"))</f>
        <v>N. AMERICA</v>
      </c>
      <c r="M920" t="s">
        <v>20</v>
      </c>
      <c r="N920" t="s">
        <v>53</v>
      </c>
      <c r="O92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20" t="s">
        <v>40</v>
      </c>
      <c r="Q920" t="str">
        <f>IF(TRIM(Transaction[[#This Row],[SalesChannel]])="","Missing Value",TRIM(Transaction[[#This Row],[SalesChannel]]))</f>
        <v>Distributor</v>
      </c>
      <c r="R920" s="4">
        <v>3</v>
      </c>
      <c r="S920" s="4" t="str">
        <f>IF(Transaction[[#This Row],[Quantity]]&lt;0,"Negative-review","Valid")</f>
        <v>Valid</v>
      </c>
      <c r="T920">
        <v>993.95</v>
      </c>
      <c r="U92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993.95</v>
      </c>
      <c r="V920">
        <v>1120</v>
      </c>
      <c r="W920">
        <v>3360</v>
      </c>
      <c r="X92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3360</v>
      </c>
      <c r="Y920">
        <f>IF(Transaction[[#This Row],[GrossRevenue_Check]]="Invalid",Transaction[[#This Row],[ListPrice]]*Transaction[[#This Row],[Quantity]],Transaction[[#This Row],[GrossRevenue_Clean]])</f>
        <v>3360</v>
      </c>
      <c r="Z920" t="str">
        <f>IF(Transaction[[#This Row],[GrossRevenue_Clean]]=Transaction[[#This Row],[ListPrice]]*Transaction[[#This Row],[Quantity]],"Valid","Invalid")</f>
        <v>Valid</v>
      </c>
      <c r="AA920">
        <v>378.15</v>
      </c>
      <c r="AB92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378.15</v>
      </c>
      <c r="AC920">
        <f>IF(Transaction[[#This Row],[DiscountAmount_Check2]]="Invalid",Transaction[[#This Row],[GrossRevenue_Analytical]]-Transaction[[#This Row],[NetRevenue_Analytical]],Transaction[[#This Row],[DiscountAmount_Clean]])</f>
        <v>378.15</v>
      </c>
      <c r="AD920">
        <v>2981.85</v>
      </c>
      <c r="AE920" t="str">
        <f>IF(ROUND(Transaction[[#This Row],[GrossRevenue_Analytical]]-Transaction[[#This Row],[NetRevenue_Analytical]],2)=ROUND(Transaction[[#This Row],[DiscountAmount_Clean]],2),"Valid","Invalid")</f>
        <v>Valid</v>
      </c>
      <c r="AF92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2981.85</v>
      </c>
      <c r="AG920">
        <f>IF(Transaction[[#This Row],[NetRevenue_Check]]="Invalid",(Transaction[[#This Row],[Quantity]]*Transaction[[#This Row],[UnitPrice_Clean]]),Transaction[[#This Row],[NetRevenue_Clean]])</f>
        <v>2981.85</v>
      </c>
      <c r="AH920" t="str">
        <f>IF(Transaction[[#This Row],[Quantity]]*Transaction[[#This Row],[UnitPrice_Clean]]=Transaction[[#This Row],[NetRevenue_Clean]],"Valid","Invalid")</f>
        <v>Valid</v>
      </c>
      <c r="AI920" t="s">
        <v>23</v>
      </c>
      <c r="AJ920" t="s">
        <v>59</v>
      </c>
      <c r="AK920" t="str">
        <f>IF(Transaction[[#This Row],[Salesperson]]="","Missing Value",TRIM(PROPER(Transaction[[#This Row],[Salesperson]])))</f>
        <v>White-Na</v>
      </c>
      <c r="AL920" t="s">
        <v>42</v>
      </c>
      <c r="AM920" t="str">
        <f>IF(Transaction[[#This Row],[ContractType]]="","Missing Value",Transaction[[#This Row],[ContractType]])</f>
        <v>Standard PO</v>
      </c>
      <c r="AN920" t="s">
        <v>35</v>
      </c>
    </row>
    <row r="921" spans="1:40" x14ac:dyDescent="0.25">
      <c r="A921" t="s">
        <v>401</v>
      </c>
      <c r="B921" s="1">
        <v>45833</v>
      </c>
      <c r="C92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92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92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21" s="2">
        <f>IFERROR(DATE(Transaction[[#This Row],[TransactionDateY]],Transaction[[#This Row],[TransactionDateM]],Transaction[[#This Row],[TransactionDateD]]),"Missing Value")</f>
        <v>45833</v>
      </c>
      <c r="G921" t="s">
        <v>402</v>
      </c>
      <c r="H921" t="str">
        <f>IFERROR(VLOOKUP(Transaction[[#This Row],[CustomerID]],Custumer[],1,0),IF(LEN(Transaction[[#This Row],[CustomerID]])=7,LEFT(Transaction[[#This Row],[CustomerID]],6),"Invalid ID"))</f>
        <v>C-1041</v>
      </c>
      <c r="I921" t="s">
        <v>29</v>
      </c>
      <c r="J921" t="str">
        <f>TRIM(UPPER(Transaction[[#This Row],[ProductID]]))</f>
        <v>P-SA-001</v>
      </c>
      <c r="K921" t="str">
        <f>IFERROR(VLOOKUP(Transaction[[#This Row],[ProductID_Clean]],Product[],1,FALSE),"Invalid ID")</f>
        <v>P-SA-001</v>
      </c>
      <c r="L921" t="str">
        <f>TRIM(SUBSTITUTE(SUBSTITUTE(SUBSTITUTE(SUBSTITUTE(UPPER(Transaction[[#This Row],[Region]]),"EMEA REGION","EMEA"),"APAC REGION","APAC"),"NORTH AMERICA","N. AMERICA"),"N .AMERICA","N.AMERICA"))</f>
        <v>N. AMERICA</v>
      </c>
      <c r="M921" t="s">
        <v>20</v>
      </c>
      <c r="N921" t="s">
        <v>205</v>
      </c>
      <c r="O92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921" t="s">
        <v>22</v>
      </c>
      <c r="Q921" t="str">
        <f>IF(TRIM(Transaction[[#This Row],[SalesChannel]])="","Missing Value",TRIM(Transaction[[#This Row],[SalesChannel]]))</f>
        <v>Direct</v>
      </c>
      <c r="R921" s="4">
        <v>1</v>
      </c>
      <c r="S921" s="4" t="str">
        <f>IF(Transaction[[#This Row],[Quantity]]&lt;0,"Negative-review","Valid")</f>
        <v>Valid</v>
      </c>
      <c r="T921">
        <v>3992.19</v>
      </c>
      <c r="U92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3992.19</v>
      </c>
      <c r="V921">
        <v>4200</v>
      </c>
      <c r="W921">
        <v>4200</v>
      </c>
      <c r="X92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921">
        <f>IF(Transaction[[#This Row],[GrossRevenue_Check]]="Invalid",Transaction[[#This Row],[ListPrice]]*Transaction[[#This Row],[Quantity]],Transaction[[#This Row],[GrossRevenue_Clean]])</f>
        <v>4200</v>
      </c>
      <c r="Z921" t="str">
        <f>IF(Transaction[[#This Row],[GrossRevenue_Clean]]=Transaction[[#This Row],[ListPrice]]*Transaction[[#This Row],[Quantity]],"Valid","Invalid")</f>
        <v>Valid</v>
      </c>
      <c r="AA921">
        <v>207.81</v>
      </c>
      <c r="AB92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207.81</v>
      </c>
      <c r="AC921">
        <f>IF(Transaction[[#This Row],[DiscountAmount_Check2]]="Invalid",Transaction[[#This Row],[GrossRevenue_Analytical]]-Transaction[[#This Row],[NetRevenue_Analytical]],Transaction[[#This Row],[DiscountAmount_Clean]])</f>
        <v>207.81</v>
      </c>
      <c r="AD921">
        <v>3992.19</v>
      </c>
      <c r="AE921" t="str">
        <f>IF(ROUND(Transaction[[#This Row],[GrossRevenue_Analytical]]-Transaction[[#This Row],[NetRevenue_Analytical]],2)=ROUND(Transaction[[#This Row],[DiscountAmount_Clean]],2),"Valid","Invalid")</f>
        <v>Valid</v>
      </c>
      <c r="AF921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3992.19</v>
      </c>
      <c r="AG921">
        <f>IF(Transaction[[#This Row],[NetRevenue_Check]]="Invalid",(Transaction[[#This Row],[Quantity]]*Transaction[[#This Row],[UnitPrice_Clean]]),Transaction[[#This Row],[NetRevenue_Clean]])</f>
        <v>3992.19</v>
      </c>
      <c r="AH921" t="str">
        <f>IF(Transaction[[#This Row],[Quantity]]*Transaction[[#This Row],[UnitPrice_Clean]]=Transaction[[#This Row],[NetRevenue_Clean]],"Valid","Invalid")</f>
        <v>Valid</v>
      </c>
      <c r="AI921" t="s">
        <v>99</v>
      </c>
      <c r="AJ921" t="s">
        <v>403</v>
      </c>
      <c r="AK921" t="str">
        <f>IF(Transaction[[#This Row],[Salesperson]]="","Missing Value",TRIM(PROPER(Transaction[[#This Row],[Salesperson]])))</f>
        <v>Medina-Em</v>
      </c>
      <c r="AL921" t="s">
        <v>34</v>
      </c>
      <c r="AM921" t="str">
        <f>IF(Transaction[[#This Row],[ContractType]]="","Missing Value",Transaction[[#This Row],[ContractType]])</f>
        <v>Annual License</v>
      </c>
      <c r="AN921" t="s">
        <v>35</v>
      </c>
    </row>
    <row r="922" spans="1:40" x14ac:dyDescent="0.25">
      <c r="A922" t="s">
        <v>845</v>
      </c>
      <c r="B922" t="s">
        <v>199</v>
      </c>
      <c r="C92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92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92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22" s="2">
        <f>IFERROR(DATE(Transaction[[#This Row],[TransactionDateY]],Transaction[[#This Row],[TransactionDateM]],Transaction[[#This Row],[TransactionDateD]]),"Missing Value")</f>
        <v>45838</v>
      </c>
      <c r="G922" t="s">
        <v>523</v>
      </c>
      <c r="H922" t="str">
        <f>IFERROR(VLOOKUP(Transaction[[#This Row],[CustomerID]],Custumer[],1,0),IF(LEN(Transaction[[#This Row],[CustomerID]])=7,LEFT(Transaction[[#This Row],[CustomerID]],6),"Invalid ID"))</f>
        <v>C-1054</v>
      </c>
      <c r="I922" t="s">
        <v>97</v>
      </c>
      <c r="J922" t="str">
        <f>TRIM(UPPER(Transaction[[#This Row],[ProductID]]))</f>
        <v>P-SI-001</v>
      </c>
      <c r="K922" t="str">
        <f>IFERROR(VLOOKUP(Transaction[[#This Row],[ProductID_Clean]],Product[],1,FALSE),"Invalid ID")</f>
        <v>P-SI-001</v>
      </c>
      <c r="L922" t="str">
        <f>TRIM(SUBSTITUTE(SUBSTITUTE(SUBSTITUTE(SUBSTITUTE(UPPER(Transaction[[#This Row],[Region]]),"EMEA REGION","EMEA"),"APAC REGION","APAC"),"NORTH AMERICA","N. AMERICA"),"N .AMERICA","N.AMERICA"))</f>
        <v>EMEA</v>
      </c>
      <c r="M922" t="s">
        <v>76</v>
      </c>
      <c r="N922" t="s">
        <v>53</v>
      </c>
      <c r="O92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22" t="s">
        <v>40</v>
      </c>
      <c r="Q922" t="str">
        <f>IF(TRIM(Transaction[[#This Row],[SalesChannel]])="","Missing Value",TRIM(Transaction[[#This Row],[SalesChannel]]))</f>
        <v>Distributor</v>
      </c>
      <c r="R922" s="4">
        <v>10</v>
      </c>
      <c r="S922" s="4" t="str">
        <f>IF(Transaction[[#This Row],[Quantity]]&lt;0,"Negative-review","Valid")</f>
        <v>Valid</v>
      </c>
      <c r="T922">
        <v>393.34</v>
      </c>
      <c r="U92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393.34</v>
      </c>
      <c r="V922">
        <v>485</v>
      </c>
      <c r="W922">
        <v>4850</v>
      </c>
      <c r="X92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4850</v>
      </c>
      <c r="Y922">
        <f>IF(Transaction[[#This Row],[GrossRevenue_Check]]="Invalid",Transaction[[#This Row],[ListPrice]]*Transaction[[#This Row],[Quantity]],Transaction[[#This Row],[GrossRevenue_Clean]])</f>
        <v>4850</v>
      </c>
      <c r="Z922" t="str">
        <f>IF(Transaction[[#This Row],[GrossRevenue_Clean]]=Transaction[[#This Row],[ListPrice]]*Transaction[[#This Row],[Quantity]],"Valid","Invalid")</f>
        <v>Valid</v>
      </c>
      <c r="AA922">
        <v>916.6</v>
      </c>
      <c r="AB92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916.6</v>
      </c>
      <c r="AC922">
        <f>IF(Transaction[[#This Row],[DiscountAmount_Check2]]="Invalid",Transaction[[#This Row],[GrossRevenue_Analytical]]-Transaction[[#This Row],[NetRevenue_Analytical]],Transaction[[#This Row],[DiscountAmount_Clean]])</f>
        <v>916.6</v>
      </c>
      <c r="AD922">
        <v>3933.4</v>
      </c>
      <c r="AE922" t="str">
        <f>IF(ROUND(Transaction[[#This Row],[GrossRevenue_Analytical]]-Transaction[[#This Row],[NetRevenue_Analytical]],2)=ROUND(Transaction[[#This Row],[DiscountAmount_Clean]],2),"Valid","Invalid")</f>
        <v>Valid</v>
      </c>
      <c r="AF922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3933.4</v>
      </c>
      <c r="AG922">
        <f>IF(Transaction[[#This Row],[NetRevenue_Check]]="Invalid",(Transaction[[#This Row],[Quantity]]*Transaction[[#This Row],[UnitPrice_Clean]]),Transaction[[#This Row],[NetRevenue_Clean]])</f>
        <v>3933.4</v>
      </c>
      <c r="AH922" t="str">
        <f>IF(Transaction[[#This Row],[Quantity]]*Transaction[[#This Row],[UnitPrice_Clean]]=Transaction[[#This Row],[NetRevenue_Clean]],"Valid","Invalid")</f>
        <v>Valid</v>
      </c>
      <c r="AI922" t="s">
        <v>23</v>
      </c>
      <c r="AJ922" t="s">
        <v>818</v>
      </c>
      <c r="AK922" t="str">
        <f>IF(Transaction[[#This Row],[Salesperson]]="","Missing Value",TRIM(PROPER(Transaction[[#This Row],[Salesperson]])))</f>
        <v>Allen-Ap</v>
      </c>
      <c r="AL922" t="s">
        <v>25</v>
      </c>
      <c r="AM922" t="str">
        <f>IF(Transaction[[#This Row],[ContractType]]="","Missing Value",Transaction[[#This Row],[ContractType]])</f>
        <v>Frame Agreement</v>
      </c>
      <c r="AN922" t="s">
        <v>26</v>
      </c>
    </row>
    <row r="923" spans="1:40" x14ac:dyDescent="0.25">
      <c r="A923" t="s">
        <v>2528</v>
      </c>
      <c r="B923" s="1">
        <v>45688</v>
      </c>
      <c r="C92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92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31</v>
      </c>
      <c r="E92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23" s="2">
        <f>IFERROR(DATE(Transaction[[#This Row],[TransactionDateY]],Transaction[[#This Row],[TransactionDateM]],Transaction[[#This Row],[TransactionDateD]]),"Missing Value")</f>
        <v>45688</v>
      </c>
      <c r="G923" t="s">
        <v>523</v>
      </c>
      <c r="H923" t="str">
        <f>IFERROR(VLOOKUP(Transaction[[#This Row],[CustomerID]],Custumer[],1,0),IF(LEN(Transaction[[#This Row],[CustomerID]])=7,LEFT(Transaction[[#This Row],[CustomerID]],6),"Invalid ID"))</f>
        <v>C-1054</v>
      </c>
      <c r="I923" t="s">
        <v>52</v>
      </c>
      <c r="J923" t="str">
        <f>TRIM(UPPER(Transaction[[#This Row],[ProductID]]))</f>
        <v>P-SI-002</v>
      </c>
      <c r="K923" t="str">
        <f>IFERROR(VLOOKUP(Transaction[[#This Row],[ProductID_Clean]],Product[],1,FALSE),"Invalid ID")</f>
        <v>P-SI-002</v>
      </c>
      <c r="L923" t="str">
        <f>TRIM(SUBSTITUTE(SUBSTITUTE(SUBSTITUTE(SUBSTITUTE(UPPER(Transaction[[#This Row],[Region]]),"EMEA REGION","EMEA"),"APAC REGION","APAC"),"NORTH AMERICA","N. AMERICA"),"N .AMERICA","N.AMERICA"))</f>
        <v>EMEA</v>
      </c>
      <c r="M923" t="s">
        <v>76</v>
      </c>
      <c r="N923" t="s">
        <v>47</v>
      </c>
      <c r="O92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23" t="s">
        <v>40</v>
      </c>
      <c r="Q923" t="str">
        <f>IF(TRIM(Transaction[[#This Row],[SalesChannel]])="","Missing Value",TRIM(Transaction[[#This Row],[SalesChannel]]))</f>
        <v>Distributor</v>
      </c>
      <c r="R923" s="4">
        <v>5</v>
      </c>
      <c r="S923" s="4" t="str">
        <f>IF(Transaction[[#This Row],[Quantity]]&lt;0,"Negative-review","Valid")</f>
        <v>Valid</v>
      </c>
      <c r="T923">
        <v>596.4</v>
      </c>
      <c r="U92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596.4</v>
      </c>
      <c r="V923">
        <v>725</v>
      </c>
      <c r="W923">
        <v>3625</v>
      </c>
      <c r="X92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3625</v>
      </c>
      <c r="Y923">
        <f>IF(Transaction[[#This Row],[GrossRevenue_Check]]="Invalid",Transaction[[#This Row],[ListPrice]]*Transaction[[#This Row],[Quantity]],Transaction[[#This Row],[GrossRevenue_Clean]])</f>
        <v>3625</v>
      </c>
      <c r="Z923" t="str">
        <f>IF(Transaction[[#This Row],[GrossRevenue_Clean]]=Transaction[[#This Row],[ListPrice]]*Transaction[[#This Row],[Quantity]],"Valid","Invalid")</f>
        <v>Valid</v>
      </c>
      <c r="AA923" t="s">
        <v>2529</v>
      </c>
      <c r="AB92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643</v>
      </c>
      <c r="AC923">
        <f>IF(Transaction[[#This Row],[DiscountAmount_Check2]]="Invalid",Transaction[[#This Row],[GrossRevenue_Analytical]]-Transaction[[#This Row],[NetRevenue_Analytical]],Transaction[[#This Row],[DiscountAmount_Clean]])</f>
        <v>643</v>
      </c>
      <c r="AD923">
        <v>2982</v>
      </c>
      <c r="AE923" t="str">
        <f>IF(ROUND(Transaction[[#This Row],[GrossRevenue_Analytical]]-Transaction[[#This Row],[NetRevenue_Analytical]],2)=ROUND(Transaction[[#This Row],[DiscountAmount_Clean]],2),"Valid","Invalid")</f>
        <v>Valid</v>
      </c>
      <c r="AF923">
        <f>VALUE(IF(ISNUMBER(Transaction[[#This Row],[NetRevenue]]),Transaction[[#This Row],[NetRevenue]],IFERROR(IF(FIND("$",Transaction[[#This Row],[NetRevenue]])&gt;0,MID(Transaction[[#This Row],[NetRevenue]],2,10)),Transaction[[#This Row],[NetRevenue]])))</f>
        <v>2982</v>
      </c>
      <c r="AG923">
        <f>IF(Transaction[[#This Row],[NetRevenue_Check]]="Invalid",(Transaction[[#This Row],[Quantity]]*Transaction[[#This Row],[UnitPrice_Clean]]),Transaction[[#This Row],[NetRevenue_Clean]])</f>
        <v>2982</v>
      </c>
      <c r="AH923" t="str">
        <f>IF(Transaction[[#This Row],[Quantity]]*Transaction[[#This Row],[UnitPrice_Clean]]=Transaction[[#This Row],[NetRevenue_Clean]],"Valid","Invalid")</f>
        <v>Valid</v>
      </c>
      <c r="AI923" t="s">
        <v>23</v>
      </c>
      <c r="AJ923" t="s">
        <v>2530</v>
      </c>
      <c r="AK923" t="str">
        <f>IF(Transaction[[#This Row],[Salesperson]]="","Missing Value",TRIM(PROPER(Transaction[[#This Row],[Salesperson]])))</f>
        <v>Perez</v>
      </c>
      <c r="AL923" t="s">
        <v>42</v>
      </c>
      <c r="AM923" t="str">
        <f>IF(Transaction[[#This Row],[ContractType]]="","Missing Value",Transaction[[#This Row],[ContractType]])</f>
        <v>Standard PO</v>
      </c>
      <c r="AN923" t="s">
        <v>26</v>
      </c>
    </row>
    <row r="924" spans="1:40" x14ac:dyDescent="0.25">
      <c r="A924" t="s">
        <v>1001</v>
      </c>
      <c r="B924" s="1">
        <v>45752</v>
      </c>
      <c r="C92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92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92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24" s="2">
        <f>IFERROR(DATE(Transaction[[#This Row],[TransactionDateY]],Transaction[[#This Row],[TransactionDateM]],Transaction[[#This Row],[TransactionDateD]]),"Missing Value")</f>
        <v>45752</v>
      </c>
      <c r="G924" t="s">
        <v>186</v>
      </c>
      <c r="H924" t="str">
        <f>IFERROR(VLOOKUP(Transaction[[#This Row],[CustomerID]],Custumer[],1,0),IF(LEN(Transaction[[#This Row],[CustomerID]])=7,LEFT(Transaction[[#This Row],[CustomerID]],6),"Invalid ID"))</f>
        <v>C-1063</v>
      </c>
      <c r="I924" t="s">
        <v>946</v>
      </c>
      <c r="J924" t="str">
        <f>TRIM(UPPER(Transaction[[#This Row],[ProductID]]))</f>
        <v>P-SI-006</v>
      </c>
      <c r="K924" t="str">
        <f>IFERROR(VLOOKUP(Transaction[[#This Row],[ProductID_Clean]],Product[],1,FALSE),"Invalid ID")</f>
        <v>P-SI-006</v>
      </c>
      <c r="L924" t="str">
        <f>TRIM(SUBSTITUTE(SUBSTITUTE(SUBSTITUTE(SUBSTITUTE(UPPER(Transaction[[#This Row],[Region]]),"EMEA REGION","EMEA"),"APAC REGION","APAC"),"NORTH AMERICA","N. AMERICA"),"N .AMERICA","N.AMERICA"))</f>
        <v>N. AMERICA</v>
      </c>
      <c r="M924" t="s">
        <v>20</v>
      </c>
      <c r="N924" t="s">
        <v>53</v>
      </c>
      <c r="O92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24" t="s">
        <v>420</v>
      </c>
      <c r="Q924" t="str">
        <f>IF(TRIM(Transaction[[#This Row],[SalesChannel]])="","Missing Value",TRIM(Transaction[[#This Row],[SalesChannel]]))</f>
        <v>partner portal</v>
      </c>
      <c r="R924" s="4">
        <v>4</v>
      </c>
      <c r="S924" s="4" t="str">
        <f>IF(Transaction[[#This Row],[Quantity]]&lt;0,"Negative-review","Valid")</f>
        <v>Valid</v>
      </c>
      <c r="T924">
        <v>139.57</v>
      </c>
      <c r="U92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139.57</v>
      </c>
      <c r="V924">
        <v>215</v>
      </c>
      <c r="W924">
        <v>860</v>
      </c>
      <c r="X92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860</v>
      </c>
      <c r="Y924">
        <f>IF(Transaction[[#This Row],[GrossRevenue_Check]]="Invalid",Transaction[[#This Row],[ListPrice]]*Transaction[[#This Row],[Quantity]],Transaction[[#This Row],[GrossRevenue_Clean]])</f>
        <v>860</v>
      </c>
      <c r="Z924" t="str">
        <f>IF(Transaction[[#This Row],[GrossRevenue_Clean]]=Transaction[[#This Row],[ListPrice]]*Transaction[[#This Row],[Quantity]],"Valid","Invalid")</f>
        <v>Valid</v>
      </c>
      <c r="AA924">
        <v>301.72000000000003</v>
      </c>
      <c r="AB92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301.72000000000003</v>
      </c>
      <c r="AC924">
        <f>IF(Transaction[[#This Row],[DiscountAmount_Check2]]="Invalid",Transaction[[#This Row],[GrossRevenue_Analytical]]-Transaction[[#This Row],[NetRevenue_Analytical]],Transaction[[#This Row],[DiscountAmount_Clean]])</f>
        <v>301.72000000000003</v>
      </c>
      <c r="AD924">
        <v>558.28</v>
      </c>
      <c r="AE924" t="str">
        <f>IF(ROUND(Transaction[[#This Row],[GrossRevenue_Analytical]]-Transaction[[#This Row],[NetRevenue_Analytical]],2)=ROUND(Transaction[[#This Row],[DiscountAmount_Clean]],2),"Valid","Invalid")</f>
        <v>Valid</v>
      </c>
      <c r="AF924">
        <f>VALUE(IF(ISNUMBER(Transaction[[#This Row],[NetRevenue]]),Transaction[[#This Row],[NetRevenue]],IFERROR(IF(FIND("$",Transaction[[#This Row],[NetRevenue]])&gt;0,MID(Transaction[[#This Row],[NetRevenue]],2,10)),Transaction[[#This Row],[NetRevenue]])))</f>
        <v>558.28</v>
      </c>
      <c r="AG924">
        <f>IF(Transaction[[#This Row],[NetRevenue_Check]]="Invalid",(Transaction[[#This Row],[Quantity]]*Transaction[[#This Row],[UnitPrice_Clean]]),Transaction[[#This Row],[NetRevenue_Clean]])</f>
        <v>558.28</v>
      </c>
      <c r="AH924" t="str">
        <f>IF(Transaction[[#This Row],[Quantity]]*Transaction[[#This Row],[UnitPrice_Clean]]=Transaction[[#This Row],[NetRevenue_Clean]],"Valid","Invalid")</f>
        <v>Valid</v>
      </c>
      <c r="AI924" t="s">
        <v>99</v>
      </c>
      <c r="AJ924" t="s">
        <v>1002</v>
      </c>
      <c r="AK924" t="str">
        <f>IF(Transaction[[#This Row],[Salesperson]]="","Missing Value",TRIM(PROPER(Transaction[[#This Row],[Salesperson]])))</f>
        <v>Mathews-Em</v>
      </c>
      <c r="AL924" t="s">
        <v>25</v>
      </c>
      <c r="AM924" t="str">
        <f>IF(Transaction[[#This Row],[ContractType]]="","Missing Value",Transaction[[#This Row],[ContractType]])</f>
        <v>Frame Agreement</v>
      </c>
      <c r="AN924" t="s">
        <v>43</v>
      </c>
    </row>
    <row r="925" spans="1:40" x14ac:dyDescent="0.25">
      <c r="A925" t="s">
        <v>1655</v>
      </c>
      <c r="B925" s="1">
        <v>45714</v>
      </c>
      <c r="C92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92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92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25" s="2">
        <f>IFERROR(DATE(Transaction[[#This Row],[TransactionDateY]],Transaction[[#This Row],[TransactionDateM]],Transaction[[#This Row],[TransactionDateD]]),"Missing Value")</f>
        <v>45714</v>
      </c>
      <c r="G925" t="s">
        <v>764</v>
      </c>
      <c r="H925" t="str">
        <f>IFERROR(VLOOKUP(Transaction[[#This Row],[CustomerID]],Custumer[],1,0),IF(LEN(Transaction[[#This Row],[CustomerID]])=7,LEFT(Transaction[[#This Row],[CustomerID]],6),"Invalid ID"))</f>
        <v>C-1071</v>
      </c>
      <c r="I925" t="s">
        <v>103</v>
      </c>
      <c r="J925" t="str">
        <f>TRIM(UPPER(Transaction[[#This Row],[ProductID]]))</f>
        <v>P-FS-005</v>
      </c>
      <c r="K925" t="str">
        <f>IFERROR(VLOOKUP(Transaction[[#This Row],[ProductID_Clean]],Product[],1,FALSE),"Invalid ID")</f>
        <v>P-FS-005</v>
      </c>
      <c r="L925" t="str">
        <f>TRIM(SUBSTITUTE(SUBSTITUTE(SUBSTITUTE(SUBSTITUTE(UPPER(Transaction[[#This Row],[Region]]),"EMEA REGION","EMEA"),"APAC REGION","APAC"),"NORTH AMERICA","N. AMERICA"),"N .AMERICA","N.AMERICA"))</f>
        <v>APAC</v>
      </c>
      <c r="M925" t="s">
        <v>30</v>
      </c>
      <c r="N925" t="s">
        <v>244</v>
      </c>
      <c r="O92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925" t="s">
        <v>40</v>
      </c>
      <c r="Q925" t="str">
        <f>IF(TRIM(Transaction[[#This Row],[SalesChannel]])="","Missing Value",TRIM(Transaction[[#This Row],[SalesChannel]]))</f>
        <v>Distributor</v>
      </c>
      <c r="R925" s="4">
        <v>1</v>
      </c>
      <c r="S925" s="4" t="str">
        <f>IF(Transaction[[#This Row],[Quantity]]&lt;0,"Negative-review","Valid")</f>
        <v>Valid</v>
      </c>
      <c r="T925">
        <v>633.65</v>
      </c>
      <c r="U92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633.65</v>
      </c>
      <c r="V925">
        <v>950</v>
      </c>
      <c r="W925">
        <v>950</v>
      </c>
      <c r="X92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925">
        <f>IF(Transaction[[#This Row],[GrossRevenue_Check]]="Invalid",Transaction[[#This Row],[ListPrice]]*Transaction[[#This Row],[Quantity]],Transaction[[#This Row],[GrossRevenue_Clean]])</f>
        <v>950</v>
      </c>
      <c r="Z925" t="str">
        <f>IF(Transaction[[#This Row],[GrossRevenue_Clean]]=Transaction[[#This Row],[ListPrice]]*Transaction[[#This Row],[Quantity]],"Valid","Invalid")</f>
        <v>Valid</v>
      </c>
      <c r="AA925">
        <v>316.35000000000002</v>
      </c>
      <c r="AB92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316.35000000000002</v>
      </c>
      <c r="AC925">
        <f>IF(Transaction[[#This Row],[DiscountAmount_Check2]]="Invalid",Transaction[[#This Row],[GrossRevenue_Analytical]]-Transaction[[#This Row],[NetRevenue_Analytical]],Transaction[[#This Row],[DiscountAmount_Clean]])</f>
        <v>316.35000000000002</v>
      </c>
      <c r="AD925">
        <v>633.65</v>
      </c>
      <c r="AE925" t="str">
        <f>IF(ROUND(Transaction[[#This Row],[GrossRevenue_Analytical]]-Transaction[[#This Row],[NetRevenue_Analytical]],2)=ROUND(Transaction[[#This Row],[DiscountAmount_Clean]],2),"Valid","Invalid")</f>
        <v>Valid</v>
      </c>
      <c r="AF925">
        <f>VALUE(IF(ISNUMBER(Transaction[[#This Row],[NetRevenue]]),Transaction[[#This Row],[NetRevenue]],IFERROR(IF(FIND("$",Transaction[[#This Row],[NetRevenue]])&gt;0,MID(Transaction[[#This Row],[NetRevenue]],2,10)),Transaction[[#This Row],[NetRevenue]])))</f>
        <v>633.65</v>
      </c>
      <c r="AG925">
        <f>IF(Transaction[[#This Row],[NetRevenue_Check]]="Invalid",(Transaction[[#This Row],[Quantity]]*Transaction[[#This Row],[UnitPrice_Clean]]),Transaction[[#This Row],[NetRevenue_Clean]])</f>
        <v>633.65</v>
      </c>
      <c r="AH925" t="str">
        <f>IF(Transaction[[#This Row],[Quantity]]*Transaction[[#This Row],[UnitPrice_Clean]]=Transaction[[#This Row],[NetRevenue_Clean]],"Valid","Invalid")</f>
        <v>Valid</v>
      </c>
      <c r="AI925" t="s">
        <v>23</v>
      </c>
      <c r="AJ925" t="s">
        <v>1194</v>
      </c>
      <c r="AK925" t="str">
        <f>IF(Transaction[[#This Row],[Salesperson]]="","Missing Value",TRIM(PROPER(Transaction[[#This Row],[Salesperson]])))</f>
        <v>Thomas</v>
      </c>
      <c r="AL925" t="s">
        <v>42</v>
      </c>
      <c r="AM925" t="str">
        <f>IF(Transaction[[#This Row],[ContractType]]="","Missing Value",Transaction[[#This Row],[ContractType]])</f>
        <v>Standard PO</v>
      </c>
      <c r="AN925" t="s">
        <v>43</v>
      </c>
    </row>
    <row r="926" spans="1:40" x14ac:dyDescent="0.25">
      <c r="A926" t="s">
        <v>1056</v>
      </c>
      <c r="B926" s="1">
        <v>45780</v>
      </c>
      <c r="C92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92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92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26" s="2">
        <f>IFERROR(DATE(Transaction[[#This Row],[TransactionDateY]],Transaction[[#This Row],[TransactionDateM]],Transaction[[#This Row],[TransactionDateD]]),"Missing Value")</f>
        <v>45780</v>
      </c>
      <c r="G926" t="s">
        <v>110</v>
      </c>
      <c r="H926" t="str">
        <f>IFERROR(VLOOKUP(Transaction[[#This Row],[CustomerID]],Custumer[],1,0),IF(LEN(Transaction[[#This Row],[CustomerID]])=7,LEFT(Transaction[[#This Row],[CustomerID]],6),"Invalid ID"))</f>
        <v>C-1100</v>
      </c>
      <c r="I926" t="s">
        <v>29</v>
      </c>
      <c r="J926" t="str">
        <f>TRIM(UPPER(Transaction[[#This Row],[ProductID]]))</f>
        <v>P-SA-001</v>
      </c>
      <c r="K926" t="str">
        <f>IFERROR(VLOOKUP(Transaction[[#This Row],[ProductID_Clean]],Product[],1,FALSE),"Invalid ID")</f>
        <v>P-SA-001</v>
      </c>
      <c r="L926" t="str">
        <f>TRIM(SUBSTITUTE(SUBSTITUTE(SUBSTITUTE(SUBSTITUTE(UPPER(Transaction[[#This Row],[Region]]),"EMEA REGION","EMEA"),"APAC REGION","APAC"),"NORTH AMERICA","N. AMERICA"),"N .AMERICA","N.AMERICA"))</f>
        <v>EMEA</v>
      </c>
      <c r="M926" t="s">
        <v>76</v>
      </c>
      <c r="N926" t="s">
        <v>31</v>
      </c>
      <c r="O92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926" t="s">
        <v>40</v>
      </c>
      <c r="Q926" t="str">
        <f>IF(TRIM(Transaction[[#This Row],[SalesChannel]])="","Missing Value",TRIM(Transaction[[#This Row],[SalesChannel]]))</f>
        <v>Distributor</v>
      </c>
      <c r="R926" s="4">
        <v>1</v>
      </c>
      <c r="S926" s="4" t="str">
        <f>IF(Transaction[[#This Row],[Quantity]]&lt;0,"Negative-review","Valid")</f>
        <v>Valid</v>
      </c>
      <c r="T926">
        <v>3212.73</v>
      </c>
      <c r="U92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3212.73</v>
      </c>
      <c r="V926">
        <v>4200</v>
      </c>
      <c r="W926">
        <v>4200</v>
      </c>
      <c r="X92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926">
        <f>IF(Transaction[[#This Row],[GrossRevenue_Check]]="Invalid",Transaction[[#This Row],[ListPrice]]*Transaction[[#This Row],[Quantity]],Transaction[[#This Row],[GrossRevenue_Clean]])</f>
        <v>4200</v>
      </c>
      <c r="Z926" t="str">
        <f>IF(Transaction[[#This Row],[GrossRevenue_Clean]]=Transaction[[#This Row],[ListPrice]]*Transaction[[#This Row],[Quantity]],"Valid","Invalid")</f>
        <v>Valid</v>
      </c>
      <c r="AA926">
        <v>987.27</v>
      </c>
      <c r="AB92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987.27</v>
      </c>
      <c r="AC926">
        <f>IF(Transaction[[#This Row],[DiscountAmount_Check2]]="Invalid",Transaction[[#This Row],[GrossRevenue_Analytical]]-Transaction[[#This Row],[NetRevenue_Analytical]],Transaction[[#This Row],[DiscountAmount_Clean]])</f>
        <v>987.27</v>
      </c>
      <c r="AD926">
        <v>3212.73</v>
      </c>
      <c r="AE926" t="str">
        <f>IF(ROUND(Transaction[[#This Row],[GrossRevenue_Analytical]]-Transaction[[#This Row],[NetRevenue_Analytical]],2)=ROUND(Transaction[[#This Row],[DiscountAmount_Clean]],2),"Valid","Invalid")</f>
        <v>Valid</v>
      </c>
      <c r="AF926">
        <f>VALUE(IF(ISNUMBER(Transaction[[#This Row],[NetRevenue]]),Transaction[[#This Row],[NetRevenue]],IFERROR(IF(FIND("$",Transaction[[#This Row],[NetRevenue]])&gt;0,MID(Transaction[[#This Row],[NetRevenue]],2,10)),Transaction[[#This Row],[NetRevenue]])))</f>
        <v>3212.73</v>
      </c>
      <c r="AG926">
        <f>IF(Transaction[[#This Row],[NetRevenue_Check]]="Invalid",(Transaction[[#This Row],[Quantity]]*Transaction[[#This Row],[UnitPrice_Clean]]),Transaction[[#This Row],[NetRevenue_Clean]])</f>
        <v>3212.73</v>
      </c>
      <c r="AH926" t="str">
        <f>IF(Transaction[[#This Row],[Quantity]]*Transaction[[#This Row],[UnitPrice_Clean]]=Transaction[[#This Row],[NetRevenue_Clean]],"Valid","Invalid")</f>
        <v>Valid</v>
      </c>
      <c r="AI926" t="s">
        <v>23</v>
      </c>
      <c r="AJ926" t="s">
        <v>1057</v>
      </c>
      <c r="AK926" t="str">
        <f>IF(Transaction[[#This Row],[Salesperson]]="","Missing Value",TRIM(PROPER(Transaction[[#This Row],[Salesperson]])))</f>
        <v>Ford</v>
      </c>
      <c r="AL926" t="s">
        <v>113</v>
      </c>
      <c r="AM926" t="str">
        <f>IF(Transaction[[#This Row],[ContractType]]="","Missing Value",Transaction[[#This Row],[ContractType]])</f>
        <v>Subscription</v>
      </c>
      <c r="AN926" t="s">
        <v>43</v>
      </c>
    </row>
    <row r="927" spans="1:40" x14ac:dyDescent="0.25">
      <c r="A927" t="s">
        <v>889</v>
      </c>
      <c r="B927" s="1">
        <v>45774</v>
      </c>
      <c r="C92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92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92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27" s="2">
        <f>IFERROR(DATE(Transaction[[#This Row],[TransactionDateY]],Transaction[[#This Row],[TransactionDateM]],Transaction[[#This Row],[TransactionDateD]]),"Missing Value")</f>
        <v>45774</v>
      </c>
      <c r="G927" t="s">
        <v>890</v>
      </c>
      <c r="H927" t="str">
        <f>IFERROR(VLOOKUP(Transaction[[#This Row],[CustomerID]],Custumer[],1,0),IF(LEN(Transaction[[#This Row],[CustomerID]])=7,LEFT(Transaction[[#This Row],[CustomerID]],6),"Invalid ID"))</f>
        <v>C-1134</v>
      </c>
      <c r="I927" t="s">
        <v>46</v>
      </c>
      <c r="J927" t="str">
        <f>TRIM(UPPER(Transaction[[#This Row],[ProductID]]))</f>
        <v>P-SI-006</v>
      </c>
      <c r="K927" t="str">
        <f>IFERROR(VLOOKUP(Transaction[[#This Row],[ProductID_Clean]],Product[],1,FALSE),"Invalid ID")</f>
        <v>P-SI-006</v>
      </c>
      <c r="L927" t="str">
        <f>TRIM(SUBSTITUTE(SUBSTITUTE(SUBSTITUTE(SUBSTITUTE(UPPER(Transaction[[#This Row],[Region]]),"EMEA REGION","EMEA"),"APAC REGION","APAC"),"NORTH AMERICA","N. AMERICA"),"N .AMERICA","N.AMERICA"))</f>
        <v>N. AMERICA</v>
      </c>
      <c r="M927" t="s">
        <v>20</v>
      </c>
      <c r="N927" t="s">
        <v>53</v>
      </c>
      <c r="O92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27" t="s">
        <v>22</v>
      </c>
      <c r="Q927" t="str">
        <f>IF(TRIM(Transaction[[#This Row],[SalesChannel]])="","Missing Value",TRIM(Transaction[[#This Row],[SalesChannel]]))</f>
        <v>Direct</v>
      </c>
      <c r="R927" s="4">
        <v>2</v>
      </c>
      <c r="S927" s="4" t="str">
        <f>IF(Transaction[[#This Row],[Quantity]]&lt;0,"Negative-review","Valid")</f>
        <v>Valid</v>
      </c>
      <c r="T927">
        <v>181.17</v>
      </c>
      <c r="U92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181.17</v>
      </c>
      <c r="V927">
        <v>215</v>
      </c>
      <c r="W927">
        <v>430</v>
      </c>
      <c r="X92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927">
        <f>IF(Transaction[[#This Row],[GrossRevenue_Check]]="Invalid",Transaction[[#This Row],[ListPrice]]*Transaction[[#This Row],[Quantity]],Transaction[[#This Row],[GrossRevenue_Clean]])</f>
        <v>430</v>
      </c>
      <c r="Z927" t="str">
        <f>IF(Transaction[[#This Row],[GrossRevenue_Clean]]=Transaction[[#This Row],[ListPrice]]*Transaction[[#This Row],[Quantity]],"Valid","Invalid")</f>
        <v>Valid</v>
      </c>
      <c r="AA927">
        <v>67.66</v>
      </c>
      <c r="AB92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67.66</v>
      </c>
      <c r="AC927">
        <f>IF(Transaction[[#This Row],[DiscountAmount_Check2]]="Invalid",Transaction[[#This Row],[GrossRevenue_Analytical]]-Transaction[[#This Row],[NetRevenue_Analytical]],Transaction[[#This Row],[DiscountAmount_Clean]])</f>
        <v>67.66</v>
      </c>
      <c r="AD927" t="s">
        <v>891</v>
      </c>
      <c r="AE927" t="str">
        <f>IF(ROUND(Transaction[[#This Row],[GrossRevenue_Analytical]]-Transaction[[#This Row],[NetRevenue_Analytical]],2)=ROUND(Transaction[[#This Row],[DiscountAmount_Clean]],2),"Valid","Invalid")</f>
        <v>Valid</v>
      </c>
      <c r="AF92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362.34</v>
      </c>
      <c r="AG927">
        <f>IF(Transaction[[#This Row],[NetRevenue_Check]]="Invalid",(Transaction[[#This Row],[Quantity]]*Transaction[[#This Row],[UnitPrice_Clean]]),Transaction[[#This Row],[NetRevenue_Clean]])</f>
        <v>362.34</v>
      </c>
      <c r="AH927" t="str">
        <f>IF(Transaction[[#This Row],[Quantity]]*Transaction[[#This Row],[UnitPrice_Clean]]=Transaction[[#This Row],[NetRevenue_Clean]],"Valid","Invalid")</f>
        <v>Valid</v>
      </c>
      <c r="AI927" t="s">
        <v>23</v>
      </c>
      <c r="AJ927" t="s">
        <v>892</v>
      </c>
      <c r="AK927" t="str">
        <f>IF(Transaction[[#This Row],[Salesperson]]="","Missing Value",TRIM(PROPER(Transaction[[#This Row],[Salesperson]])))</f>
        <v>Brown-Em</v>
      </c>
      <c r="AL927" t="s">
        <v>42</v>
      </c>
      <c r="AM927" t="str">
        <f>IF(Transaction[[#This Row],[ContractType]]="","Missing Value",Transaction[[#This Row],[ContractType]])</f>
        <v>Standard PO</v>
      </c>
      <c r="AN927" t="s">
        <v>49</v>
      </c>
    </row>
    <row r="928" spans="1:40" x14ac:dyDescent="0.25">
      <c r="A928" t="s">
        <v>1632</v>
      </c>
      <c r="B928" t="s">
        <v>1633</v>
      </c>
      <c r="C92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92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06</v>
      </c>
      <c r="E92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28" s="2">
        <f>IFERROR(DATE(Transaction[[#This Row],[TransactionDateY]],Transaction[[#This Row],[TransactionDateM]],Transaction[[#This Row],[TransactionDateD]]),"Missing Value")</f>
        <v>45753</v>
      </c>
      <c r="G928" t="s">
        <v>300</v>
      </c>
      <c r="H928" t="str">
        <f>IFERROR(VLOOKUP(Transaction[[#This Row],[CustomerID]],Custumer[],1,0),IF(LEN(Transaction[[#This Row],[CustomerID]])=7,LEFT(Transaction[[#This Row],[CustomerID]],6),"Invalid ID"))</f>
        <v>C-1089</v>
      </c>
      <c r="I928" t="s">
        <v>52</v>
      </c>
      <c r="J928" t="str">
        <f>TRIM(UPPER(Transaction[[#This Row],[ProductID]]))</f>
        <v>P-SI-002</v>
      </c>
      <c r="K928" t="str">
        <f>IFERROR(VLOOKUP(Transaction[[#This Row],[ProductID_Clean]],Product[],1,FALSE),"Invalid ID")</f>
        <v>P-SI-002</v>
      </c>
      <c r="L928" t="str">
        <f>TRIM(SUBSTITUTE(SUBSTITUTE(SUBSTITUTE(SUBSTITUTE(UPPER(Transaction[[#This Row],[Region]]),"EMEA REGION","EMEA"),"APAC REGION","APAC"),"NORTH AMERICA","N. AMERICA"),"N .AMERICA","N.AMERICA"))</f>
        <v>LATIN AMERICA</v>
      </c>
      <c r="M928" t="s">
        <v>82</v>
      </c>
      <c r="N928" t="s">
        <v>47</v>
      </c>
      <c r="O92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28" t="s">
        <v>40</v>
      </c>
      <c r="Q928" t="str">
        <f>IF(TRIM(Transaction[[#This Row],[SalesChannel]])="","Missing Value",TRIM(Transaction[[#This Row],[SalesChannel]]))</f>
        <v>Distributor</v>
      </c>
      <c r="R928" s="4">
        <v>1</v>
      </c>
      <c r="S928" s="4" t="str">
        <f>IF(Transaction[[#This Row],[Quantity]]&lt;0,"Negative-review","Valid")</f>
        <v>Valid</v>
      </c>
      <c r="T928">
        <v>578.52</v>
      </c>
      <c r="U92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578.52</v>
      </c>
      <c r="V928">
        <v>725</v>
      </c>
      <c r="W928">
        <v>725</v>
      </c>
      <c r="X92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928">
        <f>IF(Transaction[[#This Row],[GrossRevenue_Check]]="Invalid",Transaction[[#This Row],[ListPrice]]*Transaction[[#This Row],[Quantity]],Transaction[[#This Row],[GrossRevenue_Clean]])</f>
        <v>725</v>
      </c>
      <c r="Z928" t="str">
        <f>IF(Transaction[[#This Row],[GrossRevenue_Clean]]=Transaction[[#This Row],[ListPrice]]*Transaction[[#This Row],[Quantity]],"Valid","Invalid")</f>
        <v>Valid</v>
      </c>
      <c r="AA928">
        <v>146.47999999999999</v>
      </c>
      <c r="AB92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146.47999999999999</v>
      </c>
      <c r="AC928">
        <f>IF(Transaction[[#This Row],[DiscountAmount_Check2]]="Invalid",Transaction[[#This Row],[GrossRevenue_Analytical]]-Transaction[[#This Row],[NetRevenue_Analytical]],Transaction[[#This Row],[DiscountAmount_Clean]])</f>
        <v>146.47999999999999</v>
      </c>
      <c r="AD928">
        <v>578.52</v>
      </c>
      <c r="AE928" t="str">
        <f>IF(ROUND(Transaction[[#This Row],[GrossRevenue_Analytical]]-Transaction[[#This Row],[NetRevenue_Analytical]],2)=ROUND(Transaction[[#This Row],[DiscountAmount_Clean]],2),"Valid","Invalid")</f>
        <v>Valid</v>
      </c>
      <c r="AF928">
        <f>VALUE(IF(ISNUMBER(Transaction[[#This Row],[NetRevenue]]),Transaction[[#This Row],[NetRevenue]],IFERROR(IF(FIND("$",Transaction[[#This Row],[NetRevenue]])&gt;0,MID(Transaction[[#This Row],[NetRevenue]],2,10)),Transaction[[#This Row],[NetRevenue]])))</f>
        <v>578.52</v>
      </c>
      <c r="AG928">
        <f>IF(Transaction[[#This Row],[NetRevenue_Check]]="Invalid",(Transaction[[#This Row],[Quantity]]*Transaction[[#This Row],[UnitPrice_Clean]]),Transaction[[#This Row],[NetRevenue_Clean]])</f>
        <v>578.52</v>
      </c>
      <c r="AH928" t="str">
        <f>IF(Transaction[[#This Row],[Quantity]]*Transaction[[#This Row],[UnitPrice_Clean]]=Transaction[[#This Row],[NetRevenue_Clean]],"Valid","Invalid")</f>
        <v>Valid</v>
      </c>
      <c r="AI928" t="s">
        <v>23</v>
      </c>
      <c r="AJ928" t="s">
        <v>1634</v>
      </c>
      <c r="AK928" t="str">
        <f>IF(Transaction[[#This Row],[Salesperson]]="","Missing Value",TRIM(PROPER(Transaction[[#This Row],[Salesperson]])))</f>
        <v>Gutierrez-Na</v>
      </c>
      <c r="AL928" t="s">
        <v>25</v>
      </c>
      <c r="AM928" t="str">
        <f>IF(Transaction[[#This Row],[ContractType]]="","Missing Value",Transaction[[#This Row],[ContractType]])</f>
        <v>Frame Agreement</v>
      </c>
      <c r="AN928" t="s">
        <v>49</v>
      </c>
    </row>
    <row r="929" spans="1:40" x14ac:dyDescent="0.25">
      <c r="A929" t="s">
        <v>1885</v>
      </c>
      <c r="B929" s="1">
        <v>45837</v>
      </c>
      <c r="C92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92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29</v>
      </c>
      <c r="E92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29" s="2">
        <f>IFERROR(DATE(Transaction[[#This Row],[TransactionDateY]],Transaction[[#This Row],[TransactionDateM]],Transaction[[#This Row],[TransactionDateD]]),"Missing Value")</f>
        <v>45837</v>
      </c>
      <c r="G929" t="s">
        <v>851</v>
      </c>
      <c r="H929" t="str">
        <f>IFERROR(VLOOKUP(Transaction[[#This Row],[CustomerID]],Custumer[],1,0),IF(LEN(Transaction[[#This Row],[CustomerID]])=7,LEFT(Transaction[[#This Row],[CustomerID]],6),"Invalid ID"))</f>
        <v>C-1068</v>
      </c>
      <c r="I929" t="s">
        <v>103</v>
      </c>
      <c r="J929" t="str">
        <f>TRIM(UPPER(Transaction[[#This Row],[ProductID]]))</f>
        <v>P-FS-005</v>
      </c>
      <c r="K929" t="str">
        <f>IFERROR(VLOOKUP(Transaction[[#This Row],[ProductID_Clean]],Product[],1,FALSE),"Invalid ID")</f>
        <v>P-FS-005</v>
      </c>
      <c r="L929" t="str">
        <f>TRIM(SUBSTITUTE(SUBSTITUTE(SUBSTITUTE(SUBSTITUTE(UPPER(Transaction[[#This Row],[Region]]),"EMEA REGION","EMEA"),"APAC REGION","APAC"),"NORTH AMERICA","N. AMERICA"),"N .AMERICA","N.AMERICA"))</f>
        <v>APAC</v>
      </c>
      <c r="M929" t="s">
        <v>30</v>
      </c>
      <c r="N929" t="s">
        <v>21</v>
      </c>
      <c r="O929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929" t="s">
        <v>22</v>
      </c>
      <c r="Q929" t="str">
        <f>IF(TRIM(Transaction[[#This Row],[SalesChannel]])="","Missing Value",TRIM(Transaction[[#This Row],[SalesChannel]]))</f>
        <v>Direct</v>
      </c>
      <c r="R929" s="4">
        <v>1</v>
      </c>
      <c r="S929" s="4" t="str">
        <f>IF(Transaction[[#This Row],[Quantity]]&lt;0,"Negative-review","Valid")</f>
        <v>Valid</v>
      </c>
      <c r="T929">
        <v>795.8</v>
      </c>
      <c r="U92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795.8</v>
      </c>
      <c r="V929">
        <v>950</v>
      </c>
      <c r="W929">
        <v>950</v>
      </c>
      <c r="X92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929">
        <f>IF(Transaction[[#This Row],[GrossRevenue_Check]]="Invalid",Transaction[[#This Row],[ListPrice]]*Transaction[[#This Row],[Quantity]],Transaction[[#This Row],[GrossRevenue_Clean]])</f>
        <v>950</v>
      </c>
      <c r="Z929" t="str">
        <f>IF(Transaction[[#This Row],[GrossRevenue_Clean]]=Transaction[[#This Row],[ListPrice]]*Transaction[[#This Row],[Quantity]],"Valid","Invalid")</f>
        <v>Valid</v>
      </c>
      <c r="AA929" t="s">
        <v>1886</v>
      </c>
      <c r="AB92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154.19999999999999</v>
      </c>
      <c r="AC929">
        <f>IF(Transaction[[#This Row],[DiscountAmount_Check2]]="Invalid",Transaction[[#This Row],[GrossRevenue_Analytical]]-Transaction[[#This Row],[NetRevenue_Analytical]],Transaction[[#This Row],[DiscountAmount_Clean]])</f>
        <v>154.19999999999999</v>
      </c>
      <c r="AD929">
        <v>795.8</v>
      </c>
      <c r="AE929" t="str">
        <f>IF(ROUND(Transaction[[#This Row],[GrossRevenue_Analytical]]-Transaction[[#This Row],[NetRevenue_Analytical]],2)=ROUND(Transaction[[#This Row],[DiscountAmount_Clean]],2),"Valid","Invalid")</f>
        <v>Valid</v>
      </c>
      <c r="AF929">
        <f>VALUE(IF(ISNUMBER(Transaction[[#This Row],[NetRevenue]]),Transaction[[#This Row],[NetRevenue]],IFERROR(IF(FIND("$",Transaction[[#This Row],[NetRevenue]])&gt;0,MID(Transaction[[#This Row],[NetRevenue]],2,10)),Transaction[[#This Row],[NetRevenue]])))</f>
        <v>795.8</v>
      </c>
      <c r="AG929">
        <f>IF(Transaction[[#This Row],[NetRevenue_Check]]="Invalid",(Transaction[[#This Row],[Quantity]]*Transaction[[#This Row],[UnitPrice_Clean]]),Transaction[[#This Row],[NetRevenue_Clean]])</f>
        <v>795.8</v>
      </c>
      <c r="AH929" t="str">
        <f>IF(Transaction[[#This Row],[Quantity]]*Transaction[[#This Row],[UnitPrice_Clean]]=Transaction[[#This Row],[NetRevenue_Clean]],"Valid","Invalid")</f>
        <v>Valid</v>
      </c>
      <c r="AI929" t="s">
        <v>23</v>
      </c>
      <c r="AJ929" t="s">
        <v>1887</v>
      </c>
      <c r="AK929" t="str">
        <f>IF(Transaction[[#This Row],[Salesperson]]="","Missing Value",TRIM(PROPER(Transaction[[#This Row],[Salesperson]])))</f>
        <v>Butler-Na</v>
      </c>
      <c r="AL929" t="s">
        <v>55</v>
      </c>
      <c r="AM929" t="str">
        <f>IF(Transaction[[#This Row],[ContractType]]="","Missing Value",Transaction[[#This Row],[ContractType]])</f>
        <v>Spot</v>
      </c>
      <c r="AN929" t="s">
        <v>49</v>
      </c>
    </row>
    <row r="930" spans="1:40" x14ac:dyDescent="0.25">
      <c r="A930" t="s">
        <v>2569</v>
      </c>
      <c r="B930" s="1">
        <v>45795</v>
      </c>
      <c r="C93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93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93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30" s="2">
        <f>IFERROR(DATE(Transaction[[#This Row],[TransactionDateY]],Transaction[[#This Row],[TransactionDateM]],Transaction[[#This Row],[TransactionDateD]]),"Missing Value")</f>
        <v>45795</v>
      </c>
      <c r="G930" t="s">
        <v>755</v>
      </c>
      <c r="H930" t="str">
        <f>IFERROR(VLOOKUP(Transaction[[#This Row],[CustomerID]],Custumer[],1,0),IF(LEN(Transaction[[#This Row],[CustomerID]])=7,LEFT(Transaction[[#This Row],[CustomerID]],6),"Invalid ID"))</f>
        <v>C-1013</v>
      </c>
      <c r="I930" t="s">
        <v>62</v>
      </c>
      <c r="J930" t="str">
        <f>TRIM(UPPER(Transaction[[#This Row],[ProductID]]))</f>
        <v>P-SI-004</v>
      </c>
      <c r="K930" t="str">
        <f>IFERROR(VLOOKUP(Transaction[[#This Row],[ProductID_Clean]],Product[],1,FALSE),"Invalid ID")</f>
        <v>P-SI-004</v>
      </c>
      <c r="L930" t="str">
        <f>TRIM(SUBSTITUTE(SUBSTITUTE(SUBSTITUTE(SUBSTITUTE(UPPER(Transaction[[#This Row],[Region]]),"EMEA REGION","EMEA"),"APAC REGION","APAC"),"NORTH AMERICA","N. AMERICA"),"N .AMERICA","N.AMERICA"))</f>
        <v>N. AMERICA</v>
      </c>
      <c r="M930" t="s">
        <v>20</v>
      </c>
      <c r="N930" t="s">
        <v>53</v>
      </c>
      <c r="O93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30" t="s">
        <v>40</v>
      </c>
      <c r="Q930" t="str">
        <f>IF(TRIM(Transaction[[#This Row],[SalesChannel]])="","Missing Value",TRIM(Transaction[[#This Row],[SalesChannel]]))</f>
        <v>Distributor</v>
      </c>
      <c r="R930" s="4">
        <v>1</v>
      </c>
      <c r="S930" s="4" t="str">
        <f>IF(Transaction[[#This Row],[Quantity]]&lt;0,"Negative-review","Valid")</f>
        <v>Valid</v>
      </c>
      <c r="T930">
        <v>2035.08</v>
      </c>
      <c r="U93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2035.08</v>
      </c>
      <c r="V930">
        <v>2450</v>
      </c>
      <c r="W930">
        <v>2450</v>
      </c>
      <c r="X93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930">
        <f>IF(Transaction[[#This Row],[GrossRevenue_Check]]="Invalid",Transaction[[#This Row],[ListPrice]]*Transaction[[#This Row],[Quantity]],Transaction[[#This Row],[GrossRevenue_Clean]])</f>
        <v>2450</v>
      </c>
      <c r="Z930" t="str">
        <f>IF(Transaction[[#This Row],[GrossRevenue_Clean]]=Transaction[[#This Row],[ListPrice]]*Transaction[[#This Row],[Quantity]],"Valid","Invalid")</f>
        <v>Valid</v>
      </c>
      <c r="AA930">
        <v>414.92</v>
      </c>
      <c r="AB93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414.92</v>
      </c>
      <c r="AC930">
        <f>IF(Transaction[[#This Row],[DiscountAmount_Check2]]="Invalid",Transaction[[#This Row],[GrossRevenue_Analytical]]-Transaction[[#This Row],[NetRevenue_Analytical]],Transaction[[#This Row],[DiscountAmount_Clean]])</f>
        <v>414.92</v>
      </c>
      <c r="AD930">
        <v>2035.08</v>
      </c>
      <c r="AE930" t="str">
        <f>IF(ROUND(Transaction[[#This Row],[GrossRevenue_Analytical]]-Transaction[[#This Row],[NetRevenue_Analytical]],2)=ROUND(Transaction[[#This Row],[DiscountAmount_Clean]],2),"Valid","Invalid")</f>
        <v>Valid</v>
      </c>
      <c r="AF93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2035.08</v>
      </c>
      <c r="AG930">
        <f>IF(Transaction[[#This Row],[NetRevenue_Check]]="Invalid",(Transaction[[#This Row],[Quantity]]*Transaction[[#This Row],[UnitPrice_Clean]]),Transaction[[#This Row],[NetRevenue_Clean]])</f>
        <v>2035.08</v>
      </c>
      <c r="AH930" t="str">
        <f>IF(Transaction[[#This Row],[Quantity]]*Transaction[[#This Row],[UnitPrice_Clean]]=Transaction[[#This Row],[NetRevenue_Clean]],"Valid","Invalid")</f>
        <v>Valid</v>
      </c>
      <c r="AI930" t="s">
        <v>23</v>
      </c>
      <c r="AJ930" t="s">
        <v>2570</v>
      </c>
      <c r="AK930" t="str">
        <f>IF(Transaction[[#This Row],[Salesperson]]="","Missing Value",TRIM(PROPER(Transaction[[#This Row],[Salesperson]])))</f>
        <v>Moreno-Ap</v>
      </c>
      <c r="AL930" t="s">
        <v>42</v>
      </c>
      <c r="AM930" t="str">
        <f>IF(Transaction[[#This Row],[ContractType]]="","Missing Value",Transaction[[#This Row],[ContractType]])</f>
        <v>Standard PO</v>
      </c>
      <c r="AN930" t="s">
        <v>43</v>
      </c>
    </row>
    <row r="931" spans="1:40" x14ac:dyDescent="0.25">
      <c r="A931" t="s">
        <v>2723</v>
      </c>
      <c r="B931" s="1">
        <v>45713</v>
      </c>
      <c r="C93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93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93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31" s="2">
        <f>IFERROR(DATE(Transaction[[#This Row],[TransactionDateY]],Transaction[[#This Row],[TransactionDateM]],Transaction[[#This Row],[TransactionDateD]]),"Missing Value")</f>
        <v>45713</v>
      </c>
      <c r="G931" t="s">
        <v>1078</v>
      </c>
      <c r="H931" t="str">
        <f>IFERROR(VLOOKUP(Transaction[[#This Row],[CustomerID]],Custumer[],1,0),IF(LEN(Transaction[[#This Row],[CustomerID]])=7,LEFT(Transaction[[#This Row],[CustomerID]],6),"Invalid ID"))</f>
        <v>C-1018</v>
      </c>
      <c r="I931" t="s">
        <v>29</v>
      </c>
      <c r="J931" t="str">
        <f>TRIM(UPPER(Transaction[[#This Row],[ProductID]]))</f>
        <v>P-SA-001</v>
      </c>
      <c r="K931" t="str">
        <f>IFERROR(VLOOKUP(Transaction[[#This Row],[ProductID_Clean]],Product[],1,FALSE),"Invalid ID")</f>
        <v>P-SA-001</v>
      </c>
      <c r="L931" t="str">
        <f>TRIM(SUBSTITUTE(SUBSTITUTE(SUBSTITUTE(SUBSTITUTE(UPPER(Transaction[[#This Row],[Region]]),"EMEA REGION","EMEA"),"APAC REGION","APAC"),"NORTH AMERICA","N. AMERICA"),"N .AMERICA","N.AMERICA"))</f>
        <v>APAC</v>
      </c>
      <c r="M931" t="s">
        <v>30</v>
      </c>
      <c r="N931" t="s">
        <v>31</v>
      </c>
      <c r="O93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931" t="s">
        <v>40</v>
      </c>
      <c r="Q931" t="str">
        <f>IF(TRIM(Transaction[[#This Row],[SalesChannel]])="","Missing Value",TRIM(Transaction[[#This Row],[SalesChannel]]))</f>
        <v>Distributor</v>
      </c>
      <c r="R931" s="4">
        <v>1</v>
      </c>
      <c r="S931" s="4" t="str">
        <f>IF(Transaction[[#This Row],[Quantity]]&lt;0,"Negative-review","Valid")</f>
        <v>Valid</v>
      </c>
      <c r="T931">
        <v>3234.97</v>
      </c>
      <c r="U93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3234.97</v>
      </c>
      <c r="V931">
        <v>4200</v>
      </c>
      <c r="W931">
        <v>4200</v>
      </c>
      <c r="X93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931">
        <f>IF(Transaction[[#This Row],[GrossRevenue_Check]]="Invalid",Transaction[[#This Row],[ListPrice]]*Transaction[[#This Row],[Quantity]],Transaction[[#This Row],[GrossRevenue_Clean]])</f>
        <v>4200</v>
      </c>
      <c r="Z931" t="str">
        <f>IF(Transaction[[#This Row],[GrossRevenue_Clean]]=Transaction[[#This Row],[ListPrice]]*Transaction[[#This Row],[Quantity]],"Valid","Invalid")</f>
        <v>Valid</v>
      </c>
      <c r="AA931">
        <v>965.03</v>
      </c>
      <c r="AB93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965.03</v>
      </c>
      <c r="AC931">
        <f>IF(Transaction[[#This Row],[DiscountAmount_Check2]]="Invalid",Transaction[[#This Row],[GrossRevenue_Analytical]]-Transaction[[#This Row],[NetRevenue_Analytical]],Transaction[[#This Row],[DiscountAmount_Clean]])</f>
        <v>965.03</v>
      </c>
      <c r="AD931">
        <v>3234.97</v>
      </c>
      <c r="AE931" t="str">
        <f>IF(ROUND(Transaction[[#This Row],[GrossRevenue_Analytical]]-Transaction[[#This Row],[NetRevenue_Analytical]],2)=ROUND(Transaction[[#This Row],[DiscountAmount_Clean]],2),"Valid","Invalid")</f>
        <v>Valid</v>
      </c>
      <c r="AF931">
        <f>VALUE(IF(ISNUMBER(Transaction[[#This Row],[NetRevenue]]),Transaction[[#This Row],[NetRevenue]],IFERROR(IF(FIND("$",Transaction[[#This Row],[NetRevenue]])&gt;0,MID(Transaction[[#This Row],[NetRevenue]],2,10)),Transaction[[#This Row],[NetRevenue]])))</f>
        <v>3234.97</v>
      </c>
      <c r="AG931">
        <f>IF(Transaction[[#This Row],[NetRevenue_Check]]="Invalid",(Transaction[[#This Row],[Quantity]]*Transaction[[#This Row],[UnitPrice_Clean]]),Transaction[[#This Row],[NetRevenue_Clean]])</f>
        <v>3234.97</v>
      </c>
      <c r="AH931" t="str">
        <f>IF(Transaction[[#This Row],[Quantity]]*Transaction[[#This Row],[UnitPrice_Clean]]=Transaction[[#This Row],[NetRevenue_Clean]],"Valid","Invalid")</f>
        <v>Valid</v>
      </c>
      <c r="AI931" t="s">
        <v>23</v>
      </c>
      <c r="AJ931" t="s">
        <v>68</v>
      </c>
      <c r="AK931" t="str">
        <f>IF(Transaction[[#This Row],[Salesperson]]="","Missing Value",TRIM(PROPER(Transaction[[#This Row],[Salesperson]])))</f>
        <v>Price</v>
      </c>
      <c r="AL931" t="s">
        <v>113</v>
      </c>
      <c r="AM931" t="str">
        <f>IF(Transaction[[#This Row],[ContractType]]="","Missing Value",Transaction[[#This Row],[ContractType]])</f>
        <v>Subscription</v>
      </c>
      <c r="AN931" t="s">
        <v>43</v>
      </c>
    </row>
    <row r="932" spans="1:40" x14ac:dyDescent="0.25">
      <c r="A932" t="s">
        <v>2901</v>
      </c>
      <c r="B932" s="1">
        <v>45832</v>
      </c>
      <c r="C93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93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93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32" s="2">
        <f>IFERROR(DATE(Transaction[[#This Row],[TransactionDateY]],Transaction[[#This Row],[TransactionDateM]],Transaction[[#This Row],[TransactionDateD]]),"Missing Value")</f>
        <v>45832</v>
      </c>
      <c r="G932" t="s">
        <v>1285</v>
      </c>
      <c r="H932" t="str">
        <f>IFERROR(VLOOKUP(Transaction[[#This Row],[CustomerID]],Custumer[],1,0),IF(LEN(Transaction[[#This Row],[CustomerID]])=7,LEFT(Transaction[[#This Row],[CustomerID]],6),"Invalid ID"))</f>
        <v>C-1172</v>
      </c>
      <c r="I932" t="s">
        <v>75</v>
      </c>
      <c r="J932" t="str">
        <f>TRIM(UPPER(Transaction[[#This Row],[ProductID]]))</f>
        <v>P-SA-005</v>
      </c>
      <c r="K932" t="str">
        <f>IFERROR(VLOOKUP(Transaction[[#This Row],[ProductID_Clean]],Product[],1,FALSE),"Invalid ID")</f>
        <v>P-SA-005</v>
      </c>
      <c r="L932" t="str">
        <f>TRIM(SUBSTITUTE(SUBSTITUTE(SUBSTITUTE(SUBSTITUTE(UPPER(Transaction[[#This Row],[Region]]),"EMEA REGION","EMEA"),"APAC REGION","APAC"),"NORTH AMERICA","N. AMERICA"),"N .AMERICA","N.AMERICA"))</f>
        <v>N. AMERICA</v>
      </c>
      <c r="M932" t="s">
        <v>204</v>
      </c>
      <c r="N932" t="s">
        <v>31</v>
      </c>
      <c r="O93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932" t="s">
        <v>40</v>
      </c>
      <c r="Q932" t="str">
        <f>IF(TRIM(Transaction[[#This Row],[SalesChannel]])="","Missing Value",TRIM(Transaction[[#This Row],[SalesChannel]]))</f>
        <v>Distributor</v>
      </c>
      <c r="R932" s="4">
        <v>2</v>
      </c>
      <c r="S932" s="4" t="str">
        <f>IF(Transaction[[#This Row],[Quantity]]&lt;0,"Negative-review","Valid")</f>
        <v>Valid</v>
      </c>
      <c r="T932">
        <v>2821.1</v>
      </c>
      <c r="U93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2821.1</v>
      </c>
      <c r="V932">
        <v>3200</v>
      </c>
      <c r="W932">
        <v>6400</v>
      </c>
      <c r="X93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6400</v>
      </c>
      <c r="Y932">
        <f>IF(Transaction[[#This Row],[GrossRevenue_Check]]="Invalid",Transaction[[#This Row],[ListPrice]]*Transaction[[#This Row],[Quantity]],Transaction[[#This Row],[GrossRevenue_Clean]])</f>
        <v>6400</v>
      </c>
      <c r="Z932" t="str">
        <f>IF(Transaction[[#This Row],[GrossRevenue_Clean]]=Transaction[[#This Row],[ListPrice]]*Transaction[[#This Row],[Quantity]],"Valid","Invalid")</f>
        <v>Valid</v>
      </c>
      <c r="AA932">
        <v>757.8</v>
      </c>
      <c r="AB93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757.8</v>
      </c>
      <c r="AC932">
        <f>IF(Transaction[[#This Row],[DiscountAmount_Check2]]="Invalid",Transaction[[#This Row],[GrossRevenue_Analytical]]-Transaction[[#This Row],[NetRevenue_Analytical]],Transaction[[#This Row],[DiscountAmount_Clean]])</f>
        <v>757.8</v>
      </c>
      <c r="AD932">
        <v>5642.2</v>
      </c>
      <c r="AE932" t="str">
        <f>IF(ROUND(Transaction[[#This Row],[GrossRevenue_Analytical]]-Transaction[[#This Row],[NetRevenue_Analytical]],2)=ROUND(Transaction[[#This Row],[DiscountAmount_Clean]],2),"Valid","Invalid")</f>
        <v>Valid</v>
      </c>
      <c r="AF932">
        <f>VALUE(IF(ISNUMBER(Transaction[[#This Row],[NetRevenue]]),Transaction[[#This Row],[NetRevenue]],IFERROR(IF(FIND("$",Transaction[[#This Row],[NetRevenue]])&gt;0,MID(Transaction[[#This Row],[NetRevenue]],2,10)),Transaction[[#This Row],[NetRevenue]])))</f>
        <v>5642.2</v>
      </c>
      <c r="AG932">
        <f>IF(Transaction[[#This Row],[NetRevenue_Check]]="Invalid",(Transaction[[#This Row],[Quantity]]*Transaction[[#This Row],[UnitPrice_Clean]]),Transaction[[#This Row],[NetRevenue_Clean]])</f>
        <v>5642.2</v>
      </c>
      <c r="AH932" t="str">
        <f>IF(Transaction[[#This Row],[Quantity]]*Transaction[[#This Row],[UnitPrice_Clean]]=Transaction[[#This Row],[NetRevenue_Clean]],"Valid","Invalid")</f>
        <v>Valid</v>
      </c>
      <c r="AI932" t="s">
        <v>128</v>
      </c>
      <c r="AJ932" t="s">
        <v>2902</v>
      </c>
      <c r="AK932" t="str">
        <f>IF(Transaction[[#This Row],[Salesperson]]="","Missing Value",TRIM(PROPER(Transaction[[#This Row],[Salesperson]])))</f>
        <v>Scott-Em</v>
      </c>
      <c r="AL932" t="s">
        <v>210</v>
      </c>
      <c r="AM932" t="str">
        <f>IF(Transaction[[#This Row],[ContractType]]="","Missing Value",Transaction[[#This Row],[ContractType]])</f>
        <v>Perpetual</v>
      </c>
      <c r="AN932" t="s">
        <v>49</v>
      </c>
    </row>
    <row r="933" spans="1:40" x14ac:dyDescent="0.25">
      <c r="A933" t="s">
        <v>1809</v>
      </c>
      <c r="B933" t="s">
        <v>1810</v>
      </c>
      <c r="C93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93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93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33" s="2">
        <f>IFERROR(DATE(Transaction[[#This Row],[TransactionDateY]],Transaction[[#This Row],[TransactionDateM]],Transaction[[#This Row],[TransactionDateD]]),"Missing Value")</f>
        <v>45678</v>
      </c>
      <c r="G933" t="s">
        <v>193</v>
      </c>
      <c r="H933" t="str">
        <f>IFERROR(VLOOKUP(Transaction[[#This Row],[CustomerID]],Custumer[],1,0),IF(LEN(Transaction[[#This Row],[CustomerID]])=7,LEFT(Transaction[[#This Row],[CustomerID]],6),"Invalid ID"))</f>
        <v>C-1079</v>
      </c>
      <c r="I933" t="s">
        <v>92</v>
      </c>
      <c r="J933" t="str">
        <f>TRIM(UPPER(Transaction[[#This Row],[ProductID]]))</f>
        <v>P-SI-008</v>
      </c>
      <c r="K933" t="str">
        <f>IFERROR(VLOOKUP(Transaction[[#This Row],[ProductID_Clean]],Product[],1,FALSE),"Invalid ID")</f>
        <v>P-SI-008</v>
      </c>
      <c r="L933" t="str">
        <f>TRIM(SUBSTITUTE(SUBSTITUTE(SUBSTITUTE(SUBSTITUTE(UPPER(Transaction[[#This Row],[Region]]),"EMEA REGION","EMEA"),"APAC REGION","APAC"),"NORTH AMERICA","N. AMERICA"),"N .AMERICA","N.AMERICA"))</f>
        <v>N. AMERICA</v>
      </c>
      <c r="M933" t="s">
        <v>20</v>
      </c>
      <c r="N933" t="s">
        <v>53</v>
      </c>
      <c r="O93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33" t="s">
        <v>22</v>
      </c>
      <c r="Q933" t="str">
        <f>IF(TRIM(Transaction[[#This Row],[SalesChannel]])="","Missing Value",TRIM(Transaction[[#This Row],[SalesChannel]]))</f>
        <v>Direct</v>
      </c>
      <c r="R933" s="4">
        <v>3</v>
      </c>
      <c r="S933" s="4" t="str">
        <f>IF(Transaction[[#This Row],[Quantity]]&lt;0,"Negative-review","Valid")</f>
        <v>Valid</v>
      </c>
      <c r="T933">
        <v>879.14</v>
      </c>
      <c r="U93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879.14</v>
      </c>
      <c r="V933">
        <v>950</v>
      </c>
      <c r="W933">
        <v>2850</v>
      </c>
      <c r="X93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2850</v>
      </c>
      <c r="Y933">
        <f>IF(Transaction[[#This Row],[GrossRevenue_Check]]="Invalid",Transaction[[#This Row],[ListPrice]]*Transaction[[#This Row],[Quantity]],Transaction[[#This Row],[GrossRevenue_Clean]])</f>
        <v>2850</v>
      </c>
      <c r="Z933" t="str">
        <f>IF(Transaction[[#This Row],[GrossRevenue_Clean]]=Transaction[[#This Row],[ListPrice]]*Transaction[[#This Row],[Quantity]],"Valid","Invalid")</f>
        <v>Valid</v>
      </c>
      <c r="AA933">
        <v>212.58</v>
      </c>
      <c r="AB93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212.58</v>
      </c>
      <c r="AC933">
        <f>IF(Transaction[[#This Row],[DiscountAmount_Check2]]="Invalid",Transaction[[#This Row],[GrossRevenue_Analytical]]-Transaction[[#This Row],[NetRevenue_Analytical]],Transaction[[#This Row],[DiscountAmount_Clean]])</f>
        <v>212.58</v>
      </c>
      <c r="AD933">
        <v>2637.42</v>
      </c>
      <c r="AE933" t="str">
        <f>IF(ROUND(Transaction[[#This Row],[GrossRevenue_Analytical]]-Transaction[[#This Row],[NetRevenue_Analytical]],2)=ROUND(Transaction[[#This Row],[DiscountAmount_Clean]],2),"Valid","Invalid")</f>
        <v>Valid</v>
      </c>
      <c r="AF933">
        <f>VALUE(IF(ISNUMBER(Transaction[[#This Row],[NetRevenue]]),Transaction[[#This Row],[NetRevenue]],IFERROR(IF(FIND("$",Transaction[[#This Row],[NetRevenue]])&gt;0,MID(Transaction[[#This Row],[NetRevenue]],2,10)),Transaction[[#This Row],[NetRevenue]])))</f>
        <v>2637.42</v>
      </c>
      <c r="AG933">
        <f>IF(Transaction[[#This Row],[NetRevenue_Check]]="Invalid",(Transaction[[#This Row],[Quantity]]*Transaction[[#This Row],[UnitPrice_Clean]]),Transaction[[#This Row],[NetRevenue_Clean]])</f>
        <v>2637.42</v>
      </c>
      <c r="AH933" t="str">
        <f>IF(Transaction[[#This Row],[Quantity]]*Transaction[[#This Row],[UnitPrice_Clean]]=Transaction[[#This Row],[NetRevenue_Clean]],"Valid","Invalid")</f>
        <v>Valid</v>
      </c>
      <c r="AI933" t="s">
        <v>23</v>
      </c>
      <c r="AJ933" t="s">
        <v>1811</v>
      </c>
      <c r="AK933" t="str">
        <f>IF(Transaction[[#This Row],[Salesperson]]="","Missing Value",TRIM(PROPER(Transaction[[#This Row],[Salesperson]])))</f>
        <v>Rivera-Em</v>
      </c>
      <c r="AL933" t="s">
        <v>25</v>
      </c>
      <c r="AM933" t="str">
        <f>IF(Transaction[[#This Row],[ContractType]]="","Missing Value",Transaction[[#This Row],[ContractType]])</f>
        <v>Frame Agreement</v>
      </c>
      <c r="AN933" t="s">
        <v>65</v>
      </c>
    </row>
    <row r="934" spans="1:40" x14ac:dyDescent="0.25">
      <c r="A934" t="s">
        <v>1997</v>
      </c>
      <c r="B934" s="1">
        <v>45772</v>
      </c>
      <c r="C93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93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93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34" s="2">
        <f>IFERROR(DATE(Transaction[[#This Row],[TransactionDateY]],Transaction[[#This Row],[TransactionDateM]],Transaction[[#This Row],[TransactionDateD]]),"Missing Value")</f>
        <v>45772</v>
      </c>
      <c r="G934" t="s">
        <v>916</v>
      </c>
      <c r="H934" t="str">
        <f>IFERROR(VLOOKUP(Transaction[[#This Row],[CustomerID]],Custumer[],1,0),IF(LEN(Transaction[[#This Row],[CustomerID]])=7,LEFT(Transaction[[#This Row],[CustomerID]],6),"Invalid ID"))</f>
        <v>C-1106</v>
      </c>
      <c r="I934" t="s">
        <v>268</v>
      </c>
      <c r="J934" t="str">
        <f>TRIM(UPPER(Transaction[[#This Row],[ProductID]]))</f>
        <v>P-FS-002</v>
      </c>
      <c r="K934" t="str">
        <f>IFERROR(VLOOKUP(Transaction[[#This Row],[ProductID_Clean]],Product[],1,FALSE),"Invalid ID")</f>
        <v>P-FS-002</v>
      </c>
      <c r="L934" t="str">
        <f>TRIM(SUBSTITUTE(SUBSTITUTE(SUBSTITUTE(SUBSTITUTE(UPPER(Transaction[[#This Row],[Region]]),"EMEA REGION","EMEA"),"APAC REGION","APAC"),"NORTH AMERICA","N. AMERICA"),"N .AMERICA","N.AMERICA"))</f>
        <v>N. AMERICA</v>
      </c>
      <c r="M934" t="s">
        <v>20</v>
      </c>
      <c r="N934" t="s">
        <v>244</v>
      </c>
      <c r="O93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934" t="s">
        <v>22</v>
      </c>
      <c r="Q934" t="str">
        <f>IF(TRIM(Transaction[[#This Row],[SalesChannel]])="","Missing Value",TRIM(Transaction[[#This Row],[SalesChannel]]))</f>
        <v>Direct</v>
      </c>
      <c r="R934" s="4">
        <v>1</v>
      </c>
      <c r="S934" s="4" t="str">
        <f>IF(Transaction[[#This Row],[Quantity]]&lt;0,"Negative-review","Valid")</f>
        <v>Valid</v>
      </c>
      <c r="T934">
        <v>2221.4</v>
      </c>
      <c r="U93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2221.4</v>
      </c>
      <c r="V934">
        <v>2400</v>
      </c>
      <c r="W934">
        <v>2400</v>
      </c>
      <c r="X93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934">
        <f>IF(Transaction[[#This Row],[GrossRevenue_Check]]="Invalid",Transaction[[#This Row],[ListPrice]]*Transaction[[#This Row],[Quantity]],Transaction[[#This Row],[GrossRevenue_Clean]])</f>
        <v>2400</v>
      </c>
      <c r="Z934" t="str">
        <f>IF(Transaction[[#This Row],[GrossRevenue_Clean]]=Transaction[[#This Row],[ListPrice]]*Transaction[[#This Row],[Quantity]],"Valid","Invalid")</f>
        <v>Valid</v>
      </c>
      <c r="AA934">
        <v>178.6</v>
      </c>
      <c r="AB93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178.6</v>
      </c>
      <c r="AC934">
        <f>IF(Transaction[[#This Row],[DiscountAmount_Check2]]="Invalid",Transaction[[#This Row],[GrossRevenue_Analytical]]-Transaction[[#This Row],[NetRevenue_Analytical]],Transaction[[#This Row],[DiscountAmount_Clean]])</f>
        <v>178.6</v>
      </c>
      <c r="AD934">
        <v>2221.4</v>
      </c>
      <c r="AE934" t="str">
        <f>IF(ROUND(Transaction[[#This Row],[GrossRevenue_Analytical]]-Transaction[[#This Row],[NetRevenue_Analytical]],2)=ROUND(Transaction[[#This Row],[DiscountAmount_Clean]],2),"Valid","Invalid")</f>
        <v>Valid</v>
      </c>
      <c r="AF93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2221.4</v>
      </c>
      <c r="AG934">
        <f>IF(Transaction[[#This Row],[NetRevenue_Check]]="Invalid",(Transaction[[#This Row],[Quantity]]*Transaction[[#This Row],[UnitPrice_Clean]]),Transaction[[#This Row],[NetRevenue_Clean]])</f>
        <v>2221.4</v>
      </c>
      <c r="AH934" t="str">
        <f>IF(Transaction[[#This Row],[Quantity]]*Transaction[[#This Row],[UnitPrice_Clean]]=Transaction[[#This Row],[NetRevenue_Clean]],"Valid","Invalid")</f>
        <v>Valid</v>
      </c>
      <c r="AI934" t="s">
        <v>23</v>
      </c>
      <c r="AJ934" t="s">
        <v>1374</v>
      </c>
      <c r="AK934" t="str">
        <f>IF(Transaction[[#This Row],[Salesperson]]="","Missing Value",TRIM(PROPER(Transaction[[#This Row],[Salesperson]])))</f>
        <v>Miller-Em</v>
      </c>
      <c r="AL934" t="s">
        <v>224</v>
      </c>
      <c r="AM934" t="str">
        <f>IF(Transaction[[#This Row],[ContractType]]="","Missing Value",Transaction[[#This Row],[ContractType]])</f>
        <v>Annual</v>
      </c>
      <c r="AN934" t="s">
        <v>43</v>
      </c>
    </row>
    <row r="935" spans="1:40" x14ac:dyDescent="0.25">
      <c r="A935" t="s">
        <v>1883</v>
      </c>
      <c r="B935" s="1">
        <v>45838</v>
      </c>
      <c r="C93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93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93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35" s="2">
        <f>IFERROR(DATE(Transaction[[#This Row],[TransactionDateY]],Transaction[[#This Row],[TransactionDateM]],Transaction[[#This Row],[TransactionDateD]]),"Missing Value")</f>
        <v>45838</v>
      </c>
      <c r="G935" t="s">
        <v>116</v>
      </c>
      <c r="H935" t="str">
        <f>IFERROR(VLOOKUP(Transaction[[#This Row],[CustomerID]],Custumer[],1,0),IF(LEN(Transaction[[#This Row],[CustomerID]])=7,LEFT(Transaction[[#This Row],[CustomerID]],6),"Invalid ID"))</f>
        <v>C-1167</v>
      </c>
      <c r="I935" t="s">
        <v>594</v>
      </c>
      <c r="J935" t="str">
        <f>TRIM(UPPER(Transaction[[#This Row],[ProductID]]))</f>
        <v>P-FS-001</v>
      </c>
      <c r="K935" t="str">
        <f>IFERROR(VLOOKUP(Transaction[[#This Row],[ProductID_Clean]],Product[],1,FALSE),"Invalid ID")</f>
        <v>P-FS-001</v>
      </c>
      <c r="L935" t="str">
        <f>TRIM(SUBSTITUTE(SUBSTITUTE(SUBSTITUTE(SUBSTITUTE(UPPER(Transaction[[#This Row],[Region]]),"EMEA REGION","EMEA"),"APAC REGION","APAC"),"NORTH AMERICA","N. AMERICA"),"N .AMERICA","N.AMERICA"))</f>
        <v>EMEA</v>
      </c>
      <c r="M935" t="s">
        <v>76</v>
      </c>
      <c r="N935" t="s">
        <v>244</v>
      </c>
      <c r="O93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935" t="s">
        <v>40</v>
      </c>
      <c r="Q935" t="str">
        <f>IF(TRIM(Transaction[[#This Row],[SalesChannel]])="","Missing Value",TRIM(Transaction[[#This Row],[SalesChannel]]))</f>
        <v>Distributor</v>
      </c>
      <c r="R935" s="4">
        <v>1</v>
      </c>
      <c r="S935" s="4" t="str">
        <f>IF(Transaction[[#This Row],[Quantity]]&lt;0,"Negative-review","Valid")</f>
        <v>Valid</v>
      </c>
      <c r="T935">
        <v>1512.67</v>
      </c>
      <c r="U93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1512.67</v>
      </c>
      <c r="V935">
        <v>1850</v>
      </c>
      <c r="W935">
        <v>1850</v>
      </c>
      <c r="X93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935">
        <f>IF(Transaction[[#This Row],[GrossRevenue_Check]]="Invalid",Transaction[[#This Row],[ListPrice]]*Transaction[[#This Row],[Quantity]],Transaction[[#This Row],[GrossRevenue_Clean]])</f>
        <v>1850</v>
      </c>
      <c r="Z935" t="str">
        <f>IF(Transaction[[#This Row],[GrossRevenue_Clean]]=Transaction[[#This Row],[ListPrice]]*Transaction[[#This Row],[Quantity]],"Valid","Invalid")</f>
        <v>Valid</v>
      </c>
      <c r="AA935">
        <v>337.33</v>
      </c>
      <c r="AB93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337.33</v>
      </c>
      <c r="AC935">
        <f>IF(Transaction[[#This Row],[DiscountAmount_Check2]]="Invalid",Transaction[[#This Row],[GrossRevenue_Analytical]]-Transaction[[#This Row],[NetRevenue_Analytical]],Transaction[[#This Row],[DiscountAmount_Clean]])</f>
        <v>337.33</v>
      </c>
      <c r="AD935">
        <v>1512.67</v>
      </c>
      <c r="AE935" t="str">
        <f>IF(ROUND(Transaction[[#This Row],[GrossRevenue_Analytical]]-Transaction[[#This Row],[NetRevenue_Analytical]],2)=ROUND(Transaction[[#This Row],[DiscountAmount_Clean]],2),"Valid","Invalid")</f>
        <v>Valid</v>
      </c>
      <c r="AF93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1512.67</v>
      </c>
      <c r="AG935">
        <f>IF(Transaction[[#This Row],[NetRevenue_Check]]="Invalid",(Transaction[[#This Row],[Quantity]]*Transaction[[#This Row],[UnitPrice_Clean]]),Transaction[[#This Row],[NetRevenue_Clean]])</f>
        <v>1512.67</v>
      </c>
      <c r="AH935" t="str">
        <f>IF(Transaction[[#This Row],[Quantity]]*Transaction[[#This Row],[UnitPrice_Clean]]=Transaction[[#This Row],[NetRevenue_Clean]],"Valid","Invalid")</f>
        <v>Valid</v>
      </c>
      <c r="AI935" t="s">
        <v>23</v>
      </c>
      <c r="AJ935" t="s">
        <v>1884</v>
      </c>
      <c r="AK935" t="str">
        <f>IF(Transaction[[#This Row],[Salesperson]]="","Missing Value",TRIM(PROPER(Transaction[[#This Row],[Salesperson]])))</f>
        <v>Cole-Em</v>
      </c>
      <c r="AL935" t="s">
        <v>55</v>
      </c>
      <c r="AM935" t="str">
        <f>IF(Transaction[[#This Row],[ContractType]]="","Missing Value",Transaction[[#This Row],[ContractType]])</f>
        <v>Spot</v>
      </c>
      <c r="AN935" t="s">
        <v>49</v>
      </c>
    </row>
    <row r="936" spans="1:40" x14ac:dyDescent="0.25">
      <c r="A936" t="s">
        <v>1451</v>
      </c>
      <c r="B936" s="1">
        <v>45686</v>
      </c>
      <c r="C93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93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29</v>
      </c>
      <c r="E93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36" s="2">
        <f>IFERROR(DATE(Transaction[[#This Row],[TransactionDateY]],Transaction[[#This Row],[TransactionDateM]],Transaction[[#This Row],[TransactionDateD]]),"Missing Value")</f>
        <v>45686</v>
      </c>
      <c r="G936" t="s">
        <v>163</v>
      </c>
      <c r="H936" t="str">
        <f>IFERROR(VLOOKUP(Transaction[[#This Row],[CustomerID]],Custumer[],1,0),IF(LEN(Transaction[[#This Row],[CustomerID]])=7,LEFT(Transaction[[#This Row],[CustomerID]],6),"Invalid ID"))</f>
        <v>C-1164</v>
      </c>
      <c r="I936" t="s">
        <v>46</v>
      </c>
      <c r="J936" t="str">
        <f>TRIM(UPPER(Transaction[[#This Row],[ProductID]]))</f>
        <v>P-SI-006</v>
      </c>
      <c r="K936" t="str">
        <f>IFERROR(VLOOKUP(Transaction[[#This Row],[ProductID_Clean]],Product[],1,FALSE),"Invalid ID")</f>
        <v>P-SI-006</v>
      </c>
      <c r="L936" t="str">
        <f>TRIM(SUBSTITUTE(SUBSTITUTE(SUBSTITUTE(SUBSTITUTE(UPPER(Transaction[[#This Row],[Region]]),"EMEA REGION","EMEA"),"APAC REGION","APAC"),"NORTH AMERICA","N. AMERICA"),"N .AMERICA","N.AMERICA"))</f>
        <v>EMEA</v>
      </c>
      <c r="M936" t="s">
        <v>76</v>
      </c>
      <c r="N936" t="s">
        <v>53</v>
      </c>
      <c r="O93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36" t="s">
        <v>22</v>
      </c>
      <c r="Q936" t="str">
        <f>IF(TRIM(Transaction[[#This Row],[SalesChannel]])="","Missing Value",TRIM(Transaction[[#This Row],[SalesChannel]]))</f>
        <v>Direct</v>
      </c>
      <c r="R936" s="4">
        <v>5</v>
      </c>
      <c r="S936" s="4" t="str">
        <f>IF(Transaction[[#This Row],[Quantity]]&lt;0,"Negative-review","Valid")</f>
        <v>Valid</v>
      </c>
      <c r="T936">
        <v>175.43</v>
      </c>
      <c r="U93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175.43</v>
      </c>
      <c r="V936">
        <v>215</v>
      </c>
      <c r="W936">
        <v>1075</v>
      </c>
      <c r="X93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1075</v>
      </c>
      <c r="Y936">
        <f>IF(Transaction[[#This Row],[GrossRevenue_Check]]="Invalid",Transaction[[#This Row],[ListPrice]]*Transaction[[#This Row],[Quantity]],Transaction[[#This Row],[GrossRevenue_Clean]])</f>
        <v>1075</v>
      </c>
      <c r="Z936" t="str">
        <f>IF(Transaction[[#This Row],[GrossRevenue_Clean]]=Transaction[[#This Row],[ListPrice]]*Transaction[[#This Row],[Quantity]],"Valid","Invalid")</f>
        <v>Valid</v>
      </c>
      <c r="AA936">
        <v>197.85</v>
      </c>
      <c r="AB93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197.85</v>
      </c>
      <c r="AC936">
        <f>IF(Transaction[[#This Row],[DiscountAmount_Check2]]="Invalid",Transaction[[#This Row],[GrossRevenue_Analytical]]-Transaction[[#This Row],[NetRevenue_Analytical]],Transaction[[#This Row],[DiscountAmount_Clean]])</f>
        <v>197.85</v>
      </c>
      <c r="AD936">
        <v>877.15</v>
      </c>
      <c r="AE936" t="str">
        <f>IF(ROUND(Transaction[[#This Row],[GrossRevenue_Analytical]]-Transaction[[#This Row],[NetRevenue_Analytical]],2)=ROUND(Transaction[[#This Row],[DiscountAmount_Clean]],2),"Valid","Invalid")</f>
        <v>Valid</v>
      </c>
      <c r="AF936">
        <f>VALUE(IF(ISNUMBER(Transaction[[#This Row],[NetRevenue]]),Transaction[[#This Row],[NetRevenue]],IFERROR(IF(FIND("$",Transaction[[#This Row],[NetRevenue]])&gt;0,MID(Transaction[[#This Row],[NetRevenue]],2,10)),Transaction[[#This Row],[NetRevenue]])))</f>
        <v>877.15</v>
      </c>
      <c r="AG936">
        <f>IF(Transaction[[#This Row],[NetRevenue_Check]]="Invalid",(Transaction[[#This Row],[Quantity]]*Transaction[[#This Row],[UnitPrice_Clean]]),Transaction[[#This Row],[NetRevenue_Clean]])</f>
        <v>877.15</v>
      </c>
      <c r="AH936" t="str">
        <f>IF(Transaction[[#This Row],[Quantity]]*Transaction[[#This Row],[UnitPrice_Clean]]=Transaction[[#This Row],[NetRevenue_Clean]],"Valid","Invalid")</f>
        <v>Valid</v>
      </c>
      <c r="AI936" t="s">
        <v>23</v>
      </c>
      <c r="AJ936" t="s">
        <v>1452</v>
      </c>
      <c r="AK936" t="str">
        <f>IF(Transaction[[#This Row],[Salesperson]]="","Missing Value",TRIM(PROPER(Transaction[[#This Row],[Salesperson]])))</f>
        <v>Watson-Em</v>
      </c>
      <c r="AL936" t="s">
        <v>25</v>
      </c>
      <c r="AM936" t="str">
        <f>IF(Transaction[[#This Row],[ContractType]]="","Missing Value",Transaction[[#This Row],[ContractType]])</f>
        <v>Frame Agreement</v>
      </c>
      <c r="AN936" t="s">
        <v>43</v>
      </c>
    </row>
    <row r="937" spans="1:40" x14ac:dyDescent="0.25">
      <c r="A937" t="s">
        <v>1607</v>
      </c>
      <c r="B937" s="1">
        <v>45787</v>
      </c>
      <c r="C93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93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93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37" s="2">
        <f>IFERROR(DATE(Transaction[[#This Row],[TransactionDateY]],Transaction[[#This Row],[TransactionDateM]],Transaction[[#This Row],[TransactionDateD]]),"Missing Value")</f>
        <v>45787</v>
      </c>
      <c r="G937" t="s">
        <v>203</v>
      </c>
      <c r="H937" t="str">
        <f>IFERROR(VLOOKUP(Transaction[[#This Row],[CustomerID]],Custumer[],1,0),IF(LEN(Transaction[[#This Row],[CustomerID]])=7,LEFT(Transaction[[#This Row],[CustomerID]],6),"Invalid ID"))</f>
        <v>C-1005</v>
      </c>
      <c r="I937" t="s">
        <v>97</v>
      </c>
      <c r="J937" t="str">
        <f>TRIM(UPPER(Transaction[[#This Row],[ProductID]]))</f>
        <v>P-SI-001</v>
      </c>
      <c r="K937" t="str">
        <f>IFERROR(VLOOKUP(Transaction[[#This Row],[ProductID_Clean]],Product[],1,FALSE),"Invalid ID")</f>
        <v>P-SI-001</v>
      </c>
      <c r="L937" t="str">
        <f>TRIM(SUBSTITUTE(SUBSTITUTE(SUBSTITUTE(SUBSTITUTE(UPPER(Transaction[[#This Row],[Region]]),"EMEA REGION","EMEA"),"APAC REGION","APAC"),"NORTH AMERICA","N. AMERICA"),"N .AMERICA","N.AMERICA"))</f>
        <v>N. AMERICA</v>
      </c>
      <c r="M937" t="s">
        <v>20</v>
      </c>
      <c r="N937" t="s">
        <v>53</v>
      </c>
      <c r="O93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37" t="s">
        <v>22</v>
      </c>
      <c r="Q937" t="str">
        <f>IF(TRIM(Transaction[[#This Row],[SalesChannel]])="","Missing Value",TRIM(Transaction[[#This Row],[SalesChannel]]))</f>
        <v>Direct</v>
      </c>
      <c r="R937" s="4">
        <v>3</v>
      </c>
      <c r="S937" s="4" t="str">
        <f>IF(Transaction[[#This Row],[Quantity]]&lt;0,"Negative-review","Valid")</f>
        <v>Valid</v>
      </c>
      <c r="T937">
        <v>430.63</v>
      </c>
      <c r="U93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430.63</v>
      </c>
      <c r="V937">
        <v>485</v>
      </c>
      <c r="W937">
        <v>1455</v>
      </c>
      <c r="X93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937">
        <f>IF(Transaction[[#This Row],[GrossRevenue_Check]]="Invalid",Transaction[[#This Row],[ListPrice]]*Transaction[[#This Row],[Quantity]],Transaction[[#This Row],[GrossRevenue_Clean]])</f>
        <v>1455</v>
      </c>
      <c r="Z937" t="str">
        <f>IF(Transaction[[#This Row],[GrossRevenue_Clean]]=Transaction[[#This Row],[ListPrice]]*Transaction[[#This Row],[Quantity]],"Valid","Invalid")</f>
        <v>Valid</v>
      </c>
      <c r="AA937">
        <v>163.11000000000001</v>
      </c>
      <c r="AB93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163.11000000000001</v>
      </c>
      <c r="AC937">
        <f>IF(Transaction[[#This Row],[DiscountAmount_Check2]]="Invalid",Transaction[[#This Row],[GrossRevenue_Analytical]]-Transaction[[#This Row],[NetRevenue_Analytical]],Transaction[[#This Row],[DiscountAmount_Clean]])</f>
        <v>163.11000000000001</v>
      </c>
      <c r="AD937">
        <v>1291.8900000000001</v>
      </c>
      <c r="AE937" t="str">
        <f>IF(ROUND(Transaction[[#This Row],[GrossRevenue_Analytical]]-Transaction[[#This Row],[NetRevenue_Analytical]],2)=ROUND(Transaction[[#This Row],[DiscountAmount_Clean]],2),"Valid","Invalid")</f>
        <v>Valid</v>
      </c>
      <c r="AF93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1291.8900000000001</v>
      </c>
      <c r="AG937">
        <f>IF(Transaction[[#This Row],[NetRevenue_Check]]="Invalid",(Transaction[[#This Row],[Quantity]]*Transaction[[#This Row],[UnitPrice_Clean]]),Transaction[[#This Row],[NetRevenue_Clean]])</f>
        <v>1291.8900000000001</v>
      </c>
      <c r="AH937" t="str">
        <f>IF(Transaction[[#This Row],[Quantity]]*Transaction[[#This Row],[UnitPrice_Clean]]=Transaction[[#This Row],[NetRevenue_Clean]],"Valid","Invalid")</f>
        <v>Valid</v>
      </c>
      <c r="AI937" t="s">
        <v>23</v>
      </c>
      <c r="AJ937" t="s">
        <v>1608</v>
      </c>
      <c r="AK937" t="str">
        <f>IF(Transaction[[#This Row],[Salesperson]]="","Missing Value",TRIM(PROPER(Transaction[[#This Row],[Salesperson]])))</f>
        <v>Nichols</v>
      </c>
      <c r="AL937" t="s">
        <v>25</v>
      </c>
      <c r="AM937" t="str">
        <f>IF(Transaction[[#This Row],[ContractType]]="","Missing Value",Transaction[[#This Row],[ContractType]])</f>
        <v>Frame Agreement</v>
      </c>
      <c r="AN937" t="s">
        <v>35</v>
      </c>
    </row>
    <row r="938" spans="1:40" x14ac:dyDescent="0.25">
      <c r="A938" t="s">
        <v>2417</v>
      </c>
      <c r="B938" s="1">
        <v>45804</v>
      </c>
      <c r="C93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93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93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38" s="2">
        <f>IFERROR(DATE(Transaction[[#This Row],[TransactionDateY]],Transaction[[#This Row],[TransactionDateM]],Transaction[[#This Row],[TransactionDateD]]),"Missing Value")</f>
        <v>45804</v>
      </c>
      <c r="G938" t="s">
        <v>585</v>
      </c>
      <c r="H938" t="str">
        <f>IFERROR(VLOOKUP(Transaction[[#This Row],[CustomerID]],Custumer[],1,0),IF(LEN(Transaction[[#This Row],[CustomerID]])=7,LEFT(Transaction[[#This Row],[CustomerID]],6),"Invalid ID"))</f>
        <v>C-1088</v>
      </c>
      <c r="I938" t="s">
        <v>222</v>
      </c>
      <c r="J938" t="str">
        <f>TRIM(UPPER(Transaction[[#This Row],[ProductID]]))</f>
        <v>P-FS-003</v>
      </c>
      <c r="K938" t="str">
        <f>IFERROR(VLOOKUP(Transaction[[#This Row],[ProductID_Clean]],Product[],1,FALSE),"Invalid ID")</f>
        <v>P-FS-003</v>
      </c>
      <c r="L938" t="str">
        <f>TRIM(SUBSTITUTE(SUBSTITUTE(SUBSTITUTE(SUBSTITUTE(UPPER(Transaction[[#This Row],[Region]]),"EMEA REGION","EMEA"),"APAC REGION","APAC"),"NORTH AMERICA","N. AMERICA"),"N .AMERICA","N.AMERICA"))</f>
        <v>N. AMERICA</v>
      </c>
      <c r="M938" t="s">
        <v>204</v>
      </c>
      <c r="N938" t="s">
        <v>21</v>
      </c>
      <c r="O938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938" t="s">
        <v>22</v>
      </c>
      <c r="Q938" t="str">
        <f>IF(TRIM(Transaction[[#This Row],[SalesChannel]])="","Missing Value",TRIM(Transaction[[#This Row],[SalesChannel]]))</f>
        <v>Direct</v>
      </c>
      <c r="R938" s="4">
        <v>1</v>
      </c>
      <c r="S938" s="4" t="str">
        <f>IF(Transaction[[#This Row],[Quantity]]&lt;0,"Negative-review","Valid")</f>
        <v>Valid</v>
      </c>
      <c r="T938">
        <v>3921.9</v>
      </c>
      <c r="U93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3921.9</v>
      </c>
      <c r="V938">
        <v>4100</v>
      </c>
      <c r="W938">
        <v>4100</v>
      </c>
      <c r="X93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4100</v>
      </c>
      <c r="Y938">
        <f>IF(Transaction[[#This Row],[GrossRevenue_Check]]="Invalid",Transaction[[#This Row],[ListPrice]]*Transaction[[#This Row],[Quantity]],Transaction[[#This Row],[GrossRevenue_Clean]])</f>
        <v>4100</v>
      </c>
      <c r="Z938" t="str">
        <f>IF(Transaction[[#This Row],[GrossRevenue_Clean]]=Transaction[[#This Row],[ListPrice]]*Transaction[[#This Row],[Quantity]],"Valid","Invalid")</f>
        <v>Valid</v>
      </c>
      <c r="AA938">
        <v>178.1</v>
      </c>
      <c r="AB93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178.1</v>
      </c>
      <c r="AC938">
        <f>IF(Transaction[[#This Row],[DiscountAmount_Check2]]="Invalid",Transaction[[#This Row],[GrossRevenue_Analytical]]-Transaction[[#This Row],[NetRevenue_Analytical]],Transaction[[#This Row],[DiscountAmount_Clean]])</f>
        <v>178.1</v>
      </c>
      <c r="AD938">
        <v>3921.9</v>
      </c>
      <c r="AE938" t="str">
        <f>IF(ROUND(Transaction[[#This Row],[GrossRevenue_Analytical]]-Transaction[[#This Row],[NetRevenue_Analytical]],2)=ROUND(Transaction[[#This Row],[DiscountAmount_Clean]],2),"Valid","Invalid")</f>
        <v>Valid</v>
      </c>
      <c r="AF938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3921.9</v>
      </c>
      <c r="AG938">
        <f>IF(Transaction[[#This Row],[NetRevenue_Check]]="Invalid",(Transaction[[#This Row],[Quantity]]*Transaction[[#This Row],[UnitPrice_Clean]]),Transaction[[#This Row],[NetRevenue_Clean]])</f>
        <v>3921.9</v>
      </c>
      <c r="AH938" t="str">
        <f>IF(Transaction[[#This Row],[Quantity]]*Transaction[[#This Row],[UnitPrice_Clean]]=Transaction[[#This Row],[NetRevenue_Clean]],"Valid","Invalid")</f>
        <v>Valid</v>
      </c>
      <c r="AI938" t="s">
        <v>23</v>
      </c>
      <c r="AJ938" t="s">
        <v>2418</v>
      </c>
      <c r="AK938" t="str">
        <f>IF(Transaction[[#This Row],[Salesperson]]="","Missing Value",TRIM(PROPER(Transaction[[#This Row],[Salesperson]])))</f>
        <v>Calderon</v>
      </c>
      <c r="AL938" t="s">
        <v>224</v>
      </c>
      <c r="AM938" t="str">
        <f>IF(Transaction[[#This Row],[ContractType]]="","Missing Value",Transaction[[#This Row],[ContractType]])</f>
        <v>Annual</v>
      </c>
      <c r="AN938" t="s">
        <v>35</v>
      </c>
    </row>
    <row r="939" spans="1:40" x14ac:dyDescent="0.25">
      <c r="A939" t="s">
        <v>1443</v>
      </c>
      <c r="B939" s="1">
        <v>45741</v>
      </c>
      <c r="C93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93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93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39" s="2">
        <f>IFERROR(DATE(Transaction[[#This Row],[TransactionDateY]],Transaction[[#This Row],[TransactionDateM]],Transaction[[#This Row],[TransactionDateD]]),"Missing Value")</f>
        <v>45741</v>
      </c>
      <c r="G939" t="s">
        <v>247</v>
      </c>
      <c r="H939" t="str">
        <f>IFERROR(VLOOKUP(Transaction[[#This Row],[CustomerID]],Custumer[],1,0),IF(LEN(Transaction[[#This Row],[CustomerID]])=7,LEFT(Transaction[[#This Row],[CustomerID]],6),"Invalid ID"))</f>
        <v>C-1045</v>
      </c>
      <c r="I939" t="s">
        <v>62</v>
      </c>
      <c r="J939" t="str">
        <f>TRIM(UPPER(Transaction[[#This Row],[ProductID]]))</f>
        <v>P-SI-004</v>
      </c>
      <c r="K939" t="str">
        <f>IFERROR(VLOOKUP(Transaction[[#This Row],[ProductID_Clean]],Product[],1,FALSE),"Invalid ID")</f>
        <v>P-SI-004</v>
      </c>
      <c r="L939" t="str">
        <f>TRIM(SUBSTITUTE(SUBSTITUTE(SUBSTITUTE(SUBSTITUTE(UPPER(Transaction[[#This Row],[Region]]),"EMEA REGION","EMEA"),"APAC REGION","APAC"),"NORTH AMERICA","N. AMERICA"),"N .AMERICA","N.AMERICA"))</f>
        <v>EMEA</v>
      </c>
      <c r="M939" t="s">
        <v>76</v>
      </c>
      <c r="N939" t="s">
        <v>53</v>
      </c>
      <c r="O93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39" t="s">
        <v>22</v>
      </c>
      <c r="Q939" t="str">
        <f>IF(TRIM(Transaction[[#This Row],[SalesChannel]])="","Missing Value",TRIM(Transaction[[#This Row],[SalesChannel]]))</f>
        <v>Direct</v>
      </c>
      <c r="R939" s="4">
        <v>5</v>
      </c>
      <c r="S939" s="4" t="str">
        <f>IF(Transaction[[#This Row],[Quantity]]&lt;0,"Negative-review","Valid")</f>
        <v>Valid</v>
      </c>
      <c r="T939">
        <v>2113.41</v>
      </c>
      <c r="U93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2113.41</v>
      </c>
      <c r="V939">
        <v>2450</v>
      </c>
      <c r="W939">
        <v>12250</v>
      </c>
      <c r="X93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12250</v>
      </c>
      <c r="Y939">
        <f>IF(Transaction[[#This Row],[GrossRevenue_Check]]="Invalid",Transaction[[#This Row],[ListPrice]]*Transaction[[#This Row],[Quantity]],Transaction[[#This Row],[GrossRevenue_Clean]])</f>
        <v>12250</v>
      </c>
      <c r="Z939" t="str">
        <f>IF(Transaction[[#This Row],[GrossRevenue_Clean]]=Transaction[[#This Row],[ListPrice]]*Transaction[[#This Row],[Quantity]],"Valid","Invalid")</f>
        <v>Valid</v>
      </c>
      <c r="AA939" t="s">
        <v>1444</v>
      </c>
      <c r="AB93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1682.95</v>
      </c>
      <c r="AC939">
        <f>IF(Transaction[[#This Row],[DiscountAmount_Check2]]="Invalid",Transaction[[#This Row],[GrossRevenue_Analytical]]-Transaction[[#This Row],[NetRevenue_Analytical]],Transaction[[#This Row],[DiscountAmount_Clean]])</f>
        <v>1682.95</v>
      </c>
      <c r="AD939">
        <v>10567.05</v>
      </c>
      <c r="AE939" t="str">
        <f>IF(ROUND(Transaction[[#This Row],[GrossRevenue_Analytical]]-Transaction[[#This Row],[NetRevenue_Analytical]],2)=ROUND(Transaction[[#This Row],[DiscountAmount_Clean]],2),"Valid","Invalid")</f>
        <v>Valid</v>
      </c>
      <c r="AF93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10567.05</v>
      </c>
      <c r="AG939">
        <f>IF(Transaction[[#This Row],[NetRevenue_Check]]="Invalid",(Transaction[[#This Row],[Quantity]]*Transaction[[#This Row],[UnitPrice_Clean]]),Transaction[[#This Row],[NetRevenue_Clean]])</f>
        <v>10567.05</v>
      </c>
      <c r="AH939" t="str">
        <f>IF(Transaction[[#This Row],[Quantity]]*Transaction[[#This Row],[UnitPrice_Clean]]=Transaction[[#This Row],[NetRevenue_Clean]],"Valid","Invalid")</f>
        <v>Valid</v>
      </c>
      <c r="AI939" t="s">
        <v>23</v>
      </c>
      <c r="AJ939" t="s">
        <v>94</v>
      </c>
      <c r="AK939" t="str">
        <f>IF(Transaction[[#This Row],[Salesperson]]="","Missing Value",TRIM(PROPER(Transaction[[#This Row],[Salesperson]])))</f>
        <v>Williams-Em</v>
      </c>
      <c r="AL939" t="s">
        <v>25</v>
      </c>
      <c r="AM939" t="str">
        <f>IF(Transaction[[#This Row],[ContractType]]="","Missing Value",Transaction[[#This Row],[ContractType]])</f>
        <v>Frame Agreement</v>
      </c>
      <c r="AN939" t="s">
        <v>35</v>
      </c>
    </row>
    <row r="940" spans="1:40" x14ac:dyDescent="0.25">
      <c r="A940" t="s">
        <v>1229</v>
      </c>
      <c r="B940" s="1">
        <v>45771</v>
      </c>
      <c r="C94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94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94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40" s="2">
        <f>IFERROR(DATE(Transaction[[#This Row],[TransactionDateY]],Transaction[[#This Row],[TransactionDateM]],Transaction[[#This Row],[TransactionDateD]]),"Missing Value")</f>
        <v>45771</v>
      </c>
      <c r="G940" t="s">
        <v>190</v>
      </c>
      <c r="H940" t="str">
        <f>IFERROR(VLOOKUP(Transaction[[#This Row],[CustomerID]],Custumer[],1,0),IF(LEN(Transaction[[#This Row],[CustomerID]])=7,LEFT(Transaction[[#This Row],[CustomerID]],6),"Invalid ID"))</f>
        <v>C-1082</v>
      </c>
      <c r="I940" t="s">
        <v>117</v>
      </c>
      <c r="J940" t="str">
        <f>TRIM(UPPER(Transaction[[#This Row],[ProductID]]))</f>
        <v>P-SI-007</v>
      </c>
      <c r="K940" t="str">
        <f>IFERROR(VLOOKUP(Transaction[[#This Row],[ProductID_Clean]],Product[],1,FALSE),"Invalid ID")</f>
        <v>P-SI-007</v>
      </c>
      <c r="L940" t="str">
        <f>TRIM(SUBSTITUTE(SUBSTITUTE(SUBSTITUTE(SUBSTITUTE(UPPER(Transaction[[#This Row],[Region]]),"EMEA REGION","EMEA"),"APAC REGION","APAC"),"NORTH AMERICA","N. AMERICA"),"N .AMERICA","N.AMERICA"))</f>
        <v>N. AMERICA</v>
      </c>
      <c r="M940" t="s">
        <v>20</v>
      </c>
      <c r="N940" t="s">
        <v>47</v>
      </c>
      <c r="O94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40" t="s">
        <v>40</v>
      </c>
      <c r="Q940" t="str">
        <f>IF(TRIM(Transaction[[#This Row],[SalesChannel]])="","Missing Value",TRIM(Transaction[[#This Row],[SalesChannel]]))</f>
        <v>Distributor</v>
      </c>
      <c r="R940" s="4">
        <v>4</v>
      </c>
      <c r="S940" s="4" t="str">
        <f>IF(Transaction[[#This Row],[Quantity]]&lt;0,"Negative-review","Valid")</f>
        <v>Valid</v>
      </c>
      <c r="T940">
        <v>756.43</v>
      </c>
      <c r="U94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756.43</v>
      </c>
      <c r="V940">
        <v>980</v>
      </c>
      <c r="W940" t="s">
        <v>1230</v>
      </c>
      <c r="X94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3920</v>
      </c>
      <c r="Y940">
        <f>IF(Transaction[[#This Row],[GrossRevenue_Check]]="Invalid",Transaction[[#This Row],[ListPrice]]*Transaction[[#This Row],[Quantity]],Transaction[[#This Row],[GrossRevenue_Clean]])</f>
        <v>3920</v>
      </c>
      <c r="Z940" t="str">
        <f>IF(Transaction[[#This Row],[GrossRevenue_Clean]]=Transaction[[#This Row],[ListPrice]]*Transaction[[#This Row],[Quantity]],"Valid","Invalid")</f>
        <v>Valid</v>
      </c>
      <c r="AA940" t="s">
        <v>1231</v>
      </c>
      <c r="AB94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894.28</v>
      </c>
      <c r="AC940">
        <f>IF(Transaction[[#This Row],[DiscountAmount_Check2]]="Invalid",Transaction[[#This Row],[GrossRevenue_Analytical]]-Transaction[[#This Row],[NetRevenue_Analytical]],Transaction[[#This Row],[DiscountAmount_Clean]])</f>
        <v>894.28</v>
      </c>
      <c r="AD940">
        <v>3025.72</v>
      </c>
      <c r="AE940" t="str">
        <f>IF(ROUND(Transaction[[#This Row],[GrossRevenue_Analytical]]-Transaction[[#This Row],[NetRevenue_Analytical]],2)=ROUND(Transaction[[#This Row],[DiscountAmount_Clean]],2),"Valid","Invalid")</f>
        <v>Valid</v>
      </c>
      <c r="AF940">
        <f>VALUE(IF(ISNUMBER(Transaction[[#This Row],[NetRevenue]]),Transaction[[#This Row],[NetRevenue]],IFERROR(IF(FIND("$",Transaction[[#This Row],[NetRevenue]])&gt;0,MID(Transaction[[#This Row],[NetRevenue]],2,10)),Transaction[[#This Row],[NetRevenue]])))</f>
        <v>3025.72</v>
      </c>
      <c r="AG940">
        <f>IF(Transaction[[#This Row],[NetRevenue_Check]]="Invalid",(Transaction[[#This Row],[Quantity]]*Transaction[[#This Row],[UnitPrice_Clean]]),Transaction[[#This Row],[NetRevenue_Clean]])</f>
        <v>3025.72</v>
      </c>
      <c r="AH940" t="str">
        <f>IF(Transaction[[#This Row],[Quantity]]*Transaction[[#This Row],[UnitPrice_Clean]]=Transaction[[#This Row],[NetRevenue_Clean]],"Valid","Invalid")</f>
        <v>Valid</v>
      </c>
      <c r="AI940" t="s">
        <v>23</v>
      </c>
      <c r="AJ940" t="s">
        <v>653</v>
      </c>
      <c r="AK940" t="str">
        <f>IF(Transaction[[#This Row],[Salesperson]]="","Missing Value",TRIM(PROPER(Transaction[[#This Row],[Salesperson]])))</f>
        <v>Bennett</v>
      </c>
      <c r="AL940" t="s">
        <v>42</v>
      </c>
      <c r="AM940" t="str">
        <f>IF(Transaction[[#This Row],[ContractType]]="","Missing Value",Transaction[[#This Row],[ContractType]])</f>
        <v>Standard PO</v>
      </c>
      <c r="AN940" t="s">
        <v>65</v>
      </c>
    </row>
    <row r="941" spans="1:40" x14ac:dyDescent="0.25">
      <c r="A941" t="s">
        <v>964</v>
      </c>
      <c r="B941" t="s">
        <v>965</v>
      </c>
      <c r="C94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94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94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41" s="2">
        <f>IFERROR(DATE(Transaction[[#This Row],[TransactionDateY]],Transaction[[#This Row],[TransactionDateM]],Transaction[[#This Row],[TransactionDateD]]),"Missing Value")</f>
        <v>45832</v>
      </c>
      <c r="G941" t="s">
        <v>523</v>
      </c>
      <c r="H941" t="str">
        <f>IFERROR(VLOOKUP(Transaction[[#This Row],[CustomerID]],Custumer[],1,0),IF(LEN(Transaction[[#This Row],[CustomerID]])=7,LEFT(Transaction[[#This Row],[CustomerID]],6),"Invalid ID"))</f>
        <v>C-1054</v>
      </c>
      <c r="I941" t="s">
        <v>58</v>
      </c>
      <c r="J941" t="str">
        <f>TRIM(UPPER(Transaction[[#This Row],[ProductID]]))</f>
        <v>P-SI-005</v>
      </c>
      <c r="K941" t="str">
        <f>IFERROR(VLOOKUP(Transaction[[#This Row],[ProductID_Clean]],Product[],1,FALSE),"Invalid ID")</f>
        <v>P-SI-005</v>
      </c>
      <c r="L941" t="str">
        <f>TRIM(SUBSTITUTE(SUBSTITUTE(SUBSTITUTE(SUBSTITUTE(UPPER(Transaction[[#This Row],[Region]]),"EMEA REGION","EMEA"),"APAC REGION","APAC"),"NORTH AMERICA","N. AMERICA"),"N .AMERICA","N.AMERICA"))</f>
        <v>EMEA</v>
      </c>
      <c r="M941" t="s">
        <v>76</v>
      </c>
      <c r="N941" t="s">
        <v>47</v>
      </c>
      <c r="O94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41" t="s">
        <v>22</v>
      </c>
      <c r="Q941" t="str">
        <f>IF(TRIM(Transaction[[#This Row],[SalesChannel]])="","Missing Value",TRIM(Transaction[[#This Row],[SalesChannel]]))</f>
        <v>Direct</v>
      </c>
      <c r="R941" s="4">
        <v>3</v>
      </c>
      <c r="S941" s="4" t="str">
        <f>IF(Transaction[[#This Row],[Quantity]]&lt;0,"Negative-review","Valid")</f>
        <v>Valid</v>
      </c>
      <c r="T941">
        <v>1009.65</v>
      </c>
      <c r="U94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1009.65</v>
      </c>
      <c r="V941">
        <v>1120</v>
      </c>
      <c r="W941">
        <v>3360</v>
      </c>
      <c r="X94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3360</v>
      </c>
      <c r="Y941">
        <f>IF(Transaction[[#This Row],[GrossRevenue_Check]]="Invalid",Transaction[[#This Row],[ListPrice]]*Transaction[[#This Row],[Quantity]],Transaction[[#This Row],[GrossRevenue_Clean]])</f>
        <v>3360</v>
      </c>
      <c r="Z941" t="str">
        <f>IF(Transaction[[#This Row],[GrossRevenue_Clean]]=Transaction[[#This Row],[ListPrice]]*Transaction[[#This Row],[Quantity]],"Valid","Invalid")</f>
        <v>Valid</v>
      </c>
      <c r="AA941">
        <v>331.05</v>
      </c>
      <c r="AB94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331.05</v>
      </c>
      <c r="AC941">
        <f>IF(Transaction[[#This Row],[DiscountAmount_Check2]]="Invalid",Transaction[[#This Row],[GrossRevenue_Analytical]]-Transaction[[#This Row],[NetRevenue_Analytical]],Transaction[[#This Row],[DiscountAmount_Clean]])</f>
        <v>331.05</v>
      </c>
      <c r="AD941">
        <v>3028.95</v>
      </c>
      <c r="AE941" t="str">
        <f>IF(ROUND(Transaction[[#This Row],[GrossRevenue_Analytical]]-Transaction[[#This Row],[NetRevenue_Analytical]],2)=ROUND(Transaction[[#This Row],[DiscountAmount_Clean]],2),"Valid","Invalid")</f>
        <v>Valid</v>
      </c>
      <c r="AF941">
        <f>VALUE(IF(ISNUMBER(Transaction[[#This Row],[NetRevenue]]),Transaction[[#This Row],[NetRevenue]],IFERROR(IF(FIND("$",Transaction[[#This Row],[NetRevenue]])&gt;0,MID(Transaction[[#This Row],[NetRevenue]],2,10)),Transaction[[#This Row],[NetRevenue]])))</f>
        <v>3028.95</v>
      </c>
      <c r="AG941">
        <f>IF(Transaction[[#This Row],[NetRevenue_Check]]="Invalid",(Transaction[[#This Row],[Quantity]]*Transaction[[#This Row],[UnitPrice_Clean]]),Transaction[[#This Row],[NetRevenue_Clean]])</f>
        <v>3028.95</v>
      </c>
      <c r="AH941" t="str">
        <f>IF(Transaction[[#This Row],[Quantity]]*Transaction[[#This Row],[UnitPrice_Clean]]=Transaction[[#This Row],[NetRevenue_Clean]],"Valid","Invalid")</f>
        <v>Valid</v>
      </c>
      <c r="AI941" t="s">
        <v>23</v>
      </c>
      <c r="AJ941" t="s">
        <v>966</v>
      </c>
      <c r="AK941" t="str">
        <f>IF(Transaction[[#This Row],[Salesperson]]="","Missing Value",TRIM(PROPER(Transaction[[#This Row],[Salesperson]])))</f>
        <v>Jacobs</v>
      </c>
      <c r="AL941" t="s">
        <v>42</v>
      </c>
      <c r="AM941" t="str">
        <f>IF(Transaction[[#This Row],[ContractType]]="","Missing Value",Transaction[[#This Row],[ContractType]])</f>
        <v>Standard PO</v>
      </c>
      <c r="AN941" t="s">
        <v>26</v>
      </c>
    </row>
    <row r="942" spans="1:40" x14ac:dyDescent="0.25">
      <c r="A942" t="s">
        <v>1858</v>
      </c>
      <c r="B942" s="1">
        <v>45807</v>
      </c>
      <c r="C94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94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94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42" s="2">
        <f>IFERROR(DATE(Transaction[[#This Row],[TransactionDateY]],Transaction[[#This Row],[TransactionDateM]],Transaction[[#This Row],[TransactionDateD]]),"Missing Value")</f>
        <v>45807</v>
      </c>
      <c r="G942" t="s">
        <v>172</v>
      </c>
      <c r="H942" t="str">
        <f>IFERROR(VLOOKUP(Transaction[[#This Row],[CustomerID]],Custumer[],1,0),IF(LEN(Transaction[[#This Row],[CustomerID]])=7,LEFT(Transaction[[#This Row],[CustomerID]],6),"Invalid ID"))</f>
        <v>C-1099</v>
      </c>
      <c r="I942" t="s">
        <v>97</v>
      </c>
      <c r="J942" t="str">
        <f>TRIM(UPPER(Transaction[[#This Row],[ProductID]]))</f>
        <v>P-SI-001</v>
      </c>
      <c r="K942" t="str">
        <f>IFERROR(VLOOKUP(Transaction[[#This Row],[ProductID_Clean]],Product[],1,FALSE),"Invalid ID")</f>
        <v>P-SI-001</v>
      </c>
      <c r="L942" t="str">
        <f>TRIM(SUBSTITUTE(SUBSTITUTE(SUBSTITUTE(SUBSTITUTE(UPPER(Transaction[[#This Row],[Region]]),"EMEA REGION","EMEA"),"APAC REGION","APAC"),"NORTH AMERICA","N. AMERICA"),"N .AMERICA","N.AMERICA"))</f>
        <v>EMEA</v>
      </c>
      <c r="M942" t="s">
        <v>177</v>
      </c>
      <c r="N942" t="s">
        <v>47</v>
      </c>
      <c r="O94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42" t="s">
        <v>181</v>
      </c>
      <c r="Q942" t="str">
        <f>IF(TRIM(Transaction[[#This Row],[SalesChannel]])="","Missing Value",TRIM(Transaction[[#This Row],[SalesChannel]]))</f>
        <v>Partner Portal</v>
      </c>
      <c r="R942" s="4">
        <v>1</v>
      </c>
      <c r="S942" s="4" t="str">
        <f>IF(Transaction[[#This Row],[Quantity]]&lt;0,"Negative-review","Valid")</f>
        <v>Valid</v>
      </c>
      <c r="T942">
        <v>406.47</v>
      </c>
      <c r="U94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406.47</v>
      </c>
      <c r="V942">
        <v>485</v>
      </c>
      <c r="W942">
        <v>485</v>
      </c>
      <c r="X94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942">
        <f>IF(Transaction[[#This Row],[GrossRevenue_Check]]="Invalid",Transaction[[#This Row],[ListPrice]]*Transaction[[#This Row],[Quantity]],Transaction[[#This Row],[GrossRevenue_Clean]])</f>
        <v>485</v>
      </c>
      <c r="Z942" t="str">
        <f>IF(Transaction[[#This Row],[GrossRevenue_Clean]]=Transaction[[#This Row],[ListPrice]]*Transaction[[#This Row],[Quantity]],"Valid","Invalid")</f>
        <v>Valid</v>
      </c>
      <c r="AA942">
        <v>78.53</v>
      </c>
      <c r="AB94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78.53</v>
      </c>
      <c r="AC942">
        <f>IF(Transaction[[#This Row],[DiscountAmount_Check2]]="Invalid",Transaction[[#This Row],[GrossRevenue_Analytical]]-Transaction[[#This Row],[NetRevenue_Analytical]],Transaction[[#This Row],[DiscountAmount_Clean]])</f>
        <v>78.53</v>
      </c>
      <c r="AD942">
        <v>406.47</v>
      </c>
      <c r="AE942" t="str">
        <f>IF(ROUND(Transaction[[#This Row],[GrossRevenue_Analytical]]-Transaction[[#This Row],[NetRevenue_Analytical]],2)=ROUND(Transaction[[#This Row],[DiscountAmount_Clean]],2),"Valid","Invalid")</f>
        <v>Valid</v>
      </c>
      <c r="AF942">
        <f>VALUE(IF(ISNUMBER(Transaction[[#This Row],[NetRevenue]]),Transaction[[#This Row],[NetRevenue]],IFERROR(IF(FIND("$",Transaction[[#This Row],[NetRevenue]])&gt;0,MID(Transaction[[#This Row],[NetRevenue]],2,10)),Transaction[[#This Row],[NetRevenue]])))</f>
        <v>406.47</v>
      </c>
      <c r="AG942">
        <f>IF(Transaction[[#This Row],[NetRevenue_Check]]="Invalid",(Transaction[[#This Row],[Quantity]]*Transaction[[#This Row],[UnitPrice_Clean]]),Transaction[[#This Row],[NetRevenue_Clean]])</f>
        <v>406.47</v>
      </c>
      <c r="AH942" t="str">
        <f>IF(Transaction[[#This Row],[Quantity]]*Transaction[[#This Row],[UnitPrice_Clean]]=Transaction[[#This Row],[NetRevenue_Clean]],"Valid","Invalid")</f>
        <v>Valid</v>
      </c>
      <c r="AI942" t="s">
        <v>23</v>
      </c>
      <c r="AJ942" t="s">
        <v>94</v>
      </c>
      <c r="AK942" t="str">
        <f>IF(Transaction[[#This Row],[Salesperson]]="","Missing Value",TRIM(PROPER(Transaction[[#This Row],[Salesperson]])))</f>
        <v>Williams-Em</v>
      </c>
      <c r="AL942" t="s">
        <v>25</v>
      </c>
      <c r="AM942" t="str">
        <f>IF(Transaction[[#This Row],[ContractType]]="","Missing Value",Transaction[[#This Row],[ContractType]])</f>
        <v>Frame Agreement</v>
      </c>
      <c r="AN942" t="s">
        <v>43</v>
      </c>
    </row>
    <row r="943" spans="1:40" x14ac:dyDescent="0.25">
      <c r="A943" t="s">
        <v>2292</v>
      </c>
      <c r="B943" s="1">
        <v>45772</v>
      </c>
      <c r="C94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94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94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43" s="2">
        <f>IFERROR(DATE(Transaction[[#This Row],[TransactionDateY]],Transaction[[#This Row],[TransactionDateM]],Transaction[[#This Row],[TransactionDateD]]),"Missing Value")</f>
        <v>45772</v>
      </c>
      <c r="G943" t="s">
        <v>467</v>
      </c>
      <c r="H943" t="str">
        <f>IFERROR(VLOOKUP(Transaction[[#This Row],[CustomerID]],Custumer[],1,0),IF(LEN(Transaction[[#This Row],[CustomerID]])=7,LEFT(Transaction[[#This Row],[CustomerID]],6),"Invalid ID"))</f>
        <v>C-1111</v>
      </c>
      <c r="I943" t="s">
        <v>75</v>
      </c>
      <c r="J943" t="str">
        <f>TRIM(UPPER(Transaction[[#This Row],[ProductID]]))</f>
        <v>P-SA-005</v>
      </c>
      <c r="K943" t="str">
        <f>IFERROR(VLOOKUP(Transaction[[#This Row],[ProductID_Clean]],Product[],1,FALSE),"Invalid ID")</f>
        <v>P-SA-005</v>
      </c>
      <c r="L943" t="str">
        <f>TRIM(SUBSTITUTE(SUBSTITUTE(SUBSTITUTE(SUBSTITUTE(UPPER(Transaction[[#This Row],[Region]]),"EMEA REGION","EMEA"),"APAC REGION","APAC"),"NORTH AMERICA","N. AMERICA"),"N .AMERICA","N.AMERICA"))</f>
        <v>APAC</v>
      </c>
      <c r="M943" t="s">
        <v>30</v>
      </c>
      <c r="N943" t="s">
        <v>857</v>
      </c>
      <c r="O94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Q943" t="str">
        <f>IF(TRIM(Transaction[[#This Row],[SalesChannel]])="","Missing Value",TRIM(Transaction[[#This Row],[SalesChannel]]))</f>
        <v>Missing Value</v>
      </c>
      <c r="R943" s="4">
        <v>1</v>
      </c>
      <c r="S943" s="4" t="str">
        <f>IF(Transaction[[#This Row],[Quantity]]&lt;0,"Negative-review","Valid")</f>
        <v>Valid</v>
      </c>
      <c r="T943">
        <v>2836.08</v>
      </c>
      <c r="U94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2836.08</v>
      </c>
      <c r="V943">
        <v>3200</v>
      </c>
      <c r="W943">
        <v>3200</v>
      </c>
      <c r="X94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943">
        <f>IF(Transaction[[#This Row],[GrossRevenue_Check]]="Invalid",Transaction[[#This Row],[ListPrice]]*Transaction[[#This Row],[Quantity]],Transaction[[#This Row],[GrossRevenue_Clean]])</f>
        <v>3200</v>
      </c>
      <c r="Z943" t="str">
        <f>IF(Transaction[[#This Row],[GrossRevenue_Clean]]=Transaction[[#This Row],[ListPrice]]*Transaction[[#This Row],[Quantity]],"Valid","Invalid")</f>
        <v>Valid</v>
      </c>
      <c r="AA943">
        <v>363.92</v>
      </c>
      <c r="AB94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363.92</v>
      </c>
      <c r="AC943">
        <f>IF(Transaction[[#This Row],[DiscountAmount_Check2]]="Invalid",Transaction[[#This Row],[GrossRevenue_Analytical]]-Transaction[[#This Row],[NetRevenue_Analytical]],Transaction[[#This Row],[DiscountAmount_Clean]])</f>
        <v>363.92</v>
      </c>
      <c r="AD943">
        <v>2836.08</v>
      </c>
      <c r="AE943" t="str">
        <f>IF(ROUND(Transaction[[#This Row],[GrossRevenue_Analytical]]-Transaction[[#This Row],[NetRevenue_Analytical]],2)=ROUND(Transaction[[#This Row],[DiscountAmount_Clean]],2),"Valid","Invalid")</f>
        <v>Valid</v>
      </c>
      <c r="AF943">
        <f>VALUE(IF(ISNUMBER(Transaction[[#This Row],[NetRevenue]]),Transaction[[#This Row],[NetRevenue]],IFERROR(IF(FIND("$",Transaction[[#This Row],[NetRevenue]])&gt;0,MID(Transaction[[#This Row],[NetRevenue]],2,10)),Transaction[[#This Row],[NetRevenue]])))</f>
        <v>2836.08</v>
      </c>
      <c r="AG943">
        <f>IF(Transaction[[#This Row],[NetRevenue_Check]]="Invalid",(Transaction[[#This Row],[Quantity]]*Transaction[[#This Row],[UnitPrice_Clean]]),Transaction[[#This Row],[NetRevenue_Clean]])</f>
        <v>2836.08</v>
      </c>
      <c r="AH943" t="str">
        <f>IF(Transaction[[#This Row],[Quantity]]*Transaction[[#This Row],[UnitPrice_Clean]]=Transaction[[#This Row],[NetRevenue_Clean]],"Valid","Invalid")</f>
        <v>Valid</v>
      </c>
      <c r="AI943" t="s">
        <v>128</v>
      </c>
      <c r="AJ943" t="s">
        <v>655</v>
      </c>
      <c r="AK943" t="str">
        <f>IF(Transaction[[#This Row],[Salesperson]]="","Missing Value",TRIM(PROPER(Transaction[[#This Row],[Salesperson]])))</f>
        <v>Jones</v>
      </c>
      <c r="AL943" t="s">
        <v>210</v>
      </c>
      <c r="AM943" t="str">
        <f>IF(Transaction[[#This Row],[ContractType]]="","Missing Value",Transaction[[#This Row],[ContractType]])</f>
        <v>Perpetual</v>
      </c>
      <c r="AN943" t="s">
        <v>43</v>
      </c>
    </row>
    <row r="944" spans="1:40" x14ac:dyDescent="0.25">
      <c r="A944" t="s">
        <v>1099</v>
      </c>
      <c r="B944" s="1">
        <v>45774</v>
      </c>
      <c r="C94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94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94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44" s="2">
        <f>IFERROR(DATE(Transaction[[#This Row],[TransactionDateY]],Transaction[[#This Row],[TransactionDateM]],Transaction[[#This Row],[TransactionDateD]]),"Missing Value")</f>
        <v>45774</v>
      </c>
      <c r="G944" t="s">
        <v>613</v>
      </c>
      <c r="H944" t="str">
        <f>IFERROR(VLOOKUP(Transaction[[#This Row],[CustomerID]],Custumer[],1,0),IF(LEN(Transaction[[#This Row],[CustomerID]])=7,LEFT(Transaction[[#This Row],[CustomerID]],6),"Invalid ID"))</f>
        <v>C-1166</v>
      </c>
      <c r="I944" t="s">
        <v>268</v>
      </c>
      <c r="J944" t="str">
        <f>TRIM(UPPER(Transaction[[#This Row],[ProductID]]))</f>
        <v>P-FS-002</v>
      </c>
      <c r="K944" t="str">
        <f>IFERROR(VLOOKUP(Transaction[[#This Row],[ProductID_Clean]],Product[],1,FALSE),"Invalid ID")</f>
        <v>P-FS-002</v>
      </c>
      <c r="L944" t="str">
        <f>TRIM(SUBSTITUTE(SUBSTITUTE(SUBSTITUTE(SUBSTITUTE(UPPER(Transaction[[#This Row],[Region]]),"EMEA REGION","EMEA"),"APAC REGION","APAC"),"NORTH AMERICA","N. AMERICA"),"N .AMERICA","N.AMERICA"))</f>
        <v>N. AMERICA</v>
      </c>
      <c r="M944" t="s">
        <v>20</v>
      </c>
      <c r="N944" t="s">
        <v>771</v>
      </c>
      <c r="O94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944" t="s">
        <v>93</v>
      </c>
      <c r="Q944" t="str">
        <f>IF(TRIM(Transaction[[#This Row],[SalesChannel]])="","Missing Value",TRIM(Transaction[[#This Row],[SalesChannel]]))</f>
        <v>direct</v>
      </c>
      <c r="R944" s="4">
        <v>1</v>
      </c>
      <c r="S944" s="4" t="str">
        <f>IF(Transaction[[#This Row],[Quantity]]&lt;0,"Negative-review","Valid")</f>
        <v>Valid</v>
      </c>
      <c r="T944">
        <v>2198.02</v>
      </c>
      <c r="U94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2198.02</v>
      </c>
      <c r="V944">
        <v>2400</v>
      </c>
      <c r="W944">
        <v>2400</v>
      </c>
      <c r="X94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944">
        <f>IF(Transaction[[#This Row],[GrossRevenue_Check]]="Invalid",Transaction[[#This Row],[ListPrice]]*Transaction[[#This Row],[Quantity]],Transaction[[#This Row],[GrossRevenue_Clean]])</f>
        <v>2400</v>
      </c>
      <c r="Z944" t="str">
        <f>IF(Transaction[[#This Row],[GrossRevenue_Clean]]=Transaction[[#This Row],[ListPrice]]*Transaction[[#This Row],[Quantity]],"Valid","Invalid")</f>
        <v>Valid</v>
      </c>
      <c r="AA944">
        <v>201.98</v>
      </c>
      <c r="AB94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201.98</v>
      </c>
      <c r="AC944">
        <f>IF(Transaction[[#This Row],[DiscountAmount_Check2]]="Invalid",Transaction[[#This Row],[GrossRevenue_Analytical]]-Transaction[[#This Row],[NetRevenue_Analytical]],Transaction[[#This Row],[DiscountAmount_Clean]])</f>
        <v>201.98</v>
      </c>
      <c r="AD944">
        <v>2198.02</v>
      </c>
      <c r="AE944" t="str">
        <f>IF(ROUND(Transaction[[#This Row],[GrossRevenue_Analytical]]-Transaction[[#This Row],[NetRevenue_Analytical]],2)=ROUND(Transaction[[#This Row],[DiscountAmount_Clean]],2),"Valid","Invalid")</f>
        <v>Valid</v>
      </c>
      <c r="AF94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2198.02</v>
      </c>
      <c r="AG944">
        <f>IF(Transaction[[#This Row],[NetRevenue_Check]]="Invalid",(Transaction[[#This Row],[Quantity]]*Transaction[[#This Row],[UnitPrice_Clean]]),Transaction[[#This Row],[NetRevenue_Clean]])</f>
        <v>2198.02</v>
      </c>
      <c r="AH944" t="str">
        <f>IF(Transaction[[#This Row],[Quantity]]*Transaction[[#This Row],[UnitPrice_Clean]]=Transaction[[#This Row],[NetRevenue_Clean]],"Valid","Invalid")</f>
        <v>Valid</v>
      </c>
      <c r="AI944" t="s">
        <v>23</v>
      </c>
      <c r="AJ944" t="s">
        <v>1100</v>
      </c>
      <c r="AK944" t="str">
        <f>IF(Transaction[[#This Row],[Salesperson]]="","Missing Value",TRIM(PROPER(Transaction[[#This Row],[Salesperson]])))</f>
        <v>Ballard-Na</v>
      </c>
      <c r="AL944" t="s">
        <v>224</v>
      </c>
      <c r="AM944" t="str">
        <f>IF(Transaction[[#This Row],[ContractType]]="","Missing Value",Transaction[[#This Row],[ContractType]])</f>
        <v>Annual</v>
      </c>
      <c r="AN944" t="s">
        <v>65</v>
      </c>
    </row>
    <row r="945" spans="1:40" x14ac:dyDescent="0.25">
      <c r="A945" t="s">
        <v>1494</v>
      </c>
      <c r="B945" s="1">
        <v>45774</v>
      </c>
      <c r="C94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94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94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45" s="2">
        <f>IFERROR(DATE(Transaction[[#This Row],[TransactionDateY]],Transaction[[#This Row],[TransactionDateM]],Transaction[[#This Row],[TransactionDateD]]),"Missing Value")</f>
        <v>45774</v>
      </c>
      <c r="G945" t="s">
        <v>239</v>
      </c>
      <c r="H945" t="str">
        <f>IFERROR(VLOOKUP(Transaction[[#This Row],[CustomerID]],Custumer[],1,0),IF(LEN(Transaction[[#This Row],[CustomerID]])=7,LEFT(Transaction[[#This Row],[CustomerID]],6),"Invalid ID"))</f>
        <v>C-1092</v>
      </c>
      <c r="I945" t="s">
        <v>258</v>
      </c>
      <c r="J945" t="str">
        <f>TRIM(UPPER(Transaction[[#This Row],[ProductID]]))</f>
        <v>P-SA-003</v>
      </c>
      <c r="K945" t="str">
        <f>IFERROR(VLOOKUP(Transaction[[#This Row],[ProductID_Clean]],Product[],1,FALSE),"Invalid ID")</f>
        <v>P-SA-003</v>
      </c>
      <c r="L945" t="str">
        <f>TRIM(SUBSTITUTE(SUBSTITUTE(SUBSTITUTE(SUBSTITUTE(UPPER(Transaction[[#This Row],[Region]]),"EMEA REGION","EMEA"),"APAC REGION","APAC"),"NORTH AMERICA","N. AMERICA"),"N .AMERICA","N.AMERICA"))</f>
        <v>N. AMERICA</v>
      </c>
      <c r="M945" t="s">
        <v>20</v>
      </c>
      <c r="N945" t="s">
        <v>31</v>
      </c>
      <c r="O94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945" t="s">
        <v>40</v>
      </c>
      <c r="Q945" t="str">
        <f>IF(TRIM(Transaction[[#This Row],[SalesChannel]])="","Missing Value",TRIM(Transaction[[#This Row],[SalesChannel]]))</f>
        <v>Distributor</v>
      </c>
      <c r="R945" s="4">
        <v>1</v>
      </c>
      <c r="S945" s="4" t="str">
        <f>IF(Transaction[[#This Row],[Quantity]]&lt;0,"Negative-review","Valid")</f>
        <v>Valid</v>
      </c>
      <c r="T945">
        <v>2387.1</v>
      </c>
      <c r="U94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2387.1</v>
      </c>
      <c r="V945">
        <v>2750</v>
      </c>
      <c r="W945">
        <v>2750</v>
      </c>
      <c r="X94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945">
        <f>IF(Transaction[[#This Row],[GrossRevenue_Check]]="Invalid",Transaction[[#This Row],[ListPrice]]*Transaction[[#This Row],[Quantity]],Transaction[[#This Row],[GrossRevenue_Clean]])</f>
        <v>2750</v>
      </c>
      <c r="Z945" t="str">
        <f>IF(Transaction[[#This Row],[GrossRevenue_Clean]]=Transaction[[#This Row],[ListPrice]]*Transaction[[#This Row],[Quantity]],"Valid","Invalid")</f>
        <v>Valid</v>
      </c>
      <c r="AA945">
        <v>362.9</v>
      </c>
      <c r="AB94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362.9</v>
      </c>
      <c r="AC945">
        <f>IF(Transaction[[#This Row],[DiscountAmount_Check2]]="Invalid",Transaction[[#This Row],[GrossRevenue_Analytical]]-Transaction[[#This Row],[NetRevenue_Analytical]],Transaction[[#This Row],[DiscountAmount_Clean]])</f>
        <v>362.9</v>
      </c>
      <c r="AD945" t="s">
        <v>1495</v>
      </c>
      <c r="AE945" t="str">
        <f>IF(ROUND(Transaction[[#This Row],[GrossRevenue_Analytical]]-Transaction[[#This Row],[NetRevenue_Analytical]],2)=ROUND(Transaction[[#This Row],[DiscountAmount_Clean]],2),"Valid","Invalid")</f>
        <v>Valid</v>
      </c>
      <c r="AF945">
        <f>VALUE(IF(ISNUMBER(Transaction[[#This Row],[NetRevenue]]),Transaction[[#This Row],[NetRevenue]],IFERROR(IF(FIND("$",Transaction[[#This Row],[NetRevenue]])&gt;0,MID(Transaction[[#This Row],[NetRevenue]],2,10)),Transaction[[#This Row],[NetRevenue]])))</f>
        <v>2387.1</v>
      </c>
      <c r="AG945">
        <f>IF(Transaction[[#This Row],[NetRevenue_Check]]="Invalid",(Transaction[[#This Row],[Quantity]]*Transaction[[#This Row],[UnitPrice_Clean]]),Transaction[[#This Row],[NetRevenue_Clean]])</f>
        <v>2387.1</v>
      </c>
      <c r="AH945" t="str">
        <f>IF(Transaction[[#This Row],[Quantity]]*Transaction[[#This Row],[UnitPrice_Clean]]=Transaction[[#This Row],[NetRevenue_Clean]],"Valid","Invalid")</f>
        <v>Valid</v>
      </c>
      <c r="AI945" t="s">
        <v>23</v>
      </c>
      <c r="AJ945" t="s">
        <v>1496</v>
      </c>
      <c r="AK945" t="str">
        <f>IF(Transaction[[#This Row],[Salesperson]]="","Missing Value",TRIM(PROPER(Transaction[[#This Row],[Salesperson]])))</f>
        <v>Matthews-Em</v>
      </c>
      <c r="AL945" t="s">
        <v>34</v>
      </c>
      <c r="AM945" t="str">
        <f>IF(Transaction[[#This Row],[ContractType]]="","Missing Value",Transaction[[#This Row],[ContractType]])</f>
        <v>Annual License</v>
      </c>
      <c r="AN945" t="s">
        <v>43</v>
      </c>
    </row>
    <row r="946" spans="1:40" x14ac:dyDescent="0.25">
      <c r="A946" t="s">
        <v>2367</v>
      </c>
      <c r="B946" s="1">
        <v>45776</v>
      </c>
      <c r="C94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94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29</v>
      </c>
      <c r="E94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46" s="2">
        <f>IFERROR(DATE(Transaction[[#This Row],[TransactionDateY]],Transaction[[#This Row],[TransactionDateM]],Transaction[[#This Row],[TransactionDateD]]),"Missing Value")</f>
        <v>45776</v>
      </c>
      <c r="G946" t="s">
        <v>394</v>
      </c>
      <c r="H946" t="str">
        <f>IFERROR(VLOOKUP(Transaction[[#This Row],[CustomerID]],Custumer[],1,0),IF(LEN(Transaction[[#This Row],[CustomerID]])=7,LEFT(Transaction[[#This Row],[CustomerID]],6),"Invalid ID"))</f>
        <v>C-1128</v>
      </c>
      <c r="I946" t="s">
        <v>46</v>
      </c>
      <c r="J946" t="str">
        <f>TRIM(UPPER(Transaction[[#This Row],[ProductID]]))</f>
        <v>P-SI-006</v>
      </c>
      <c r="K946" t="str">
        <f>IFERROR(VLOOKUP(Transaction[[#This Row],[ProductID_Clean]],Product[],1,FALSE),"Invalid ID")</f>
        <v>P-SI-006</v>
      </c>
      <c r="L946" t="str">
        <f>TRIM(SUBSTITUTE(SUBSTITUTE(SUBSTITUTE(SUBSTITUTE(UPPER(Transaction[[#This Row],[Region]]),"EMEA REGION","EMEA"),"APAC REGION","APAC"),"NORTH AMERICA","N. AMERICA"),"N .AMERICA","N.AMERICA"))</f>
        <v>EMEA</v>
      </c>
      <c r="M946" t="s">
        <v>76</v>
      </c>
      <c r="N946" t="s">
        <v>53</v>
      </c>
      <c r="O94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46" t="s">
        <v>173</v>
      </c>
      <c r="Q946" t="str">
        <f>IF(TRIM(Transaction[[#This Row],[SalesChannel]])="","Missing Value",TRIM(Transaction[[#This Row],[SalesChannel]]))</f>
        <v>Distributor</v>
      </c>
      <c r="R946" s="4">
        <v>3</v>
      </c>
      <c r="S946" s="4" t="str">
        <f>IF(Transaction[[#This Row],[Quantity]]&lt;0,"Negative-review","Valid")</f>
        <v>Valid</v>
      </c>
      <c r="T946">
        <v>171.1</v>
      </c>
      <c r="U94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171.1</v>
      </c>
      <c r="V946">
        <v>215</v>
      </c>
      <c r="W946">
        <v>645</v>
      </c>
      <c r="X94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946">
        <f>IF(Transaction[[#This Row],[GrossRevenue_Check]]="Invalid",Transaction[[#This Row],[ListPrice]]*Transaction[[#This Row],[Quantity]],Transaction[[#This Row],[GrossRevenue_Clean]])</f>
        <v>645</v>
      </c>
      <c r="Z946" t="str">
        <f>IF(Transaction[[#This Row],[GrossRevenue_Clean]]=Transaction[[#This Row],[ListPrice]]*Transaction[[#This Row],[Quantity]],"Valid","Invalid")</f>
        <v>Valid</v>
      </c>
      <c r="AA946">
        <v>131.69999999999999</v>
      </c>
      <c r="AB94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131.69999999999999</v>
      </c>
      <c r="AC946">
        <f>IF(Transaction[[#This Row],[DiscountAmount_Check2]]="Invalid",Transaction[[#This Row],[GrossRevenue_Analytical]]-Transaction[[#This Row],[NetRevenue_Analytical]],Transaction[[#This Row],[DiscountAmount_Clean]])</f>
        <v>131.69999999999999</v>
      </c>
      <c r="AD946">
        <v>513.29999999999995</v>
      </c>
      <c r="AE946" t="str">
        <f>IF(ROUND(Transaction[[#This Row],[GrossRevenue_Analytical]]-Transaction[[#This Row],[NetRevenue_Analytical]],2)=ROUND(Transaction[[#This Row],[DiscountAmount_Clean]],2),"Valid","Invalid")</f>
        <v>Valid</v>
      </c>
      <c r="AF946">
        <f>VALUE(IF(ISNUMBER(Transaction[[#This Row],[NetRevenue]]),Transaction[[#This Row],[NetRevenue]],IFERROR(IF(FIND("$",Transaction[[#This Row],[NetRevenue]])&gt;0,MID(Transaction[[#This Row],[NetRevenue]],2,10)),Transaction[[#This Row],[NetRevenue]])))</f>
        <v>513.29999999999995</v>
      </c>
      <c r="AG946">
        <f>IF(Transaction[[#This Row],[NetRevenue_Check]]="Invalid",(Transaction[[#This Row],[Quantity]]*Transaction[[#This Row],[UnitPrice_Clean]]),Transaction[[#This Row],[NetRevenue_Clean]])</f>
        <v>513.29999999999995</v>
      </c>
      <c r="AH946" t="str">
        <f>IF(Transaction[[#This Row],[Quantity]]*Transaction[[#This Row],[UnitPrice_Clean]]=Transaction[[#This Row],[NetRevenue_Clean]],"Valid","Invalid")</f>
        <v>Valid</v>
      </c>
      <c r="AI946" t="s">
        <v>99</v>
      </c>
      <c r="AJ946" t="s">
        <v>2368</v>
      </c>
      <c r="AK946" t="str">
        <f>IF(Transaction[[#This Row],[Salesperson]]="","Missing Value",TRIM(PROPER(Transaction[[#This Row],[Salesperson]])))</f>
        <v>Powers</v>
      </c>
      <c r="AL946" t="s">
        <v>42</v>
      </c>
      <c r="AM946" t="str">
        <f>IF(Transaction[[#This Row],[ContractType]]="","Missing Value",Transaction[[#This Row],[ContractType]])</f>
        <v>Standard PO</v>
      </c>
      <c r="AN946" t="s">
        <v>43</v>
      </c>
    </row>
    <row r="947" spans="1:40" x14ac:dyDescent="0.25">
      <c r="A947" t="s">
        <v>1225</v>
      </c>
      <c r="B947" s="1">
        <v>45778</v>
      </c>
      <c r="C94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94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94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47" s="2">
        <f>IFERROR(DATE(Transaction[[#This Row],[TransactionDateY]],Transaction[[#This Row],[TransactionDateM]],Transaction[[#This Row],[TransactionDateD]]),"Missing Value")</f>
        <v>45778</v>
      </c>
      <c r="G947" t="s">
        <v>621</v>
      </c>
      <c r="H947" t="str">
        <f>IFERROR(VLOOKUP(Transaction[[#This Row],[CustomerID]],Custumer[],1,0),IF(LEN(Transaction[[#This Row],[CustomerID]])=7,LEFT(Transaction[[#This Row],[CustomerID]],6),"Invalid ID"))</f>
        <v>C-1064</v>
      </c>
      <c r="I947" t="s">
        <v>29</v>
      </c>
      <c r="J947" t="str">
        <f>TRIM(UPPER(Transaction[[#This Row],[ProductID]]))</f>
        <v>P-SA-001</v>
      </c>
      <c r="K947" t="str">
        <f>IFERROR(VLOOKUP(Transaction[[#This Row],[ProductID_Clean]],Product[],1,FALSE),"Invalid ID")</f>
        <v>P-SA-001</v>
      </c>
      <c r="L947" t="str">
        <f>TRIM(SUBSTITUTE(SUBSTITUTE(SUBSTITUTE(SUBSTITUTE(UPPER(Transaction[[#This Row],[Region]]),"EMEA REGION","EMEA"),"APAC REGION","APAC"),"NORTH AMERICA","N. AMERICA"),"N .AMERICA","N.AMERICA"))</f>
        <v>N. AMERICA</v>
      </c>
      <c r="M947" t="s">
        <v>204</v>
      </c>
      <c r="N947" t="s">
        <v>205</v>
      </c>
      <c r="O94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947" t="s">
        <v>181</v>
      </c>
      <c r="Q947" t="str">
        <f>IF(TRIM(Transaction[[#This Row],[SalesChannel]])="","Missing Value",TRIM(Transaction[[#This Row],[SalesChannel]]))</f>
        <v>Partner Portal</v>
      </c>
      <c r="R947" s="4">
        <v>1</v>
      </c>
      <c r="S947" s="4" t="str">
        <f>IF(Transaction[[#This Row],[Quantity]]&lt;0,"Negative-review","Valid")</f>
        <v>Valid</v>
      </c>
      <c r="T947">
        <v>3369.81</v>
      </c>
      <c r="U94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3369.81</v>
      </c>
      <c r="V947">
        <v>4200</v>
      </c>
      <c r="W947">
        <v>4200</v>
      </c>
      <c r="X94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947">
        <f>IF(Transaction[[#This Row],[GrossRevenue_Check]]="Invalid",Transaction[[#This Row],[ListPrice]]*Transaction[[#This Row],[Quantity]],Transaction[[#This Row],[GrossRevenue_Clean]])</f>
        <v>4200</v>
      </c>
      <c r="Z947" t="str">
        <f>IF(Transaction[[#This Row],[GrossRevenue_Clean]]=Transaction[[#This Row],[ListPrice]]*Transaction[[#This Row],[Quantity]],"Valid","Invalid")</f>
        <v>Valid</v>
      </c>
      <c r="AB94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947">
        <f>IF(Transaction[[#This Row],[DiscountAmount_Check2]]="Invalid",Transaction[[#This Row],[GrossRevenue_Analytical]]-Transaction[[#This Row],[NetRevenue_Analytical]],Transaction[[#This Row],[DiscountAmount_Clean]])</f>
        <v>830.19</v>
      </c>
      <c r="AD947" t="s">
        <v>1226</v>
      </c>
      <c r="AE947" t="str">
        <f>IF(ROUND(Transaction[[#This Row],[GrossRevenue_Analytical]]-Transaction[[#This Row],[NetRevenue_Analytical]],2)=ROUND(Transaction[[#This Row],[DiscountAmount_Clean]],2),"Valid","Invalid")</f>
        <v>Invalid</v>
      </c>
      <c r="AF94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3369.81</v>
      </c>
      <c r="AG947">
        <f>IF(Transaction[[#This Row],[NetRevenue_Check]]="Invalid",(Transaction[[#This Row],[Quantity]]*Transaction[[#This Row],[UnitPrice_Clean]]),Transaction[[#This Row],[NetRevenue_Clean]])</f>
        <v>3369.81</v>
      </c>
      <c r="AH947" t="str">
        <f>IF(Transaction[[#This Row],[Quantity]]*Transaction[[#This Row],[UnitPrice_Clean]]=Transaction[[#This Row],[NetRevenue_Clean]],"Valid","Invalid")</f>
        <v>Valid</v>
      </c>
      <c r="AI947" t="s">
        <v>23</v>
      </c>
      <c r="AJ947" t="s">
        <v>569</v>
      </c>
      <c r="AK947" t="str">
        <f>IF(Transaction[[#This Row],[Salesperson]]="","Missing Value",TRIM(PROPER(Transaction[[#This Row],[Salesperson]])))</f>
        <v>Dorsey</v>
      </c>
      <c r="AL947" t="s">
        <v>34</v>
      </c>
      <c r="AM947" t="str">
        <f>IF(Transaction[[#This Row],[ContractType]]="","Missing Value",Transaction[[#This Row],[ContractType]])</f>
        <v>Annual License</v>
      </c>
      <c r="AN947" t="s">
        <v>35</v>
      </c>
    </row>
    <row r="948" spans="1:40" x14ac:dyDescent="0.25">
      <c r="A948" t="s">
        <v>2031</v>
      </c>
      <c r="C94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94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94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948" s="2" t="str">
        <f>IFERROR(DATE(Transaction[[#This Row],[TransactionDateY]],Transaction[[#This Row],[TransactionDateM]],Transaction[[#This Row],[TransactionDateD]]),"Missing Value")</f>
        <v>Missing Value</v>
      </c>
      <c r="G948" t="s">
        <v>193</v>
      </c>
      <c r="H948" t="str">
        <f>IFERROR(VLOOKUP(Transaction[[#This Row],[CustomerID]],Custumer[],1,0),IF(LEN(Transaction[[#This Row],[CustomerID]])=7,LEFT(Transaction[[#This Row],[CustomerID]],6),"Invalid ID"))</f>
        <v>C-1079</v>
      </c>
      <c r="I948" t="s">
        <v>258</v>
      </c>
      <c r="J948" t="str">
        <f>TRIM(UPPER(Transaction[[#This Row],[ProductID]]))</f>
        <v>P-SA-003</v>
      </c>
      <c r="K948" t="str">
        <f>IFERROR(VLOOKUP(Transaction[[#This Row],[ProductID_Clean]],Product[],1,FALSE),"Invalid ID")</f>
        <v>P-SA-003</v>
      </c>
      <c r="L948" t="str">
        <f>TRIM(SUBSTITUTE(SUBSTITUTE(SUBSTITUTE(SUBSTITUTE(UPPER(Transaction[[#This Row],[Region]]),"EMEA REGION","EMEA"),"APAC REGION","APAC"),"NORTH AMERICA","N. AMERICA"),"N .AMERICA","N.AMERICA"))</f>
        <v>N. AMERICA</v>
      </c>
      <c r="M948" t="s">
        <v>20</v>
      </c>
      <c r="N948" t="s">
        <v>31</v>
      </c>
      <c r="O94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948" t="s">
        <v>40</v>
      </c>
      <c r="Q948" t="str">
        <f>IF(TRIM(Transaction[[#This Row],[SalesChannel]])="","Missing Value",TRIM(Transaction[[#This Row],[SalesChannel]]))</f>
        <v>Distributor</v>
      </c>
      <c r="R948" s="4">
        <v>1</v>
      </c>
      <c r="S948" s="4" t="str">
        <f>IF(Transaction[[#This Row],[Quantity]]&lt;0,"Negative-review","Valid")</f>
        <v>Valid</v>
      </c>
      <c r="T948">
        <v>2360.12</v>
      </c>
      <c r="U94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2360.12</v>
      </c>
      <c r="V948">
        <v>2750</v>
      </c>
      <c r="W948">
        <v>2750</v>
      </c>
      <c r="X94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948">
        <f>IF(Transaction[[#This Row],[GrossRevenue_Check]]="Invalid",Transaction[[#This Row],[ListPrice]]*Transaction[[#This Row],[Quantity]],Transaction[[#This Row],[GrossRevenue_Clean]])</f>
        <v>2750</v>
      </c>
      <c r="Z948" t="str">
        <f>IF(Transaction[[#This Row],[GrossRevenue_Clean]]=Transaction[[#This Row],[ListPrice]]*Transaction[[#This Row],[Quantity]],"Valid","Invalid")</f>
        <v>Valid</v>
      </c>
      <c r="AA948">
        <v>389.88</v>
      </c>
      <c r="AB94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389.88</v>
      </c>
      <c r="AC948">
        <f>IF(Transaction[[#This Row],[DiscountAmount_Check2]]="Invalid",Transaction[[#This Row],[GrossRevenue_Analytical]]-Transaction[[#This Row],[NetRevenue_Analytical]],Transaction[[#This Row],[DiscountAmount_Clean]])</f>
        <v>389.88</v>
      </c>
      <c r="AD948">
        <v>2360.12</v>
      </c>
      <c r="AE948" t="str">
        <f>IF(ROUND(Transaction[[#This Row],[GrossRevenue_Analytical]]-Transaction[[#This Row],[NetRevenue_Analytical]],2)=ROUND(Transaction[[#This Row],[DiscountAmount_Clean]],2),"Valid","Invalid")</f>
        <v>Valid</v>
      </c>
      <c r="AF94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2360.12</v>
      </c>
      <c r="AG948">
        <f>IF(Transaction[[#This Row],[NetRevenue_Check]]="Invalid",(Transaction[[#This Row],[Quantity]]*Transaction[[#This Row],[UnitPrice_Clean]]),Transaction[[#This Row],[NetRevenue_Clean]])</f>
        <v>2360.12</v>
      </c>
      <c r="AH948" t="str">
        <f>IF(Transaction[[#This Row],[Quantity]]*Transaction[[#This Row],[UnitPrice_Clean]]=Transaction[[#This Row],[NetRevenue_Clean]],"Valid","Invalid")</f>
        <v>Valid</v>
      </c>
      <c r="AI948" t="s">
        <v>23</v>
      </c>
      <c r="AK948" t="str">
        <f>IF(Transaction[[#This Row],[Salesperson]]="","Missing Value",TRIM(PROPER(Transaction[[#This Row],[Salesperson]])))</f>
        <v>Missing Value</v>
      </c>
      <c r="AL948" t="s">
        <v>34</v>
      </c>
      <c r="AM948" t="str">
        <f>IF(Transaction[[#This Row],[ContractType]]="","Missing Value",Transaction[[#This Row],[ContractType]])</f>
        <v>Annual License</v>
      </c>
      <c r="AN948" t="s">
        <v>65</v>
      </c>
    </row>
    <row r="949" spans="1:40" x14ac:dyDescent="0.25">
      <c r="A949" t="s">
        <v>867</v>
      </c>
      <c r="B949" s="1">
        <v>45713</v>
      </c>
      <c r="C94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94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94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49" s="2">
        <f>IFERROR(DATE(Transaction[[#This Row],[TransactionDateY]],Transaction[[#This Row],[TransactionDateM]],Transaction[[#This Row],[TransactionDateD]]),"Missing Value")</f>
        <v>45713</v>
      </c>
      <c r="G949" t="s">
        <v>172</v>
      </c>
      <c r="H949" t="str">
        <f>IFERROR(VLOOKUP(Transaction[[#This Row],[CustomerID]],Custumer[],1,0),IF(LEN(Transaction[[#This Row],[CustomerID]])=7,LEFT(Transaction[[#This Row],[CustomerID]],6),"Invalid ID"))</f>
        <v>C-1099</v>
      </c>
      <c r="I949" t="s">
        <v>121</v>
      </c>
      <c r="J949" t="str">
        <f>TRIM(UPPER(Transaction[[#This Row],[ProductID]]))</f>
        <v>P-FS-001</v>
      </c>
      <c r="K949" t="str">
        <f>IFERROR(VLOOKUP(Transaction[[#This Row],[ProductID_Clean]],Product[],1,FALSE),"Invalid ID")</f>
        <v>P-FS-001</v>
      </c>
      <c r="L949" t="str">
        <f>TRIM(SUBSTITUTE(SUBSTITUTE(SUBSTITUTE(SUBSTITUTE(UPPER(Transaction[[#This Row],[Region]]),"EMEA REGION","EMEA"),"APAC REGION","APAC"),"NORTH AMERICA","N. AMERICA"),"N .AMERICA","N.AMERICA"))</f>
        <v>EMEA</v>
      </c>
      <c r="M949" t="s">
        <v>87</v>
      </c>
      <c r="N949" t="s">
        <v>21</v>
      </c>
      <c r="O949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949" t="s">
        <v>181</v>
      </c>
      <c r="Q949" t="str">
        <f>IF(TRIM(Transaction[[#This Row],[SalesChannel]])="","Missing Value",TRIM(Transaction[[#This Row],[SalesChannel]]))</f>
        <v>Partner Portal</v>
      </c>
      <c r="R949" s="4">
        <v>1</v>
      </c>
      <c r="S949" s="4" t="str">
        <f>IF(Transaction[[#This Row],[Quantity]]&lt;0,"Negative-review","Valid")</f>
        <v>Valid</v>
      </c>
      <c r="T949">
        <v>1481.65</v>
      </c>
      <c r="U94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1481.65</v>
      </c>
      <c r="V949">
        <v>1850</v>
      </c>
      <c r="W949">
        <v>1850</v>
      </c>
      <c r="X94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949">
        <f>IF(Transaction[[#This Row],[GrossRevenue_Check]]="Invalid",Transaction[[#This Row],[ListPrice]]*Transaction[[#This Row],[Quantity]],Transaction[[#This Row],[GrossRevenue_Clean]])</f>
        <v>1850</v>
      </c>
      <c r="Z949" t="str">
        <f>IF(Transaction[[#This Row],[GrossRevenue_Clean]]=Transaction[[#This Row],[ListPrice]]*Transaction[[#This Row],[Quantity]],"Valid","Invalid")</f>
        <v>Valid</v>
      </c>
      <c r="AA949">
        <v>368.35</v>
      </c>
      <c r="AB94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368.35</v>
      </c>
      <c r="AC949">
        <f>IF(Transaction[[#This Row],[DiscountAmount_Check2]]="Invalid",Transaction[[#This Row],[GrossRevenue_Analytical]]-Transaction[[#This Row],[NetRevenue_Analytical]],Transaction[[#This Row],[DiscountAmount_Clean]])</f>
        <v>368.35</v>
      </c>
      <c r="AD949">
        <v>1481.65</v>
      </c>
      <c r="AE949" t="str">
        <f>IF(ROUND(Transaction[[#This Row],[GrossRevenue_Analytical]]-Transaction[[#This Row],[NetRevenue_Analytical]],2)=ROUND(Transaction[[#This Row],[DiscountAmount_Clean]],2),"Valid","Invalid")</f>
        <v>Valid</v>
      </c>
      <c r="AF94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1481.65</v>
      </c>
      <c r="AG949">
        <f>IF(Transaction[[#This Row],[NetRevenue_Check]]="Invalid",(Transaction[[#This Row],[Quantity]]*Transaction[[#This Row],[UnitPrice_Clean]]),Transaction[[#This Row],[NetRevenue_Clean]])</f>
        <v>1481.65</v>
      </c>
      <c r="AH949" t="str">
        <f>IF(Transaction[[#This Row],[Quantity]]*Transaction[[#This Row],[UnitPrice_Clean]]=Transaction[[#This Row],[NetRevenue_Clean]],"Valid","Invalid")</f>
        <v>Valid</v>
      </c>
      <c r="AI949" t="s">
        <v>23</v>
      </c>
      <c r="AJ949" t="s">
        <v>868</v>
      </c>
      <c r="AK949" t="str">
        <f>IF(Transaction[[#This Row],[Salesperson]]="","Missing Value",TRIM(PROPER(Transaction[[#This Row],[Salesperson]])))</f>
        <v>Meadows-Em</v>
      </c>
      <c r="AL949" t="s">
        <v>55</v>
      </c>
      <c r="AM949" t="str">
        <f>IF(Transaction[[#This Row],[ContractType]]="","Missing Value",Transaction[[#This Row],[ContractType]])</f>
        <v>Spot</v>
      </c>
      <c r="AN949" t="s">
        <v>43</v>
      </c>
    </row>
    <row r="950" spans="1:40" x14ac:dyDescent="0.25">
      <c r="A950" t="s">
        <v>810</v>
      </c>
      <c r="B950" s="1">
        <v>45676</v>
      </c>
      <c r="C95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95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95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50" s="2">
        <f>IFERROR(DATE(Transaction[[#This Row],[TransactionDateY]],Transaction[[#This Row],[TransactionDateM]],Transaction[[#This Row],[TransactionDateD]]),"Missing Value")</f>
        <v>45676</v>
      </c>
      <c r="G950" t="s">
        <v>292</v>
      </c>
      <c r="H950" t="str">
        <f>IFERROR(VLOOKUP(Transaction[[#This Row],[CustomerID]],Custumer[],1,0),IF(LEN(Transaction[[#This Row],[CustomerID]])=7,LEFT(Transaction[[#This Row],[CustomerID]],6),"Invalid ID"))</f>
        <v>C-1065</v>
      </c>
      <c r="I950" t="s">
        <v>268</v>
      </c>
      <c r="J950" t="str">
        <f>TRIM(UPPER(Transaction[[#This Row],[ProductID]]))</f>
        <v>P-FS-002</v>
      </c>
      <c r="K950" t="str">
        <f>IFERROR(VLOOKUP(Transaction[[#This Row],[ProductID_Clean]],Product[],1,FALSE),"Invalid ID")</f>
        <v>P-FS-002</v>
      </c>
      <c r="L950" t="str">
        <f>TRIM(SUBSTITUTE(SUBSTITUTE(SUBSTITUTE(SUBSTITUTE(UPPER(Transaction[[#This Row],[Region]]),"EMEA REGION","EMEA"),"APAC REGION","APAC"),"NORTH AMERICA","N. AMERICA"),"N .AMERICA","N.AMERICA"))</f>
        <v>APAC</v>
      </c>
      <c r="M950" t="s">
        <v>122</v>
      </c>
      <c r="N950" t="s">
        <v>21</v>
      </c>
      <c r="O950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950" t="s">
        <v>40</v>
      </c>
      <c r="Q950" t="str">
        <f>IF(TRIM(Transaction[[#This Row],[SalesChannel]])="","Missing Value",TRIM(Transaction[[#This Row],[SalesChannel]]))</f>
        <v>Distributor</v>
      </c>
      <c r="R950" s="4">
        <v>1</v>
      </c>
      <c r="S950" s="4" t="str">
        <f>IF(Transaction[[#This Row],[Quantity]]&lt;0,"Negative-review","Valid")</f>
        <v>Valid</v>
      </c>
      <c r="T950">
        <v>2082.3000000000002</v>
      </c>
      <c r="U95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2082.3000000000002</v>
      </c>
      <c r="V950">
        <v>2400</v>
      </c>
      <c r="W950">
        <v>2400</v>
      </c>
      <c r="X95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950">
        <f>IF(Transaction[[#This Row],[GrossRevenue_Check]]="Invalid",Transaction[[#This Row],[ListPrice]]*Transaction[[#This Row],[Quantity]],Transaction[[#This Row],[GrossRevenue_Clean]])</f>
        <v>2400</v>
      </c>
      <c r="Z950" t="str">
        <f>IF(Transaction[[#This Row],[GrossRevenue_Clean]]=Transaction[[#This Row],[ListPrice]]*Transaction[[#This Row],[Quantity]],"Valid","Invalid")</f>
        <v>Valid</v>
      </c>
      <c r="AA950">
        <v>317.7</v>
      </c>
      <c r="AB95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317.7</v>
      </c>
      <c r="AC950">
        <f>IF(Transaction[[#This Row],[DiscountAmount_Check2]]="Invalid",Transaction[[#This Row],[GrossRevenue_Analytical]]-Transaction[[#This Row],[NetRevenue_Analytical]],Transaction[[#This Row],[DiscountAmount_Clean]])</f>
        <v>317.7</v>
      </c>
      <c r="AD950">
        <v>2082.3000000000002</v>
      </c>
      <c r="AE950" t="str">
        <f>IF(ROUND(Transaction[[#This Row],[GrossRevenue_Analytical]]-Transaction[[#This Row],[NetRevenue_Analytical]],2)=ROUND(Transaction[[#This Row],[DiscountAmount_Clean]],2),"Valid","Invalid")</f>
        <v>Valid</v>
      </c>
      <c r="AF95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2082.3000000000002</v>
      </c>
      <c r="AG950">
        <f>IF(Transaction[[#This Row],[NetRevenue_Check]]="Invalid",(Transaction[[#This Row],[Quantity]]*Transaction[[#This Row],[UnitPrice_Clean]]),Transaction[[#This Row],[NetRevenue_Clean]])</f>
        <v>2082.3000000000002</v>
      </c>
      <c r="AH950" t="str">
        <f>IF(Transaction[[#This Row],[Quantity]]*Transaction[[#This Row],[UnitPrice_Clean]]=Transaction[[#This Row],[NetRevenue_Clean]],"Valid","Invalid")</f>
        <v>Valid</v>
      </c>
      <c r="AI950" t="s">
        <v>23</v>
      </c>
      <c r="AJ950" t="s">
        <v>397</v>
      </c>
      <c r="AK950" t="str">
        <f>IF(Transaction[[#This Row],[Salesperson]]="","Missing Value",TRIM(PROPER(Transaction[[#This Row],[Salesperson]])))</f>
        <v>Turner</v>
      </c>
      <c r="AL950" t="s">
        <v>224</v>
      </c>
      <c r="AM950" t="str">
        <f>IF(Transaction[[#This Row],[ContractType]]="","Missing Value",Transaction[[#This Row],[ContractType]])</f>
        <v>Annual</v>
      </c>
      <c r="AN950" t="s">
        <v>35</v>
      </c>
    </row>
    <row r="951" spans="1:40" x14ac:dyDescent="0.25">
      <c r="A951" t="s">
        <v>1928</v>
      </c>
      <c r="B951" s="1">
        <v>45766</v>
      </c>
      <c r="C95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95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95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51" s="2">
        <f>IFERROR(DATE(Transaction[[#This Row],[TransactionDateY]],Transaction[[#This Row],[TransactionDateM]],Transaction[[#This Row],[TransactionDateD]]),"Missing Value")</f>
        <v>45766</v>
      </c>
      <c r="G951" t="s">
        <v>470</v>
      </c>
      <c r="H951" t="str">
        <f>IFERROR(VLOOKUP(Transaction[[#This Row],[CustomerID]],Custumer[],1,0),IF(LEN(Transaction[[#This Row],[CustomerID]])=7,LEFT(Transaction[[#This Row],[CustomerID]],6),"Invalid ID"))</f>
        <v>C-1151</v>
      </c>
      <c r="I951" t="s">
        <v>46</v>
      </c>
      <c r="J951" t="str">
        <f>TRIM(UPPER(Transaction[[#This Row],[ProductID]]))</f>
        <v>P-SI-006</v>
      </c>
      <c r="K951" t="str">
        <f>IFERROR(VLOOKUP(Transaction[[#This Row],[ProductID_Clean]],Product[],1,FALSE),"Invalid ID")</f>
        <v>P-SI-006</v>
      </c>
      <c r="L951" t="str">
        <f>TRIM(SUBSTITUTE(SUBSTITUTE(SUBSTITUTE(SUBSTITUTE(UPPER(Transaction[[#This Row],[Region]]),"EMEA REGION","EMEA"),"APAC REGION","APAC"),"NORTH AMERICA","N. AMERICA"),"N .AMERICA","N.AMERICA"))</f>
        <v>LATIN AMERICA</v>
      </c>
      <c r="M951" t="s">
        <v>82</v>
      </c>
      <c r="N951" t="s">
        <v>53</v>
      </c>
      <c r="O95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51" t="s">
        <v>93</v>
      </c>
      <c r="Q951" t="str">
        <f>IF(TRIM(Transaction[[#This Row],[SalesChannel]])="","Missing Value",TRIM(Transaction[[#This Row],[SalesChannel]]))</f>
        <v>direct</v>
      </c>
      <c r="R951" s="4">
        <v>1</v>
      </c>
      <c r="S951" s="4" t="str">
        <f>IF(Transaction[[#This Row],[Quantity]]&lt;0,"Negative-review","Valid")</f>
        <v>Valid</v>
      </c>
      <c r="T951" t="s">
        <v>1929</v>
      </c>
      <c r="U95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182.47</v>
      </c>
      <c r="V951">
        <v>215</v>
      </c>
      <c r="W951">
        <v>215</v>
      </c>
      <c r="X95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951">
        <f>IF(Transaction[[#This Row],[GrossRevenue_Check]]="Invalid",Transaction[[#This Row],[ListPrice]]*Transaction[[#This Row],[Quantity]],Transaction[[#This Row],[GrossRevenue_Clean]])</f>
        <v>215</v>
      </c>
      <c r="Z951" t="str">
        <f>IF(Transaction[[#This Row],[GrossRevenue_Clean]]=Transaction[[#This Row],[ListPrice]]*Transaction[[#This Row],[Quantity]],"Valid","Invalid")</f>
        <v>Valid</v>
      </c>
      <c r="AA951">
        <v>32.53</v>
      </c>
      <c r="AB95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32.53</v>
      </c>
      <c r="AC951">
        <f>IF(Transaction[[#This Row],[DiscountAmount_Check2]]="Invalid",Transaction[[#This Row],[GrossRevenue_Analytical]]-Transaction[[#This Row],[NetRevenue_Analytical]],Transaction[[#This Row],[DiscountAmount_Clean]])</f>
        <v>32.53</v>
      </c>
      <c r="AD951">
        <v>182.47</v>
      </c>
      <c r="AE951" t="str">
        <f>IF(ROUND(Transaction[[#This Row],[GrossRevenue_Analytical]]-Transaction[[#This Row],[NetRevenue_Analytical]],2)=ROUND(Transaction[[#This Row],[DiscountAmount_Clean]],2),"Valid","Invalid")</f>
        <v>Valid</v>
      </c>
      <c r="AF95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182.47</v>
      </c>
      <c r="AG951">
        <f>IF(Transaction[[#This Row],[NetRevenue_Check]]="Invalid",(Transaction[[#This Row],[Quantity]]*Transaction[[#This Row],[UnitPrice_Clean]]),Transaction[[#This Row],[NetRevenue_Clean]])</f>
        <v>182.47</v>
      </c>
      <c r="AH951" t="str">
        <f>IF(Transaction[[#This Row],[Quantity]]*Transaction[[#This Row],[UnitPrice_Clean]]=Transaction[[#This Row],[NetRevenue_Clean]],"Valid","Invalid")</f>
        <v>Valid</v>
      </c>
      <c r="AI951" t="s">
        <v>23</v>
      </c>
      <c r="AJ951" t="s">
        <v>1930</v>
      </c>
      <c r="AK951" t="str">
        <f>IF(Transaction[[#This Row],[Salesperson]]="","Missing Value",TRIM(PROPER(Transaction[[#This Row],[Salesperson]])))</f>
        <v>Stout</v>
      </c>
      <c r="AL951" t="s">
        <v>42</v>
      </c>
      <c r="AM951" t="str">
        <f>IF(Transaction[[#This Row],[ContractType]]="","Missing Value",Transaction[[#This Row],[ContractType]])</f>
        <v>Standard PO</v>
      </c>
      <c r="AN951" t="s">
        <v>49</v>
      </c>
    </row>
    <row r="952" spans="1:40" x14ac:dyDescent="0.25">
      <c r="A952" t="s">
        <v>2248</v>
      </c>
      <c r="B952" t="s">
        <v>2249</v>
      </c>
      <c r="C95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95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29</v>
      </c>
      <c r="E95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52" s="2">
        <f>IFERROR(DATE(Transaction[[#This Row],[TransactionDateY]],Transaction[[#This Row],[TransactionDateM]],Transaction[[#This Row],[TransactionDateD]]),"Missing Value")</f>
        <v>45837</v>
      </c>
      <c r="G952" t="s">
        <v>333</v>
      </c>
      <c r="H952" t="str">
        <f>IFERROR(VLOOKUP(Transaction[[#This Row],[CustomerID]],Custumer[],1,0),IF(LEN(Transaction[[#This Row],[CustomerID]])=7,LEFT(Transaction[[#This Row],[CustomerID]],6),"Invalid ID"))</f>
        <v>C-1033</v>
      </c>
      <c r="I952" t="s">
        <v>97</v>
      </c>
      <c r="J952" t="str">
        <f>TRIM(UPPER(Transaction[[#This Row],[ProductID]]))</f>
        <v>P-SI-001</v>
      </c>
      <c r="K952" t="str">
        <f>IFERROR(VLOOKUP(Transaction[[#This Row],[ProductID_Clean]],Product[],1,FALSE),"Invalid ID")</f>
        <v>P-SI-001</v>
      </c>
      <c r="L952" t="str">
        <f>TRIM(SUBSTITUTE(SUBSTITUTE(SUBSTITUTE(SUBSTITUTE(UPPER(Transaction[[#This Row],[Region]]),"EMEA REGION","EMEA"),"APAC REGION","APAC"),"NORTH AMERICA","N. AMERICA"),"N .AMERICA","N.AMERICA"))</f>
        <v>EMEA</v>
      </c>
      <c r="M952" t="s">
        <v>76</v>
      </c>
      <c r="N952" t="s">
        <v>53</v>
      </c>
      <c r="O95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52" t="s">
        <v>22</v>
      </c>
      <c r="Q952" t="str">
        <f>IF(TRIM(Transaction[[#This Row],[SalesChannel]])="","Missing Value",TRIM(Transaction[[#This Row],[SalesChannel]]))</f>
        <v>Direct</v>
      </c>
      <c r="R952" s="4">
        <v>8</v>
      </c>
      <c r="S952" s="4" t="str">
        <f>IF(Transaction[[#This Row],[Quantity]]&lt;0,"Negative-review","Valid")</f>
        <v>Valid</v>
      </c>
      <c r="T952">
        <v>465.54</v>
      </c>
      <c r="U95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465.54</v>
      </c>
      <c r="V952">
        <v>485</v>
      </c>
      <c r="W952">
        <v>3880</v>
      </c>
      <c r="X95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3880</v>
      </c>
      <c r="Y952">
        <f>IF(Transaction[[#This Row],[GrossRevenue_Check]]="Invalid",Transaction[[#This Row],[ListPrice]]*Transaction[[#This Row],[Quantity]],Transaction[[#This Row],[GrossRevenue_Clean]])</f>
        <v>3880</v>
      </c>
      <c r="Z952" t="str">
        <f>IF(Transaction[[#This Row],[GrossRevenue_Clean]]=Transaction[[#This Row],[ListPrice]]*Transaction[[#This Row],[Quantity]],"Valid","Invalid")</f>
        <v>Valid</v>
      </c>
      <c r="AA952">
        <v>155.68</v>
      </c>
      <c r="AB95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155.68</v>
      </c>
      <c r="AC952">
        <f>IF(Transaction[[#This Row],[DiscountAmount_Check2]]="Invalid",Transaction[[#This Row],[GrossRevenue_Analytical]]-Transaction[[#This Row],[NetRevenue_Analytical]],Transaction[[#This Row],[DiscountAmount_Clean]])</f>
        <v>155.68</v>
      </c>
      <c r="AD952">
        <v>3724.32</v>
      </c>
      <c r="AE952" t="str">
        <f>IF(ROUND(Transaction[[#This Row],[GrossRevenue_Analytical]]-Transaction[[#This Row],[NetRevenue_Analytical]],2)=ROUND(Transaction[[#This Row],[DiscountAmount_Clean]],2),"Valid","Invalid")</f>
        <v>Valid</v>
      </c>
      <c r="AF952">
        <f>VALUE(IF(ISNUMBER(Transaction[[#This Row],[NetRevenue]]),Transaction[[#This Row],[NetRevenue]],IFERROR(IF(FIND("$",Transaction[[#This Row],[NetRevenue]])&gt;0,MID(Transaction[[#This Row],[NetRevenue]],2,10)),Transaction[[#This Row],[NetRevenue]])))</f>
        <v>3724.32</v>
      </c>
      <c r="AG952">
        <f>IF(Transaction[[#This Row],[NetRevenue_Check]]="Invalid",(Transaction[[#This Row],[Quantity]]*Transaction[[#This Row],[UnitPrice_Clean]]),Transaction[[#This Row],[NetRevenue_Clean]])</f>
        <v>3724.32</v>
      </c>
      <c r="AH952" t="str">
        <f>IF(Transaction[[#This Row],[Quantity]]*Transaction[[#This Row],[UnitPrice_Clean]]=Transaction[[#This Row],[NetRevenue_Clean]],"Valid","Invalid")</f>
        <v>Valid</v>
      </c>
      <c r="AI952" t="s">
        <v>99</v>
      </c>
      <c r="AJ952" t="s">
        <v>744</v>
      </c>
      <c r="AK952" t="str">
        <f>IF(Transaction[[#This Row],[Salesperson]]="","Missing Value",TRIM(PROPER(Transaction[[#This Row],[Salesperson]])))</f>
        <v>Lewis</v>
      </c>
      <c r="AM952" t="str">
        <f>IF(Transaction[[#This Row],[ContractType]]="","Missing Value",Transaction[[#This Row],[ContractType]])</f>
        <v>Missing Value</v>
      </c>
      <c r="AN952" t="s">
        <v>43</v>
      </c>
    </row>
    <row r="953" spans="1:40" x14ac:dyDescent="0.25">
      <c r="A953" t="s">
        <v>95</v>
      </c>
      <c r="B953" s="1">
        <v>45675</v>
      </c>
      <c r="C95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95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95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53" s="2">
        <f>IFERROR(DATE(Transaction[[#This Row],[TransactionDateY]],Transaction[[#This Row],[TransactionDateM]],Transaction[[#This Row],[TransactionDateD]]),"Missing Value")</f>
        <v>45675</v>
      </c>
      <c r="G953" t="s">
        <v>96</v>
      </c>
      <c r="H953" t="str">
        <f>IFERROR(VLOOKUP(Transaction[[#This Row],[CustomerID]],Custumer[],1,0),IF(LEN(Transaction[[#This Row],[CustomerID]])=7,LEFT(Transaction[[#This Row],[CustomerID]],6),"Invalid ID"))</f>
        <v>C-1057</v>
      </c>
      <c r="I953" t="s">
        <v>97</v>
      </c>
      <c r="J953" t="str">
        <f>TRIM(UPPER(Transaction[[#This Row],[ProductID]]))</f>
        <v>P-SI-001</v>
      </c>
      <c r="K953" t="str">
        <f>IFERROR(VLOOKUP(Transaction[[#This Row],[ProductID_Clean]],Product[],1,FALSE),"Invalid ID")</f>
        <v>P-SI-001</v>
      </c>
      <c r="L953" t="str">
        <f>TRIM(SUBSTITUTE(SUBSTITUTE(SUBSTITUTE(SUBSTITUTE(UPPER(Transaction[[#This Row],[Region]]),"EMEA REGION","EMEA"),"APAC REGION","APAC"),"NORTH AMERICA","N. AMERICA"),"N .AMERICA","N.AMERICA"))</f>
        <v>N. AMERICA</v>
      </c>
      <c r="M953" t="s">
        <v>20</v>
      </c>
      <c r="N953" t="s">
        <v>98</v>
      </c>
      <c r="O95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53" t="s">
        <v>22</v>
      </c>
      <c r="Q953" t="str">
        <f>IF(TRIM(Transaction[[#This Row],[SalesChannel]])="","Missing Value",TRIM(Transaction[[#This Row],[SalesChannel]]))</f>
        <v>Direct</v>
      </c>
      <c r="R953" s="4">
        <v>2</v>
      </c>
      <c r="S953" s="4" t="str">
        <f>IF(Transaction[[#This Row],[Quantity]]&lt;0,"Negative-review","Valid")</f>
        <v>Valid</v>
      </c>
      <c r="T953">
        <v>463.22</v>
      </c>
      <c r="U95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463.22</v>
      </c>
      <c r="V953">
        <v>485</v>
      </c>
      <c r="W953">
        <v>970</v>
      </c>
      <c r="X95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953">
        <f>IF(Transaction[[#This Row],[GrossRevenue_Check]]="Invalid",Transaction[[#This Row],[ListPrice]]*Transaction[[#This Row],[Quantity]],Transaction[[#This Row],[GrossRevenue_Clean]])</f>
        <v>970</v>
      </c>
      <c r="Z953" t="str">
        <f>IF(Transaction[[#This Row],[GrossRevenue_Clean]]=Transaction[[#This Row],[ListPrice]]*Transaction[[#This Row],[Quantity]],"Valid","Invalid")</f>
        <v>Valid</v>
      </c>
      <c r="AA953">
        <v>43.56</v>
      </c>
      <c r="AB95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43.56</v>
      </c>
      <c r="AC953">
        <f>IF(Transaction[[#This Row],[DiscountAmount_Check2]]="Invalid",Transaction[[#This Row],[GrossRevenue_Analytical]]-Transaction[[#This Row],[NetRevenue_Analytical]],Transaction[[#This Row],[DiscountAmount_Clean]])</f>
        <v>43.56</v>
      </c>
      <c r="AD953">
        <v>926.44</v>
      </c>
      <c r="AE953" t="str">
        <f>IF(ROUND(Transaction[[#This Row],[GrossRevenue_Analytical]]-Transaction[[#This Row],[NetRevenue_Analytical]],2)=ROUND(Transaction[[#This Row],[DiscountAmount_Clean]],2),"Valid","Invalid")</f>
        <v>Valid</v>
      </c>
      <c r="AF953">
        <f>VALUE(IF(ISNUMBER(Transaction[[#This Row],[NetRevenue]]),Transaction[[#This Row],[NetRevenue]],IFERROR(IF(FIND("$",Transaction[[#This Row],[NetRevenue]])&gt;0,MID(Transaction[[#This Row],[NetRevenue]],2,10)),Transaction[[#This Row],[NetRevenue]])))</f>
        <v>926.44</v>
      </c>
      <c r="AG953">
        <f>IF(Transaction[[#This Row],[NetRevenue_Check]]="Invalid",(Transaction[[#This Row],[Quantity]]*Transaction[[#This Row],[UnitPrice_Clean]]),Transaction[[#This Row],[NetRevenue_Clean]])</f>
        <v>926.44</v>
      </c>
      <c r="AH953" t="str">
        <f>IF(Transaction[[#This Row],[Quantity]]*Transaction[[#This Row],[UnitPrice_Clean]]=Transaction[[#This Row],[NetRevenue_Clean]],"Valid","Invalid")</f>
        <v>Valid</v>
      </c>
      <c r="AI953" t="s">
        <v>99</v>
      </c>
      <c r="AJ953" t="s">
        <v>100</v>
      </c>
      <c r="AK953" t="str">
        <f>IF(Transaction[[#This Row],[Salesperson]]="","Missing Value",TRIM(PROPER(Transaction[[#This Row],[Salesperson]])))</f>
        <v>Lee-Na</v>
      </c>
      <c r="AL953" t="s">
        <v>55</v>
      </c>
      <c r="AM953" t="str">
        <f>IF(Transaction[[#This Row],[ContractType]]="","Missing Value",Transaction[[#This Row],[ContractType]])</f>
        <v>Spot</v>
      </c>
      <c r="AN953" t="s">
        <v>65</v>
      </c>
    </row>
    <row r="954" spans="1:40" x14ac:dyDescent="0.25">
      <c r="A954" t="s">
        <v>2794</v>
      </c>
      <c r="B954" s="1">
        <v>45666</v>
      </c>
      <c r="C95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95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95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54" s="2">
        <f>IFERROR(DATE(Transaction[[#This Row],[TransactionDateY]],Transaction[[#This Row],[TransactionDateM]],Transaction[[#This Row],[TransactionDateD]]),"Missing Value")</f>
        <v>45666</v>
      </c>
      <c r="G954" t="s">
        <v>18</v>
      </c>
      <c r="H954" t="str">
        <f>IFERROR(VLOOKUP(Transaction[[#This Row],[CustomerID]],Custumer[],1,0),IF(LEN(Transaction[[#This Row],[CustomerID]])=7,LEFT(Transaction[[#This Row],[CustomerID]],6),"Invalid ID"))</f>
        <v>C-1048</v>
      </c>
      <c r="I954" t="s">
        <v>46</v>
      </c>
      <c r="J954" t="str">
        <f>TRIM(UPPER(Transaction[[#This Row],[ProductID]]))</f>
        <v>P-SI-006</v>
      </c>
      <c r="K954" t="str">
        <f>IFERROR(VLOOKUP(Transaction[[#This Row],[ProductID_Clean]],Product[],1,FALSE),"Invalid ID")</f>
        <v>P-SI-006</v>
      </c>
      <c r="L954" t="str">
        <f>TRIM(SUBSTITUTE(SUBSTITUTE(SUBSTITUTE(SUBSTITUTE(UPPER(Transaction[[#This Row],[Region]]),"EMEA REGION","EMEA"),"APAC REGION","APAC"),"NORTH AMERICA","N. AMERICA"),"N .AMERICA","N.AMERICA"))</f>
        <v>N. AMERICA</v>
      </c>
      <c r="M954" t="s">
        <v>20</v>
      </c>
      <c r="N954" t="s">
        <v>53</v>
      </c>
      <c r="O95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54" t="s">
        <v>181</v>
      </c>
      <c r="Q954" t="str">
        <f>IF(TRIM(Transaction[[#This Row],[SalesChannel]])="","Missing Value",TRIM(Transaction[[#This Row],[SalesChannel]]))</f>
        <v>Partner Portal</v>
      </c>
      <c r="R954" s="4">
        <v>3</v>
      </c>
      <c r="S954" s="4" t="str">
        <f>IF(Transaction[[#This Row],[Quantity]]&lt;0,"Negative-review","Valid")</f>
        <v>Valid</v>
      </c>
      <c r="T954">
        <v>144.30000000000001</v>
      </c>
      <c r="U95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144.30000000000001</v>
      </c>
      <c r="V954">
        <v>215</v>
      </c>
      <c r="W954">
        <v>645</v>
      </c>
      <c r="X95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954">
        <f>IF(Transaction[[#This Row],[GrossRevenue_Check]]="Invalid",Transaction[[#This Row],[ListPrice]]*Transaction[[#This Row],[Quantity]],Transaction[[#This Row],[GrossRevenue_Clean]])</f>
        <v>645</v>
      </c>
      <c r="Z954" t="str">
        <f>IF(Transaction[[#This Row],[GrossRevenue_Clean]]=Transaction[[#This Row],[ListPrice]]*Transaction[[#This Row],[Quantity]],"Valid","Invalid")</f>
        <v>Valid</v>
      </c>
      <c r="AA954">
        <v>212.1</v>
      </c>
      <c r="AB95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212.1</v>
      </c>
      <c r="AC954">
        <f>IF(Transaction[[#This Row],[DiscountAmount_Check2]]="Invalid",Transaction[[#This Row],[GrossRevenue_Analytical]]-Transaction[[#This Row],[NetRevenue_Analytical]],Transaction[[#This Row],[DiscountAmount_Clean]])</f>
        <v>212.1</v>
      </c>
      <c r="AD954">
        <v>432.9</v>
      </c>
      <c r="AE954" t="str">
        <f>IF(ROUND(Transaction[[#This Row],[GrossRevenue_Analytical]]-Transaction[[#This Row],[NetRevenue_Analytical]],2)=ROUND(Transaction[[#This Row],[DiscountAmount_Clean]],2),"Valid","Invalid")</f>
        <v>Valid</v>
      </c>
      <c r="AF954">
        <f>VALUE(IF(ISNUMBER(Transaction[[#This Row],[NetRevenue]]),Transaction[[#This Row],[NetRevenue]],IFERROR(IF(FIND("$",Transaction[[#This Row],[NetRevenue]])&gt;0,MID(Transaction[[#This Row],[NetRevenue]],2,10)),Transaction[[#This Row],[NetRevenue]])))</f>
        <v>432.9</v>
      </c>
      <c r="AG954">
        <f>IF(Transaction[[#This Row],[NetRevenue_Check]]="Invalid",(Transaction[[#This Row],[Quantity]]*Transaction[[#This Row],[UnitPrice_Clean]]),Transaction[[#This Row],[NetRevenue_Clean]])</f>
        <v>432.9</v>
      </c>
      <c r="AH954" t="str">
        <f>IF(Transaction[[#This Row],[Quantity]]*Transaction[[#This Row],[UnitPrice_Clean]]=Transaction[[#This Row],[NetRevenue_Clean]],"Valid","Invalid")</f>
        <v>Valid</v>
      </c>
      <c r="AI954" t="s">
        <v>23</v>
      </c>
      <c r="AJ954" t="s">
        <v>2099</v>
      </c>
      <c r="AK954" t="str">
        <f>IF(Transaction[[#This Row],[Salesperson]]="","Missing Value",TRIM(PROPER(Transaction[[#This Row],[Salesperson]])))</f>
        <v>Figueroa</v>
      </c>
      <c r="AL954" t="s">
        <v>42</v>
      </c>
      <c r="AM954" t="str">
        <f>IF(Transaction[[#This Row],[ContractType]]="","Missing Value",Transaction[[#This Row],[ContractType]])</f>
        <v>Standard PO</v>
      </c>
      <c r="AN954" t="s">
        <v>26</v>
      </c>
    </row>
    <row r="955" spans="1:40" x14ac:dyDescent="0.25">
      <c r="A955" t="s">
        <v>1108</v>
      </c>
      <c r="B955" s="1">
        <v>45762</v>
      </c>
      <c r="C95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95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95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55" s="2">
        <f>IFERROR(DATE(Transaction[[#This Row],[TransactionDateY]],Transaction[[#This Row],[TransactionDateM]],Transaction[[#This Row],[TransactionDateD]]),"Missing Value")</f>
        <v>45762</v>
      </c>
      <c r="G955" t="s">
        <v>190</v>
      </c>
      <c r="H955" t="str">
        <f>IFERROR(VLOOKUP(Transaction[[#This Row],[CustomerID]],Custumer[],1,0),IF(LEN(Transaction[[#This Row],[CustomerID]])=7,LEFT(Transaction[[#This Row],[CustomerID]],6),"Invalid ID"))</f>
        <v>C-1082</v>
      </c>
      <c r="I955" t="s">
        <v>117</v>
      </c>
      <c r="J955" t="str">
        <f>TRIM(UPPER(Transaction[[#This Row],[ProductID]]))</f>
        <v>P-SI-007</v>
      </c>
      <c r="K955" t="str">
        <f>IFERROR(VLOOKUP(Transaction[[#This Row],[ProductID_Clean]],Product[],1,FALSE),"Invalid ID")</f>
        <v>P-SI-007</v>
      </c>
      <c r="L955" t="str">
        <f>TRIM(SUBSTITUTE(SUBSTITUTE(SUBSTITUTE(SUBSTITUTE(UPPER(Transaction[[#This Row],[Region]]),"EMEA REGION","EMEA"),"APAC REGION","APAC"),"NORTH AMERICA","N. AMERICA"),"N .AMERICA","N.AMERICA"))</f>
        <v>N. AMERICA</v>
      </c>
      <c r="M955" t="s">
        <v>20</v>
      </c>
      <c r="N955" t="s">
        <v>53</v>
      </c>
      <c r="O95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55" t="s">
        <v>22</v>
      </c>
      <c r="Q955" t="str">
        <f>IF(TRIM(Transaction[[#This Row],[SalesChannel]])="","Missing Value",TRIM(Transaction[[#This Row],[SalesChannel]]))</f>
        <v>Direct</v>
      </c>
      <c r="R955" s="4">
        <v>1</v>
      </c>
      <c r="S955" s="4" t="str">
        <f>IF(Transaction[[#This Row],[Quantity]]&lt;0,"Negative-review","Valid")</f>
        <v>Valid</v>
      </c>
      <c r="T955">
        <v>809.29</v>
      </c>
      <c r="U95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809.29</v>
      </c>
      <c r="V955">
        <v>980</v>
      </c>
      <c r="W955">
        <v>980</v>
      </c>
      <c r="X95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955">
        <f>IF(Transaction[[#This Row],[GrossRevenue_Check]]="Invalid",Transaction[[#This Row],[ListPrice]]*Transaction[[#This Row],[Quantity]],Transaction[[#This Row],[GrossRevenue_Clean]])</f>
        <v>980</v>
      </c>
      <c r="Z955" t="str">
        <f>IF(Transaction[[#This Row],[GrossRevenue_Clean]]=Transaction[[#This Row],[ListPrice]]*Transaction[[#This Row],[Quantity]],"Valid","Invalid")</f>
        <v>Valid</v>
      </c>
      <c r="AA955">
        <v>170.71</v>
      </c>
      <c r="AB95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170.71</v>
      </c>
      <c r="AC955">
        <f>IF(Transaction[[#This Row],[DiscountAmount_Check2]]="Invalid",Transaction[[#This Row],[GrossRevenue_Analytical]]-Transaction[[#This Row],[NetRevenue_Analytical]],Transaction[[#This Row],[DiscountAmount_Clean]])</f>
        <v>170.71</v>
      </c>
      <c r="AD955">
        <v>809.29</v>
      </c>
      <c r="AE955" t="str">
        <f>IF(ROUND(Transaction[[#This Row],[GrossRevenue_Analytical]]-Transaction[[#This Row],[NetRevenue_Analytical]],2)=ROUND(Transaction[[#This Row],[DiscountAmount_Clean]],2),"Valid","Invalid")</f>
        <v>Valid</v>
      </c>
      <c r="AF955">
        <f>VALUE(IF(ISNUMBER(Transaction[[#This Row],[NetRevenue]]),Transaction[[#This Row],[NetRevenue]],IFERROR(IF(FIND("$",Transaction[[#This Row],[NetRevenue]])&gt;0,MID(Transaction[[#This Row],[NetRevenue]],2,10)),Transaction[[#This Row],[NetRevenue]])))</f>
        <v>809.29</v>
      </c>
      <c r="AG955">
        <f>IF(Transaction[[#This Row],[NetRevenue_Check]]="Invalid",(Transaction[[#This Row],[Quantity]]*Transaction[[#This Row],[UnitPrice_Clean]]),Transaction[[#This Row],[NetRevenue_Clean]])</f>
        <v>809.29</v>
      </c>
      <c r="AH955" t="str">
        <f>IF(Transaction[[#This Row],[Quantity]]*Transaction[[#This Row],[UnitPrice_Clean]]=Transaction[[#This Row],[NetRevenue_Clean]],"Valid","Invalid")</f>
        <v>Valid</v>
      </c>
      <c r="AI955" t="s">
        <v>23</v>
      </c>
      <c r="AJ955" t="s">
        <v>1109</v>
      </c>
      <c r="AK955" t="str">
        <f>IF(Transaction[[#This Row],[Salesperson]]="","Missing Value",TRIM(PROPER(Transaction[[#This Row],[Salesperson]])))</f>
        <v>Burgess</v>
      </c>
      <c r="AM955" t="str">
        <f>IF(Transaction[[#This Row],[ContractType]]="","Missing Value",Transaction[[#This Row],[ContractType]])</f>
        <v>Missing Value</v>
      </c>
      <c r="AN955" t="s">
        <v>65</v>
      </c>
    </row>
    <row r="956" spans="1:40" x14ac:dyDescent="0.25">
      <c r="A956" t="s">
        <v>637</v>
      </c>
      <c r="B956" t="s">
        <v>638</v>
      </c>
      <c r="C95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95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04</v>
      </c>
      <c r="E95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56" s="2">
        <f>IFERROR(DATE(Transaction[[#This Row],[TransactionDateY]],Transaction[[#This Row],[TransactionDateM]],Transaction[[#This Row],[TransactionDateD]]),"Missing Value")</f>
        <v>45692</v>
      </c>
      <c r="G956" t="s">
        <v>541</v>
      </c>
      <c r="H956" t="str">
        <f>IFERROR(VLOOKUP(Transaction[[#This Row],[CustomerID]],Custumer[],1,0),IF(LEN(Transaction[[#This Row],[CustomerID]])=7,LEFT(Transaction[[#This Row],[CustomerID]],6),"Invalid ID"))</f>
        <v>C-1075</v>
      </c>
      <c r="I956" t="s">
        <v>71</v>
      </c>
      <c r="J956" t="str">
        <f>TRIM(UPPER(Transaction[[#This Row],[ProductID]]))</f>
        <v>P-SI-003</v>
      </c>
      <c r="K956" t="str">
        <f>IFERROR(VLOOKUP(Transaction[[#This Row],[ProductID_Clean]],Product[],1,FALSE),"Invalid ID")</f>
        <v>P-SI-003</v>
      </c>
      <c r="L956" t="str">
        <f>TRIM(SUBSTITUTE(SUBSTITUTE(SUBSTITUTE(SUBSTITUTE(UPPER(Transaction[[#This Row],[Region]]),"EMEA REGION","EMEA"),"APAC REGION","APAC"),"NORTH AMERICA","N. AMERICA"),"N .AMERICA","N.AMERICA"))</f>
        <v>N. AMERICA</v>
      </c>
      <c r="M956" t="s">
        <v>20</v>
      </c>
      <c r="N956" t="s">
        <v>53</v>
      </c>
      <c r="O95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56" t="s">
        <v>22</v>
      </c>
      <c r="Q956" t="str">
        <f>IF(TRIM(Transaction[[#This Row],[SalesChannel]])="","Missing Value",TRIM(Transaction[[#This Row],[SalesChannel]]))</f>
        <v>Direct</v>
      </c>
      <c r="R956" s="4">
        <v>3</v>
      </c>
      <c r="S956" s="4" t="str">
        <f>IF(Transaction[[#This Row],[Quantity]]&lt;0,"Negative-review","Valid")</f>
        <v>Valid</v>
      </c>
      <c r="T956">
        <v>1663.08</v>
      </c>
      <c r="U95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1663.08</v>
      </c>
      <c r="V956">
        <v>1890</v>
      </c>
      <c r="W956">
        <v>5670</v>
      </c>
      <c r="X95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5670</v>
      </c>
      <c r="Y956">
        <f>IF(Transaction[[#This Row],[GrossRevenue_Check]]="Invalid",Transaction[[#This Row],[ListPrice]]*Transaction[[#This Row],[Quantity]],Transaction[[#This Row],[GrossRevenue_Clean]])</f>
        <v>5670</v>
      </c>
      <c r="Z956" t="str">
        <f>IF(Transaction[[#This Row],[GrossRevenue_Clean]]=Transaction[[#This Row],[ListPrice]]*Transaction[[#This Row],[Quantity]],"Valid","Invalid")</f>
        <v>Valid</v>
      </c>
      <c r="AA956">
        <v>680.76</v>
      </c>
      <c r="AB95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680.76</v>
      </c>
      <c r="AC956">
        <f>IF(Transaction[[#This Row],[DiscountAmount_Check2]]="Invalid",Transaction[[#This Row],[GrossRevenue_Analytical]]-Transaction[[#This Row],[NetRevenue_Analytical]],Transaction[[#This Row],[DiscountAmount_Clean]])</f>
        <v>680.76</v>
      </c>
      <c r="AD956">
        <v>4989.24</v>
      </c>
      <c r="AE956" t="str">
        <f>IF(ROUND(Transaction[[#This Row],[GrossRevenue_Analytical]]-Transaction[[#This Row],[NetRevenue_Analytical]],2)=ROUND(Transaction[[#This Row],[DiscountAmount_Clean]],2),"Valid","Invalid")</f>
        <v>Valid</v>
      </c>
      <c r="AF956">
        <f>VALUE(IF(ISNUMBER(Transaction[[#This Row],[NetRevenue]]),Transaction[[#This Row],[NetRevenue]],IFERROR(IF(FIND("$",Transaction[[#This Row],[NetRevenue]])&gt;0,MID(Transaction[[#This Row],[NetRevenue]],2,10)),Transaction[[#This Row],[NetRevenue]])))</f>
        <v>4989.24</v>
      </c>
      <c r="AG956">
        <f>IF(Transaction[[#This Row],[NetRevenue_Check]]="Invalid",(Transaction[[#This Row],[Quantity]]*Transaction[[#This Row],[UnitPrice_Clean]]),Transaction[[#This Row],[NetRevenue_Clean]])</f>
        <v>4989.24</v>
      </c>
      <c r="AH956" t="str">
        <f>IF(Transaction[[#This Row],[Quantity]]*Transaction[[#This Row],[UnitPrice_Clean]]=Transaction[[#This Row],[NetRevenue_Clean]],"Valid","Invalid")</f>
        <v>Valid</v>
      </c>
      <c r="AI956" t="s">
        <v>23</v>
      </c>
      <c r="AJ956" t="s">
        <v>277</v>
      </c>
      <c r="AK956" t="str">
        <f>IF(Transaction[[#This Row],[Salesperson]]="","Missing Value",TRIM(PROPER(Transaction[[#This Row],[Salesperson]])))</f>
        <v>Webster-Ap</v>
      </c>
      <c r="AL956" t="s">
        <v>25</v>
      </c>
      <c r="AM956" t="str">
        <f>IF(Transaction[[#This Row],[ContractType]]="","Missing Value",Transaction[[#This Row],[ContractType]])</f>
        <v>Frame Agreement</v>
      </c>
      <c r="AN956" t="s">
        <v>49</v>
      </c>
    </row>
    <row r="957" spans="1:40" x14ac:dyDescent="0.25">
      <c r="A957" t="s">
        <v>2733</v>
      </c>
      <c r="B957" t="s">
        <v>2734</v>
      </c>
      <c r="C95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95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95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57" s="2">
        <f>IFERROR(DATE(Transaction[[#This Row],[TransactionDateY]],Transaction[[#This Row],[TransactionDateM]],Transaction[[#This Row],[TransactionDateD]]),"Missing Value")</f>
        <v>45823</v>
      </c>
      <c r="G957" t="s">
        <v>733</v>
      </c>
      <c r="H957" t="str">
        <f>IFERROR(VLOOKUP(Transaction[[#This Row],[CustomerID]],Custumer[],1,0),IF(LEN(Transaction[[#This Row],[CustomerID]])=7,LEFT(Transaction[[#This Row],[CustomerID]],6),"Invalid ID"))</f>
        <v>C-1017</v>
      </c>
      <c r="I957" t="s">
        <v>46</v>
      </c>
      <c r="J957" t="str">
        <f>TRIM(UPPER(Transaction[[#This Row],[ProductID]]))</f>
        <v>P-SI-006</v>
      </c>
      <c r="K957" t="str">
        <f>IFERROR(VLOOKUP(Transaction[[#This Row],[ProductID_Clean]],Product[],1,FALSE),"Invalid ID")</f>
        <v>P-SI-006</v>
      </c>
      <c r="L957" t="str">
        <f>TRIM(SUBSTITUTE(SUBSTITUTE(SUBSTITUTE(SUBSTITUTE(UPPER(Transaction[[#This Row],[Region]]),"EMEA REGION","EMEA"),"APAC REGION","APAC"),"NORTH AMERICA","N. AMERICA"),"N .AMERICA","N.AMERICA"))</f>
        <v>EMEA</v>
      </c>
      <c r="M957" t="s">
        <v>76</v>
      </c>
      <c r="N957" t="s">
        <v>53</v>
      </c>
      <c r="O95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57" t="s">
        <v>22</v>
      </c>
      <c r="Q957" t="str">
        <f>IF(TRIM(Transaction[[#This Row],[SalesChannel]])="","Missing Value",TRIM(Transaction[[#This Row],[SalesChannel]]))</f>
        <v>Direct</v>
      </c>
      <c r="R957" s="4">
        <v>1</v>
      </c>
      <c r="S957" s="4" t="str">
        <f>IF(Transaction[[#This Row],[Quantity]]&lt;0,"Negative-review","Valid")</f>
        <v>Valid</v>
      </c>
      <c r="T957">
        <v>177.12</v>
      </c>
      <c r="U95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177.12</v>
      </c>
      <c r="V957">
        <v>215</v>
      </c>
      <c r="W957">
        <v>215</v>
      </c>
      <c r="X95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957">
        <f>IF(Transaction[[#This Row],[GrossRevenue_Check]]="Invalid",Transaction[[#This Row],[ListPrice]]*Transaction[[#This Row],[Quantity]],Transaction[[#This Row],[GrossRevenue_Clean]])</f>
        <v>215</v>
      </c>
      <c r="Z957" t="str">
        <f>IF(Transaction[[#This Row],[GrossRevenue_Clean]]=Transaction[[#This Row],[ListPrice]]*Transaction[[#This Row],[Quantity]],"Valid","Invalid")</f>
        <v>Valid</v>
      </c>
      <c r="AA957">
        <v>37.880000000000003</v>
      </c>
      <c r="AB95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37.880000000000003</v>
      </c>
      <c r="AC957">
        <f>IF(Transaction[[#This Row],[DiscountAmount_Check2]]="Invalid",Transaction[[#This Row],[GrossRevenue_Analytical]]-Transaction[[#This Row],[NetRevenue_Analytical]],Transaction[[#This Row],[DiscountAmount_Clean]])</f>
        <v>37.880000000000003</v>
      </c>
      <c r="AD957">
        <v>177.12</v>
      </c>
      <c r="AE957" t="str">
        <f>IF(ROUND(Transaction[[#This Row],[GrossRevenue_Analytical]]-Transaction[[#This Row],[NetRevenue_Analytical]],2)=ROUND(Transaction[[#This Row],[DiscountAmount_Clean]],2),"Valid","Invalid")</f>
        <v>Valid</v>
      </c>
      <c r="AF95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177.12</v>
      </c>
      <c r="AG957">
        <f>IF(Transaction[[#This Row],[NetRevenue_Check]]="Invalid",(Transaction[[#This Row],[Quantity]]*Transaction[[#This Row],[UnitPrice_Clean]]),Transaction[[#This Row],[NetRevenue_Clean]])</f>
        <v>177.12</v>
      </c>
      <c r="AH957" t="str">
        <f>IF(Transaction[[#This Row],[Quantity]]*Transaction[[#This Row],[UnitPrice_Clean]]=Transaction[[#This Row],[NetRevenue_Clean]],"Valid","Invalid")</f>
        <v>Valid</v>
      </c>
      <c r="AI957" t="s">
        <v>23</v>
      </c>
      <c r="AJ957" t="s">
        <v>2735</v>
      </c>
      <c r="AK957" t="str">
        <f>IF(Transaction[[#This Row],[Salesperson]]="","Missing Value",TRIM(PROPER(Transaction[[#This Row],[Salesperson]])))</f>
        <v>Rocha-Na</v>
      </c>
      <c r="AL957" t="s">
        <v>55</v>
      </c>
      <c r="AM957" t="str">
        <f>IF(Transaction[[#This Row],[ContractType]]="","Missing Value",Transaction[[#This Row],[ContractType]])</f>
        <v>Spot</v>
      </c>
      <c r="AN957" t="s">
        <v>26</v>
      </c>
    </row>
    <row r="958" spans="1:40" x14ac:dyDescent="0.25">
      <c r="A958" t="s">
        <v>3057</v>
      </c>
      <c r="B958" t="s">
        <v>3058</v>
      </c>
      <c r="C95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95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06</v>
      </c>
      <c r="E95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58" s="2">
        <f>IFERROR(DATE(Transaction[[#This Row],[TransactionDateY]],Transaction[[#This Row],[TransactionDateM]],Transaction[[#This Row],[TransactionDateD]]),"Missing Value")</f>
        <v>45753</v>
      </c>
      <c r="G958" t="s">
        <v>916</v>
      </c>
      <c r="H958" t="str">
        <f>IFERROR(VLOOKUP(Transaction[[#This Row],[CustomerID]],Custumer[],1,0),IF(LEN(Transaction[[#This Row],[CustomerID]])=7,LEFT(Transaction[[#This Row],[CustomerID]],6),"Invalid ID"))</f>
        <v>C-1106</v>
      </c>
      <c r="I958" t="s">
        <v>46</v>
      </c>
      <c r="J958" t="str">
        <f>TRIM(UPPER(Transaction[[#This Row],[ProductID]]))</f>
        <v>P-SI-006</v>
      </c>
      <c r="K958" t="str">
        <f>IFERROR(VLOOKUP(Transaction[[#This Row],[ProductID_Clean]],Product[],1,FALSE),"Invalid ID")</f>
        <v>P-SI-006</v>
      </c>
      <c r="L958" t="str">
        <f>TRIM(SUBSTITUTE(SUBSTITUTE(SUBSTITUTE(SUBSTITUTE(UPPER(Transaction[[#This Row],[Region]]),"EMEA REGION","EMEA"),"APAC REGION","APAC"),"NORTH AMERICA","N. AMERICA"),"N .AMERICA","N.AMERICA"))</f>
        <v>N. AMERICA</v>
      </c>
      <c r="M958" t="s">
        <v>20</v>
      </c>
      <c r="N958" t="s">
        <v>53</v>
      </c>
      <c r="O95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58" t="s">
        <v>22</v>
      </c>
      <c r="Q958" t="str">
        <f>IF(TRIM(Transaction[[#This Row],[SalesChannel]])="","Missing Value",TRIM(Transaction[[#This Row],[SalesChannel]]))</f>
        <v>Direct</v>
      </c>
      <c r="R958" s="4">
        <v>12</v>
      </c>
      <c r="S958" s="4" t="str">
        <f>IF(Transaction[[#This Row],[Quantity]]&lt;0,"Negative-review","Valid")</f>
        <v>Valid</v>
      </c>
      <c r="T958" t="s">
        <v>3059</v>
      </c>
      <c r="U95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167.93</v>
      </c>
      <c r="V958">
        <v>215</v>
      </c>
      <c r="W958">
        <v>2580</v>
      </c>
      <c r="X95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2580</v>
      </c>
      <c r="Y958">
        <f>IF(Transaction[[#This Row],[GrossRevenue_Check]]="Invalid",Transaction[[#This Row],[ListPrice]]*Transaction[[#This Row],[Quantity]],Transaction[[#This Row],[GrossRevenue_Clean]])</f>
        <v>2580</v>
      </c>
      <c r="Z958" t="str">
        <f>IF(Transaction[[#This Row],[GrossRevenue_Clean]]=Transaction[[#This Row],[ListPrice]]*Transaction[[#This Row],[Quantity]],"Valid","Invalid")</f>
        <v>Valid</v>
      </c>
      <c r="AA958">
        <v>564.84</v>
      </c>
      <c r="AB95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564.84</v>
      </c>
      <c r="AC958">
        <f>IF(Transaction[[#This Row],[DiscountAmount_Check2]]="Invalid",Transaction[[#This Row],[GrossRevenue_Analytical]]-Transaction[[#This Row],[NetRevenue_Analytical]],Transaction[[#This Row],[DiscountAmount_Clean]])</f>
        <v>564.84</v>
      </c>
      <c r="AD958" t="s">
        <v>3060</v>
      </c>
      <c r="AE958" t="str">
        <f>IF(ROUND(Transaction[[#This Row],[GrossRevenue_Analytical]]-Transaction[[#This Row],[NetRevenue_Analytical]],2)=ROUND(Transaction[[#This Row],[DiscountAmount_Clean]],2),"Valid","Invalid")</f>
        <v>Valid</v>
      </c>
      <c r="AF95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2015.16</v>
      </c>
      <c r="AG958">
        <f>IF(Transaction[[#This Row],[NetRevenue_Check]]="Invalid",(Transaction[[#This Row],[Quantity]]*Transaction[[#This Row],[UnitPrice_Clean]]),Transaction[[#This Row],[NetRevenue_Clean]])</f>
        <v>2015.16</v>
      </c>
      <c r="AH958" t="str">
        <f>IF(Transaction[[#This Row],[Quantity]]*Transaction[[#This Row],[UnitPrice_Clean]]=Transaction[[#This Row],[NetRevenue_Clean]],"Valid","Invalid")</f>
        <v>Valid</v>
      </c>
      <c r="AI958" t="s">
        <v>23</v>
      </c>
      <c r="AJ958" t="s">
        <v>3061</v>
      </c>
      <c r="AK958" t="str">
        <f>IF(Transaction[[#This Row],[Salesperson]]="","Missing Value",TRIM(PROPER(Transaction[[#This Row],[Salesperson]])))</f>
        <v>Dominguez-Na</v>
      </c>
      <c r="AL958" t="s">
        <v>25</v>
      </c>
      <c r="AM958" t="str">
        <f>IF(Transaction[[#This Row],[ContractType]]="","Missing Value",Transaction[[#This Row],[ContractType]])</f>
        <v>Frame Agreement</v>
      </c>
      <c r="AN958" t="s">
        <v>43</v>
      </c>
    </row>
    <row r="959" spans="1:40" x14ac:dyDescent="0.25">
      <c r="A959" t="s">
        <v>2656</v>
      </c>
      <c r="B959" t="s">
        <v>2657</v>
      </c>
      <c r="C95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95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95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59" s="2">
        <f>IFERROR(DATE(Transaction[[#This Row],[TransactionDateY]],Transaction[[#This Row],[TransactionDateM]],Transaction[[#This Row],[TransactionDateD]]),"Missing Value")</f>
        <v>45772</v>
      </c>
      <c r="G959" t="s">
        <v>1235</v>
      </c>
      <c r="H959" t="str">
        <f>IFERROR(VLOOKUP(Transaction[[#This Row],[CustomerID]],Custumer[],1,0),IF(LEN(Transaction[[#This Row],[CustomerID]])=7,LEFT(Transaction[[#This Row],[CustomerID]],6),"Invalid ID"))</f>
        <v>C-1032</v>
      </c>
      <c r="I959" t="s">
        <v>226</v>
      </c>
      <c r="J959" t="str">
        <f>TRIM(UPPER(Transaction[[#This Row],[ProductID]]))</f>
        <v>P-SA-002</v>
      </c>
      <c r="K959" t="str">
        <f>IFERROR(VLOOKUP(Transaction[[#This Row],[ProductID_Clean]],Product[],1,FALSE),"Invalid ID")</f>
        <v>P-SA-002</v>
      </c>
      <c r="L959" t="str">
        <f>TRIM(SUBSTITUTE(SUBSTITUTE(SUBSTITUTE(SUBSTITUTE(UPPER(Transaction[[#This Row],[Region]]),"EMEA REGION","EMEA"),"APAC REGION","APAC"),"NORTH AMERICA","N. AMERICA"),"N .AMERICA","N.AMERICA"))</f>
        <v>EMEA</v>
      </c>
      <c r="M959" t="s">
        <v>87</v>
      </c>
      <c r="N959" t="s">
        <v>31</v>
      </c>
      <c r="O95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959" t="s">
        <v>22</v>
      </c>
      <c r="Q959" t="str">
        <f>IF(TRIM(Transaction[[#This Row],[SalesChannel]])="","Missing Value",TRIM(Transaction[[#This Row],[SalesChannel]]))</f>
        <v>Direct</v>
      </c>
      <c r="R959" s="4">
        <v>1</v>
      </c>
      <c r="S959" s="4" t="str">
        <f>IF(Transaction[[#This Row],[Quantity]]&lt;0,"Negative-review","Valid")</f>
        <v>Valid</v>
      </c>
      <c r="T959">
        <v>9653.08</v>
      </c>
      <c r="U95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9653.08</v>
      </c>
      <c r="V959">
        <v>9800</v>
      </c>
      <c r="W959">
        <v>9800</v>
      </c>
      <c r="X95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959">
        <f>IF(Transaction[[#This Row],[GrossRevenue_Check]]="Invalid",Transaction[[#This Row],[ListPrice]]*Transaction[[#This Row],[Quantity]],Transaction[[#This Row],[GrossRevenue_Clean]])</f>
        <v>9800</v>
      </c>
      <c r="Z959" t="str">
        <f>IF(Transaction[[#This Row],[GrossRevenue_Clean]]=Transaction[[#This Row],[ListPrice]]*Transaction[[#This Row],[Quantity]],"Valid","Invalid")</f>
        <v>Valid</v>
      </c>
      <c r="AA959">
        <v>146.91999999999999</v>
      </c>
      <c r="AB95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146.91999999999999</v>
      </c>
      <c r="AC959">
        <f>IF(Transaction[[#This Row],[DiscountAmount_Check2]]="Invalid",Transaction[[#This Row],[GrossRevenue_Analytical]]-Transaction[[#This Row],[NetRevenue_Analytical]],Transaction[[#This Row],[DiscountAmount_Clean]])</f>
        <v>146.91999999999999</v>
      </c>
      <c r="AD959">
        <v>9653.08</v>
      </c>
      <c r="AE959" t="str">
        <f>IF(ROUND(Transaction[[#This Row],[GrossRevenue_Analytical]]-Transaction[[#This Row],[NetRevenue_Analytical]],2)=ROUND(Transaction[[#This Row],[DiscountAmount_Clean]],2),"Valid","Invalid")</f>
        <v>Valid</v>
      </c>
      <c r="AF959">
        <f>VALUE(IF(ISNUMBER(Transaction[[#This Row],[NetRevenue]]),Transaction[[#This Row],[NetRevenue]],IFERROR(IF(FIND("$",Transaction[[#This Row],[NetRevenue]])&gt;0,MID(Transaction[[#This Row],[NetRevenue]],2,10)),Transaction[[#This Row],[NetRevenue]])))</f>
        <v>9653.08</v>
      </c>
      <c r="AG959">
        <f>IF(Transaction[[#This Row],[NetRevenue_Check]]="Invalid",(Transaction[[#This Row],[Quantity]]*Transaction[[#This Row],[UnitPrice_Clean]]),Transaction[[#This Row],[NetRevenue_Clean]])</f>
        <v>9653.08</v>
      </c>
      <c r="AH959" t="str">
        <f>IF(Transaction[[#This Row],[Quantity]]*Transaction[[#This Row],[UnitPrice_Clean]]=Transaction[[#This Row],[NetRevenue_Clean]],"Valid","Invalid")</f>
        <v>Valid</v>
      </c>
      <c r="AI959" t="s">
        <v>23</v>
      </c>
      <c r="AJ959" t="s">
        <v>2658</v>
      </c>
      <c r="AK959" t="str">
        <f>IF(Transaction[[#This Row],[Salesperson]]="","Missing Value",TRIM(PROPER(Transaction[[#This Row],[Salesperson]])))</f>
        <v>Padilla-Na</v>
      </c>
      <c r="AL959" t="s">
        <v>34</v>
      </c>
      <c r="AM959" t="str">
        <f>IF(Transaction[[#This Row],[ContractType]]="","Missing Value",Transaction[[#This Row],[ContractType]])</f>
        <v>Annual License</v>
      </c>
      <c r="AN959" t="s">
        <v>49</v>
      </c>
    </row>
    <row r="960" spans="1:40" x14ac:dyDescent="0.25">
      <c r="A960" t="s">
        <v>3033</v>
      </c>
      <c r="B960" s="1">
        <v>45754</v>
      </c>
      <c r="C96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96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96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60" s="2">
        <f>IFERROR(DATE(Transaction[[#This Row],[TransactionDateY]],Transaction[[#This Row],[TransactionDateM]],Transaction[[#This Row],[TransactionDateD]]),"Missing Value")</f>
        <v>45754</v>
      </c>
      <c r="G960" t="s">
        <v>276</v>
      </c>
      <c r="H960" t="str">
        <f>IFERROR(VLOOKUP(Transaction[[#This Row],[CustomerID]],Custumer[],1,0),IF(LEN(Transaction[[#This Row],[CustomerID]])=7,LEFT(Transaction[[#This Row],[CustomerID]],6),"Invalid ID"))</f>
        <v>C-1129</v>
      </c>
      <c r="I960" t="s">
        <v>52</v>
      </c>
      <c r="J960" t="str">
        <f>TRIM(UPPER(Transaction[[#This Row],[ProductID]]))</f>
        <v>P-SI-002</v>
      </c>
      <c r="K960" t="str">
        <f>IFERROR(VLOOKUP(Transaction[[#This Row],[ProductID_Clean]],Product[],1,FALSE),"Invalid ID")</f>
        <v>P-SI-002</v>
      </c>
      <c r="L960" t="str">
        <f>TRIM(SUBSTITUTE(SUBSTITUTE(SUBSTITUTE(SUBSTITUTE(UPPER(Transaction[[#This Row],[Region]]),"EMEA REGION","EMEA"),"APAC REGION","APAC"),"NORTH AMERICA","N. AMERICA"),"N .AMERICA","N.AMERICA"))</f>
        <v>N. AMERICA</v>
      </c>
      <c r="M960" t="s">
        <v>20</v>
      </c>
      <c r="N960" t="s">
        <v>53</v>
      </c>
      <c r="O96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60" t="s">
        <v>22</v>
      </c>
      <c r="Q960" t="str">
        <f>IF(TRIM(Transaction[[#This Row],[SalesChannel]])="","Missing Value",TRIM(Transaction[[#This Row],[SalesChannel]]))</f>
        <v>Direct</v>
      </c>
      <c r="R960" s="4">
        <v>1</v>
      </c>
      <c r="S960" s="4" t="str">
        <f>IF(Transaction[[#This Row],[Quantity]]&lt;0,"Negative-review","Valid")</f>
        <v>Valid</v>
      </c>
      <c r="T960">
        <v>670.88</v>
      </c>
      <c r="U96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670.88</v>
      </c>
      <c r="V960">
        <v>725</v>
      </c>
      <c r="W960">
        <v>725</v>
      </c>
      <c r="X96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960">
        <f>IF(Transaction[[#This Row],[GrossRevenue_Check]]="Invalid",Transaction[[#This Row],[ListPrice]]*Transaction[[#This Row],[Quantity]],Transaction[[#This Row],[GrossRevenue_Clean]])</f>
        <v>725</v>
      </c>
      <c r="Z960" t="str">
        <f>IF(Transaction[[#This Row],[GrossRevenue_Clean]]=Transaction[[#This Row],[ListPrice]]*Transaction[[#This Row],[Quantity]],"Valid","Invalid")</f>
        <v>Valid</v>
      </c>
      <c r="AA960">
        <v>54.12</v>
      </c>
      <c r="AB96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54.12</v>
      </c>
      <c r="AC960">
        <f>IF(Transaction[[#This Row],[DiscountAmount_Check2]]="Invalid",Transaction[[#This Row],[GrossRevenue_Analytical]]-Transaction[[#This Row],[NetRevenue_Analytical]],Transaction[[#This Row],[DiscountAmount_Clean]])</f>
        <v>54.12</v>
      </c>
      <c r="AD960">
        <v>670.88</v>
      </c>
      <c r="AE960" t="str">
        <f>IF(ROUND(Transaction[[#This Row],[GrossRevenue_Analytical]]-Transaction[[#This Row],[NetRevenue_Analytical]],2)=ROUND(Transaction[[#This Row],[DiscountAmount_Clean]],2),"Valid","Invalid")</f>
        <v>Valid</v>
      </c>
      <c r="AF960">
        <f>VALUE(IF(ISNUMBER(Transaction[[#This Row],[NetRevenue]]),Transaction[[#This Row],[NetRevenue]],IFERROR(IF(FIND("$",Transaction[[#This Row],[NetRevenue]])&gt;0,MID(Transaction[[#This Row],[NetRevenue]],2,10)),Transaction[[#This Row],[NetRevenue]])))</f>
        <v>670.88</v>
      </c>
      <c r="AG960">
        <f>IF(Transaction[[#This Row],[NetRevenue_Check]]="Invalid",(Transaction[[#This Row],[Quantity]]*Transaction[[#This Row],[UnitPrice_Clean]]),Transaction[[#This Row],[NetRevenue_Clean]])</f>
        <v>670.88</v>
      </c>
      <c r="AH960" t="str">
        <f>IF(Transaction[[#This Row],[Quantity]]*Transaction[[#This Row],[UnitPrice_Clean]]=Transaction[[#This Row],[NetRevenue_Clean]],"Valid","Invalid")</f>
        <v>Valid</v>
      </c>
      <c r="AI960" t="s">
        <v>23</v>
      </c>
      <c r="AJ960" t="s">
        <v>294</v>
      </c>
      <c r="AK960" t="str">
        <f>IF(Transaction[[#This Row],[Salesperson]]="","Missing Value",TRIM(PROPER(Transaction[[#This Row],[Salesperson]])))</f>
        <v>Sanders</v>
      </c>
      <c r="AL960" t="s">
        <v>42</v>
      </c>
      <c r="AM960" t="str">
        <f>IF(Transaction[[#This Row],[ContractType]]="","Missing Value",Transaction[[#This Row],[ContractType]])</f>
        <v>Standard PO</v>
      </c>
      <c r="AN960" t="s">
        <v>49</v>
      </c>
    </row>
    <row r="961" spans="1:40" x14ac:dyDescent="0.25">
      <c r="A961" t="s">
        <v>2485</v>
      </c>
      <c r="B961" s="1">
        <v>45832</v>
      </c>
      <c r="C96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96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96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61" s="2">
        <f>IFERROR(DATE(Transaction[[#This Row],[TransactionDateY]],Transaction[[#This Row],[TransactionDateM]],Transaction[[#This Row],[TransactionDateD]]),"Missing Value")</f>
        <v>45832</v>
      </c>
      <c r="G961" t="s">
        <v>276</v>
      </c>
      <c r="H961" t="str">
        <f>IFERROR(VLOOKUP(Transaction[[#This Row],[CustomerID]],Custumer[],1,0),IF(LEN(Transaction[[#This Row],[CustomerID]])=7,LEFT(Transaction[[#This Row],[CustomerID]],6),"Invalid ID"))</f>
        <v>C-1129</v>
      </c>
      <c r="I961" t="s">
        <v>58</v>
      </c>
      <c r="J961" t="str">
        <f>TRIM(UPPER(Transaction[[#This Row],[ProductID]]))</f>
        <v>P-SI-005</v>
      </c>
      <c r="K961" t="str">
        <f>IFERROR(VLOOKUP(Transaction[[#This Row],[ProductID_Clean]],Product[],1,FALSE),"Invalid ID")</f>
        <v>P-SI-005</v>
      </c>
      <c r="L961" t="str">
        <f>TRIM(SUBSTITUTE(SUBSTITUTE(SUBSTITUTE(SUBSTITUTE(UPPER(Transaction[[#This Row],[Region]]),"EMEA REGION","EMEA"),"APAC REGION","APAC"),"NORTH AMERICA","N. AMERICA"),"N .AMERICA","N.AMERICA"))</f>
        <v>N. AMERICA</v>
      </c>
      <c r="M961" t="s">
        <v>20</v>
      </c>
      <c r="N961" t="s">
        <v>47</v>
      </c>
      <c r="O96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61" t="s">
        <v>40</v>
      </c>
      <c r="Q961" t="str">
        <f>IF(TRIM(Transaction[[#This Row],[SalesChannel]])="","Missing Value",TRIM(Transaction[[#This Row],[SalesChannel]]))</f>
        <v>Distributor</v>
      </c>
      <c r="R961" s="4">
        <v>2</v>
      </c>
      <c r="S961" s="4" t="str">
        <f>IF(Transaction[[#This Row],[Quantity]]&lt;0,"Negative-review","Valid")</f>
        <v>Valid</v>
      </c>
      <c r="T961">
        <v>934.51</v>
      </c>
      <c r="U96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934.51</v>
      </c>
      <c r="V961">
        <v>1120</v>
      </c>
      <c r="W961">
        <v>2240</v>
      </c>
      <c r="X96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2240</v>
      </c>
      <c r="Y961">
        <f>IF(Transaction[[#This Row],[GrossRevenue_Check]]="Invalid",Transaction[[#This Row],[ListPrice]]*Transaction[[#This Row],[Quantity]],Transaction[[#This Row],[GrossRevenue_Clean]])</f>
        <v>2240</v>
      </c>
      <c r="Z961" t="str">
        <f>IF(Transaction[[#This Row],[GrossRevenue_Clean]]=Transaction[[#This Row],[ListPrice]]*Transaction[[#This Row],[Quantity]],"Valid","Invalid")</f>
        <v>Valid</v>
      </c>
      <c r="AA961">
        <v>370.98</v>
      </c>
      <c r="AB96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370.98</v>
      </c>
      <c r="AC961">
        <f>IF(Transaction[[#This Row],[DiscountAmount_Check2]]="Invalid",Transaction[[#This Row],[GrossRevenue_Analytical]]-Transaction[[#This Row],[NetRevenue_Analytical]],Transaction[[#This Row],[DiscountAmount_Clean]])</f>
        <v>370.98</v>
      </c>
      <c r="AD961">
        <v>1869.02</v>
      </c>
      <c r="AE961" t="str">
        <f>IF(ROUND(Transaction[[#This Row],[GrossRevenue_Analytical]]-Transaction[[#This Row],[NetRevenue_Analytical]],2)=ROUND(Transaction[[#This Row],[DiscountAmount_Clean]],2),"Valid","Invalid")</f>
        <v>Valid</v>
      </c>
      <c r="AF96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1869.02</v>
      </c>
      <c r="AG961">
        <f>IF(Transaction[[#This Row],[NetRevenue_Check]]="Invalid",(Transaction[[#This Row],[Quantity]]*Transaction[[#This Row],[UnitPrice_Clean]]),Transaction[[#This Row],[NetRevenue_Clean]])</f>
        <v>1869.02</v>
      </c>
      <c r="AH961" t="str">
        <f>IF(Transaction[[#This Row],[Quantity]]*Transaction[[#This Row],[UnitPrice_Clean]]=Transaction[[#This Row],[NetRevenue_Clean]],"Valid","Invalid")</f>
        <v>Valid</v>
      </c>
      <c r="AI961" t="s">
        <v>23</v>
      </c>
      <c r="AJ961" t="s">
        <v>2486</v>
      </c>
      <c r="AK961" t="str">
        <f>IF(Transaction[[#This Row],[Salesperson]]="","Missing Value",TRIM(PROPER(Transaction[[#This Row],[Salesperson]])))</f>
        <v>Allen-Ap</v>
      </c>
      <c r="AL961" t="s">
        <v>55</v>
      </c>
      <c r="AM961" t="str">
        <f>IF(Transaction[[#This Row],[ContractType]]="","Missing Value",Transaction[[#This Row],[ContractType]])</f>
        <v>Spot</v>
      </c>
      <c r="AN961" t="s">
        <v>49</v>
      </c>
    </row>
    <row r="962" spans="1:40" x14ac:dyDescent="0.25">
      <c r="A962" t="s">
        <v>2611</v>
      </c>
      <c r="B962" s="1">
        <v>45796</v>
      </c>
      <c r="C96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96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96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62" s="2">
        <f>IFERROR(DATE(Transaction[[#This Row],[TransactionDateY]],Transaction[[#This Row],[TransactionDateM]],Transaction[[#This Row],[TransactionDateD]]),"Missing Value")</f>
        <v>45796</v>
      </c>
      <c r="G962" t="s">
        <v>200</v>
      </c>
      <c r="H962" t="str">
        <f>IFERROR(VLOOKUP(Transaction[[#This Row],[CustomerID]],Custumer[],1,0),IF(LEN(Transaction[[#This Row],[CustomerID]])=7,LEFT(Transaction[[#This Row],[CustomerID]],6),"Invalid ID"))</f>
        <v>C-1070</v>
      </c>
      <c r="I962" t="s">
        <v>268</v>
      </c>
      <c r="J962" t="str">
        <f>TRIM(UPPER(Transaction[[#This Row],[ProductID]]))</f>
        <v>P-FS-002</v>
      </c>
      <c r="K962" t="str">
        <f>IFERROR(VLOOKUP(Transaction[[#This Row],[ProductID_Clean]],Product[],1,FALSE),"Invalid ID")</f>
        <v>P-FS-002</v>
      </c>
      <c r="L962" t="str">
        <f>TRIM(SUBSTITUTE(SUBSTITUTE(SUBSTITUTE(SUBSTITUTE(UPPER(Transaction[[#This Row],[Region]]),"EMEA REGION","EMEA"),"APAC REGION","APAC"),"NORTH AMERICA","N. AMERICA"),"N .AMERICA","N.AMERICA"))</f>
        <v>EMEA</v>
      </c>
      <c r="M962" t="s">
        <v>76</v>
      </c>
      <c r="N962" t="s">
        <v>21</v>
      </c>
      <c r="O962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962" t="s">
        <v>173</v>
      </c>
      <c r="Q962" t="str">
        <f>IF(TRIM(Transaction[[#This Row],[SalesChannel]])="","Missing Value",TRIM(Transaction[[#This Row],[SalesChannel]]))</f>
        <v>Distributor</v>
      </c>
      <c r="R962" s="4">
        <v>1</v>
      </c>
      <c r="S962" s="4" t="str">
        <f>IF(Transaction[[#This Row],[Quantity]]&lt;0,"Negative-review","Valid")</f>
        <v>Valid</v>
      </c>
      <c r="T962">
        <v>1988.45</v>
      </c>
      <c r="U96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1988.45</v>
      </c>
      <c r="V962">
        <v>2400</v>
      </c>
      <c r="W962" t="s">
        <v>2459</v>
      </c>
      <c r="X96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962">
        <f>IF(Transaction[[#This Row],[GrossRevenue_Check]]="Invalid",Transaction[[#This Row],[ListPrice]]*Transaction[[#This Row],[Quantity]],Transaction[[#This Row],[GrossRevenue_Clean]])</f>
        <v>2400</v>
      </c>
      <c r="Z962" t="str">
        <f>IF(Transaction[[#This Row],[GrossRevenue_Clean]]=Transaction[[#This Row],[ListPrice]]*Transaction[[#This Row],[Quantity]],"Valid","Invalid")</f>
        <v>Valid</v>
      </c>
      <c r="AA962">
        <v>411.55</v>
      </c>
      <c r="AB96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411.55</v>
      </c>
      <c r="AC962">
        <f>IF(Transaction[[#This Row],[DiscountAmount_Check2]]="Invalid",Transaction[[#This Row],[GrossRevenue_Analytical]]-Transaction[[#This Row],[NetRevenue_Analytical]],Transaction[[#This Row],[DiscountAmount_Clean]])</f>
        <v>411.55</v>
      </c>
      <c r="AD962">
        <v>1988.45</v>
      </c>
      <c r="AE962" t="str">
        <f>IF(ROUND(Transaction[[#This Row],[GrossRevenue_Analytical]]-Transaction[[#This Row],[NetRevenue_Analytical]],2)=ROUND(Transaction[[#This Row],[DiscountAmount_Clean]],2),"Valid","Invalid")</f>
        <v>Valid</v>
      </c>
      <c r="AF96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1988.45</v>
      </c>
      <c r="AG962">
        <f>IF(Transaction[[#This Row],[NetRevenue_Check]]="Invalid",(Transaction[[#This Row],[Quantity]]*Transaction[[#This Row],[UnitPrice_Clean]]),Transaction[[#This Row],[NetRevenue_Clean]])</f>
        <v>1988.45</v>
      </c>
      <c r="AH962" t="str">
        <f>IF(Transaction[[#This Row],[Quantity]]*Transaction[[#This Row],[UnitPrice_Clean]]=Transaction[[#This Row],[NetRevenue_Clean]],"Valid","Invalid")</f>
        <v>Valid</v>
      </c>
      <c r="AI962" t="s">
        <v>23</v>
      </c>
      <c r="AJ962" t="s">
        <v>1920</v>
      </c>
      <c r="AK962" t="str">
        <f>IF(Transaction[[#This Row],[Salesperson]]="","Missing Value",TRIM(PROPER(Transaction[[#This Row],[Salesperson]])))</f>
        <v>Morris</v>
      </c>
      <c r="AL962" t="s">
        <v>224</v>
      </c>
      <c r="AM962" t="str">
        <f>IF(Transaction[[#This Row],[ContractType]]="","Missing Value",Transaction[[#This Row],[ContractType]])</f>
        <v>Annual</v>
      </c>
      <c r="AN962" t="s">
        <v>35</v>
      </c>
    </row>
    <row r="963" spans="1:40" x14ac:dyDescent="0.25">
      <c r="A963" t="s">
        <v>2885</v>
      </c>
      <c r="B963" s="1">
        <v>45825</v>
      </c>
      <c r="C96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96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96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63" s="2">
        <f>IFERROR(DATE(Transaction[[#This Row],[TransactionDateY]],Transaction[[#This Row],[TransactionDateM]],Transaction[[#This Row],[TransactionDateD]]),"Missing Value")</f>
        <v>45825</v>
      </c>
      <c r="G963" t="s">
        <v>498</v>
      </c>
      <c r="H963" t="str">
        <f>IFERROR(VLOOKUP(Transaction[[#This Row],[CustomerID]],Custumer[],1,0),IF(LEN(Transaction[[#This Row],[CustomerID]])=7,LEFT(Transaction[[#This Row],[CustomerID]],6),"Invalid ID"))</f>
        <v>C-1176</v>
      </c>
      <c r="I963" t="s">
        <v>222</v>
      </c>
      <c r="J963" t="str">
        <f>TRIM(UPPER(Transaction[[#This Row],[ProductID]]))</f>
        <v>P-FS-003</v>
      </c>
      <c r="K963" t="str">
        <f>IFERROR(VLOOKUP(Transaction[[#This Row],[ProductID_Clean]],Product[],1,FALSE),"Invalid ID")</f>
        <v>P-FS-003</v>
      </c>
      <c r="L963" t="str">
        <f>TRIM(SUBSTITUTE(SUBSTITUTE(SUBSTITUTE(SUBSTITUTE(UPPER(Transaction[[#This Row],[Region]]),"EMEA REGION","EMEA"),"APAC REGION","APAC"),"NORTH AMERICA","N. AMERICA"),"N .AMERICA","N.AMERICA"))</f>
        <v>APAC</v>
      </c>
      <c r="M963" t="s">
        <v>63</v>
      </c>
      <c r="N963" t="s">
        <v>244</v>
      </c>
      <c r="O96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963" t="s">
        <v>93</v>
      </c>
      <c r="Q963" t="str">
        <f>IF(TRIM(Transaction[[#This Row],[SalesChannel]])="","Missing Value",TRIM(Transaction[[#This Row],[SalesChannel]]))</f>
        <v>direct</v>
      </c>
      <c r="R963" s="4">
        <v>1</v>
      </c>
      <c r="S963" s="4" t="str">
        <f>IF(Transaction[[#This Row],[Quantity]]&lt;0,"Negative-review","Valid")</f>
        <v>Valid</v>
      </c>
      <c r="T963">
        <v>3763.98</v>
      </c>
      <c r="U96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3763.98</v>
      </c>
      <c r="V963">
        <v>4100</v>
      </c>
      <c r="W963">
        <v>4100</v>
      </c>
      <c r="X96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4100</v>
      </c>
      <c r="Y963">
        <f>IF(Transaction[[#This Row],[GrossRevenue_Check]]="Invalid",Transaction[[#This Row],[ListPrice]]*Transaction[[#This Row],[Quantity]],Transaction[[#This Row],[GrossRevenue_Clean]])</f>
        <v>4100</v>
      </c>
      <c r="Z963" t="str">
        <f>IF(Transaction[[#This Row],[GrossRevenue_Clean]]=Transaction[[#This Row],[ListPrice]]*Transaction[[#This Row],[Quantity]],"Valid","Invalid")</f>
        <v>Valid</v>
      </c>
      <c r="AA963">
        <v>336.02</v>
      </c>
      <c r="AB96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336.02</v>
      </c>
      <c r="AC963">
        <f>IF(Transaction[[#This Row],[DiscountAmount_Check2]]="Invalid",Transaction[[#This Row],[GrossRevenue_Analytical]]-Transaction[[#This Row],[NetRevenue_Analytical]],Transaction[[#This Row],[DiscountAmount_Clean]])</f>
        <v>336.02</v>
      </c>
      <c r="AD963">
        <v>3763.98</v>
      </c>
      <c r="AE963" t="str">
        <f>IF(ROUND(Transaction[[#This Row],[GrossRevenue_Analytical]]-Transaction[[#This Row],[NetRevenue_Analytical]],2)=ROUND(Transaction[[#This Row],[DiscountAmount_Clean]],2),"Valid","Invalid")</f>
        <v>Valid</v>
      </c>
      <c r="AF96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3763.98</v>
      </c>
      <c r="AG963">
        <f>IF(Transaction[[#This Row],[NetRevenue_Check]]="Invalid",(Transaction[[#This Row],[Quantity]]*Transaction[[#This Row],[UnitPrice_Clean]]),Transaction[[#This Row],[NetRevenue_Clean]])</f>
        <v>3763.98</v>
      </c>
      <c r="AH963" t="str">
        <f>IF(Transaction[[#This Row],[Quantity]]*Transaction[[#This Row],[UnitPrice_Clean]]=Transaction[[#This Row],[NetRevenue_Clean]],"Valid","Invalid")</f>
        <v>Valid</v>
      </c>
      <c r="AI963" t="s">
        <v>23</v>
      </c>
      <c r="AJ963" t="s">
        <v>2886</v>
      </c>
      <c r="AK963" t="str">
        <f>IF(Transaction[[#This Row],[Salesperson]]="","Missing Value",TRIM(PROPER(Transaction[[#This Row],[Salesperson]])))</f>
        <v>Campbell</v>
      </c>
      <c r="AL963" t="s">
        <v>295</v>
      </c>
      <c r="AM963" t="str">
        <f>IF(Transaction[[#This Row],[ContractType]]="","Missing Value",Transaction[[#This Row],[ContractType]])</f>
        <v>Multi-Year</v>
      </c>
      <c r="AN963" t="s">
        <v>49</v>
      </c>
    </row>
    <row r="964" spans="1:40" x14ac:dyDescent="0.25">
      <c r="A964" t="s">
        <v>2554</v>
      </c>
      <c r="B964" s="1">
        <v>45688</v>
      </c>
      <c r="C96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96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31</v>
      </c>
      <c r="E96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64" s="2">
        <f>IFERROR(DATE(Transaction[[#This Row],[TransactionDateY]],Transaction[[#This Row],[TransactionDateM]],Transaction[[#This Row],[TransactionDateD]]),"Missing Value")</f>
        <v>45688</v>
      </c>
      <c r="G964" t="s">
        <v>2555</v>
      </c>
      <c r="H964" t="str">
        <f>IFERROR(VLOOKUP(Transaction[[#This Row],[CustomerID]],Custumer[],1,0),IF(LEN(Transaction[[#This Row],[CustomerID]])=7,LEFT(Transaction[[#This Row],[CustomerID]],6),"Invalid ID"))</f>
        <v>C-1169</v>
      </c>
      <c r="I964" t="s">
        <v>75</v>
      </c>
      <c r="J964" t="str">
        <f>TRIM(UPPER(Transaction[[#This Row],[ProductID]]))</f>
        <v>P-SA-005</v>
      </c>
      <c r="K964" t="str">
        <f>IFERROR(VLOOKUP(Transaction[[#This Row],[ProductID_Clean]],Product[],1,FALSE),"Invalid ID")</f>
        <v>P-SA-005</v>
      </c>
      <c r="L964" t="str">
        <f>TRIM(SUBSTITUTE(SUBSTITUTE(SUBSTITUTE(SUBSTITUTE(UPPER(Transaction[[#This Row],[Region]]),"EMEA REGION","EMEA"),"APAC REGION","APAC"),"NORTH AMERICA","N. AMERICA"),"N .AMERICA","N.AMERICA"))</f>
        <v>EMEA</v>
      </c>
      <c r="M964" t="s">
        <v>76</v>
      </c>
      <c r="N964" t="s">
        <v>31</v>
      </c>
      <c r="O96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964" t="s">
        <v>22</v>
      </c>
      <c r="Q964" t="str">
        <f>IF(TRIM(Transaction[[#This Row],[SalesChannel]])="","Missing Value",TRIM(Transaction[[#This Row],[SalesChannel]]))</f>
        <v>Direct</v>
      </c>
      <c r="R964" s="4">
        <v>5</v>
      </c>
      <c r="S964" s="4" t="str">
        <f>IF(Transaction[[#This Row],[Quantity]]&lt;0,"Negative-review","Valid")</f>
        <v>Valid</v>
      </c>
      <c r="T964">
        <v>2714.84</v>
      </c>
      <c r="U96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2714.84</v>
      </c>
      <c r="V964">
        <v>3200</v>
      </c>
      <c r="W964">
        <v>16000</v>
      </c>
      <c r="X96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16000</v>
      </c>
      <c r="Y964">
        <f>IF(Transaction[[#This Row],[GrossRevenue_Check]]="Invalid",Transaction[[#This Row],[ListPrice]]*Transaction[[#This Row],[Quantity]],Transaction[[#This Row],[GrossRevenue_Clean]])</f>
        <v>16000</v>
      </c>
      <c r="Z964" t="str">
        <f>IF(Transaction[[#This Row],[GrossRevenue_Clean]]=Transaction[[#This Row],[ListPrice]]*Transaction[[#This Row],[Quantity]],"Valid","Invalid")</f>
        <v>Valid</v>
      </c>
      <c r="AA964">
        <v>2425.8000000000002</v>
      </c>
      <c r="AB96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2425.8000000000002</v>
      </c>
      <c r="AC964">
        <f>IF(Transaction[[#This Row],[DiscountAmount_Check2]]="Invalid",Transaction[[#This Row],[GrossRevenue_Analytical]]-Transaction[[#This Row],[NetRevenue_Analytical]],Transaction[[#This Row],[DiscountAmount_Clean]])</f>
        <v>2425.8000000000002</v>
      </c>
      <c r="AD964">
        <v>13574.2</v>
      </c>
      <c r="AE964" t="str">
        <f>IF(ROUND(Transaction[[#This Row],[GrossRevenue_Analytical]]-Transaction[[#This Row],[NetRevenue_Analytical]],2)=ROUND(Transaction[[#This Row],[DiscountAmount_Clean]],2),"Valid","Invalid")</f>
        <v>Valid</v>
      </c>
      <c r="AF96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13574.2</v>
      </c>
      <c r="AG964">
        <f>IF(Transaction[[#This Row],[NetRevenue_Check]]="Invalid",(Transaction[[#This Row],[Quantity]]*Transaction[[#This Row],[UnitPrice_Clean]]),Transaction[[#This Row],[NetRevenue_Clean]])</f>
        <v>13574.2</v>
      </c>
      <c r="AH964" t="str">
        <f>IF(Transaction[[#This Row],[Quantity]]*Transaction[[#This Row],[UnitPrice_Clean]]=Transaction[[#This Row],[NetRevenue_Clean]],"Valid","Invalid")</f>
        <v>Valid</v>
      </c>
      <c r="AI964" t="s">
        <v>23</v>
      </c>
      <c r="AJ964" t="s">
        <v>713</v>
      </c>
      <c r="AK964" t="str">
        <f>IF(Transaction[[#This Row],[Salesperson]]="","Missing Value",TRIM(PROPER(Transaction[[#This Row],[Salesperson]])))</f>
        <v>Owens-Em</v>
      </c>
      <c r="AL964" t="s">
        <v>34</v>
      </c>
      <c r="AM964" t="str">
        <f>IF(Transaction[[#This Row],[ContractType]]="","Missing Value",Transaction[[#This Row],[ContractType]])</f>
        <v>Annual License</v>
      </c>
      <c r="AN964" t="s">
        <v>49</v>
      </c>
    </row>
    <row r="965" spans="1:40" x14ac:dyDescent="0.25">
      <c r="A965" t="s">
        <v>1211</v>
      </c>
      <c r="C96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96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96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965" s="2" t="str">
        <f>IFERROR(DATE(Transaction[[#This Row],[TransactionDateY]],Transaction[[#This Row],[TransactionDateM]],Transaction[[#This Row],[TransactionDateD]]),"Missing Value")</f>
        <v>Missing Value</v>
      </c>
      <c r="G965" t="s">
        <v>135</v>
      </c>
      <c r="H965" t="str">
        <f>IFERROR(VLOOKUP(Transaction[[#This Row],[CustomerID]],Custumer[],1,0),IF(LEN(Transaction[[#This Row],[CustomerID]])=7,LEFT(Transaction[[#This Row],[CustomerID]],6),"Invalid ID"))</f>
        <v>C-1112</v>
      </c>
      <c r="I965" t="s">
        <v>75</v>
      </c>
      <c r="J965" t="str">
        <f>TRIM(UPPER(Transaction[[#This Row],[ProductID]]))</f>
        <v>P-SA-005</v>
      </c>
      <c r="K965" t="str">
        <f>IFERROR(VLOOKUP(Transaction[[#This Row],[ProductID_Clean]],Product[],1,FALSE),"Invalid ID")</f>
        <v>P-SA-005</v>
      </c>
      <c r="L965" t="str">
        <f>TRIM(SUBSTITUTE(SUBSTITUTE(SUBSTITUTE(SUBSTITUTE(UPPER(Transaction[[#This Row],[Region]]),"EMEA REGION","EMEA"),"APAC REGION","APAC"),"NORTH AMERICA","N. AMERICA"),"N .AMERICA","N.AMERICA"))</f>
        <v>N. AMERICA</v>
      </c>
      <c r="M965" t="s">
        <v>204</v>
      </c>
      <c r="N965" t="s">
        <v>31</v>
      </c>
      <c r="O96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965" t="s">
        <v>22</v>
      </c>
      <c r="Q965" t="str">
        <f>IF(TRIM(Transaction[[#This Row],[SalesChannel]])="","Missing Value",TRIM(Transaction[[#This Row],[SalesChannel]]))</f>
        <v>Direct</v>
      </c>
      <c r="R965" s="4">
        <v>2</v>
      </c>
      <c r="S965" s="4" t="str">
        <f>IF(Transaction[[#This Row],[Quantity]]&lt;0,"Negative-review","Valid")</f>
        <v>Valid</v>
      </c>
      <c r="T965">
        <v>2631.13</v>
      </c>
      <c r="U96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2631.13</v>
      </c>
      <c r="V965">
        <v>3200</v>
      </c>
      <c r="W965">
        <v>6400</v>
      </c>
      <c r="X96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6400</v>
      </c>
      <c r="Y965">
        <f>IF(Transaction[[#This Row],[GrossRevenue_Check]]="Invalid",Transaction[[#This Row],[ListPrice]]*Transaction[[#This Row],[Quantity]],Transaction[[#This Row],[GrossRevenue_Clean]])</f>
        <v>6400</v>
      </c>
      <c r="Z965" t="str">
        <f>IF(Transaction[[#This Row],[GrossRevenue_Clean]]=Transaction[[#This Row],[ListPrice]]*Transaction[[#This Row],[Quantity]],"Valid","Invalid")</f>
        <v>Valid</v>
      </c>
      <c r="AA965">
        <v>1137.74</v>
      </c>
      <c r="AB96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1137.74</v>
      </c>
      <c r="AC965">
        <f>IF(Transaction[[#This Row],[DiscountAmount_Check2]]="Invalid",Transaction[[#This Row],[GrossRevenue_Analytical]]-Transaction[[#This Row],[NetRevenue_Analytical]],Transaction[[#This Row],[DiscountAmount_Clean]])</f>
        <v>1137.74</v>
      </c>
      <c r="AD965">
        <v>5262.26</v>
      </c>
      <c r="AE965" t="str">
        <f>IF(ROUND(Transaction[[#This Row],[GrossRevenue_Analytical]]-Transaction[[#This Row],[NetRevenue_Analytical]],2)=ROUND(Transaction[[#This Row],[DiscountAmount_Clean]],2),"Valid","Invalid")</f>
        <v>Valid</v>
      </c>
      <c r="AF965">
        <f>VALUE(IF(ISNUMBER(Transaction[[#This Row],[NetRevenue]]),Transaction[[#This Row],[NetRevenue]],IFERROR(IF(FIND("$",Transaction[[#This Row],[NetRevenue]])&gt;0,MID(Transaction[[#This Row],[NetRevenue]],2,10)),Transaction[[#This Row],[NetRevenue]])))</f>
        <v>5262.26</v>
      </c>
      <c r="AG965">
        <f>IF(Transaction[[#This Row],[NetRevenue_Check]]="Invalid",(Transaction[[#This Row],[Quantity]]*Transaction[[#This Row],[UnitPrice_Clean]]),Transaction[[#This Row],[NetRevenue_Clean]])</f>
        <v>5262.26</v>
      </c>
      <c r="AH965" t="str">
        <f>IF(Transaction[[#This Row],[Quantity]]*Transaction[[#This Row],[UnitPrice_Clean]]=Transaction[[#This Row],[NetRevenue_Clean]],"Valid","Invalid")</f>
        <v>Valid</v>
      </c>
      <c r="AI965" t="s">
        <v>23</v>
      </c>
      <c r="AJ965" t="s">
        <v>1212</v>
      </c>
      <c r="AK965" t="str">
        <f>IF(Transaction[[#This Row],[Salesperson]]="","Missing Value",TRIM(PROPER(Transaction[[#This Row],[Salesperson]])))</f>
        <v>Wong-Em</v>
      </c>
      <c r="AL965" t="s">
        <v>34</v>
      </c>
      <c r="AM965" t="str">
        <f>IF(Transaction[[#This Row],[ContractType]]="","Missing Value",Transaction[[#This Row],[ContractType]])</f>
        <v>Annual License</v>
      </c>
      <c r="AN965" t="s">
        <v>43</v>
      </c>
    </row>
    <row r="966" spans="1:40" x14ac:dyDescent="0.25">
      <c r="A966" t="s">
        <v>1833</v>
      </c>
      <c r="B966" t="s">
        <v>616</v>
      </c>
      <c r="C96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96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96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66" s="2">
        <f>IFERROR(DATE(Transaction[[#This Row],[TransactionDateY]],Transaction[[#This Row],[TransactionDateM]],Transaction[[#This Row],[TransactionDateD]]),"Missing Value")</f>
        <v>45690</v>
      </c>
      <c r="G966" t="s">
        <v>507</v>
      </c>
      <c r="H966" t="str">
        <f>IFERROR(VLOOKUP(Transaction[[#This Row],[CustomerID]],Custumer[],1,0),IF(LEN(Transaction[[#This Row],[CustomerID]])=7,LEFT(Transaction[[#This Row],[CustomerID]],6),"Invalid ID"))</f>
        <v>C-1091</v>
      </c>
      <c r="I966" t="s">
        <v>97</v>
      </c>
      <c r="J966" t="str">
        <f>TRIM(UPPER(Transaction[[#This Row],[ProductID]]))</f>
        <v>P-SI-001</v>
      </c>
      <c r="K966" t="str">
        <f>IFERROR(VLOOKUP(Transaction[[#This Row],[ProductID_Clean]],Product[],1,FALSE),"Invalid ID")</f>
        <v>P-SI-001</v>
      </c>
      <c r="L966" t="str">
        <f>TRIM(SUBSTITUTE(SUBSTITUTE(SUBSTITUTE(SUBSTITUTE(UPPER(Transaction[[#This Row],[Region]]),"EMEA REGION","EMEA"),"APAC REGION","APAC"),"NORTH AMERICA","N. AMERICA"),"N .AMERICA","N.AMERICA"))</f>
        <v>EMEA</v>
      </c>
      <c r="M966" t="s">
        <v>76</v>
      </c>
      <c r="N966" t="s">
        <v>47</v>
      </c>
      <c r="O96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66" t="s">
        <v>40</v>
      </c>
      <c r="Q966" t="str">
        <f>IF(TRIM(Transaction[[#This Row],[SalesChannel]])="","Missing Value",TRIM(Transaction[[#This Row],[SalesChannel]]))</f>
        <v>Distributor</v>
      </c>
      <c r="R966" s="4">
        <v>2</v>
      </c>
      <c r="S966" s="4" t="str">
        <f>IF(Transaction[[#This Row],[Quantity]]&lt;0,"Negative-review","Valid")</f>
        <v>Valid</v>
      </c>
      <c r="T966">
        <v>416.82</v>
      </c>
      <c r="U96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416.82</v>
      </c>
      <c r="V966">
        <v>485</v>
      </c>
      <c r="W966">
        <v>970</v>
      </c>
      <c r="X96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966">
        <f>IF(Transaction[[#This Row],[GrossRevenue_Check]]="Invalid",Transaction[[#This Row],[ListPrice]]*Transaction[[#This Row],[Quantity]],Transaction[[#This Row],[GrossRevenue_Clean]])</f>
        <v>970</v>
      </c>
      <c r="Z966" t="str">
        <f>IF(Transaction[[#This Row],[GrossRevenue_Clean]]=Transaction[[#This Row],[ListPrice]]*Transaction[[#This Row],[Quantity]],"Valid","Invalid")</f>
        <v>Valid</v>
      </c>
      <c r="AA966">
        <v>136.36000000000001</v>
      </c>
      <c r="AB96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136.36000000000001</v>
      </c>
      <c r="AC966">
        <f>IF(Transaction[[#This Row],[DiscountAmount_Check2]]="Invalid",Transaction[[#This Row],[GrossRevenue_Analytical]]-Transaction[[#This Row],[NetRevenue_Analytical]],Transaction[[#This Row],[DiscountAmount_Clean]])</f>
        <v>136.36000000000001</v>
      </c>
      <c r="AD966">
        <v>833.64</v>
      </c>
      <c r="AE966" t="str">
        <f>IF(ROUND(Transaction[[#This Row],[GrossRevenue_Analytical]]-Transaction[[#This Row],[NetRevenue_Analytical]],2)=ROUND(Transaction[[#This Row],[DiscountAmount_Clean]],2),"Valid","Invalid")</f>
        <v>Valid</v>
      </c>
      <c r="AF966">
        <f>VALUE(IF(ISNUMBER(Transaction[[#This Row],[NetRevenue]]),Transaction[[#This Row],[NetRevenue]],IFERROR(IF(FIND("$",Transaction[[#This Row],[NetRevenue]])&gt;0,MID(Transaction[[#This Row],[NetRevenue]],2,10)),Transaction[[#This Row],[NetRevenue]])))</f>
        <v>833.64</v>
      </c>
      <c r="AG966">
        <f>IF(Transaction[[#This Row],[NetRevenue_Check]]="Invalid",(Transaction[[#This Row],[Quantity]]*Transaction[[#This Row],[UnitPrice_Clean]]),Transaction[[#This Row],[NetRevenue_Clean]])</f>
        <v>833.64</v>
      </c>
      <c r="AH966" t="str">
        <f>IF(Transaction[[#This Row],[Quantity]]*Transaction[[#This Row],[UnitPrice_Clean]]=Transaction[[#This Row],[NetRevenue_Clean]],"Valid","Invalid")</f>
        <v>Valid</v>
      </c>
      <c r="AI966" t="s">
        <v>128</v>
      </c>
      <c r="AJ966" t="s">
        <v>1834</v>
      </c>
      <c r="AK966" t="str">
        <f>IF(Transaction[[#This Row],[Salesperson]]="","Missing Value",TRIM(PROPER(Transaction[[#This Row],[Salesperson]])))</f>
        <v>Parker-Ap</v>
      </c>
      <c r="AL966" t="s">
        <v>42</v>
      </c>
      <c r="AM966" t="str">
        <f>IF(Transaction[[#This Row],[ContractType]]="","Missing Value",Transaction[[#This Row],[ContractType]])</f>
        <v>Standard PO</v>
      </c>
      <c r="AN966" t="s">
        <v>26</v>
      </c>
    </row>
    <row r="967" spans="1:40" x14ac:dyDescent="0.25">
      <c r="A967" t="s">
        <v>1557</v>
      </c>
      <c r="B967" t="s">
        <v>1558</v>
      </c>
      <c r="C96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96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96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67" s="2">
        <f>IFERROR(DATE(Transaction[[#This Row],[TransactionDateY]],Transaction[[#This Row],[TransactionDateM]],Transaction[[#This Row],[TransactionDateD]]),"Missing Value")</f>
        <v>45715</v>
      </c>
      <c r="G967" t="s">
        <v>81</v>
      </c>
      <c r="H967" t="str">
        <f>IFERROR(VLOOKUP(Transaction[[#This Row],[CustomerID]],Custumer[],1,0),IF(LEN(Transaction[[#This Row],[CustomerID]])=7,LEFT(Transaction[[#This Row],[CustomerID]],6),"Invalid ID"))</f>
        <v>C-1039</v>
      </c>
      <c r="I967" t="s">
        <v>117</v>
      </c>
      <c r="J967" t="str">
        <f>TRIM(UPPER(Transaction[[#This Row],[ProductID]]))</f>
        <v>P-SI-007</v>
      </c>
      <c r="K967" t="str">
        <f>IFERROR(VLOOKUP(Transaction[[#This Row],[ProductID_Clean]],Product[],1,FALSE),"Invalid ID")</f>
        <v>P-SI-007</v>
      </c>
      <c r="L967" t="str">
        <f>TRIM(SUBSTITUTE(SUBSTITUTE(SUBSTITUTE(SUBSTITUTE(UPPER(Transaction[[#This Row],[Region]]),"EMEA REGION","EMEA"),"APAC REGION","APAC"),"NORTH AMERICA","N. AMERICA"),"N .AMERICA","N.AMERICA"))</f>
        <v>LATIN AMERICA</v>
      </c>
      <c r="M967" t="s">
        <v>82</v>
      </c>
      <c r="N967" t="s">
        <v>53</v>
      </c>
      <c r="O96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67" t="s">
        <v>181</v>
      </c>
      <c r="Q967" t="str">
        <f>IF(TRIM(Transaction[[#This Row],[SalesChannel]])="","Missing Value",TRIM(Transaction[[#This Row],[SalesChannel]]))</f>
        <v>Partner Portal</v>
      </c>
      <c r="R967" s="4">
        <v>5</v>
      </c>
      <c r="S967" s="4" t="str">
        <f>IF(Transaction[[#This Row],[Quantity]]&lt;0,"Negative-review","Valid")</f>
        <v>Valid</v>
      </c>
      <c r="T967">
        <v>837.35</v>
      </c>
      <c r="U96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837.35</v>
      </c>
      <c r="V967">
        <v>980</v>
      </c>
      <c r="W967">
        <v>4900</v>
      </c>
      <c r="X96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</v>
      </c>
      <c r="Y967">
        <f>IF(Transaction[[#This Row],[GrossRevenue_Check]]="Invalid",Transaction[[#This Row],[ListPrice]]*Transaction[[#This Row],[Quantity]],Transaction[[#This Row],[GrossRevenue_Clean]])</f>
        <v>4900</v>
      </c>
      <c r="Z967" t="str">
        <f>IF(Transaction[[#This Row],[GrossRevenue_Clean]]=Transaction[[#This Row],[ListPrice]]*Transaction[[#This Row],[Quantity]],"Valid","Invalid")</f>
        <v>Valid</v>
      </c>
      <c r="AA967">
        <v>713.25</v>
      </c>
      <c r="AB96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713.25</v>
      </c>
      <c r="AC967">
        <f>IF(Transaction[[#This Row],[DiscountAmount_Check2]]="Invalid",Transaction[[#This Row],[GrossRevenue_Analytical]]-Transaction[[#This Row],[NetRevenue_Analytical]],Transaction[[#This Row],[DiscountAmount_Clean]])</f>
        <v>713.25</v>
      </c>
      <c r="AD967">
        <v>4186.75</v>
      </c>
      <c r="AE967" t="str">
        <f>IF(ROUND(Transaction[[#This Row],[GrossRevenue_Analytical]]-Transaction[[#This Row],[NetRevenue_Analytical]],2)=ROUND(Transaction[[#This Row],[DiscountAmount_Clean]],2),"Valid","Invalid")</f>
        <v>Valid</v>
      </c>
      <c r="AF967">
        <f>VALUE(IF(ISNUMBER(Transaction[[#This Row],[NetRevenue]]),Transaction[[#This Row],[NetRevenue]],IFERROR(IF(FIND("$",Transaction[[#This Row],[NetRevenue]])&gt;0,MID(Transaction[[#This Row],[NetRevenue]],2,10)),Transaction[[#This Row],[NetRevenue]])))</f>
        <v>4186.75</v>
      </c>
      <c r="AG967">
        <f>IF(Transaction[[#This Row],[NetRevenue_Check]]="Invalid",(Transaction[[#This Row],[Quantity]]*Transaction[[#This Row],[UnitPrice_Clean]]),Transaction[[#This Row],[NetRevenue_Clean]])</f>
        <v>4186.75</v>
      </c>
      <c r="AH967" t="str">
        <f>IF(Transaction[[#This Row],[Quantity]]*Transaction[[#This Row],[UnitPrice_Clean]]=Transaction[[#This Row],[NetRevenue_Clean]],"Valid","Invalid")</f>
        <v>Valid</v>
      </c>
      <c r="AI967" t="s">
        <v>23</v>
      </c>
      <c r="AJ967" t="s">
        <v>905</v>
      </c>
      <c r="AK967" t="str">
        <f>IF(Transaction[[#This Row],[Salesperson]]="","Missing Value",TRIM(PROPER(Transaction[[#This Row],[Salesperson]])))</f>
        <v>Ward</v>
      </c>
      <c r="AL967" t="s">
        <v>25</v>
      </c>
      <c r="AM967" t="str">
        <f>IF(Transaction[[#This Row],[ContractType]]="","Missing Value",Transaction[[#This Row],[ContractType]])</f>
        <v>Frame Agreement</v>
      </c>
      <c r="AN967" t="s">
        <v>49</v>
      </c>
    </row>
    <row r="968" spans="1:40" x14ac:dyDescent="0.25">
      <c r="A968" t="s">
        <v>1604</v>
      </c>
      <c r="B968" s="1">
        <v>45830</v>
      </c>
      <c r="C96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96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96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68" s="2">
        <f>IFERROR(DATE(Transaction[[#This Row],[TransactionDateY]],Transaction[[#This Row],[TransactionDateM]],Transaction[[#This Row],[TransactionDateD]]),"Missing Value")</f>
        <v>45830</v>
      </c>
      <c r="G968" t="s">
        <v>1605</v>
      </c>
      <c r="H968" t="str">
        <f>IFERROR(VLOOKUP(Transaction[[#This Row],[CustomerID]],Custumer[],1,0),IF(LEN(Transaction[[#This Row],[CustomerID]])=7,LEFT(Transaction[[#This Row],[CustomerID]],6),"Invalid ID"))</f>
        <v>C-1096</v>
      </c>
      <c r="I968" t="s">
        <v>946</v>
      </c>
      <c r="J968" t="str">
        <f>TRIM(UPPER(Transaction[[#This Row],[ProductID]]))</f>
        <v>P-SI-006</v>
      </c>
      <c r="K968" t="str">
        <f>IFERROR(VLOOKUP(Transaction[[#This Row],[ProductID_Clean]],Product[],1,FALSE),"Invalid ID")</f>
        <v>P-SI-006</v>
      </c>
      <c r="L968" t="str">
        <f>TRIM(SUBSTITUTE(SUBSTITUTE(SUBSTITUTE(SUBSTITUTE(UPPER(Transaction[[#This Row],[Region]]),"EMEA REGION","EMEA"),"APAC REGION","APAC"),"NORTH AMERICA","N. AMERICA"),"N .AMERICA","N.AMERICA"))</f>
        <v>N. AMERICA</v>
      </c>
      <c r="M968" t="s">
        <v>20</v>
      </c>
      <c r="N968" t="s">
        <v>47</v>
      </c>
      <c r="O96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68" t="s">
        <v>420</v>
      </c>
      <c r="Q968" t="str">
        <f>IF(TRIM(Transaction[[#This Row],[SalesChannel]])="","Missing Value",TRIM(Transaction[[#This Row],[SalesChannel]]))</f>
        <v>partner portal</v>
      </c>
      <c r="R968" s="4">
        <v>2</v>
      </c>
      <c r="S968" s="4" t="str">
        <f>IF(Transaction[[#This Row],[Quantity]]&lt;0,"Negative-review","Valid")</f>
        <v>Valid</v>
      </c>
      <c r="T968">
        <v>185.11</v>
      </c>
      <c r="U96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185.11</v>
      </c>
      <c r="V968">
        <v>215</v>
      </c>
      <c r="W968">
        <v>430</v>
      </c>
      <c r="X96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968">
        <f>IF(Transaction[[#This Row],[GrossRevenue_Check]]="Invalid",Transaction[[#This Row],[ListPrice]]*Transaction[[#This Row],[Quantity]],Transaction[[#This Row],[GrossRevenue_Clean]])</f>
        <v>430</v>
      </c>
      <c r="Z968" t="str">
        <f>IF(Transaction[[#This Row],[GrossRevenue_Clean]]=Transaction[[#This Row],[ListPrice]]*Transaction[[#This Row],[Quantity]],"Valid","Invalid")</f>
        <v>Valid</v>
      </c>
      <c r="AA968">
        <v>59.78</v>
      </c>
      <c r="AB96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59.78</v>
      </c>
      <c r="AC968">
        <f>IF(Transaction[[#This Row],[DiscountAmount_Check2]]="Invalid",Transaction[[#This Row],[GrossRevenue_Analytical]]-Transaction[[#This Row],[NetRevenue_Analytical]],Transaction[[#This Row],[DiscountAmount_Clean]])</f>
        <v>59.78</v>
      </c>
      <c r="AD968">
        <v>370.22</v>
      </c>
      <c r="AE968" t="str">
        <f>IF(ROUND(Transaction[[#This Row],[GrossRevenue_Analytical]]-Transaction[[#This Row],[NetRevenue_Analytical]],2)=ROUND(Transaction[[#This Row],[DiscountAmount_Clean]],2),"Valid","Invalid")</f>
        <v>Valid</v>
      </c>
      <c r="AF968">
        <f>VALUE(IF(ISNUMBER(Transaction[[#This Row],[NetRevenue]]),Transaction[[#This Row],[NetRevenue]],IFERROR(IF(FIND("$",Transaction[[#This Row],[NetRevenue]])&gt;0,MID(Transaction[[#This Row],[NetRevenue]],2,10)),Transaction[[#This Row],[NetRevenue]])))</f>
        <v>370.22</v>
      </c>
      <c r="AG968">
        <f>IF(Transaction[[#This Row],[NetRevenue_Check]]="Invalid",(Transaction[[#This Row],[Quantity]]*Transaction[[#This Row],[UnitPrice_Clean]]),Transaction[[#This Row],[NetRevenue_Clean]])</f>
        <v>370.22</v>
      </c>
      <c r="AH968" t="str">
        <f>IF(Transaction[[#This Row],[Quantity]]*Transaction[[#This Row],[UnitPrice_Clean]]=Transaction[[#This Row],[NetRevenue_Clean]],"Valid","Invalid")</f>
        <v>Valid</v>
      </c>
      <c r="AI968" t="s">
        <v>23</v>
      </c>
      <c r="AJ968" t="s">
        <v>1606</v>
      </c>
      <c r="AK968" t="str">
        <f>IF(Transaction[[#This Row],[Salesperson]]="","Missing Value",TRIM(PROPER(Transaction[[#This Row],[Salesperson]])))</f>
        <v>Owens-Ap</v>
      </c>
      <c r="AL968" t="s">
        <v>55</v>
      </c>
      <c r="AM968" t="str">
        <f>IF(Transaction[[#This Row],[ContractType]]="","Missing Value",Transaction[[#This Row],[ContractType]])</f>
        <v>Spot</v>
      </c>
      <c r="AN968" t="s">
        <v>65</v>
      </c>
    </row>
    <row r="969" spans="1:40" x14ac:dyDescent="0.25">
      <c r="A969" t="s">
        <v>1728</v>
      </c>
      <c r="B969" s="1">
        <v>45797</v>
      </c>
      <c r="C96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96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96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69" s="2">
        <f>IFERROR(DATE(Transaction[[#This Row],[TransactionDateY]],Transaction[[#This Row],[TransactionDateM]],Transaction[[#This Row],[TransactionDateD]]),"Missing Value")</f>
        <v>45797</v>
      </c>
      <c r="G969" t="s">
        <v>1336</v>
      </c>
      <c r="H969" t="str">
        <f>IFERROR(VLOOKUP(Transaction[[#This Row],[CustomerID]],Custumer[],1,0),IF(LEN(Transaction[[#This Row],[CustomerID]])=7,LEFT(Transaction[[#This Row],[CustomerID]],6),"Invalid ID"))</f>
        <v>Invalid ID</v>
      </c>
      <c r="I969" t="s">
        <v>103</v>
      </c>
      <c r="J969" t="str">
        <f>TRIM(UPPER(Transaction[[#This Row],[ProductID]]))</f>
        <v>P-FS-005</v>
      </c>
      <c r="K969" t="str">
        <f>IFERROR(VLOOKUP(Transaction[[#This Row],[ProductID_Clean]],Product[],1,FALSE),"Invalid ID")</f>
        <v>P-FS-005</v>
      </c>
      <c r="L969" t="str">
        <f>TRIM(SUBSTITUTE(SUBSTITUTE(SUBSTITUTE(SUBSTITUTE(UPPER(Transaction[[#This Row],[Region]]),"EMEA REGION","EMEA"),"APAC REGION","APAC"),"NORTH AMERICA","N. AMERICA"),"N .AMERICA","N.AMERICA"))</f>
        <v>APAC</v>
      </c>
      <c r="M969" t="s">
        <v>30</v>
      </c>
      <c r="N969" t="s">
        <v>21</v>
      </c>
      <c r="O969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969" t="s">
        <v>22</v>
      </c>
      <c r="Q969" t="str">
        <f>IF(TRIM(Transaction[[#This Row],[SalesChannel]])="","Missing Value",TRIM(Transaction[[#This Row],[SalesChannel]]))</f>
        <v>Direct</v>
      </c>
      <c r="R969" s="4">
        <v>1</v>
      </c>
      <c r="S969" s="4" t="str">
        <f>IF(Transaction[[#This Row],[Quantity]]&lt;0,"Negative-review","Valid")</f>
        <v>Valid</v>
      </c>
      <c r="T969">
        <v>753.8</v>
      </c>
      <c r="U96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753.8</v>
      </c>
      <c r="V969">
        <v>950</v>
      </c>
      <c r="W969">
        <v>950</v>
      </c>
      <c r="X96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969">
        <f>IF(Transaction[[#This Row],[GrossRevenue_Check]]="Invalid",Transaction[[#This Row],[ListPrice]]*Transaction[[#This Row],[Quantity]],Transaction[[#This Row],[GrossRevenue_Clean]])</f>
        <v>950</v>
      </c>
      <c r="Z969" t="str">
        <f>IF(Transaction[[#This Row],[GrossRevenue_Clean]]=Transaction[[#This Row],[ListPrice]]*Transaction[[#This Row],[Quantity]],"Valid","Invalid")</f>
        <v>Valid</v>
      </c>
      <c r="AA969" t="s">
        <v>1729</v>
      </c>
      <c r="AB96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196.2</v>
      </c>
      <c r="AC969">
        <f>IF(Transaction[[#This Row],[DiscountAmount_Check2]]="Invalid",Transaction[[#This Row],[GrossRevenue_Analytical]]-Transaction[[#This Row],[NetRevenue_Analytical]],Transaction[[#This Row],[DiscountAmount_Clean]])</f>
        <v>196.2</v>
      </c>
      <c r="AD969">
        <v>753.8</v>
      </c>
      <c r="AE969" t="str">
        <f>IF(ROUND(Transaction[[#This Row],[GrossRevenue_Analytical]]-Transaction[[#This Row],[NetRevenue_Analytical]],2)=ROUND(Transaction[[#This Row],[DiscountAmount_Clean]],2),"Valid","Invalid")</f>
        <v>Valid</v>
      </c>
      <c r="AF969">
        <f>VALUE(IF(ISNUMBER(Transaction[[#This Row],[NetRevenue]]),Transaction[[#This Row],[NetRevenue]],IFERROR(IF(FIND("$",Transaction[[#This Row],[NetRevenue]])&gt;0,MID(Transaction[[#This Row],[NetRevenue]],2,10)),Transaction[[#This Row],[NetRevenue]])))</f>
        <v>753.8</v>
      </c>
      <c r="AG969">
        <f>IF(Transaction[[#This Row],[NetRevenue_Check]]="Invalid",(Transaction[[#This Row],[Quantity]]*Transaction[[#This Row],[UnitPrice_Clean]]),Transaction[[#This Row],[NetRevenue_Clean]])</f>
        <v>753.8</v>
      </c>
      <c r="AH969" t="str">
        <f>IF(Transaction[[#This Row],[Quantity]]*Transaction[[#This Row],[UnitPrice_Clean]]=Transaction[[#This Row],[NetRevenue_Clean]],"Valid","Invalid")</f>
        <v>Valid</v>
      </c>
      <c r="AI969" t="s">
        <v>23</v>
      </c>
      <c r="AJ969" t="s">
        <v>1730</v>
      </c>
      <c r="AK969" t="str">
        <f>IF(Transaction[[#This Row],[Salesperson]]="","Missing Value",TRIM(PROPER(Transaction[[#This Row],[Salesperson]])))</f>
        <v>Lang-Na</v>
      </c>
      <c r="AL969" t="s">
        <v>25</v>
      </c>
      <c r="AM969" t="str">
        <f>IF(Transaction[[#This Row],[ContractType]]="","Missing Value",Transaction[[#This Row],[ContractType]])</f>
        <v>Frame Agreement</v>
      </c>
      <c r="AN969" t="s">
        <v>65</v>
      </c>
    </row>
    <row r="970" spans="1:40" x14ac:dyDescent="0.25">
      <c r="A970" t="s">
        <v>602</v>
      </c>
      <c r="B970" s="1">
        <v>45794</v>
      </c>
      <c r="C97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97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97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70" s="2">
        <f>IFERROR(DATE(Transaction[[#This Row],[TransactionDateY]],Transaction[[#This Row],[TransactionDateM]],Transaction[[#This Row],[TransactionDateD]]),"Missing Value")</f>
        <v>45794</v>
      </c>
      <c r="G970" t="s">
        <v>314</v>
      </c>
      <c r="H970" t="str">
        <f>IFERROR(VLOOKUP(Transaction[[#This Row],[CustomerID]],Custumer[],1,0),IF(LEN(Transaction[[#This Row],[CustomerID]])=7,LEFT(Transaction[[#This Row],[CustomerID]],6),"Invalid ID"))</f>
        <v>Invalid ID</v>
      </c>
      <c r="I970" t="s">
        <v>92</v>
      </c>
      <c r="J970" t="str">
        <f>TRIM(UPPER(Transaction[[#This Row],[ProductID]]))</f>
        <v>P-SI-008</v>
      </c>
      <c r="K970" t="str">
        <f>IFERROR(VLOOKUP(Transaction[[#This Row],[ProductID_Clean]],Product[],1,FALSE),"Invalid ID")</f>
        <v>P-SI-008</v>
      </c>
      <c r="L970" t="str">
        <f>TRIM(SUBSTITUTE(SUBSTITUTE(SUBSTITUTE(SUBSTITUTE(UPPER(Transaction[[#This Row],[Region]]),"EMEA REGION","EMEA"),"APAC REGION","APAC"),"NORTH AMERICA","N. AMERICA"),"N .AMERICA","N.AMERICA"))</f>
        <v>N. AMERICA</v>
      </c>
      <c r="M970" t="s">
        <v>20</v>
      </c>
      <c r="N970" t="s">
        <v>53</v>
      </c>
      <c r="O97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70" t="s">
        <v>22</v>
      </c>
      <c r="Q970" t="str">
        <f>IF(TRIM(Transaction[[#This Row],[SalesChannel]])="","Missing Value",TRIM(Transaction[[#This Row],[SalesChannel]]))</f>
        <v>Direct</v>
      </c>
      <c r="R970" s="4">
        <v>1</v>
      </c>
      <c r="S970" s="4" t="str">
        <f>IF(Transaction[[#This Row],[Quantity]]&lt;0,"Negative-review","Valid")</f>
        <v>Valid</v>
      </c>
      <c r="T970">
        <v>826.96</v>
      </c>
      <c r="U97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826.96</v>
      </c>
      <c r="V970">
        <v>950</v>
      </c>
      <c r="W970">
        <v>950</v>
      </c>
      <c r="X97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970">
        <f>IF(Transaction[[#This Row],[GrossRevenue_Check]]="Invalid",Transaction[[#This Row],[ListPrice]]*Transaction[[#This Row],[Quantity]],Transaction[[#This Row],[GrossRevenue_Clean]])</f>
        <v>950</v>
      </c>
      <c r="Z970" t="str">
        <f>IF(Transaction[[#This Row],[GrossRevenue_Clean]]=Transaction[[#This Row],[ListPrice]]*Transaction[[#This Row],[Quantity]],"Valid","Invalid")</f>
        <v>Valid</v>
      </c>
      <c r="AA970">
        <v>123.04</v>
      </c>
      <c r="AB97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123.04</v>
      </c>
      <c r="AC970">
        <f>IF(Transaction[[#This Row],[DiscountAmount_Check2]]="Invalid",Transaction[[#This Row],[GrossRevenue_Analytical]]-Transaction[[#This Row],[NetRevenue_Analytical]],Transaction[[#This Row],[DiscountAmount_Clean]])</f>
        <v>123.04</v>
      </c>
      <c r="AD970">
        <v>826.96</v>
      </c>
      <c r="AE970" t="str">
        <f>IF(ROUND(Transaction[[#This Row],[GrossRevenue_Analytical]]-Transaction[[#This Row],[NetRevenue_Analytical]],2)=ROUND(Transaction[[#This Row],[DiscountAmount_Clean]],2),"Valid","Invalid")</f>
        <v>Valid</v>
      </c>
      <c r="AF970">
        <f>VALUE(IF(ISNUMBER(Transaction[[#This Row],[NetRevenue]]),Transaction[[#This Row],[NetRevenue]],IFERROR(IF(FIND("$",Transaction[[#This Row],[NetRevenue]])&gt;0,MID(Transaction[[#This Row],[NetRevenue]],2,10)),Transaction[[#This Row],[NetRevenue]])))</f>
        <v>826.96</v>
      </c>
      <c r="AG970">
        <f>IF(Transaction[[#This Row],[NetRevenue_Check]]="Invalid",(Transaction[[#This Row],[Quantity]]*Transaction[[#This Row],[UnitPrice_Clean]]),Transaction[[#This Row],[NetRevenue_Clean]])</f>
        <v>826.96</v>
      </c>
      <c r="AH970" t="str">
        <f>IF(Transaction[[#This Row],[Quantity]]*Transaction[[#This Row],[UnitPrice_Clean]]=Transaction[[#This Row],[NetRevenue_Clean]],"Valid","Invalid")</f>
        <v>Valid</v>
      </c>
      <c r="AI970" t="s">
        <v>23</v>
      </c>
      <c r="AJ970" t="s">
        <v>603</v>
      </c>
      <c r="AK970" t="str">
        <f>IF(Transaction[[#This Row],[Salesperson]]="","Missing Value",TRIM(PROPER(Transaction[[#This Row],[Salesperson]])))</f>
        <v>Bowen-Na</v>
      </c>
      <c r="AL970" t="s">
        <v>42</v>
      </c>
      <c r="AM970" t="str">
        <f>IF(Transaction[[#This Row],[ContractType]]="","Missing Value",Transaction[[#This Row],[ContractType]])</f>
        <v>Standard PO</v>
      </c>
      <c r="AN970" t="s">
        <v>35</v>
      </c>
    </row>
    <row r="971" spans="1:40" x14ac:dyDescent="0.25">
      <c r="A971" t="s">
        <v>1053</v>
      </c>
      <c r="B971" t="s">
        <v>1054</v>
      </c>
      <c r="C97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97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97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71" s="2">
        <f>IFERROR(DATE(Transaction[[#This Row],[TransactionDateY]],Transaction[[#This Row],[TransactionDateM]],Transaction[[#This Row],[TransactionDateD]]),"Missing Value")</f>
        <v>45716</v>
      </c>
      <c r="G971" t="s">
        <v>779</v>
      </c>
      <c r="H971" t="str">
        <f>IFERROR(VLOOKUP(Transaction[[#This Row],[CustomerID]],Custumer[],1,0),IF(LEN(Transaction[[#This Row],[CustomerID]])=7,LEFT(Transaction[[#This Row],[CustomerID]],6),"Invalid ID"))</f>
        <v>C-1025</v>
      </c>
      <c r="I971" t="s">
        <v>97</v>
      </c>
      <c r="J971" t="str">
        <f>TRIM(UPPER(Transaction[[#This Row],[ProductID]]))</f>
        <v>P-SI-001</v>
      </c>
      <c r="K971" t="str">
        <f>IFERROR(VLOOKUP(Transaction[[#This Row],[ProductID_Clean]],Product[],1,FALSE),"Invalid ID")</f>
        <v>P-SI-001</v>
      </c>
      <c r="L971" t="str">
        <f>TRIM(SUBSTITUTE(SUBSTITUTE(SUBSTITUTE(SUBSTITUTE(UPPER(Transaction[[#This Row],[Region]]),"EMEA REGION","EMEA"),"APAC REGION","APAC"),"NORTH AMERICA","N. AMERICA"),"N .AMERICA","N.AMERICA"))</f>
        <v>LATIN AMERICA</v>
      </c>
      <c r="M971" t="s">
        <v>82</v>
      </c>
      <c r="N971" t="s">
        <v>53</v>
      </c>
      <c r="O97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71" t="s">
        <v>22</v>
      </c>
      <c r="Q971" t="str">
        <f>IF(TRIM(Transaction[[#This Row],[SalesChannel]])="","Missing Value",TRIM(Transaction[[#This Row],[SalesChannel]]))</f>
        <v>Direct</v>
      </c>
      <c r="R971" s="4">
        <v>3</v>
      </c>
      <c r="S971" s="4" t="str">
        <f>IF(Transaction[[#This Row],[Quantity]]&lt;0,"Negative-review","Valid")</f>
        <v>Valid</v>
      </c>
      <c r="T971">
        <v>380.74</v>
      </c>
      <c r="U97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380.74</v>
      </c>
      <c r="V971">
        <v>485</v>
      </c>
      <c r="W971">
        <v>1455</v>
      </c>
      <c r="X97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971">
        <f>IF(Transaction[[#This Row],[GrossRevenue_Check]]="Invalid",Transaction[[#This Row],[ListPrice]]*Transaction[[#This Row],[Quantity]],Transaction[[#This Row],[GrossRevenue_Clean]])</f>
        <v>1455</v>
      </c>
      <c r="Z971" t="str">
        <f>IF(Transaction[[#This Row],[GrossRevenue_Clean]]=Transaction[[#This Row],[ListPrice]]*Transaction[[#This Row],[Quantity]],"Valid","Invalid")</f>
        <v>Valid</v>
      </c>
      <c r="AA971">
        <v>312.77999999999997</v>
      </c>
      <c r="AB97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312.77999999999997</v>
      </c>
      <c r="AC971">
        <f>IF(Transaction[[#This Row],[DiscountAmount_Check2]]="Invalid",Transaction[[#This Row],[GrossRevenue_Analytical]]-Transaction[[#This Row],[NetRevenue_Analytical]],Transaction[[#This Row],[DiscountAmount_Clean]])</f>
        <v>312.77999999999997</v>
      </c>
      <c r="AD971">
        <v>1142.22</v>
      </c>
      <c r="AE971" t="str">
        <f>IF(ROUND(Transaction[[#This Row],[GrossRevenue_Analytical]]-Transaction[[#This Row],[NetRevenue_Analytical]],2)=ROUND(Transaction[[#This Row],[DiscountAmount_Clean]],2),"Valid","Invalid")</f>
        <v>Valid</v>
      </c>
      <c r="AF97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1142.22</v>
      </c>
      <c r="AG971">
        <f>IF(Transaction[[#This Row],[NetRevenue_Check]]="Invalid",(Transaction[[#This Row],[Quantity]]*Transaction[[#This Row],[UnitPrice_Clean]]),Transaction[[#This Row],[NetRevenue_Clean]])</f>
        <v>1142.22</v>
      </c>
      <c r="AH971" t="str">
        <f>IF(Transaction[[#This Row],[Quantity]]*Transaction[[#This Row],[UnitPrice_Clean]]=Transaction[[#This Row],[NetRevenue_Clean]],"Valid","Invalid")</f>
        <v>Valid</v>
      </c>
      <c r="AI971" t="s">
        <v>23</v>
      </c>
      <c r="AJ971" t="s">
        <v>1055</v>
      </c>
      <c r="AK971" t="str">
        <f>IF(Transaction[[#This Row],[Salesperson]]="","Missing Value",TRIM(PROPER(Transaction[[#This Row],[Salesperson]])))</f>
        <v>Gill</v>
      </c>
      <c r="AL971" t="s">
        <v>25</v>
      </c>
      <c r="AM971" t="str">
        <f>IF(Transaction[[#This Row],[ContractType]]="","Missing Value",Transaction[[#This Row],[ContractType]])</f>
        <v>Frame Agreement</v>
      </c>
      <c r="AN971" t="s">
        <v>26</v>
      </c>
    </row>
    <row r="972" spans="1:40" x14ac:dyDescent="0.25">
      <c r="A972" t="s">
        <v>1551</v>
      </c>
      <c r="B972" t="s">
        <v>1552</v>
      </c>
      <c r="C97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97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09</v>
      </c>
      <c r="E97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72" s="2">
        <f>IFERROR(DATE(Transaction[[#This Row],[TransactionDateY]],Transaction[[#This Row],[TransactionDateM]],Transaction[[#This Row],[TransactionDateD]]),"Missing Value")</f>
        <v>45697</v>
      </c>
      <c r="G972" t="s">
        <v>1553</v>
      </c>
      <c r="H972" t="str">
        <f>IFERROR(VLOOKUP(Transaction[[#This Row],[CustomerID]],Custumer[],1,0),IF(LEN(Transaction[[#This Row],[CustomerID]])=7,LEFT(Transaction[[#This Row],[CustomerID]],6),"Invalid ID"))</f>
        <v>C-1150</v>
      </c>
      <c r="I972" t="s">
        <v>52</v>
      </c>
      <c r="J972" t="str">
        <f>TRIM(UPPER(Transaction[[#This Row],[ProductID]]))</f>
        <v>P-SI-002</v>
      </c>
      <c r="K972" t="str">
        <f>IFERROR(VLOOKUP(Transaction[[#This Row],[ProductID_Clean]],Product[],1,FALSE),"Invalid ID")</f>
        <v>P-SI-002</v>
      </c>
      <c r="L972" t="str">
        <f>TRIM(SUBSTITUTE(SUBSTITUTE(SUBSTITUTE(SUBSTITUTE(UPPER(Transaction[[#This Row],[Region]]),"EMEA REGION","EMEA"),"APAC REGION","APAC"),"NORTH AMERICA","N. AMERICA"),"N .AMERICA","N.AMERICA"))</f>
        <v>N. AMERICA</v>
      </c>
      <c r="M972" t="s">
        <v>20</v>
      </c>
      <c r="N972" t="s">
        <v>53</v>
      </c>
      <c r="O97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72" t="s">
        <v>40</v>
      </c>
      <c r="Q972" t="str">
        <f>IF(TRIM(Transaction[[#This Row],[SalesChannel]])="","Missing Value",TRIM(Transaction[[#This Row],[SalesChannel]]))</f>
        <v>Distributor</v>
      </c>
      <c r="R972" s="4">
        <v>3</v>
      </c>
      <c r="S972" s="4" t="str">
        <f>IF(Transaction[[#This Row],[Quantity]]&lt;0,"Negative-review","Valid")</f>
        <v>Valid</v>
      </c>
      <c r="T972">
        <v>595.69000000000005</v>
      </c>
      <c r="U97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595.69000000000005</v>
      </c>
      <c r="V972">
        <v>725</v>
      </c>
      <c r="W972">
        <v>2175</v>
      </c>
      <c r="X97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2175</v>
      </c>
      <c r="Y972">
        <f>IF(Transaction[[#This Row],[GrossRevenue_Check]]="Invalid",Transaction[[#This Row],[ListPrice]]*Transaction[[#This Row],[Quantity]],Transaction[[#This Row],[GrossRevenue_Clean]])</f>
        <v>2175</v>
      </c>
      <c r="Z972" t="str">
        <f>IF(Transaction[[#This Row],[GrossRevenue_Clean]]=Transaction[[#This Row],[ListPrice]]*Transaction[[#This Row],[Quantity]],"Valid","Invalid")</f>
        <v>Valid</v>
      </c>
      <c r="AA972">
        <v>387.93</v>
      </c>
      <c r="AB97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387.93</v>
      </c>
      <c r="AC972">
        <f>IF(Transaction[[#This Row],[DiscountAmount_Check2]]="Invalid",Transaction[[#This Row],[GrossRevenue_Analytical]]-Transaction[[#This Row],[NetRevenue_Analytical]],Transaction[[#This Row],[DiscountAmount_Clean]])</f>
        <v>387.93</v>
      </c>
      <c r="AD972">
        <v>1787.07</v>
      </c>
      <c r="AE972" t="str">
        <f>IF(ROUND(Transaction[[#This Row],[GrossRevenue_Analytical]]-Transaction[[#This Row],[NetRevenue_Analytical]],2)=ROUND(Transaction[[#This Row],[DiscountAmount_Clean]],2),"Valid","Invalid")</f>
        <v>Valid</v>
      </c>
      <c r="AF97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1787.07</v>
      </c>
      <c r="AG972">
        <f>IF(Transaction[[#This Row],[NetRevenue_Check]]="Invalid",(Transaction[[#This Row],[Quantity]]*Transaction[[#This Row],[UnitPrice_Clean]]),Transaction[[#This Row],[NetRevenue_Clean]])</f>
        <v>1787.07</v>
      </c>
      <c r="AH972" t="str">
        <f>IF(Transaction[[#This Row],[Quantity]]*Transaction[[#This Row],[UnitPrice_Clean]]=Transaction[[#This Row],[NetRevenue_Clean]],"Valid","Invalid")</f>
        <v>Valid</v>
      </c>
      <c r="AI972" t="s">
        <v>23</v>
      </c>
      <c r="AJ972" t="s">
        <v>1554</v>
      </c>
      <c r="AK972" t="str">
        <f>IF(Transaction[[#This Row],[Salesperson]]="","Missing Value",TRIM(PROPER(Transaction[[#This Row],[Salesperson]])))</f>
        <v>Flores</v>
      </c>
      <c r="AL972" t="s">
        <v>25</v>
      </c>
      <c r="AM972" t="str">
        <f>IF(Transaction[[#This Row],[ContractType]]="","Missing Value",Transaction[[#This Row],[ContractType]])</f>
        <v>Frame Agreement</v>
      </c>
      <c r="AN972" t="s">
        <v>65</v>
      </c>
    </row>
    <row r="973" spans="1:40" x14ac:dyDescent="0.25">
      <c r="A973" t="s">
        <v>2502</v>
      </c>
      <c r="B973" t="s">
        <v>2503</v>
      </c>
      <c r="C97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97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97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73" s="2">
        <f>IFERROR(DATE(Transaction[[#This Row],[TransactionDateY]],Transaction[[#This Row],[TransactionDateM]],Transaction[[#This Row],[TransactionDateD]]),"Missing Value")</f>
        <v>45706</v>
      </c>
      <c r="G973" t="s">
        <v>200</v>
      </c>
      <c r="H973" t="str">
        <f>IFERROR(VLOOKUP(Transaction[[#This Row],[CustomerID]],Custumer[],1,0),IF(LEN(Transaction[[#This Row],[CustomerID]])=7,LEFT(Transaction[[#This Row],[CustomerID]],6),"Invalid ID"))</f>
        <v>C-1070</v>
      </c>
      <c r="I973" t="s">
        <v>58</v>
      </c>
      <c r="J973" t="str">
        <f>TRIM(UPPER(Transaction[[#This Row],[ProductID]]))</f>
        <v>P-SI-005</v>
      </c>
      <c r="K973" t="str">
        <f>IFERROR(VLOOKUP(Transaction[[#This Row],[ProductID_Clean]],Product[],1,FALSE),"Invalid ID")</f>
        <v>P-SI-005</v>
      </c>
      <c r="L973" t="str">
        <f>TRIM(SUBSTITUTE(SUBSTITUTE(SUBSTITUTE(SUBSTITUTE(UPPER(Transaction[[#This Row],[Region]]),"EMEA REGION","EMEA"),"APAC REGION","APAC"),"NORTH AMERICA","N. AMERICA"),"N .AMERICA","N.AMERICA"))</f>
        <v>EMEA</v>
      </c>
      <c r="M973" t="s">
        <v>76</v>
      </c>
      <c r="N973" t="s">
        <v>53</v>
      </c>
      <c r="O97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73" t="s">
        <v>22</v>
      </c>
      <c r="Q973" t="str">
        <f>IF(TRIM(Transaction[[#This Row],[SalesChannel]])="","Missing Value",TRIM(Transaction[[#This Row],[SalesChannel]]))</f>
        <v>Direct</v>
      </c>
      <c r="R973" s="4">
        <v>4</v>
      </c>
      <c r="S973" s="4" t="str">
        <f>IF(Transaction[[#This Row],[Quantity]]&lt;0,"Negative-review","Valid")</f>
        <v>Valid</v>
      </c>
      <c r="T973">
        <v>902.26</v>
      </c>
      <c r="U97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902.26</v>
      </c>
      <c r="V973">
        <v>1120</v>
      </c>
      <c r="W973">
        <v>4480</v>
      </c>
      <c r="X97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4480</v>
      </c>
      <c r="Y973">
        <f>IF(Transaction[[#This Row],[GrossRevenue_Check]]="Invalid",Transaction[[#This Row],[ListPrice]]*Transaction[[#This Row],[Quantity]],Transaction[[#This Row],[GrossRevenue_Clean]])</f>
        <v>4480</v>
      </c>
      <c r="Z973" t="str">
        <f>IF(Transaction[[#This Row],[GrossRevenue_Clean]]=Transaction[[#This Row],[ListPrice]]*Transaction[[#This Row],[Quantity]],"Valid","Invalid")</f>
        <v>Valid</v>
      </c>
      <c r="AA973">
        <v>870.96</v>
      </c>
      <c r="AB97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870.96</v>
      </c>
      <c r="AC973">
        <f>IF(Transaction[[#This Row],[DiscountAmount_Check2]]="Invalid",Transaction[[#This Row],[GrossRevenue_Analytical]]-Transaction[[#This Row],[NetRevenue_Analytical]],Transaction[[#This Row],[DiscountAmount_Clean]])</f>
        <v>870.96</v>
      </c>
      <c r="AD973">
        <v>3609.04</v>
      </c>
      <c r="AE973" t="str">
        <f>IF(ROUND(Transaction[[#This Row],[GrossRevenue_Analytical]]-Transaction[[#This Row],[NetRevenue_Analytical]],2)=ROUND(Transaction[[#This Row],[DiscountAmount_Clean]],2),"Valid","Invalid")</f>
        <v>Valid</v>
      </c>
      <c r="AF97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3609.04</v>
      </c>
      <c r="AG973">
        <f>IF(Transaction[[#This Row],[NetRevenue_Check]]="Invalid",(Transaction[[#This Row],[Quantity]]*Transaction[[#This Row],[UnitPrice_Clean]]),Transaction[[#This Row],[NetRevenue_Clean]])</f>
        <v>3609.04</v>
      </c>
      <c r="AH973" t="str">
        <f>IF(Transaction[[#This Row],[Quantity]]*Transaction[[#This Row],[UnitPrice_Clean]]=Transaction[[#This Row],[NetRevenue_Clean]],"Valid","Invalid")</f>
        <v>Valid</v>
      </c>
      <c r="AI973" t="s">
        <v>23</v>
      </c>
      <c r="AJ973" t="s">
        <v>2504</v>
      </c>
      <c r="AK973" t="str">
        <f>IF(Transaction[[#This Row],[Salesperson]]="","Missing Value",TRIM(PROPER(Transaction[[#This Row],[Salesperson]])))</f>
        <v>Harris-Ap</v>
      </c>
      <c r="AL973" t="s">
        <v>42</v>
      </c>
      <c r="AM973" t="str">
        <f>IF(Transaction[[#This Row],[ContractType]]="","Missing Value",Transaction[[#This Row],[ContractType]])</f>
        <v>Standard PO</v>
      </c>
      <c r="AN973" t="s">
        <v>35</v>
      </c>
    </row>
    <row r="974" spans="1:40" x14ac:dyDescent="0.25">
      <c r="A974" t="s">
        <v>2812</v>
      </c>
      <c r="B974" s="1">
        <v>45686</v>
      </c>
      <c r="C97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97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29</v>
      </c>
      <c r="E97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74" s="2">
        <f>IFERROR(DATE(Transaction[[#This Row],[TransactionDateY]],Transaction[[#This Row],[TransactionDateM]],Transaction[[#This Row],[TransactionDateD]]),"Missing Value")</f>
        <v>45686</v>
      </c>
      <c r="G974" t="s">
        <v>1903</v>
      </c>
      <c r="H974" t="str">
        <f>IFERROR(VLOOKUP(Transaction[[#This Row],[CustomerID]],Custumer[],1,0),IF(LEN(Transaction[[#This Row],[CustomerID]])=7,LEFT(Transaction[[#This Row],[CustomerID]],6),"Invalid ID"))</f>
        <v>C-1010</v>
      </c>
      <c r="I974" t="s">
        <v>97</v>
      </c>
      <c r="J974" t="str">
        <f>TRIM(UPPER(Transaction[[#This Row],[ProductID]]))</f>
        <v>P-SI-001</v>
      </c>
      <c r="K974" t="str">
        <f>IFERROR(VLOOKUP(Transaction[[#This Row],[ProductID_Clean]],Product[],1,FALSE),"Invalid ID")</f>
        <v>P-SI-001</v>
      </c>
      <c r="L974" t="str">
        <f>TRIM(SUBSTITUTE(SUBSTITUTE(SUBSTITUTE(SUBSTITUTE(UPPER(Transaction[[#This Row],[Region]]),"EMEA REGION","EMEA"),"APAC REGION","APAC"),"NORTH AMERICA","N. AMERICA"),"N .AMERICA","N.AMERICA"))</f>
        <v>N. AMERICA</v>
      </c>
      <c r="M974" t="s">
        <v>20</v>
      </c>
      <c r="N974" t="s">
        <v>53</v>
      </c>
      <c r="O97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74" t="s">
        <v>40</v>
      </c>
      <c r="Q974" t="str">
        <f>IF(TRIM(Transaction[[#This Row],[SalesChannel]])="","Missing Value",TRIM(Transaction[[#This Row],[SalesChannel]]))</f>
        <v>Distributor</v>
      </c>
      <c r="R974" s="4">
        <v>2</v>
      </c>
      <c r="S974" s="4" t="str">
        <f>IF(Transaction[[#This Row],[Quantity]]&lt;0,"Negative-review","Valid")</f>
        <v>Valid</v>
      </c>
      <c r="T974">
        <v>414.86</v>
      </c>
      <c r="U97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414.86</v>
      </c>
      <c r="V974">
        <v>485</v>
      </c>
      <c r="W974">
        <v>970</v>
      </c>
      <c r="X97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974">
        <f>IF(Transaction[[#This Row],[GrossRevenue_Check]]="Invalid",Transaction[[#This Row],[ListPrice]]*Transaction[[#This Row],[Quantity]],Transaction[[#This Row],[GrossRevenue_Clean]])</f>
        <v>970</v>
      </c>
      <c r="Z974" t="str">
        <f>IF(Transaction[[#This Row],[GrossRevenue_Clean]]=Transaction[[#This Row],[ListPrice]]*Transaction[[#This Row],[Quantity]],"Valid","Invalid")</f>
        <v>Valid</v>
      </c>
      <c r="AA974">
        <v>140.28</v>
      </c>
      <c r="AB97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140.28</v>
      </c>
      <c r="AC974">
        <f>IF(Transaction[[#This Row],[DiscountAmount_Check2]]="Invalid",Transaction[[#This Row],[GrossRevenue_Analytical]]-Transaction[[#This Row],[NetRevenue_Analytical]],Transaction[[#This Row],[DiscountAmount_Clean]])</f>
        <v>140.28</v>
      </c>
      <c r="AD974">
        <v>829.72</v>
      </c>
      <c r="AE974" t="str">
        <f>IF(ROUND(Transaction[[#This Row],[GrossRevenue_Analytical]]-Transaction[[#This Row],[NetRevenue_Analytical]],2)=ROUND(Transaction[[#This Row],[DiscountAmount_Clean]],2),"Valid","Invalid")</f>
        <v>Valid</v>
      </c>
      <c r="AF974">
        <f>VALUE(IF(ISNUMBER(Transaction[[#This Row],[NetRevenue]]),Transaction[[#This Row],[NetRevenue]],IFERROR(IF(FIND("$",Transaction[[#This Row],[NetRevenue]])&gt;0,MID(Transaction[[#This Row],[NetRevenue]],2,10)),Transaction[[#This Row],[NetRevenue]])))</f>
        <v>829.72</v>
      </c>
      <c r="AG974">
        <f>IF(Transaction[[#This Row],[NetRevenue_Check]]="Invalid",(Transaction[[#This Row],[Quantity]]*Transaction[[#This Row],[UnitPrice_Clean]]),Transaction[[#This Row],[NetRevenue_Clean]])</f>
        <v>829.72</v>
      </c>
      <c r="AH974" t="str">
        <f>IF(Transaction[[#This Row],[Quantity]]*Transaction[[#This Row],[UnitPrice_Clean]]=Transaction[[#This Row],[NetRevenue_Clean]],"Valid","Invalid")</f>
        <v>Valid</v>
      </c>
      <c r="AI974" t="s">
        <v>23</v>
      </c>
      <c r="AJ974" t="s">
        <v>2813</v>
      </c>
      <c r="AK974" t="str">
        <f>IF(Transaction[[#This Row],[Salesperson]]="","Missing Value",TRIM(PROPER(Transaction[[#This Row],[Salesperson]])))</f>
        <v>Edwards-Ap</v>
      </c>
      <c r="AL974" t="s">
        <v>42</v>
      </c>
      <c r="AM974" t="str">
        <f>IF(Transaction[[#This Row],[ContractType]]="","Missing Value",Transaction[[#This Row],[ContractType]])</f>
        <v>Standard PO</v>
      </c>
      <c r="AN974" t="s">
        <v>35</v>
      </c>
    </row>
    <row r="975" spans="1:40" x14ac:dyDescent="0.25">
      <c r="A975" t="s">
        <v>171</v>
      </c>
      <c r="B975" s="1">
        <v>45765</v>
      </c>
      <c r="C97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97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97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75" s="2">
        <f>IFERROR(DATE(Transaction[[#This Row],[TransactionDateY]],Transaction[[#This Row],[TransactionDateM]],Transaction[[#This Row],[TransactionDateD]]),"Missing Value")</f>
        <v>45765</v>
      </c>
      <c r="G975" t="s">
        <v>172</v>
      </c>
      <c r="H975" t="str">
        <f>IFERROR(VLOOKUP(Transaction[[#This Row],[CustomerID]],Custumer[],1,0),IF(LEN(Transaction[[#This Row],[CustomerID]])=7,LEFT(Transaction[[#This Row],[CustomerID]],6),"Invalid ID"))</f>
        <v>C-1099</v>
      </c>
      <c r="I975" t="s">
        <v>52</v>
      </c>
      <c r="J975" t="str">
        <f>TRIM(UPPER(Transaction[[#This Row],[ProductID]]))</f>
        <v>P-SI-002</v>
      </c>
      <c r="K975" t="str">
        <f>IFERROR(VLOOKUP(Transaction[[#This Row],[ProductID_Clean]],Product[],1,FALSE),"Invalid ID")</f>
        <v>P-SI-002</v>
      </c>
      <c r="L975" t="str">
        <f>TRIM(SUBSTITUTE(SUBSTITUTE(SUBSTITUTE(SUBSTITUTE(UPPER(Transaction[[#This Row],[Region]]),"EMEA REGION","EMEA"),"APAC REGION","APAC"),"NORTH AMERICA","N. AMERICA"),"N .AMERICA","N.AMERICA"))</f>
        <v>EMEA</v>
      </c>
      <c r="M975" t="s">
        <v>76</v>
      </c>
      <c r="N975" t="s">
        <v>53</v>
      </c>
      <c r="O97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75" t="s">
        <v>173</v>
      </c>
      <c r="Q975" t="str">
        <f>IF(TRIM(Transaction[[#This Row],[SalesChannel]])="","Missing Value",TRIM(Transaction[[#This Row],[SalesChannel]]))</f>
        <v>Distributor</v>
      </c>
      <c r="R975" s="4">
        <v>1</v>
      </c>
      <c r="S975" s="4" t="str">
        <f>IF(Transaction[[#This Row],[Quantity]]&lt;0,"Negative-review","Valid")</f>
        <v>Valid</v>
      </c>
      <c r="T975">
        <v>572.76</v>
      </c>
      <c r="U97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572.76</v>
      </c>
      <c r="V975">
        <v>725</v>
      </c>
      <c r="W975">
        <v>725</v>
      </c>
      <c r="X97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975">
        <f>IF(Transaction[[#This Row],[GrossRevenue_Check]]="Invalid",Transaction[[#This Row],[ListPrice]]*Transaction[[#This Row],[Quantity]],Transaction[[#This Row],[GrossRevenue_Clean]])</f>
        <v>725</v>
      </c>
      <c r="Z975" t="str">
        <f>IF(Transaction[[#This Row],[GrossRevenue_Clean]]=Transaction[[#This Row],[ListPrice]]*Transaction[[#This Row],[Quantity]],"Valid","Invalid")</f>
        <v>Valid</v>
      </c>
      <c r="AA975">
        <v>152.24</v>
      </c>
      <c r="AB97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152.24</v>
      </c>
      <c r="AC975">
        <f>IF(Transaction[[#This Row],[DiscountAmount_Check2]]="Invalid",Transaction[[#This Row],[GrossRevenue_Analytical]]-Transaction[[#This Row],[NetRevenue_Analytical]],Transaction[[#This Row],[DiscountAmount_Clean]])</f>
        <v>152.24</v>
      </c>
      <c r="AD975">
        <v>572.76</v>
      </c>
      <c r="AE975" t="str">
        <f>IF(ROUND(Transaction[[#This Row],[GrossRevenue_Analytical]]-Transaction[[#This Row],[NetRevenue_Analytical]],2)=ROUND(Transaction[[#This Row],[DiscountAmount_Clean]],2),"Valid","Invalid")</f>
        <v>Valid</v>
      </c>
      <c r="AF975">
        <f>VALUE(IF(ISNUMBER(Transaction[[#This Row],[NetRevenue]]),Transaction[[#This Row],[NetRevenue]],IFERROR(IF(FIND("$",Transaction[[#This Row],[NetRevenue]])&gt;0,MID(Transaction[[#This Row],[NetRevenue]],2,10)),Transaction[[#This Row],[NetRevenue]])))</f>
        <v>572.76</v>
      </c>
      <c r="AG975">
        <f>IF(Transaction[[#This Row],[NetRevenue_Check]]="Invalid",(Transaction[[#This Row],[Quantity]]*Transaction[[#This Row],[UnitPrice_Clean]]),Transaction[[#This Row],[NetRevenue_Clean]])</f>
        <v>572.76</v>
      </c>
      <c r="AH975" t="str">
        <f>IF(Transaction[[#This Row],[Quantity]]*Transaction[[#This Row],[UnitPrice_Clean]]=Transaction[[#This Row],[NetRevenue_Clean]],"Valid","Invalid")</f>
        <v>Valid</v>
      </c>
      <c r="AI975" t="s">
        <v>23</v>
      </c>
      <c r="AJ975" t="s">
        <v>174</v>
      </c>
      <c r="AK975" t="str">
        <f>IF(Transaction[[#This Row],[Salesperson]]="","Missing Value",TRIM(PROPER(Transaction[[#This Row],[Salesperson]])))</f>
        <v>Williams-Em</v>
      </c>
      <c r="AL975" t="s">
        <v>42</v>
      </c>
      <c r="AM975" t="str">
        <f>IF(Transaction[[#This Row],[ContractType]]="","Missing Value",Transaction[[#This Row],[ContractType]])</f>
        <v>Standard PO</v>
      </c>
      <c r="AN975" t="s">
        <v>43</v>
      </c>
    </row>
    <row r="976" spans="1:40" x14ac:dyDescent="0.25">
      <c r="A976" t="s">
        <v>1626</v>
      </c>
      <c r="B976" s="1">
        <v>45662</v>
      </c>
      <c r="C97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97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97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76" s="2">
        <f>IFERROR(DATE(Transaction[[#This Row],[TransactionDateY]],Transaction[[#This Row],[TransactionDateM]],Transaction[[#This Row],[TransactionDateD]]),"Missing Value")</f>
        <v>45662</v>
      </c>
      <c r="G976" t="s">
        <v>408</v>
      </c>
      <c r="H976" t="str">
        <f>IFERROR(VLOOKUP(Transaction[[#This Row],[CustomerID]],Custumer[],1,0),IF(LEN(Transaction[[#This Row],[CustomerID]])=7,LEFT(Transaction[[#This Row],[CustomerID]],6),"Invalid ID"))</f>
        <v>C-1093</v>
      </c>
      <c r="I976" t="s">
        <v>52</v>
      </c>
      <c r="J976" t="str">
        <f>TRIM(UPPER(Transaction[[#This Row],[ProductID]]))</f>
        <v>P-SI-002</v>
      </c>
      <c r="K976" t="str">
        <f>IFERROR(VLOOKUP(Transaction[[#This Row],[ProductID_Clean]],Product[],1,FALSE),"Invalid ID")</f>
        <v>P-SI-002</v>
      </c>
      <c r="L976" t="str">
        <f>TRIM(SUBSTITUTE(SUBSTITUTE(SUBSTITUTE(SUBSTITUTE(UPPER(Transaction[[#This Row],[Region]]),"EMEA REGION","EMEA"),"APAC REGION","APAC"),"NORTH AMERICA","N. AMERICA"),"N .AMERICA","N.AMERICA"))</f>
        <v>EMEA</v>
      </c>
      <c r="M976" t="s">
        <v>177</v>
      </c>
      <c r="N976" t="s">
        <v>47</v>
      </c>
      <c r="O97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76" t="s">
        <v>22</v>
      </c>
      <c r="Q976" t="str">
        <f>IF(TRIM(Transaction[[#This Row],[SalesChannel]])="","Missing Value",TRIM(Transaction[[#This Row],[SalesChannel]]))</f>
        <v>Direct</v>
      </c>
      <c r="R976" s="4">
        <v>5</v>
      </c>
      <c r="S976" s="4" t="str">
        <f>IF(Transaction[[#This Row],[Quantity]]&lt;0,"Negative-review","Valid")</f>
        <v>Valid</v>
      </c>
      <c r="T976">
        <v>698.48</v>
      </c>
      <c r="U97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698.48</v>
      </c>
      <c r="V976">
        <v>725</v>
      </c>
      <c r="W976">
        <v>3625</v>
      </c>
      <c r="X97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3625</v>
      </c>
      <c r="Y976">
        <f>IF(Transaction[[#This Row],[GrossRevenue_Check]]="Invalid",Transaction[[#This Row],[ListPrice]]*Transaction[[#This Row],[Quantity]],Transaction[[#This Row],[GrossRevenue_Clean]])</f>
        <v>3625</v>
      </c>
      <c r="Z976" t="str">
        <f>IF(Transaction[[#This Row],[GrossRevenue_Clean]]=Transaction[[#This Row],[ListPrice]]*Transaction[[#This Row],[Quantity]],"Valid","Invalid")</f>
        <v>Valid</v>
      </c>
      <c r="AA976">
        <v>132.6</v>
      </c>
      <c r="AB97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132.6</v>
      </c>
      <c r="AC976">
        <f>IF(Transaction[[#This Row],[DiscountAmount_Check2]]="Invalid",Transaction[[#This Row],[GrossRevenue_Analytical]]-Transaction[[#This Row],[NetRevenue_Analytical]],Transaction[[#This Row],[DiscountAmount_Clean]])</f>
        <v>132.6</v>
      </c>
      <c r="AD976">
        <v>3492.4</v>
      </c>
      <c r="AE976" t="str">
        <f>IF(ROUND(Transaction[[#This Row],[GrossRevenue_Analytical]]-Transaction[[#This Row],[NetRevenue_Analytical]],2)=ROUND(Transaction[[#This Row],[DiscountAmount_Clean]],2),"Valid","Invalid")</f>
        <v>Valid</v>
      </c>
      <c r="AF976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3492.4</v>
      </c>
      <c r="AG976">
        <f>IF(Transaction[[#This Row],[NetRevenue_Check]]="Invalid",(Transaction[[#This Row],[Quantity]]*Transaction[[#This Row],[UnitPrice_Clean]]),Transaction[[#This Row],[NetRevenue_Clean]])</f>
        <v>3492.4</v>
      </c>
      <c r="AH976" t="str">
        <f>IF(Transaction[[#This Row],[Quantity]]*Transaction[[#This Row],[UnitPrice_Clean]]=Transaction[[#This Row],[NetRevenue_Clean]],"Valid","Invalid")</f>
        <v>Valid</v>
      </c>
      <c r="AI976" t="s">
        <v>23</v>
      </c>
      <c r="AJ976" t="s">
        <v>1379</v>
      </c>
      <c r="AK976" t="str">
        <f>IF(Transaction[[#This Row],[Salesperson]]="","Missing Value",TRIM(PROPER(Transaction[[#This Row],[Salesperson]])))</f>
        <v>Shields</v>
      </c>
      <c r="AL976" t="s">
        <v>42</v>
      </c>
      <c r="AM976" t="str">
        <f>IF(Transaction[[#This Row],[ContractType]]="","Missing Value",Transaction[[#This Row],[ContractType]])</f>
        <v>Standard PO</v>
      </c>
      <c r="AN976" t="s">
        <v>49</v>
      </c>
    </row>
    <row r="977" spans="1:40" x14ac:dyDescent="0.25">
      <c r="A977" t="s">
        <v>332</v>
      </c>
      <c r="B977" s="1">
        <v>45780</v>
      </c>
      <c r="C97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97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97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77" s="2">
        <f>IFERROR(DATE(Transaction[[#This Row],[TransactionDateY]],Transaction[[#This Row],[TransactionDateM]],Transaction[[#This Row],[TransactionDateD]]),"Missing Value")</f>
        <v>45780</v>
      </c>
      <c r="G977" t="s">
        <v>333</v>
      </c>
      <c r="H977" t="str">
        <f>IFERROR(VLOOKUP(Transaction[[#This Row],[CustomerID]],Custumer[],1,0),IF(LEN(Transaction[[#This Row],[CustomerID]])=7,LEFT(Transaction[[#This Row],[CustomerID]],6),"Invalid ID"))</f>
        <v>C-1033</v>
      </c>
      <c r="I977" t="s">
        <v>29</v>
      </c>
      <c r="J977" t="str">
        <f>TRIM(UPPER(Transaction[[#This Row],[ProductID]]))</f>
        <v>P-SA-001</v>
      </c>
      <c r="K977" t="str">
        <f>IFERROR(VLOOKUP(Transaction[[#This Row],[ProductID_Clean]],Product[],1,FALSE),"Invalid ID")</f>
        <v>P-SA-001</v>
      </c>
      <c r="L977" t="str">
        <f>TRIM(SUBSTITUTE(SUBSTITUTE(SUBSTITUTE(SUBSTITUTE(UPPER(Transaction[[#This Row],[Region]]),"EMEA REGION","EMEA"),"APAC REGION","APAC"),"NORTH AMERICA","N. AMERICA"),"N .AMERICA","N.AMERICA"))</f>
        <v>EMEA</v>
      </c>
      <c r="M977" t="s">
        <v>76</v>
      </c>
      <c r="N977" t="s">
        <v>31</v>
      </c>
      <c r="O97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977" t="s">
        <v>22</v>
      </c>
      <c r="Q977" t="str">
        <f>IF(TRIM(Transaction[[#This Row],[SalesChannel]])="","Missing Value",TRIM(Transaction[[#This Row],[SalesChannel]]))</f>
        <v>Direct</v>
      </c>
      <c r="R977" s="4">
        <v>1</v>
      </c>
      <c r="S977" s="4" t="str">
        <f>IF(Transaction[[#This Row],[Quantity]]&lt;0,"Negative-review","Valid")</f>
        <v>Valid</v>
      </c>
      <c r="T977">
        <v>3647.95</v>
      </c>
      <c r="U97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3647.95</v>
      </c>
      <c r="V977">
        <v>4200</v>
      </c>
      <c r="W977">
        <v>4200</v>
      </c>
      <c r="X97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977">
        <f>IF(Transaction[[#This Row],[GrossRevenue_Check]]="Invalid",Transaction[[#This Row],[ListPrice]]*Transaction[[#This Row],[Quantity]],Transaction[[#This Row],[GrossRevenue_Clean]])</f>
        <v>4200</v>
      </c>
      <c r="Z977" t="str">
        <f>IF(Transaction[[#This Row],[GrossRevenue_Clean]]=Transaction[[#This Row],[ListPrice]]*Transaction[[#This Row],[Quantity]],"Valid","Invalid")</f>
        <v>Valid</v>
      </c>
      <c r="AB97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977">
        <f>IF(Transaction[[#This Row],[DiscountAmount_Check2]]="Invalid",Transaction[[#This Row],[GrossRevenue_Analytical]]-Transaction[[#This Row],[NetRevenue_Analytical]],Transaction[[#This Row],[DiscountAmount_Clean]])</f>
        <v>552.05000000000018</v>
      </c>
      <c r="AD977">
        <v>3647.95</v>
      </c>
      <c r="AE977" t="str">
        <f>IF(ROUND(Transaction[[#This Row],[GrossRevenue_Analytical]]-Transaction[[#This Row],[NetRevenue_Analytical]],2)=ROUND(Transaction[[#This Row],[DiscountAmount_Clean]],2),"Valid","Invalid")</f>
        <v>Invalid</v>
      </c>
      <c r="AF97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3647.95</v>
      </c>
      <c r="AG977">
        <f>IF(Transaction[[#This Row],[NetRevenue_Check]]="Invalid",(Transaction[[#This Row],[Quantity]]*Transaction[[#This Row],[UnitPrice_Clean]]),Transaction[[#This Row],[NetRevenue_Clean]])</f>
        <v>3647.95</v>
      </c>
      <c r="AH977" t="str">
        <f>IF(Transaction[[#This Row],[Quantity]]*Transaction[[#This Row],[UnitPrice_Clean]]=Transaction[[#This Row],[NetRevenue_Clean]],"Valid","Invalid")</f>
        <v>Valid</v>
      </c>
      <c r="AI977" t="s">
        <v>23</v>
      </c>
      <c r="AJ977" t="s">
        <v>334</v>
      </c>
      <c r="AK977" t="str">
        <f>IF(Transaction[[#This Row],[Salesperson]]="","Missing Value",TRIM(PROPER(Transaction[[#This Row],[Salesperson]])))</f>
        <v>Mitchell-Em</v>
      </c>
      <c r="AL977" t="s">
        <v>34</v>
      </c>
      <c r="AM977" t="str">
        <f>IF(Transaction[[#This Row],[ContractType]]="","Missing Value",Transaction[[#This Row],[ContractType]])</f>
        <v>Annual License</v>
      </c>
      <c r="AN977" t="s">
        <v>43</v>
      </c>
    </row>
    <row r="978" spans="1:40" x14ac:dyDescent="0.25">
      <c r="A978" t="s">
        <v>1044</v>
      </c>
      <c r="B978" s="1">
        <v>45683</v>
      </c>
      <c r="C97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97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97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78" s="2">
        <f>IFERROR(DATE(Transaction[[#This Row],[TransactionDateY]],Transaction[[#This Row],[TransactionDateM]],Transaction[[#This Row],[TransactionDateD]]),"Missing Value")</f>
        <v>45683</v>
      </c>
      <c r="G978" t="s">
        <v>300</v>
      </c>
      <c r="H978" t="str">
        <f>IFERROR(VLOOKUP(Transaction[[#This Row],[CustomerID]],Custumer[],1,0),IF(LEN(Transaction[[#This Row],[CustomerID]])=7,LEFT(Transaction[[#This Row],[CustomerID]],6),"Invalid ID"))</f>
        <v>C-1089</v>
      </c>
      <c r="I978" t="s">
        <v>71</v>
      </c>
      <c r="J978" t="str">
        <f>TRIM(UPPER(Transaction[[#This Row],[ProductID]]))</f>
        <v>P-SI-003</v>
      </c>
      <c r="K978" t="str">
        <f>IFERROR(VLOOKUP(Transaction[[#This Row],[ProductID_Clean]],Product[],1,FALSE),"Invalid ID")</f>
        <v>P-SI-003</v>
      </c>
      <c r="L978" t="str">
        <f>TRIM(SUBSTITUTE(SUBSTITUTE(SUBSTITUTE(SUBSTITUTE(UPPER(Transaction[[#This Row],[Region]]),"EMEA REGION","EMEA"),"APAC REGION","APAC"),"NORTH AMERICA","N. AMERICA"),"N .AMERICA","N.AMERICA"))</f>
        <v>LATIN AMERICA</v>
      </c>
      <c r="M978" t="s">
        <v>82</v>
      </c>
      <c r="N978" t="s">
        <v>53</v>
      </c>
      <c r="O97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78" t="s">
        <v>22</v>
      </c>
      <c r="Q978" t="str">
        <f>IF(TRIM(Transaction[[#This Row],[SalesChannel]])="","Missing Value",TRIM(Transaction[[#This Row],[SalesChannel]]))</f>
        <v>Direct</v>
      </c>
      <c r="R978" s="4">
        <v>5</v>
      </c>
      <c r="S978" s="4" t="str">
        <f>IF(Transaction[[#This Row],[Quantity]]&lt;0,"Negative-review","Valid")</f>
        <v>Valid</v>
      </c>
      <c r="T978">
        <v>1617.94</v>
      </c>
      <c r="U97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1617.94</v>
      </c>
      <c r="V978">
        <v>1890</v>
      </c>
      <c r="W978">
        <v>9450</v>
      </c>
      <c r="X97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9450</v>
      </c>
      <c r="Y978">
        <f>IF(Transaction[[#This Row],[GrossRevenue_Check]]="Invalid",Transaction[[#This Row],[ListPrice]]*Transaction[[#This Row],[Quantity]],Transaction[[#This Row],[GrossRevenue_Clean]])</f>
        <v>9450</v>
      </c>
      <c r="Z978" t="str">
        <f>IF(Transaction[[#This Row],[GrossRevenue_Clean]]=Transaction[[#This Row],[ListPrice]]*Transaction[[#This Row],[Quantity]],"Valid","Invalid")</f>
        <v>Valid</v>
      </c>
      <c r="AA978">
        <v>1360.3</v>
      </c>
      <c r="AB97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1360.3</v>
      </c>
      <c r="AC978">
        <f>IF(Transaction[[#This Row],[DiscountAmount_Check2]]="Invalid",Transaction[[#This Row],[GrossRevenue_Analytical]]-Transaction[[#This Row],[NetRevenue_Analytical]],Transaction[[#This Row],[DiscountAmount_Clean]])</f>
        <v>1360.3</v>
      </c>
      <c r="AD978">
        <v>8089.7</v>
      </c>
      <c r="AE978" t="str">
        <f>IF(ROUND(Transaction[[#This Row],[GrossRevenue_Analytical]]-Transaction[[#This Row],[NetRevenue_Analytical]],2)=ROUND(Transaction[[#This Row],[DiscountAmount_Clean]],2),"Valid","Invalid")</f>
        <v>Valid</v>
      </c>
      <c r="AF978">
        <f>VALUE(IF(ISNUMBER(Transaction[[#This Row],[NetRevenue]]),Transaction[[#This Row],[NetRevenue]],IFERROR(IF(FIND("$",Transaction[[#This Row],[NetRevenue]])&gt;0,MID(Transaction[[#This Row],[NetRevenue]],2,10)),Transaction[[#This Row],[NetRevenue]])))</f>
        <v>8089.7</v>
      </c>
      <c r="AG978">
        <f>IF(Transaction[[#This Row],[NetRevenue_Check]]="Invalid",(Transaction[[#This Row],[Quantity]]*Transaction[[#This Row],[UnitPrice_Clean]]),Transaction[[#This Row],[NetRevenue_Clean]])</f>
        <v>8089.7</v>
      </c>
      <c r="AH978" t="str">
        <f>IF(Transaction[[#This Row],[Quantity]]*Transaction[[#This Row],[UnitPrice_Clean]]=Transaction[[#This Row],[NetRevenue_Clean]],"Valid","Invalid")</f>
        <v>Valid</v>
      </c>
      <c r="AI978" t="s">
        <v>99</v>
      </c>
      <c r="AJ978" t="s">
        <v>1045</v>
      </c>
      <c r="AK978" t="str">
        <f>IF(Transaction[[#This Row],[Salesperson]]="","Missing Value",TRIM(PROPER(Transaction[[#This Row],[Salesperson]])))</f>
        <v>Smith-Na</v>
      </c>
      <c r="AL978" t="s">
        <v>55</v>
      </c>
      <c r="AM978" t="str">
        <f>IF(Transaction[[#This Row],[ContractType]]="","Missing Value",Transaction[[#This Row],[ContractType]])</f>
        <v>Spot</v>
      </c>
      <c r="AN978" t="s">
        <v>49</v>
      </c>
    </row>
    <row r="979" spans="1:40" x14ac:dyDescent="0.25">
      <c r="A979" t="s">
        <v>1016</v>
      </c>
      <c r="B979" s="1">
        <v>45811</v>
      </c>
      <c r="C97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97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97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79" s="2">
        <f>IFERROR(DATE(Transaction[[#This Row],[TransactionDateY]],Transaction[[#This Row],[TransactionDateM]],Transaction[[#This Row],[TransactionDateD]]),"Missing Value")</f>
        <v>45811</v>
      </c>
      <c r="G979" t="s">
        <v>1017</v>
      </c>
      <c r="H979" t="str">
        <f>IFERROR(VLOOKUP(Transaction[[#This Row],[CustomerID]],Custumer[],1,0),IF(LEN(Transaction[[#This Row],[CustomerID]])=7,LEFT(Transaction[[#This Row],[CustomerID]],6),"Invalid ID"))</f>
        <v>C-1124</v>
      </c>
      <c r="I979" t="s">
        <v>19</v>
      </c>
      <c r="J979" t="str">
        <f>TRIM(UPPER(Transaction[[#This Row],[ProductID]]))</f>
        <v>P-FS-004</v>
      </c>
      <c r="K979" t="str">
        <f>IFERROR(VLOOKUP(Transaction[[#This Row],[ProductID_Clean]],Product[],1,FALSE),"Invalid ID")</f>
        <v>P-FS-004</v>
      </c>
      <c r="L979" t="str">
        <f>TRIM(SUBSTITUTE(SUBSTITUTE(SUBSTITUTE(SUBSTITUTE(UPPER(Transaction[[#This Row],[Region]]),"EMEA REGION","EMEA"),"APAC REGION","APAC"),"NORTH AMERICA","N. AMERICA"),"N .AMERICA","N.AMERICA"))</f>
        <v>N. AMERICA</v>
      </c>
      <c r="M979" t="s">
        <v>204</v>
      </c>
      <c r="N979" t="s">
        <v>21</v>
      </c>
      <c r="O979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979" t="s">
        <v>22</v>
      </c>
      <c r="Q979" t="str">
        <f>IF(TRIM(Transaction[[#This Row],[SalesChannel]])="","Missing Value",TRIM(Transaction[[#This Row],[SalesChannel]]))</f>
        <v>Direct</v>
      </c>
      <c r="R979" s="4">
        <v>1</v>
      </c>
      <c r="S979" s="4" t="str">
        <f>IF(Transaction[[#This Row],[Quantity]]&lt;0,"Negative-review","Valid")</f>
        <v>Valid</v>
      </c>
      <c r="T979">
        <v>2927.99</v>
      </c>
      <c r="U97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2927.99</v>
      </c>
      <c r="V979">
        <v>3200</v>
      </c>
      <c r="W979">
        <v>3200</v>
      </c>
      <c r="X97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979">
        <f>IF(Transaction[[#This Row],[GrossRevenue_Check]]="Invalid",Transaction[[#This Row],[ListPrice]]*Transaction[[#This Row],[Quantity]],Transaction[[#This Row],[GrossRevenue_Clean]])</f>
        <v>3200</v>
      </c>
      <c r="Z979" t="str">
        <f>IF(Transaction[[#This Row],[GrossRevenue_Clean]]=Transaction[[#This Row],[ListPrice]]*Transaction[[#This Row],[Quantity]],"Valid","Invalid")</f>
        <v>Valid</v>
      </c>
      <c r="AA979">
        <v>272.01</v>
      </c>
      <c r="AB97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272.01</v>
      </c>
      <c r="AC979">
        <f>IF(Transaction[[#This Row],[DiscountAmount_Check2]]="Invalid",Transaction[[#This Row],[GrossRevenue_Analytical]]-Transaction[[#This Row],[NetRevenue_Analytical]],Transaction[[#This Row],[DiscountAmount_Clean]])</f>
        <v>272.01</v>
      </c>
      <c r="AD979">
        <v>2927.99</v>
      </c>
      <c r="AE979" t="str">
        <f>IF(ROUND(Transaction[[#This Row],[GrossRevenue_Analytical]]-Transaction[[#This Row],[NetRevenue_Analytical]],2)=ROUND(Transaction[[#This Row],[DiscountAmount_Clean]],2),"Valid","Invalid")</f>
        <v>Valid</v>
      </c>
      <c r="AF97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2927.99</v>
      </c>
      <c r="AG979">
        <f>IF(Transaction[[#This Row],[NetRevenue_Check]]="Invalid",(Transaction[[#This Row],[Quantity]]*Transaction[[#This Row],[UnitPrice_Clean]]),Transaction[[#This Row],[NetRevenue_Clean]])</f>
        <v>2927.99</v>
      </c>
      <c r="AH979" t="str">
        <f>IF(Transaction[[#This Row],[Quantity]]*Transaction[[#This Row],[UnitPrice_Clean]]=Transaction[[#This Row],[NetRevenue_Clean]],"Valid","Invalid")</f>
        <v>Valid</v>
      </c>
      <c r="AI979" t="s">
        <v>23</v>
      </c>
      <c r="AJ979" t="s">
        <v>1018</v>
      </c>
      <c r="AK979" t="str">
        <f>IF(Transaction[[#This Row],[Salesperson]]="","Missing Value",TRIM(PROPER(Transaction[[#This Row],[Salesperson]])))</f>
        <v>Tran-Ap</v>
      </c>
      <c r="AL979" t="s">
        <v>42</v>
      </c>
      <c r="AM979" t="str">
        <f>IF(Transaction[[#This Row],[ContractType]]="","Missing Value",Transaction[[#This Row],[ContractType]])</f>
        <v>Standard PO</v>
      </c>
      <c r="AN979" t="s">
        <v>65</v>
      </c>
    </row>
    <row r="980" spans="1:40" x14ac:dyDescent="0.25">
      <c r="A980" t="s">
        <v>198</v>
      </c>
      <c r="B980" t="s">
        <v>199</v>
      </c>
      <c r="C98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98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98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80" s="2">
        <f>IFERROR(DATE(Transaction[[#This Row],[TransactionDateY]],Transaction[[#This Row],[TransactionDateM]],Transaction[[#This Row],[TransactionDateD]]),"Missing Value")</f>
        <v>45838</v>
      </c>
      <c r="G980" t="s">
        <v>200</v>
      </c>
      <c r="H980" t="str">
        <f>IFERROR(VLOOKUP(Transaction[[#This Row],[CustomerID]],Custumer[],1,0),IF(LEN(Transaction[[#This Row],[CustomerID]])=7,LEFT(Transaction[[#This Row],[CustomerID]],6),"Invalid ID"))</f>
        <v>C-1070</v>
      </c>
      <c r="I980" t="s">
        <v>58</v>
      </c>
      <c r="J980" t="str">
        <f>TRIM(UPPER(Transaction[[#This Row],[ProductID]]))</f>
        <v>P-SI-005</v>
      </c>
      <c r="K980" t="str">
        <f>IFERROR(VLOOKUP(Transaction[[#This Row],[ProductID_Clean]],Product[],1,FALSE),"Invalid ID")</f>
        <v>P-SI-005</v>
      </c>
      <c r="L980" t="str">
        <f>TRIM(SUBSTITUTE(SUBSTITUTE(SUBSTITUTE(SUBSTITUTE(UPPER(Transaction[[#This Row],[Region]]),"EMEA REGION","EMEA"),"APAC REGION","APAC"),"NORTH AMERICA","N. AMERICA"),"N .AMERICA","N.AMERICA"))</f>
        <v>EMEA</v>
      </c>
      <c r="M980" t="s">
        <v>76</v>
      </c>
      <c r="N980" t="s">
        <v>53</v>
      </c>
      <c r="O98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80" t="s">
        <v>22</v>
      </c>
      <c r="Q980" t="str">
        <f>IF(TRIM(Transaction[[#This Row],[SalesChannel]])="","Missing Value",TRIM(Transaction[[#This Row],[SalesChannel]]))</f>
        <v>Direct</v>
      </c>
      <c r="R980" s="4">
        <v>3</v>
      </c>
      <c r="S980" s="4" t="str">
        <f>IF(Transaction[[#This Row],[Quantity]]&lt;0,"Negative-review","Valid")</f>
        <v>Valid</v>
      </c>
      <c r="T980">
        <v>889.54</v>
      </c>
      <c r="U98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889.54</v>
      </c>
      <c r="V980">
        <v>1120</v>
      </c>
      <c r="W980">
        <v>3360</v>
      </c>
      <c r="X98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3360</v>
      </c>
      <c r="Y980">
        <f>IF(Transaction[[#This Row],[GrossRevenue_Check]]="Invalid",Transaction[[#This Row],[ListPrice]]*Transaction[[#This Row],[Quantity]],Transaction[[#This Row],[GrossRevenue_Clean]])</f>
        <v>3360</v>
      </c>
      <c r="Z980" t="str">
        <f>IF(Transaction[[#This Row],[GrossRevenue_Clean]]=Transaction[[#This Row],[ListPrice]]*Transaction[[#This Row],[Quantity]],"Valid","Invalid")</f>
        <v>Valid</v>
      </c>
      <c r="AA980">
        <v>691.38</v>
      </c>
      <c r="AB98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691.38</v>
      </c>
      <c r="AC980">
        <f>IF(Transaction[[#This Row],[DiscountAmount_Check2]]="Invalid",Transaction[[#This Row],[GrossRevenue_Analytical]]-Transaction[[#This Row],[NetRevenue_Analytical]],Transaction[[#This Row],[DiscountAmount_Clean]])</f>
        <v>691.38</v>
      </c>
      <c r="AD980">
        <v>2668.62</v>
      </c>
      <c r="AE980" t="str">
        <f>IF(ROUND(Transaction[[#This Row],[GrossRevenue_Analytical]]-Transaction[[#This Row],[NetRevenue_Analytical]],2)=ROUND(Transaction[[#This Row],[DiscountAmount_Clean]],2),"Valid","Invalid")</f>
        <v>Valid</v>
      </c>
      <c r="AF98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2668.62</v>
      </c>
      <c r="AG980">
        <f>IF(Transaction[[#This Row],[NetRevenue_Check]]="Invalid",(Transaction[[#This Row],[Quantity]]*Transaction[[#This Row],[UnitPrice_Clean]]),Transaction[[#This Row],[NetRevenue_Clean]])</f>
        <v>2668.62</v>
      </c>
      <c r="AH980" t="str">
        <f>IF(Transaction[[#This Row],[Quantity]]*Transaction[[#This Row],[UnitPrice_Clean]]=Transaction[[#This Row],[NetRevenue_Clean]],"Valid","Invalid")</f>
        <v>Valid</v>
      </c>
      <c r="AI980" t="s">
        <v>23</v>
      </c>
      <c r="AJ980" t="s">
        <v>201</v>
      </c>
      <c r="AK980" t="str">
        <f>IF(Transaction[[#This Row],[Salesperson]]="","Missing Value",TRIM(PROPER(Transaction[[#This Row],[Salesperson]])))</f>
        <v>Silva</v>
      </c>
      <c r="AL980" t="s">
        <v>42</v>
      </c>
      <c r="AM980" t="str">
        <f>IF(Transaction[[#This Row],[ContractType]]="","Missing Value",Transaction[[#This Row],[ContractType]])</f>
        <v>Standard PO</v>
      </c>
      <c r="AN980" t="s">
        <v>35</v>
      </c>
    </row>
    <row r="981" spans="1:40" x14ac:dyDescent="0.25">
      <c r="A981" t="s">
        <v>1821</v>
      </c>
      <c r="B981" t="s">
        <v>1822</v>
      </c>
      <c r="C98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98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98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81" s="2">
        <f>IFERROR(DATE(Transaction[[#This Row],[TransactionDateY]],Transaction[[#This Row],[TransactionDateM]],Transaction[[#This Row],[TransactionDateD]]),"Missing Value")</f>
        <v>45669</v>
      </c>
      <c r="G981" t="s">
        <v>733</v>
      </c>
      <c r="H981" t="str">
        <f>IFERROR(VLOOKUP(Transaction[[#This Row],[CustomerID]],Custumer[],1,0),IF(LEN(Transaction[[#This Row],[CustomerID]])=7,LEFT(Transaction[[#This Row],[CustomerID]],6),"Invalid ID"))</f>
        <v>C-1017</v>
      </c>
      <c r="I981" t="s">
        <v>29</v>
      </c>
      <c r="J981" t="str">
        <f>TRIM(UPPER(Transaction[[#This Row],[ProductID]]))</f>
        <v>P-SA-001</v>
      </c>
      <c r="K981" t="str">
        <f>IFERROR(VLOOKUP(Transaction[[#This Row],[ProductID_Clean]],Product[],1,FALSE),"Invalid ID")</f>
        <v>P-SA-001</v>
      </c>
      <c r="L981" t="str">
        <f>TRIM(SUBSTITUTE(SUBSTITUTE(SUBSTITUTE(SUBSTITUTE(UPPER(Transaction[[#This Row],[Region]]),"EMEA REGION","EMEA"),"APAC REGION","APAC"),"NORTH AMERICA","N. AMERICA"),"N .AMERICA","N.AMERICA"))</f>
        <v>EMEA</v>
      </c>
      <c r="M981" t="s">
        <v>76</v>
      </c>
      <c r="N981" t="s">
        <v>572</v>
      </c>
      <c r="O98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981" t="s">
        <v>181</v>
      </c>
      <c r="Q981" t="str">
        <f>IF(TRIM(Transaction[[#This Row],[SalesChannel]])="","Missing Value",TRIM(Transaction[[#This Row],[SalesChannel]]))</f>
        <v>Partner Portal</v>
      </c>
      <c r="R981" s="4">
        <v>1</v>
      </c>
      <c r="S981" s="4" t="str">
        <f>IF(Transaction[[#This Row],[Quantity]]&lt;0,"Negative-review","Valid")</f>
        <v>Valid</v>
      </c>
      <c r="T981">
        <v>3809.06</v>
      </c>
      <c r="U98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3809.06</v>
      </c>
      <c r="V981">
        <v>4200</v>
      </c>
      <c r="W981">
        <v>4200</v>
      </c>
      <c r="X98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981">
        <f>IF(Transaction[[#This Row],[GrossRevenue_Check]]="Invalid",Transaction[[#This Row],[ListPrice]]*Transaction[[#This Row],[Quantity]],Transaction[[#This Row],[GrossRevenue_Clean]])</f>
        <v>4200</v>
      </c>
      <c r="Z981" t="str">
        <f>IF(Transaction[[#This Row],[GrossRevenue_Clean]]=Transaction[[#This Row],[ListPrice]]*Transaction[[#This Row],[Quantity]],"Valid","Invalid")</f>
        <v>Valid</v>
      </c>
      <c r="AA981">
        <v>390.94</v>
      </c>
      <c r="AB98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390.94</v>
      </c>
      <c r="AC981">
        <f>IF(Transaction[[#This Row],[DiscountAmount_Check2]]="Invalid",Transaction[[#This Row],[GrossRevenue_Analytical]]-Transaction[[#This Row],[NetRevenue_Analytical]],Transaction[[#This Row],[DiscountAmount_Clean]])</f>
        <v>390.94</v>
      </c>
      <c r="AD981">
        <v>3809.06</v>
      </c>
      <c r="AE981" t="str">
        <f>IF(ROUND(Transaction[[#This Row],[GrossRevenue_Analytical]]-Transaction[[#This Row],[NetRevenue_Analytical]],2)=ROUND(Transaction[[#This Row],[DiscountAmount_Clean]],2),"Valid","Invalid")</f>
        <v>Valid</v>
      </c>
      <c r="AF981">
        <f>VALUE(IF(ISNUMBER(Transaction[[#This Row],[NetRevenue]]),Transaction[[#This Row],[NetRevenue]],IFERROR(IF(FIND("$",Transaction[[#This Row],[NetRevenue]])&gt;0,MID(Transaction[[#This Row],[NetRevenue]],2,10)),Transaction[[#This Row],[NetRevenue]])))</f>
        <v>3809.06</v>
      </c>
      <c r="AG981">
        <f>IF(Transaction[[#This Row],[NetRevenue_Check]]="Invalid",(Transaction[[#This Row],[Quantity]]*Transaction[[#This Row],[UnitPrice_Clean]]),Transaction[[#This Row],[NetRevenue_Clean]])</f>
        <v>3809.06</v>
      </c>
      <c r="AH981" t="str">
        <f>IF(Transaction[[#This Row],[Quantity]]*Transaction[[#This Row],[UnitPrice_Clean]]=Transaction[[#This Row],[NetRevenue_Clean]],"Valid","Invalid")</f>
        <v>Valid</v>
      </c>
      <c r="AI981" t="s">
        <v>23</v>
      </c>
      <c r="AJ981" t="s">
        <v>1823</v>
      </c>
      <c r="AK981" t="str">
        <f>IF(Transaction[[#This Row],[Salesperson]]="","Missing Value",TRIM(PROPER(Transaction[[#This Row],[Salesperson]])))</f>
        <v>Cortez-Na</v>
      </c>
      <c r="AL981" t="s">
        <v>34</v>
      </c>
      <c r="AM981" t="str">
        <f>IF(Transaction[[#This Row],[ContractType]]="","Missing Value",Transaction[[#This Row],[ContractType]])</f>
        <v>Annual License</v>
      </c>
      <c r="AN981" t="s">
        <v>26</v>
      </c>
    </row>
    <row r="982" spans="1:40" x14ac:dyDescent="0.25">
      <c r="A982" t="s">
        <v>2571</v>
      </c>
      <c r="B982" s="1">
        <v>45770</v>
      </c>
      <c r="C98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98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98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82" s="2">
        <f>IFERROR(DATE(Transaction[[#This Row],[TransactionDateY]],Transaction[[#This Row],[TransactionDateM]],Transaction[[#This Row],[TransactionDateD]]),"Missing Value")</f>
        <v>45770</v>
      </c>
      <c r="G982" t="s">
        <v>507</v>
      </c>
      <c r="H982" t="str">
        <f>IFERROR(VLOOKUP(Transaction[[#This Row],[CustomerID]],Custumer[],1,0),IF(LEN(Transaction[[#This Row],[CustomerID]])=7,LEFT(Transaction[[#This Row],[CustomerID]],6),"Invalid ID"))</f>
        <v>C-1091</v>
      </c>
      <c r="I982" t="s">
        <v>58</v>
      </c>
      <c r="J982" t="str">
        <f>TRIM(UPPER(Transaction[[#This Row],[ProductID]]))</f>
        <v>P-SI-005</v>
      </c>
      <c r="K982" t="str">
        <f>IFERROR(VLOOKUP(Transaction[[#This Row],[ProductID_Clean]],Product[],1,FALSE),"Invalid ID")</f>
        <v>P-SI-005</v>
      </c>
      <c r="L982" t="str">
        <f>TRIM(SUBSTITUTE(SUBSTITUTE(SUBSTITUTE(SUBSTITUTE(UPPER(Transaction[[#This Row],[Region]]),"EMEA REGION","EMEA"),"APAC REGION","APAC"),"NORTH AMERICA","N. AMERICA"),"N .AMERICA","N.AMERICA"))</f>
        <v>EMEA</v>
      </c>
      <c r="M982" t="s">
        <v>76</v>
      </c>
      <c r="N982" t="s">
        <v>53</v>
      </c>
      <c r="O98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82" t="s">
        <v>40</v>
      </c>
      <c r="Q982" t="str">
        <f>IF(TRIM(Transaction[[#This Row],[SalesChannel]])="","Missing Value",TRIM(Transaction[[#This Row],[SalesChannel]]))</f>
        <v>Distributor</v>
      </c>
      <c r="R982" s="4">
        <v>1</v>
      </c>
      <c r="S982" s="4" t="str">
        <f>IF(Transaction[[#This Row],[Quantity]]&lt;0,"Negative-review","Valid")</f>
        <v>Valid</v>
      </c>
      <c r="T982">
        <v>916.83</v>
      </c>
      <c r="U98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916.83</v>
      </c>
      <c r="V982">
        <v>1120</v>
      </c>
      <c r="W982">
        <v>1120</v>
      </c>
      <c r="X98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1120</v>
      </c>
      <c r="Y982">
        <f>IF(Transaction[[#This Row],[GrossRevenue_Check]]="Invalid",Transaction[[#This Row],[ListPrice]]*Transaction[[#This Row],[Quantity]],Transaction[[#This Row],[GrossRevenue_Clean]])</f>
        <v>1120</v>
      </c>
      <c r="Z982" t="str">
        <f>IF(Transaction[[#This Row],[GrossRevenue_Clean]]=Transaction[[#This Row],[ListPrice]]*Transaction[[#This Row],[Quantity]],"Valid","Invalid")</f>
        <v>Valid</v>
      </c>
      <c r="AA982">
        <v>203.17</v>
      </c>
      <c r="AB98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203.17</v>
      </c>
      <c r="AC982">
        <f>IF(Transaction[[#This Row],[DiscountAmount_Check2]]="Invalid",Transaction[[#This Row],[GrossRevenue_Analytical]]-Transaction[[#This Row],[NetRevenue_Analytical]],Transaction[[#This Row],[DiscountAmount_Clean]])</f>
        <v>203.17</v>
      </c>
      <c r="AD982">
        <v>916.83</v>
      </c>
      <c r="AE982" t="str">
        <f>IF(ROUND(Transaction[[#This Row],[GrossRevenue_Analytical]]-Transaction[[#This Row],[NetRevenue_Analytical]],2)=ROUND(Transaction[[#This Row],[DiscountAmount_Clean]],2),"Valid","Invalid")</f>
        <v>Valid</v>
      </c>
      <c r="AF982">
        <f>VALUE(IF(ISNUMBER(Transaction[[#This Row],[NetRevenue]]),Transaction[[#This Row],[NetRevenue]],IFERROR(IF(FIND("$",Transaction[[#This Row],[NetRevenue]])&gt;0,MID(Transaction[[#This Row],[NetRevenue]],2,10)),Transaction[[#This Row],[NetRevenue]])))</f>
        <v>916.83</v>
      </c>
      <c r="AG982">
        <f>IF(Transaction[[#This Row],[NetRevenue_Check]]="Invalid",(Transaction[[#This Row],[Quantity]]*Transaction[[#This Row],[UnitPrice_Clean]]),Transaction[[#This Row],[NetRevenue_Clean]])</f>
        <v>916.83</v>
      </c>
      <c r="AH982" t="str">
        <f>IF(Transaction[[#This Row],[Quantity]]*Transaction[[#This Row],[UnitPrice_Clean]]=Transaction[[#This Row],[NetRevenue_Clean]],"Valid","Invalid")</f>
        <v>Valid</v>
      </c>
      <c r="AI982" t="s">
        <v>23</v>
      </c>
      <c r="AJ982" t="s">
        <v>2017</v>
      </c>
      <c r="AK982" t="str">
        <f>IF(Transaction[[#This Row],[Salesperson]]="","Missing Value",TRIM(PROPER(Transaction[[#This Row],[Salesperson]])))</f>
        <v>Phillips</v>
      </c>
      <c r="AL982" t="s">
        <v>42</v>
      </c>
      <c r="AM982" t="str">
        <f>IF(Transaction[[#This Row],[ContractType]]="","Missing Value",Transaction[[#This Row],[ContractType]])</f>
        <v>Standard PO</v>
      </c>
      <c r="AN982" t="s">
        <v>26</v>
      </c>
    </row>
    <row r="983" spans="1:40" x14ac:dyDescent="0.25">
      <c r="A983" t="s">
        <v>2750</v>
      </c>
      <c r="B983" s="1">
        <v>45796</v>
      </c>
      <c r="C98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98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98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83" s="2">
        <f>IFERROR(DATE(Transaction[[#This Row],[TransactionDateY]],Transaction[[#This Row],[TransactionDateM]],Transaction[[#This Row],[TransactionDateD]]),"Missing Value")</f>
        <v>45796</v>
      </c>
      <c r="G983" t="s">
        <v>1692</v>
      </c>
      <c r="H983" t="str">
        <f>IFERROR(VLOOKUP(Transaction[[#This Row],[CustomerID]],Custumer[],1,0),IF(LEN(Transaction[[#This Row],[CustomerID]])=7,LEFT(Transaction[[#This Row],[CustomerID]],6),"Invalid ID"))</f>
        <v>C-1053</v>
      </c>
      <c r="I983" t="s">
        <v>52</v>
      </c>
      <c r="J983" t="str">
        <f>TRIM(UPPER(Transaction[[#This Row],[ProductID]]))</f>
        <v>P-SI-002</v>
      </c>
      <c r="K983" t="str">
        <f>IFERROR(VLOOKUP(Transaction[[#This Row],[ProductID_Clean]],Product[],1,FALSE),"Invalid ID")</f>
        <v>P-SI-002</v>
      </c>
      <c r="L983" t="str">
        <f>TRIM(SUBSTITUTE(SUBSTITUTE(SUBSTITUTE(SUBSTITUTE(UPPER(Transaction[[#This Row],[Region]]),"EMEA REGION","EMEA"),"APAC REGION","APAC"),"NORTH AMERICA","N. AMERICA"),"N .AMERICA","N.AMERICA"))</f>
        <v>LATIN AMERICA</v>
      </c>
      <c r="M983" t="s">
        <v>82</v>
      </c>
      <c r="N983" t="s">
        <v>53</v>
      </c>
      <c r="O98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83" t="s">
        <v>22</v>
      </c>
      <c r="Q983" t="str">
        <f>IF(TRIM(Transaction[[#This Row],[SalesChannel]])="","Missing Value",TRIM(Transaction[[#This Row],[SalesChannel]]))</f>
        <v>Direct</v>
      </c>
      <c r="R983" s="4">
        <v>1</v>
      </c>
      <c r="S983" s="4" t="str">
        <f>IF(Transaction[[#This Row],[Quantity]]&lt;0,"Negative-review","Valid")</f>
        <v>Valid</v>
      </c>
      <c r="T983">
        <v>644.74</v>
      </c>
      <c r="U98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644.74</v>
      </c>
      <c r="V983">
        <v>725</v>
      </c>
      <c r="W983">
        <v>725</v>
      </c>
      <c r="X98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983">
        <f>IF(Transaction[[#This Row],[GrossRevenue_Check]]="Invalid",Transaction[[#This Row],[ListPrice]]*Transaction[[#This Row],[Quantity]],Transaction[[#This Row],[GrossRevenue_Clean]])</f>
        <v>725</v>
      </c>
      <c r="Z983" t="str">
        <f>IF(Transaction[[#This Row],[GrossRevenue_Clean]]=Transaction[[#This Row],[ListPrice]]*Transaction[[#This Row],[Quantity]],"Valid","Invalid")</f>
        <v>Valid</v>
      </c>
      <c r="AA983">
        <v>80.260000000000005</v>
      </c>
      <c r="AB98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80.260000000000005</v>
      </c>
      <c r="AC983">
        <f>IF(Transaction[[#This Row],[DiscountAmount_Check2]]="Invalid",Transaction[[#This Row],[GrossRevenue_Analytical]]-Transaction[[#This Row],[NetRevenue_Analytical]],Transaction[[#This Row],[DiscountAmount_Clean]])</f>
        <v>80.260000000000005</v>
      </c>
      <c r="AD983">
        <v>644.74</v>
      </c>
      <c r="AE983" t="str">
        <f>IF(ROUND(Transaction[[#This Row],[GrossRevenue_Analytical]]-Transaction[[#This Row],[NetRevenue_Analytical]],2)=ROUND(Transaction[[#This Row],[DiscountAmount_Clean]],2),"Valid","Invalid")</f>
        <v>Valid</v>
      </c>
      <c r="AF983">
        <f>VALUE(IF(ISNUMBER(Transaction[[#This Row],[NetRevenue]]),Transaction[[#This Row],[NetRevenue]],IFERROR(IF(FIND("$",Transaction[[#This Row],[NetRevenue]])&gt;0,MID(Transaction[[#This Row],[NetRevenue]],2,10)),Transaction[[#This Row],[NetRevenue]])))</f>
        <v>644.74</v>
      </c>
      <c r="AG983">
        <f>IF(Transaction[[#This Row],[NetRevenue_Check]]="Invalid",(Transaction[[#This Row],[Quantity]]*Transaction[[#This Row],[UnitPrice_Clean]]),Transaction[[#This Row],[NetRevenue_Clean]])</f>
        <v>644.74</v>
      </c>
      <c r="AH983" t="str">
        <f>IF(Transaction[[#This Row],[Quantity]]*Transaction[[#This Row],[UnitPrice_Clean]]=Transaction[[#This Row],[NetRevenue_Clean]],"Valid","Invalid")</f>
        <v>Valid</v>
      </c>
      <c r="AI983" t="s">
        <v>23</v>
      </c>
      <c r="AJ983" t="s">
        <v>2751</v>
      </c>
      <c r="AK983" t="str">
        <f>IF(Transaction[[#This Row],[Salesperson]]="","Missing Value",TRIM(PROPER(Transaction[[#This Row],[Salesperson]])))</f>
        <v>Gonzalez</v>
      </c>
      <c r="AL983" t="s">
        <v>42</v>
      </c>
      <c r="AM983" t="str">
        <f>IF(Transaction[[#This Row],[ContractType]]="","Missing Value",Transaction[[#This Row],[ContractType]])</f>
        <v>Standard PO</v>
      </c>
      <c r="AN983" t="s">
        <v>35</v>
      </c>
    </row>
    <row r="984" spans="1:40" x14ac:dyDescent="0.25">
      <c r="A984" t="s">
        <v>846</v>
      </c>
      <c r="B984" s="1">
        <v>45672</v>
      </c>
      <c r="C98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98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98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84" s="2">
        <f>IFERROR(DATE(Transaction[[#This Row],[TransactionDateY]],Transaction[[#This Row],[TransactionDateM]],Transaction[[#This Row],[TransactionDateD]]),"Missing Value")</f>
        <v>45672</v>
      </c>
      <c r="G984" t="s">
        <v>91</v>
      </c>
      <c r="H984" t="str">
        <f>IFERROR(VLOOKUP(Transaction[[#This Row],[CustomerID]],Custumer[],1,0),IF(LEN(Transaction[[#This Row],[CustomerID]])=7,LEFT(Transaction[[#This Row],[CustomerID]],6),"Invalid ID"))</f>
        <v>C-1147</v>
      </c>
      <c r="I984" t="s">
        <v>92</v>
      </c>
      <c r="J984" t="str">
        <f>TRIM(UPPER(Transaction[[#This Row],[ProductID]]))</f>
        <v>P-SI-008</v>
      </c>
      <c r="K984" t="str">
        <f>IFERROR(VLOOKUP(Transaction[[#This Row],[ProductID_Clean]],Product[],1,FALSE),"Invalid ID")</f>
        <v>P-SI-008</v>
      </c>
      <c r="L984" t="str">
        <f>TRIM(SUBSTITUTE(SUBSTITUTE(SUBSTITUTE(SUBSTITUTE(UPPER(Transaction[[#This Row],[Region]]),"EMEA REGION","EMEA"),"APAC REGION","APAC"),"NORTH AMERICA","N. AMERICA"),"N .AMERICA","N.AMERICA"))</f>
        <v>APAC</v>
      </c>
      <c r="M984" t="s">
        <v>63</v>
      </c>
      <c r="N984" t="s">
        <v>53</v>
      </c>
      <c r="O98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84" t="s">
        <v>22</v>
      </c>
      <c r="Q984" t="str">
        <f>IF(TRIM(Transaction[[#This Row],[SalesChannel]])="","Missing Value",TRIM(Transaction[[#This Row],[SalesChannel]]))</f>
        <v>Direct</v>
      </c>
      <c r="R984" s="4">
        <v>2</v>
      </c>
      <c r="S984" s="4" t="str">
        <f>IF(Transaction[[#This Row],[Quantity]]&lt;0,"Negative-review","Valid")</f>
        <v>Valid</v>
      </c>
      <c r="T984">
        <v>902.38</v>
      </c>
      <c r="U98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902.38</v>
      </c>
      <c r="V984">
        <v>950</v>
      </c>
      <c r="W984">
        <v>1900</v>
      </c>
      <c r="X98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1900</v>
      </c>
      <c r="Y984">
        <f>IF(Transaction[[#This Row],[GrossRevenue_Check]]="Invalid",Transaction[[#This Row],[ListPrice]]*Transaction[[#This Row],[Quantity]],Transaction[[#This Row],[GrossRevenue_Clean]])</f>
        <v>1900</v>
      </c>
      <c r="Z984" t="str">
        <f>IF(Transaction[[#This Row],[GrossRevenue_Clean]]=Transaction[[#This Row],[ListPrice]]*Transaction[[#This Row],[Quantity]],"Valid","Invalid")</f>
        <v>Valid</v>
      </c>
      <c r="AA984">
        <v>95.24</v>
      </c>
      <c r="AB98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95.24</v>
      </c>
      <c r="AC984">
        <f>IF(Transaction[[#This Row],[DiscountAmount_Check2]]="Invalid",Transaction[[#This Row],[GrossRevenue_Analytical]]-Transaction[[#This Row],[NetRevenue_Analytical]],Transaction[[#This Row],[DiscountAmount_Clean]])</f>
        <v>95.24</v>
      </c>
      <c r="AD984">
        <v>1804.76</v>
      </c>
      <c r="AE984" t="str">
        <f>IF(ROUND(Transaction[[#This Row],[GrossRevenue_Analytical]]-Transaction[[#This Row],[NetRevenue_Analytical]],2)=ROUND(Transaction[[#This Row],[DiscountAmount_Clean]],2),"Valid","Invalid")</f>
        <v>Valid</v>
      </c>
      <c r="AF98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1804.76</v>
      </c>
      <c r="AG984">
        <f>IF(Transaction[[#This Row],[NetRevenue_Check]]="Invalid",(Transaction[[#This Row],[Quantity]]*Transaction[[#This Row],[UnitPrice_Clean]]),Transaction[[#This Row],[NetRevenue_Clean]])</f>
        <v>1804.76</v>
      </c>
      <c r="AH984" t="str">
        <f>IF(Transaction[[#This Row],[Quantity]]*Transaction[[#This Row],[UnitPrice_Clean]]=Transaction[[#This Row],[NetRevenue_Clean]],"Valid","Invalid")</f>
        <v>Valid</v>
      </c>
      <c r="AI984" t="s">
        <v>23</v>
      </c>
      <c r="AJ984" t="s">
        <v>607</v>
      </c>
      <c r="AK984" t="str">
        <f>IF(Transaction[[#This Row],[Salesperson]]="","Missing Value",TRIM(PROPER(Transaction[[#This Row],[Salesperson]])))</f>
        <v>Hall</v>
      </c>
      <c r="AL984" t="s">
        <v>42</v>
      </c>
      <c r="AM984" t="str">
        <f>IF(Transaction[[#This Row],[ContractType]]="","Missing Value",Transaction[[#This Row],[ContractType]])</f>
        <v>Standard PO</v>
      </c>
      <c r="AN984" t="s">
        <v>49</v>
      </c>
    </row>
    <row r="985" spans="1:40" x14ac:dyDescent="0.25">
      <c r="A985" t="s">
        <v>1260</v>
      </c>
      <c r="B985" s="1">
        <v>45786</v>
      </c>
      <c r="C98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98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98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85" s="2">
        <f>IFERROR(DATE(Transaction[[#This Row],[TransactionDateY]],Transaction[[#This Row],[TransactionDateM]],Transaction[[#This Row],[TransactionDateD]]),"Missing Value")</f>
        <v>45786</v>
      </c>
      <c r="G985" t="s">
        <v>394</v>
      </c>
      <c r="H985" t="str">
        <f>IFERROR(VLOOKUP(Transaction[[#This Row],[CustomerID]],Custumer[],1,0),IF(LEN(Transaction[[#This Row],[CustomerID]])=7,LEFT(Transaction[[#This Row],[CustomerID]],6),"Invalid ID"))</f>
        <v>C-1128</v>
      </c>
      <c r="I985" t="s">
        <v>111</v>
      </c>
      <c r="J985" t="str">
        <f>TRIM(UPPER(Transaction[[#This Row],[ProductID]]))</f>
        <v>P-SA-004</v>
      </c>
      <c r="K985" t="str">
        <f>IFERROR(VLOOKUP(Transaction[[#This Row],[ProductID_Clean]],Product[],1,FALSE),"Invalid ID")</f>
        <v>P-SA-004</v>
      </c>
      <c r="L985" t="str">
        <f>TRIM(SUBSTITUTE(SUBSTITUTE(SUBSTITUTE(SUBSTITUTE(UPPER(Transaction[[#This Row],[Region]]),"EMEA REGION","EMEA"),"APAC REGION","APAC"),"NORTH AMERICA","N. AMERICA"),"N .AMERICA","N.AMERICA"))</f>
        <v>EMEA</v>
      </c>
      <c r="M985" t="s">
        <v>87</v>
      </c>
      <c r="N985" t="s">
        <v>31</v>
      </c>
      <c r="O98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985" t="s">
        <v>22</v>
      </c>
      <c r="Q985" t="str">
        <f>IF(TRIM(Transaction[[#This Row],[SalesChannel]])="","Missing Value",TRIM(Transaction[[#This Row],[SalesChannel]]))</f>
        <v>Direct</v>
      </c>
      <c r="R985" s="4">
        <v>1</v>
      </c>
      <c r="S985" s="4" t="str">
        <f>IF(Transaction[[#This Row],[Quantity]]&lt;0,"Negative-review","Valid")</f>
        <v>Valid</v>
      </c>
      <c r="T985" t="s">
        <v>1261</v>
      </c>
      <c r="U98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1432.56</v>
      </c>
      <c r="V985">
        <v>1650</v>
      </c>
      <c r="W985">
        <v>1650</v>
      </c>
      <c r="X98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985">
        <f>IF(Transaction[[#This Row],[GrossRevenue_Check]]="Invalid",Transaction[[#This Row],[ListPrice]]*Transaction[[#This Row],[Quantity]],Transaction[[#This Row],[GrossRevenue_Clean]])</f>
        <v>1650</v>
      </c>
      <c r="Z985" t="str">
        <f>IF(Transaction[[#This Row],[GrossRevenue_Clean]]=Transaction[[#This Row],[ListPrice]]*Transaction[[#This Row],[Quantity]],"Valid","Invalid")</f>
        <v>Valid</v>
      </c>
      <c r="AA985">
        <v>217.44</v>
      </c>
      <c r="AB98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217.44</v>
      </c>
      <c r="AC985">
        <f>IF(Transaction[[#This Row],[DiscountAmount_Check2]]="Invalid",Transaction[[#This Row],[GrossRevenue_Analytical]]-Transaction[[#This Row],[NetRevenue_Analytical]],Transaction[[#This Row],[DiscountAmount_Clean]])</f>
        <v>217.44</v>
      </c>
      <c r="AD985">
        <v>1432.56</v>
      </c>
      <c r="AE985" t="str">
        <f>IF(ROUND(Transaction[[#This Row],[GrossRevenue_Analytical]]-Transaction[[#This Row],[NetRevenue_Analytical]],2)=ROUND(Transaction[[#This Row],[DiscountAmount_Clean]],2),"Valid","Invalid")</f>
        <v>Valid</v>
      </c>
      <c r="AF98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1432.56</v>
      </c>
      <c r="AG985">
        <f>IF(Transaction[[#This Row],[NetRevenue_Check]]="Invalid",(Transaction[[#This Row],[Quantity]]*Transaction[[#This Row],[UnitPrice_Clean]]),Transaction[[#This Row],[NetRevenue_Clean]])</f>
        <v>1432.56</v>
      </c>
      <c r="AH985" t="str">
        <f>IF(Transaction[[#This Row],[Quantity]]*Transaction[[#This Row],[UnitPrice_Clean]]=Transaction[[#This Row],[NetRevenue_Clean]],"Valid","Invalid")</f>
        <v>Valid</v>
      </c>
      <c r="AI985" t="s">
        <v>23</v>
      </c>
      <c r="AJ985" t="s">
        <v>1262</v>
      </c>
      <c r="AK985" t="str">
        <f>IF(Transaction[[#This Row],[Salesperson]]="","Missing Value",TRIM(PROPER(Transaction[[#This Row],[Salesperson]])))</f>
        <v>Hudson</v>
      </c>
      <c r="AL985" t="s">
        <v>34</v>
      </c>
      <c r="AM985" t="str">
        <f>IF(Transaction[[#This Row],[ContractType]]="","Missing Value",Transaction[[#This Row],[ContractType]])</f>
        <v>Annual License</v>
      </c>
      <c r="AN985" t="s">
        <v>43</v>
      </c>
    </row>
    <row r="986" spans="1:40" x14ac:dyDescent="0.25">
      <c r="A986" t="s">
        <v>981</v>
      </c>
      <c r="B986" s="1">
        <v>45717</v>
      </c>
      <c r="C98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98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98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86" s="2">
        <f>IFERROR(DATE(Transaction[[#This Row],[TransactionDateY]],Transaction[[#This Row],[TransactionDateM]],Transaction[[#This Row],[TransactionDateD]]),"Missing Value")</f>
        <v>45717</v>
      </c>
      <c r="G986" t="s">
        <v>476</v>
      </c>
      <c r="H986" t="str">
        <f>IFERROR(VLOOKUP(Transaction[[#This Row],[CustomerID]],Custumer[],1,0),IF(LEN(Transaction[[#This Row],[CustomerID]])=7,LEFT(Transaction[[#This Row],[CustomerID]],6),"Invalid ID"))</f>
        <v>C-1174</v>
      </c>
      <c r="I986" t="s">
        <v>97</v>
      </c>
      <c r="J986" t="str">
        <f>TRIM(UPPER(Transaction[[#This Row],[ProductID]]))</f>
        <v>P-SI-001</v>
      </c>
      <c r="K986" t="str">
        <f>IFERROR(VLOOKUP(Transaction[[#This Row],[ProductID_Clean]],Product[],1,FALSE),"Invalid ID")</f>
        <v>P-SI-001</v>
      </c>
      <c r="L986" t="str">
        <f>TRIM(SUBSTITUTE(SUBSTITUTE(SUBSTITUTE(SUBSTITUTE(UPPER(Transaction[[#This Row],[Region]]),"EMEA REGION","EMEA"),"APAC REGION","APAC"),"NORTH AMERICA","N. AMERICA"),"N .AMERICA","N.AMERICA"))</f>
        <v>N. AMERICA</v>
      </c>
      <c r="M986" t="s">
        <v>20</v>
      </c>
      <c r="N986" t="s">
        <v>53</v>
      </c>
      <c r="O98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86" t="s">
        <v>22</v>
      </c>
      <c r="Q986" t="str">
        <f>IF(TRIM(Transaction[[#This Row],[SalesChannel]])="","Missing Value",TRIM(Transaction[[#This Row],[SalesChannel]]))</f>
        <v>Direct</v>
      </c>
      <c r="R986" s="4">
        <v>3</v>
      </c>
      <c r="S986" s="4" t="str">
        <f>IF(Transaction[[#This Row],[Quantity]]&lt;0,"Negative-review","Valid")</f>
        <v>Valid</v>
      </c>
      <c r="T986">
        <v>436.33</v>
      </c>
      <c r="U98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436.33</v>
      </c>
      <c r="V986">
        <v>485</v>
      </c>
      <c r="W986">
        <v>1455</v>
      </c>
      <c r="X98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986">
        <f>IF(Transaction[[#This Row],[GrossRevenue_Check]]="Invalid",Transaction[[#This Row],[ListPrice]]*Transaction[[#This Row],[Quantity]],Transaction[[#This Row],[GrossRevenue_Clean]])</f>
        <v>1455</v>
      </c>
      <c r="Z986" t="str">
        <f>IF(Transaction[[#This Row],[GrossRevenue_Clean]]=Transaction[[#This Row],[ListPrice]]*Transaction[[#This Row],[Quantity]],"Valid","Invalid")</f>
        <v>Valid</v>
      </c>
      <c r="AA986">
        <v>146.01</v>
      </c>
      <c r="AB98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146.01</v>
      </c>
      <c r="AC986">
        <f>IF(Transaction[[#This Row],[DiscountAmount_Check2]]="Invalid",Transaction[[#This Row],[GrossRevenue_Analytical]]-Transaction[[#This Row],[NetRevenue_Analytical]],Transaction[[#This Row],[DiscountAmount_Clean]])</f>
        <v>146.01</v>
      </c>
      <c r="AD986">
        <v>1308.99</v>
      </c>
      <c r="AE986" t="str">
        <f>IF(ROUND(Transaction[[#This Row],[GrossRevenue_Analytical]]-Transaction[[#This Row],[NetRevenue_Analytical]],2)=ROUND(Transaction[[#This Row],[DiscountAmount_Clean]],2),"Valid","Invalid")</f>
        <v>Valid</v>
      </c>
      <c r="AF98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1308.99</v>
      </c>
      <c r="AG986">
        <f>IF(Transaction[[#This Row],[NetRevenue_Check]]="Invalid",(Transaction[[#This Row],[Quantity]]*Transaction[[#This Row],[UnitPrice_Clean]]),Transaction[[#This Row],[NetRevenue_Clean]])</f>
        <v>1308.99</v>
      </c>
      <c r="AH986" t="str">
        <f>IF(Transaction[[#This Row],[Quantity]]*Transaction[[#This Row],[UnitPrice_Clean]]=Transaction[[#This Row],[NetRevenue_Clean]],"Valid","Invalid")</f>
        <v>Valid</v>
      </c>
      <c r="AI986" t="s">
        <v>23</v>
      </c>
      <c r="AJ986" t="s">
        <v>982</v>
      </c>
      <c r="AK986" t="str">
        <f>IF(Transaction[[#This Row],[Salesperson]]="","Missing Value",TRIM(PROPER(Transaction[[#This Row],[Salesperson]])))</f>
        <v>Sanchez-Ap</v>
      </c>
      <c r="AL986" t="s">
        <v>42</v>
      </c>
      <c r="AM986" t="str">
        <f>IF(Transaction[[#This Row],[ContractType]]="","Missing Value",Transaction[[#This Row],[ContractType]])</f>
        <v>Standard PO</v>
      </c>
      <c r="AN986" t="s">
        <v>35</v>
      </c>
    </row>
    <row r="987" spans="1:40" x14ac:dyDescent="0.25">
      <c r="A987" t="s">
        <v>2101</v>
      </c>
      <c r="B987" t="s">
        <v>2102</v>
      </c>
      <c r="C98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98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98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87" s="2">
        <f>IFERROR(DATE(Transaction[[#This Row],[TransactionDateY]],Transaction[[#This Row],[TransactionDateM]],Transaction[[#This Row],[TransactionDateD]]),"Missing Value")</f>
        <v>45805</v>
      </c>
      <c r="G987" t="s">
        <v>110</v>
      </c>
      <c r="H987" t="str">
        <f>IFERROR(VLOOKUP(Transaction[[#This Row],[CustomerID]],Custumer[],1,0),IF(LEN(Transaction[[#This Row],[CustomerID]])=7,LEFT(Transaction[[#This Row],[CustomerID]],6),"Invalid ID"))</f>
        <v>C-1100</v>
      </c>
      <c r="I987" t="s">
        <v>46</v>
      </c>
      <c r="J987" t="str">
        <f>TRIM(UPPER(Transaction[[#This Row],[ProductID]]))</f>
        <v>P-SI-006</v>
      </c>
      <c r="K987" t="str">
        <f>IFERROR(VLOOKUP(Transaction[[#This Row],[ProductID_Clean]],Product[],1,FALSE),"Invalid ID")</f>
        <v>P-SI-006</v>
      </c>
      <c r="L987" t="str">
        <f>TRIM(SUBSTITUTE(SUBSTITUTE(SUBSTITUTE(SUBSTITUTE(UPPER(Transaction[[#This Row],[Region]]),"EMEA REGION","EMEA"),"APAC REGION","APAC"),"NORTH AMERICA","N. AMERICA"),"N .AMERICA","N.AMERICA"))</f>
        <v>EMEA</v>
      </c>
      <c r="M987" t="s">
        <v>76</v>
      </c>
      <c r="N987" t="s">
        <v>53</v>
      </c>
      <c r="O98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87" t="s">
        <v>22</v>
      </c>
      <c r="Q987" t="str">
        <f>IF(TRIM(Transaction[[#This Row],[SalesChannel]])="","Missing Value",TRIM(Transaction[[#This Row],[SalesChannel]]))</f>
        <v>Direct</v>
      </c>
      <c r="R987" s="4">
        <v>2</v>
      </c>
      <c r="S987" s="4" t="str">
        <f>IF(Transaction[[#This Row],[Quantity]]&lt;0,"Negative-review","Valid")</f>
        <v>Valid</v>
      </c>
      <c r="T987">
        <v>172.98</v>
      </c>
      <c r="U98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172.98</v>
      </c>
      <c r="V987">
        <v>215</v>
      </c>
      <c r="W987" t="s">
        <v>2103</v>
      </c>
      <c r="X98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987">
        <f>IF(Transaction[[#This Row],[GrossRevenue_Check]]="Invalid",Transaction[[#This Row],[ListPrice]]*Transaction[[#This Row],[Quantity]],Transaction[[#This Row],[GrossRevenue_Clean]])</f>
        <v>430</v>
      </c>
      <c r="Z987" t="str">
        <f>IF(Transaction[[#This Row],[GrossRevenue_Clean]]=Transaction[[#This Row],[ListPrice]]*Transaction[[#This Row],[Quantity]],"Valid","Invalid")</f>
        <v>Valid</v>
      </c>
      <c r="AA987">
        <v>84.04</v>
      </c>
      <c r="AB98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84.04</v>
      </c>
      <c r="AC987">
        <f>IF(Transaction[[#This Row],[DiscountAmount_Check2]]="Invalid",Transaction[[#This Row],[GrossRevenue_Analytical]]-Transaction[[#This Row],[NetRevenue_Analytical]],Transaction[[#This Row],[DiscountAmount_Clean]])</f>
        <v>84.04</v>
      </c>
      <c r="AD987">
        <v>345.96</v>
      </c>
      <c r="AE987" t="str">
        <f>IF(ROUND(Transaction[[#This Row],[GrossRevenue_Analytical]]-Transaction[[#This Row],[NetRevenue_Analytical]],2)=ROUND(Transaction[[#This Row],[DiscountAmount_Clean]],2),"Valid","Invalid")</f>
        <v>Valid</v>
      </c>
      <c r="AF98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345.96</v>
      </c>
      <c r="AG987">
        <f>IF(Transaction[[#This Row],[NetRevenue_Check]]="Invalid",(Transaction[[#This Row],[Quantity]]*Transaction[[#This Row],[UnitPrice_Clean]]),Transaction[[#This Row],[NetRevenue_Clean]])</f>
        <v>345.96</v>
      </c>
      <c r="AH987" t="str">
        <f>IF(Transaction[[#This Row],[Quantity]]*Transaction[[#This Row],[UnitPrice_Clean]]=Transaction[[#This Row],[NetRevenue_Clean]],"Valid","Invalid")</f>
        <v>Valid</v>
      </c>
      <c r="AI987" t="s">
        <v>23</v>
      </c>
      <c r="AJ987" t="s">
        <v>2104</v>
      </c>
      <c r="AK987" t="str">
        <f>IF(Transaction[[#This Row],[Salesperson]]="","Missing Value",TRIM(PROPER(Transaction[[#This Row],[Salesperson]])))</f>
        <v>Pierce-Em</v>
      </c>
      <c r="AL987" t="s">
        <v>42</v>
      </c>
      <c r="AM987" t="str">
        <f>IF(Transaction[[#This Row],[ContractType]]="","Missing Value",Transaction[[#This Row],[ContractType]])</f>
        <v>Standard PO</v>
      </c>
      <c r="AN987" t="s">
        <v>43</v>
      </c>
    </row>
    <row r="988" spans="1:40" x14ac:dyDescent="0.25">
      <c r="A988" t="s">
        <v>44</v>
      </c>
      <c r="C98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98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98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988" s="2" t="str">
        <f>IFERROR(DATE(Transaction[[#This Row],[TransactionDateY]],Transaction[[#This Row],[TransactionDateM]],Transaction[[#This Row],[TransactionDateD]]),"Missing Value")</f>
        <v>Missing Value</v>
      </c>
      <c r="G988" t="s">
        <v>45</v>
      </c>
      <c r="H988" t="str">
        <f>IFERROR(VLOOKUP(Transaction[[#This Row],[CustomerID]],Custumer[],1,0),IF(LEN(Transaction[[#This Row],[CustomerID]])=7,LEFT(Transaction[[#This Row],[CustomerID]],6),"Invalid ID"))</f>
        <v>C-1155</v>
      </c>
      <c r="I988" t="s">
        <v>46</v>
      </c>
      <c r="J988" t="str">
        <f>TRIM(UPPER(Transaction[[#This Row],[ProductID]]))</f>
        <v>P-SI-006</v>
      </c>
      <c r="K988" t="str">
        <f>IFERROR(VLOOKUP(Transaction[[#This Row],[ProductID_Clean]],Product[],1,FALSE),"Invalid ID")</f>
        <v>P-SI-006</v>
      </c>
      <c r="L988" t="str">
        <f>TRIM(SUBSTITUTE(SUBSTITUTE(SUBSTITUTE(SUBSTITUTE(UPPER(Transaction[[#This Row],[Region]]),"EMEA REGION","EMEA"),"APAC REGION","APAC"),"NORTH AMERICA","N. AMERICA"),"N .AMERICA","N.AMERICA"))</f>
        <v>APAC</v>
      </c>
      <c r="M988" t="s">
        <v>30</v>
      </c>
      <c r="N988" t="s">
        <v>47</v>
      </c>
      <c r="O98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88" t="s">
        <v>40</v>
      </c>
      <c r="Q988" t="str">
        <f>IF(TRIM(Transaction[[#This Row],[SalesChannel]])="","Missing Value",TRIM(Transaction[[#This Row],[SalesChannel]]))</f>
        <v>Distributor</v>
      </c>
      <c r="R988" s="4">
        <v>3</v>
      </c>
      <c r="S988" s="4" t="str">
        <f>IF(Transaction[[#This Row],[Quantity]]&lt;0,"Negative-review","Valid")</f>
        <v>Valid</v>
      </c>
      <c r="T988">
        <v>145.91</v>
      </c>
      <c r="U98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145.91</v>
      </c>
      <c r="V988">
        <v>215</v>
      </c>
      <c r="W988">
        <v>645</v>
      </c>
      <c r="X98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988">
        <f>IF(Transaction[[#This Row],[GrossRevenue_Check]]="Invalid",Transaction[[#This Row],[ListPrice]]*Transaction[[#This Row],[Quantity]],Transaction[[#This Row],[GrossRevenue_Clean]])</f>
        <v>645</v>
      </c>
      <c r="Z988" t="str">
        <f>IF(Transaction[[#This Row],[GrossRevenue_Clean]]=Transaction[[#This Row],[ListPrice]]*Transaction[[#This Row],[Quantity]],"Valid","Invalid")</f>
        <v>Valid</v>
      </c>
      <c r="AA988">
        <v>207.27</v>
      </c>
      <c r="AB98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207.27</v>
      </c>
      <c r="AC988">
        <f>IF(Transaction[[#This Row],[DiscountAmount_Check2]]="Invalid",Transaction[[#This Row],[GrossRevenue_Analytical]]-Transaction[[#This Row],[NetRevenue_Analytical]],Transaction[[#This Row],[DiscountAmount_Clean]])</f>
        <v>207.27</v>
      </c>
      <c r="AD988">
        <v>437.73</v>
      </c>
      <c r="AE988" t="str">
        <f>IF(ROUND(Transaction[[#This Row],[GrossRevenue_Analytical]]-Transaction[[#This Row],[NetRevenue_Analytical]],2)=ROUND(Transaction[[#This Row],[DiscountAmount_Clean]],2),"Valid","Invalid")</f>
        <v>Valid</v>
      </c>
      <c r="AF988">
        <f>VALUE(IF(ISNUMBER(Transaction[[#This Row],[NetRevenue]]),Transaction[[#This Row],[NetRevenue]],IFERROR(IF(FIND("$",Transaction[[#This Row],[NetRevenue]])&gt;0,MID(Transaction[[#This Row],[NetRevenue]],2,10)),Transaction[[#This Row],[NetRevenue]])))</f>
        <v>437.73</v>
      </c>
      <c r="AG988">
        <f>IF(Transaction[[#This Row],[NetRevenue_Check]]="Invalid",(Transaction[[#This Row],[Quantity]]*Transaction[[#This Row],[UnitPrice_Clean]]),Transaction[[#This Row],[NetRevenue_Clean]])</f>
        <v>437.73</v>
      </c>
      <c r="AH988" t="str">
        <f>IF(Transaction[[#This Row],[Quantity]]*Transaction[[#This Row],[UnitPrice_Clean]]=Transaction[[#This Row],[NetRevenue_Clean]],"Valid","Invalid")</f>
        <v>Valid</v>
      </c>
      <c r="AI988" t="s">
        <v>23</v>
      </c>
      <c r="AJ988" t="s">
        <v>48</v>
      </c>
      <c r="AK988" t="str">
        <f>IF(Transaction[[#This Row],[Salesperson]]="","Missing Value",TRIM(PROPER(Transaction[[#This Row],[Salesperson]])))</f>
        <v>Harding</v>
      </c>
      <c r="AL988" t="s">
        <v>25</v>
      </c>
      <c r="AM988" t="str">
        <f>IF(Transaction[[#This Row],[ContractType]]="","Missing Value",Transaction[[#This Row],[ContractType]])</f>
        <v>Frame Agreement</v>
      </c>
      <c r="AN988" t="s">
        <v>49</v>
      </c>
    </row>
    <row r="989" spans="1:40" x14ac:dyDescent="0.25">
      <c r="A989" t="s">
        <v>1781</v>
      </c>
      <c r="B989" s="1">
        <v>45718</v>
      </c>
      <c r="C98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98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98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89" s="2">
        <f>IFERROR(DATE(Transaction[[#This Row],[TransactionDateY]],Transaction[[#This Row],[TransactionDateM]],Transaction[[#This Row],[TransactionDateD]]),"Missing Value")</f>
        <v>45718</v>
      </c>
      <c r="G989" t="s">
        <v>1689</v>
      </c>
      <c r="H989" t="str">
        <f>IFERROR(VLOOKUP(Transaction[[#This Row],[CustomerID]],Custumer[],1,0),IF(LEN(Transaction[[#This Row],[CustomerID]])=7,LEFT(Transaction[[#This Row],[CustomerID]],6),"Invalid ID"))</f>
        <v>Invalid ID</v>
      </c>
      <c r="I989" t="s">
        <v>52</v>
      </c>
      <c r="J989" t="str">
        <f>TRIM(UPPER(Transaction[[#This Row],[ProductID]]))</f>
        <v>P-SI-002</v>
      </c>
      <c r="K989" t="str">
        <f>IFERROR(VLOOKUP(Transaction[[#This Row],[ProductID_Clean]],Product[],1,FALSE),"Invalid ID")</f>
        <v>P-SI-002</v>
      </c>
      <c r="L989" t="str">
        <f>TRIM(SUBSTITUTE(SUBSTITUTE(SUBSTITUTE(SUBSTITUTE(UPPER(Transaction[[#This Row],[Region]]),"EMEA REGION","EMEA"),"APAC REGION","APAC"),"NORTH AMERICA","N. AMERICA"),"N .AMERICA","N.AMERICA"))</f>
        <v>N. AMERICA</v>
      </c>
      <c r="M989" t="s">
        <v>20</v>
      </c>
      <c r="N989" t="s">
        <v>53</v>
      </c>
      <c r="O98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89" t="s">
        <v>22</v>
      </c>
      <c r="Q989" t="str">
        <f>IF(TRIM(Transaction[[#This Row],[SalesChannel]])="","Missing Value",TRIM(Transaction[[#This Row],[SalesChannel]]))</f>
        <v>Direct</v>
      </c>
      <c r="R989" s="4">
        <v>1</v>
      </c>
      <c r="S989" s="4" t="str">
        <f>IF(Transaction[[#This Row],[Quantity]]&lt;0,"Negative-review","Valid")</f>
        <v>Valid</v>
      </c>
      <c r="T989">
        <v>657.5</v>
      </c>
      <c r="U98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657.5</v>
      </c>
      <c r="V989">
        <v>725</v>
      </c>
      <c r="W989">
        <v>725</v>
      </c>
      <c r="X98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989">
        <f>IF(Transaction[[#This Row],[GrossRevenue_Check]]="Invalid",Transaction[[#This Row],[ListPrice]]*Transaction[[#This Row],[Quantity]],Transaction[[#This Row],[GrossRevenue_Clean]])</f>
        <v>725</v>
      </c>
      <c r="Z989" t="str">
        <f>IF(Transaction[[#This Row],[GrossRevenue_Clean]]=Transaction[[#This Row],[ListPrice]]*Transaction[[#This Row],[Quantity]],"Valid","Invalid")</f>
        <v>Valid</v>
      </c>
      <c r="AA989">
        <v>67.5</v>
      </c>
      <c r="AB98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67.5</v>
      </c>
      <c r="AC989">
        <f>IF(Transaction[[#This Row],[DiscountAmount_Check2]]="Invalid",Transaction[[#This Row],[GrossRevenue_Analytical]]-Transaction[[#This Row],[NetRevenue_Analytical]],Transaction[[#This Row],[DiscountAmount_Clean]])</f>
        <v>67.5</v>
      </c>
      <c r="AD989">
        <v>657.5</v>
      </c>
      <c r="AE989" t="str">
        <f>IF(ROUND(Transaction[[#This Row],[GrossRevenue_Analytical]]-Transaction[[#This Row],[NetRevenue_Analytical]],2)=ROUND(Transaction[[#This Row],[DiscountAmount_Clean]],2),"Valid","Invalid")</f>
        <v>Valid</v>
      </c>
      <c r="AF989">
        <f>VALUE(IF(ISNUMBER(Transaction[[#This Row],[NetRevenue]]),Transaction[[#This Row],[NetRevenue]],IFERROR(IF(FIND("$",Transaction[[#This Row],[NetRevenue]])&gt;0,MID(Transaction[[#This Row],[NetRevenue]],2,10)),Transaction[[#This Row],[NetRevenue]])))</f>
        <v>657.5</v>
      </c>
      <c r="AG989">
        <f>IF(Transaction[[#This Row],[NetRevenue_Check]]="Invalid",(Transaction[[#This Row],[Quantity]]*Transaction[[#This Row],[UnitPrice_Clean]]),Transaction[[#This Row],[NetRevenue_Clean]])</f>
        <v>657.5</v>
      </c>
      <c r="AH989" t="str">
        <f>IF(Transaction[[#This Row],[Quantity]]*Transaction[[#This Row],[UnitPrice_Clean]]=Transaction[[#This Row],[NetRevenue_Clean]],"Valid","Invalid")</f>
        <v>Valid</v>
      </c>
      <c r="AI989" t="s">
        <v>99</v>
      </c>
      <c r="AJ989" t="s">
        <v>772</v>
      </c>
      <c r="AK989" t="str">
        <f>IF(Transaction[[#This Row],[Salesperson]]="","Missing Value",TRIM(PROPER(Transaction[[#This Row],[Salesperson]])))</f>
        <v>Morgan</v>
      </c>
      <c r="AL989" t="s">
        <v>42</v>
      </c>
      <c r="AM989" t="str">
        <f>IF(Transaction[[#This Row],[ContractType]]="","Missing Value",Transaction[[#This Row],[ContractType]])</f>
        <v>Standard PO</v>
      </c>
      <c r="AN989" t="s">
        <v>35</v>
      </c>
    </row>
    <row r="990" spans="1:40" x14ac:dyDescent="0.25">
      <c r="A990" t="s">
        <v>1520</v>
      </c>
      <c r="B990" s="1">
        <v>45694</v>
      </c>
      <c r="C99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99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99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90" s="2">
        <f>IFERROR(DATE(Transaction[[#This Row],[TransactionDateY]],Transaction[[#This Row],[TransactionDateM]],Transaction[[#This Row],[TransactionDateD]]),"Missing Value")</f>
        <v>45694</v>
      </c>
      <c r="G990" t="s">
        <v>18</v>
      </c>
      <c r="H990" t="str">
        <f>IFERROR(VLOOKUP(Transaction[[#This Row],[CustomerID]],Custumer[],1,0),IF(LEN(Transaction[[#This Row],[CustomerID]])=7,LEFT(Transaction[[#This Row],[CustomerID]],6),"Invalid ID"))</f>
        <v>C-1048</v>
      </c>
      <c r="I990" t="s">
        <v>71</v>
      </c>
      <c r="J990" t="str">
        <f>TRIM(UPPER(Transaction[[#This Row],[ProductID]]))</f>
        <v>P-SI-003</v>
      </c>
      <c r="K990" t="str">
        <f>IFERROR(VLOOKUP(Transaction[[#This Row],[ProductID_Clean]],Product[],1,FALSE),"Invalid ID")</f>
        <v>P-SI-003</v>
      </c>
      <c r="L990" t="str">
        <f>TRIM(SUBSTITUTE(SUBSTITUTE(SUBSTITUTE(SUBSTITUTE(UPPER(Transaction[[#This Row],[Region]]),"EMEA REGION","EMEA"),"APAC REGION","APAC"),"NORTH AMERICA","N. AMERICA"),"N .AMERICA","N.AMERICA"))</f>
        <v>N. AMERICA</v>
      </c>
      <c r="M990" t="s">
        <v>20</v>
      </c>
      <c r="N990" t="s">
        <v>53</v>
      </c>
      <c r="O99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90" t="s">
        <v>22</v>
      </c>
      <c r="Q990" t="str">
        <f>IF(TRIM(Transaction[[#This Row],[SalesChannel]])="","Missing Value",TRIM(Transaction[[#This Row],[SalesChannel]]))</f>
        <v>Direct</v>
      </c>
      <c r="R990" s="4">
        <v>3</v>
      </c>
      <c r="S990" s="4" t="str">
        <f>IF(Transaction[[#This Row],[Quantity]]&lt;0,"Negative-review","Valid")</f>
        <v>Valid</v>
      </c>
      <c r="T990">
        <v>1592.14</v>
      </c>
      <c r="U99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1592.14</v>
      </c>
      <c r="V990">
        <v>1890</v>
      </c>
      <c r="W990">
        <v>5670</v>
      </c>
      <c r="X99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5670</v>
      </c>
      <c r="Y990">
        <f>IF(Transaction[[#This Row],[GrossRevenue_Check]]="Invalid",Transaction[[#This Row],[ListPrice]]*Transaction[[#This Row],[Quantity]],Transaction[[#This Row],[GrossRevenue_Clean]])</f>
        <v>5670</v>
      </c>
      <c r="Z990" t="str">
        <f>IF(Transaction[[#This Row],[GrossRevenue_Clean]]=Transaction[[#This Row],[ListPrice]]*Transaction[[#This Row],[Quantity]],"Valid","Invalid")</f>
        <v>Valid</v>
      </c>
      <c r="AA990">
        <v>893.58</v>
      </c>
      <c r="AB99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893.58</v>
      </c>
      <c r="AC990">
        <f>IF(Transaction[[#This Row],[DiscountAmount_Check2]]="Invalid",Transaction[[#This Row],[GrossRevenue_Analytical]]-Transaction[[#This Row],[NetRevenue_Analytical]],Transaction[[#This Row],[DiscountAmount_Clean]])</f>
        <v>893.58</v>
      </c>
      <c r="AD990">
        <v>4776.42</v>
      </c>
      <c r="AE990" t="str">
        <f>IF(ROUND(Transaction[[#This Row],[GrossRevenue_Analytical]]-Transaction[[#This Row],[NetRevenue_Analytical]],2)=ROUND(Transaction[[#This Row],[DiscountAmount_Clean]],2),"Valid","Invalid")</f>
        <v>Valid</v>
      </c>
      <c r="AF990">
        <f>VALUE(IF(ISNUMBER(Transaction[[#This Row],[NetRevenue]]),Transaction[[#This Row],[NetRevenue]],IFERROR(IF(FIND("$",Transaction[[#This Row],[NetRevenue]])&gt;0,MID(Transaction[[#This Row],[NetRevenue]],2,10)),Transaction[[#This Row],[NetRevenue]])))</f>
        <v>4776.42</v>
      </c>
      <c r="AG990">
        <f>IF(Transaction[[#This Row],[NetRevenue_Check]]="Invalid",(Transaction[[#This Row],[Quantity]]*Transaction[[#This Row],[UnitPrice_Clean]]),Transaction[[#This Row],[NetRevenue_Clean]])</f>
        <v>4776.42</v>
      </c>
      <c r="AH990" t="str">
        <f>IF(Transaction[[#This Row],[Quantity]]*Transaction[[#This Row],[UnitPrice_Clean]]=Transaction[[#This Row],[NetRevenue_Clean]],"Valid","Invalid")</f>
        <v>Valid</v>
      </c>
      <c r="AI990" t="s">
        <v>23</v>
      </c>
      <c r="AJ990" t="s">
        <v>1521</v>
      </c>
      <c r="AK990" t="str">
        <f>IF(Transaction[[#This Row],[Salesperson]]="","Missing Value",TRIM(PROPER(Transaction[[#This Row],[Salesperson]])))</f>
        <v>Hines-Ap</v>
      </c>
      <c r="AL990" t="s">
        <v>42</v>
      </c>
      <c r="AM990" t="str">
        <f>IF(Transaction[[#This Row],[ContractType]]="","Missing Value",Transaction[[#This Row],[ContractType]])</f>
        <v>Standard PO</v>
      </c>
      <c r="AN990" t="s">
        <v>26</v>
      </c>
    </row>
    <row r="991" spans="1:40" x14ac:dyDescent="0.25">
      <c r="A991" t="s">
        <v>1662</v>
      </c>
      <c r="B991" s="1">
        <v>45791</v>
      </c>
      <c r="C99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99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99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91" s="2">
        <f>IFERROR(DATE(Transaction[[#This Row],[TransactionDateY]],Transaction[[#This Row],[TransactionDateM]],Transaction[[#This Row],[TransactionDateD]]),"Missing Value")</f>
        <v>45791</v>
      </c>
      <c r="G991" t="s">
        <v>1518</v>
      </c>
      <c r="H991" t="str">
        <f>IFERROR(VLOOKUP(Transaction[[#This Row],[CustomerID]],Custumer[],1,0),IF(LEN(Transaction[[#This Row],[CustomerID]])=7,LEFT(Transaction[[#This Row],[CustomerID]],6),"Invalid ID"))</f>
        <v>C-1138</v>
      </c>
      <c r="I991" t="s">
        <v>46</v>
      </c>
      <c r="J991" t="str">
        <f>TRIM(UPPER(Transaction[[#This Row],[ProductID]]))</f>
        <v>P-SI-006</v>
      </c>
      <c r="K991" t="str">
        <f>IFERROR(VLOOKUP(Transaction[[#This Row],[ProductID_Clean]],Product[],1,FALSE),"Invalid ID")</f>
        <v>P-SI-006</v>
      </c>
      <c r="L991" t="str">
        <f>TRIM(SUBSTITUTE(SUBSTITUTE(SUBSTITUTE(SUBSTITUTE(UPPER(Transaction[[#This Row],[Region]]),"EMEA REGION","EMEA"),"APAC REGION","APAC"),"NORTH AMERICA","N. AMERICA"),"N .AMERICA","N.AMERICA"))</f>
        <v>EMEA</v>
      </c>
      <c r="M991" t="s">
        <v>76</v>
      </c>
      <c r="N991" t="s">
        <v>53</v>
      </c>
      <c r="O99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91" t="s">
        <v>22</v>
      </c>
      <c r="Q991" t="str">
        <f>IF(TRIM(Transaction[[#This Row],[SalesChannel]])="","Missing Value",TRIM(Transaction[[#This Row],[SalesChannel]]))</f>
        <v>Direct</v>
      </c>
      <c r="R991" s="4">
        <v>4</v>
      </c>
      <c r="S991" s="4" t="str">
        <f>IF(Transaction[[#This Row],[Quantity]]&lt;0,"Negative-review","Valid")</f>
        <v>Valid</v>
      </c>
      <c r="T991">
        <v>169.59</v>
      </c>
      <c r="U99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169.59</v>
      </c>
      <c r="V991">
        <v>215</v>
      </c>
      <c r="W991">
        <v>860</v>
      </c>
      <c r="X99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860</v>
      </c>
      <c r="Y991">
        <f>IF(Transaction[[#This Row],[GrossRevenue_Check]]="Invalid",Transaction[[#This Row],[ListPrice]]*Transaction[[#This Row],[Quantity]],Transaction[[#This Row],[GrossRevenue_Clean]])</f>
        <v>860</v>
      </c>
      <c r="Z991" t="str">
        <f>IF(Transaction[[#This Row],[GrossRevenue_Clean]]=Transaction[[#This Row],[ListPrice]]*Transaction[[#This Row],[Quantity]],"Valid","Invalid")</f>
        <v>Valid</v>
      </c>
      <c r="AA991">
        <v>181.64</v>
      </c>
      <c r="AB99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181.64</v>
      </c>
      <c r="AC991">
        <f>IF(Transaction[[#This Row],[DiscountAmount_Check2]]="Invalid",Transaction[[#This Row],[GrossRevenue_Analytical]]-Transaction[[#This Row],[NetRevenue_Analytical]],Transaction[[#This Row],[DiscountAmount_Clean]])</f>
        <v>181.64</v>
      </c>
      <c r="AD991">
        <v>678.36</v>
      </c>
      <c r="AE991" t="str">
        <f>IF(ROUND(Transaction[[#This Row],[GrossRevenue_Analytical]]-Transaction[[#This Row],[NetRevenue_Analytical]],2)=ROUND(Transaction[[#This Row],[DiscountAmount_Clean]],2),"Valid","Invalid")</f>
        <v>Valid</v>
      </c>
      <c r="AF991">
        <f>VALUE(IF(ISNUMBER(Transaction[[#This Row],[NetRevenue]]),Transaction[[#This Row],[NetRevenue]],IFERROR(IF(FIND("$",Transaction[[#This Row],[NetRevenue]])&gt;0,MID(Transaction[[#This Row],[NetRevenue]],2,10)),Transaction[[#This Row],[NetRevenue]])))</f>
        <v>678.36</v>
      </c>
      <c r="AG991">
        <f>IF(Transaction[[#This Row],[NetRevenue_Check]]="Invalid",(Transaction[[#This Row],[Quantity]]*Transaction[[#This Row],[UnitPrice_Clean]]),Transaction[[#This Row],[NetRevenue_Clean]])</f>
        <v>678.36</v>
      </c>
      <c r="AH991" t="str">
        <f>IF(Transaction[[#This Row],[Quantity]]*Transaction[[#This Row],[UnitPrice_Clean]]=Transaction[[#This Row],[NetRevenue_Clean]],"Valid","Invalid")</f>
        <v>Valid</v>
      </c>
      <c r="AI991" t="s">
        <v>23</v>
      </c>
      <c r="AK991" t="str">
        <f>IF(Transaction[[#This Row],[Salesperson]]="","Missing Value",TRIM(PROPER(Transaction[[#This Row],[Salesperson]])))</f>
        <v>Missing Value</v>
      </c>
      <c r="AL991" t="s">
        <v>42</v>
      </c>
      <c r="AM991" t="str">
        <f>IF(Transaction[[#This Row],[ContractType]]="","Missing Value",Transaction[[#This Row],[ContractType]])</f>
        <v>Standard PO</v>
      </c>
      <c r="AN991" t="s">
        <v>35</v>
      </c>
    </row>
    <row r="992" spans="1:40" x14ac:dyDescent="0.25">
      <c r="A992" t="s">
        <v>1627</v>
      </c>
      <c r="B992" s="1">
        <v>45763</v>
      </c>
      <c r="C99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99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99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92" s="2">
        <f>IFERROR(DATE(Transaction[[#This Row],[TransactionDateY]],Transaction[[#This Row],[TransactionDateM]],Transaction[[#This Row],[TransactionDateD]]),"Missing Value")</f>
        <v>45763</v>
      </c>
      <c r="G992" t="s">
        <v>157</v>
      </c>
      <c r="H992" t="str">
        <f>IFERROR(VLOOKUP(Transaction[[#This Row],[CustomerID]],Custumer[],1,0),IF(LEN(Transaction[[#This Row],[CustomerID]])=7,LEFT(Transaction[[#This Row],[CustomerID]],6),"Invalid ID"))</f>
        <v>C-1021</v>
      </c>
      <c r="I992" t="s">
        <v>52</v>
      </c>
      <c r="J992" t="str">
        <f>TRIM(UPPER(Transaction[[#This Row],[ProductID]]))</f>
        <v>P-SI-002</v>
      </c>
      <c r="K992" t="str">
        <f>IFERROR(VLOOKUP(Transaction[[#This Row],[ProductID_Clean]],Product[],1,FALSE),"Invalid ID")</f>
        <v>P-SI-002</v>
      </c>
      <c r="L992" t="str">
        <f>TRIM(SUBSTITUTE(SUBSTITUTE(SUBSTITUTE(SUBSTITUTE(UPPER(Transaction[[#This Row],[Region]]),"EMEA REGION","EMEA"),"APAC REGION","APAC"),"NORTH AMERICA","N. AMERICA"),"N .AMERICA","N.AMERICA"))</f>
        <v>EMEA</v>
      </c>
      <c r="M992" t="s">
        <v>76</v>
      </c>
      <c r="N992" t="s">
        <v>53</v>
      </c>
      <c r="O99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92" t="s">
        <v>40</v>
      </c>
      <c r="Q992" t="str">
        <f>IF(TRIM(Transaction[[#This Row],[SalesChannel]])="","Missing Value",TRIM(Transaction[[#This Row],[SalesChannel]]))</f>
        <v>Distributor</v>
      </c>
      <c r="R992" s="4">
        <v>5</v>
      </c>
      <c r="S992" s="4" t="str">
        <f>IF(Transaction[[#This Row],[Quantity]]&lt;0,"Negative-review","Valid")</f>
        <v>Valid</v>
      </c>
      <c r="T992">
        <v>583.01</v>
      </c>
      <c r="U99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583.01</v>
      </c>
      <c r="V992">
        <v>725</v>
      </c>
      <c r="W992">
        <v>3625</v>
      </c>
      <c r="X99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3625</v>
      </c>
      <c r="Y992">
        <f>IF(Transaction[[#This Row],[GrossRevenue_Check]]="Invalid",Transaction[[#This Row],[ListPrice]]*Transaction[[#This Row],[Quantity]],Transaction[[#This Row],[GrossRevenue_Clean]])</f>
        <v>3625</v>
      </c>
      <c r="Z992" t="str">
        <f>IF(Transaction[[#This Row],[GrossRevenue_Clean]]=Transaction[[#This Row],[ListPrice]]*Transaction[[#This Row],[Quantity]],"Valid","Invalid")</f>
        <v>Valid</v>
      </c>
      <c r="AA992">
        <v>709.95</v>
      </c>
      <c r="AB99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709.95</v>
      </c>
      <c r="AC992">
        <f>IF(Transaction[[#This Row],[DiscountAmount_Check2]]="Invalid",Transaction[[#This Row],[GrossRevenue_Analytical]]-Transaction[[#This Row],[NetRevenue_Analytical]],Transaction[[#This Row],[DiscountAmount_Clean]])</f>
        <v>709.95</v>
      </c>
      <c r="AD992">
        <v>2915.05</v>
      </c>
      <c r="AE992" t="str">
        <f>IF(ROUND(Transaction[[#This Row],[GrossRevenue_Analytical]]-Transaction[[#This Row],[NetRevenue_Analytical]],2)=ROUND(Transaction[[#This Row],[DiscountAmount_Clean]],2),"Valid","Invalid")</f>
        <v>Valid</v>
      </c>
      <c r="AF99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2915.05</v>
      </c>
      <c r="AG992">
        <f>IF(Transaction[[#This Row],[NetRevenue_Check]]="Invalid",(Transaction[[#This Row],[Quantity]]*Transaction[[#This Row],[UnitPrice_Clean]]),Transaction[[#This Row],[NetRevenue_Clean]])</f>
        <v>2915.05</v>
      </c>
      <c r="AH992" t="str">
        <f>IF(Transaction[[#This Row],[Quantity]]*Transaction[[#This Row],[UnitPrice_Clean]]=Transaction[[#This Row],[NetRevenue_Clean]],"Valid","Invalid")</f>
        <v>Valid</v>
      </c>
      <c r="AI992" t="s">
        <v>23</v>
      </c>
      <c r="AJ992" t="s">
        <v>1628</v>
      </c>
      <c r="AK992" t="str">
        <f>IF(Transaction[[#This Row],[Salesperson]]="","Missing Value",TRIM(PROPER(Transaction[[#This Row],[Salesperson]])))</f>
        <v>Cummings</v>
      </c>
      <c r="AL992" t="s">
        <v>25</v>
      </c>
      <c r="AM992" t="str">
        <f>IF(Transaction[[#This Row],[ContractType]]="","Missing Value",Transaction[[#This Row],[ContractType]])</f>
        <v>Frame Agreement</v>
      </c>
      <c r="AN992" t="s">
        <v>49</v>
      </c>
    </row>
    <row r="993" spans="1:40" x14ac:dyDescent="0.25">
      <c r="A993" t="s">
        <v>1029</v>
      </c>
      <c r="B993" t="s">
        <v>1030</v>
      </c>
      <c r="C99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99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99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93" s="2">
        <f>IFERROR(DATE(Transaction[[#This Row],[TransactionDateY]],Transaction[[#This Row],[TransactionDateM]],Transaction[[#This Row],[TransactionDateD]]),"Missing Value")</f>
        <v>45728</v>
      </c>
      <c r="G993" t="s">
        <v>571</v>
      </c>
      <c r="H993" t="str">
        <f>IFERROR(VLOOKUP(Transaction[[#This Row],[CustomerID]],Custumer[],1,0),IF(LEN(Transaction[[#This Row],[CustomerID]])=7,LEFT(Transaction[[#This Row],[CustomerID]],6),"Invalid ID"))</f>
        <v>C-1060</v>
      </c>
      <c r="I993" t="s">
        <v>1031</v>
      </c>
      <c r="J993" t="str">
        <f>TRIM(UPPER(Transaction[[#This Row],[ProductID]]))</f>
        <v>P-SA-001</v>
      </c>
      <c r="K993" t="str">
        <f>IFERROR(VLOOKUP(Transaction[[#This Row],[ProductID_Clean]],Product[],1,FALSE),"Invalid ID")</f>
        <v>P-SA-001</v>
      </c>
      <c r="L993" t="str">
        <f>TRIM(SUBSTITUTE(SUBSTITUTE(SUBSTITUTE(SUBSTITUTE(UPPER(Transaction[[#This Row],[Region]]),"EMEA REGION","EMEA"),"APAC REGION","APAC"),"NORTH AMERICA","N. AMERICA"),"N .AMERICA","N.AMERICA"))</f>
        <v>APAC</v>
      </c>
      <c r="M993" t="s">
        <v>30</v>
      </c>
      <c r="N993" t="s">
        <v>31</v>
      </c>
      <c r="O99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993" t="s">
        <v>181</v>
      </c>
      <c r="Q993" t="str">
        <f>IF(TRIM(Transaction[[#This Row],[SalesChannel]])="","Missing Value",TRIM(Transaction[[#This Row],[SalesChannel]]))</f>
        <v>Partner Portal</v>
      </c>
      <c r="R993" s="4">
        <v>1</v>
      </c>
      <c r="S993" s="4" t="str">
        <f>IF(Transaction[[#This Row],[Quantity]]&lt;0,"Negative-review","Valid")</f>
        <v>Valid</v>
      </c>
      <c r="T993">
        <v>3624.68</v>
      </c>
      <c r="U99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3624.68</v>
      </c>
      <c r="V993">
        <v>4200</v>
      </c>
      <c r="W993">
        <v>4200</v>
      </c>
      <c r="X99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993">
        <f>IF(Transaction[[#This Row],[GrossRevenue_Check]]="Invalid",Transaction[[#This Row],[ListPrice]]*Transaction[[#This Row],[Quantity]],Transaction[[#This Row],[GrossRevenue_Clean]])</f>
        <v>4200</v>
      </c>
      <c r="Z993" t="str">
        <f>IF(Transaction[[#This Row],[GrossRevenue_Clean]]=Transaction[[#This Row],[ListPrice]]*Transaction[[#This Row],[Quantity]],"Valid","Invalid")</f>
        <v>Valid</v>
      </c>
      <c r="AA993">
        <v>575.32000000000005</v>
      </c>
      <c r="AB99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575.32000000000005</v>
      </c>
      <c r="AC993">
        <f>IF(Transaction[[#This Row],[DiscountAmount_Check2]]="Invalid",Transaction[[#This Row],[GrossRevenue_Analytical]]-Transaction[[#This Row],[NetRevenue_Analytical]],Transaction[[#This Row],[DiscountAmount_Clean]])</f>
        <v>575.32000000000005</v>
      </c>
      <c r="AD993">
        <v>3624.68</v>
      </c>
      <c r="AE993" t="str">
        <f>IF(ROUND(Transaction[[#This Row],[GrossRevenue_Analytical]]-Transaction[[#This Row],[NetRevenue_Analytical]],2)=ROUND(Transaction[[#This Row],[DiscountAmount_Clean]],2),"Valid","Invalid")</f>
        <v>Valid</v>
      </c>
      <c r="AF99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3624.68</v>
      </c>
      <c r="AG993">
        <f>IF(Transaction[[#This Row],[NetRevenue_Check]]="Invalid",(Transaction[[#This Row],[Quantity]]*Transaction[[#This Row],[UnitPrice_Clean]]),Transaction[[#This Row],[NetRevenue_Clean]])</f>
        <v>3624.68</v>
      </c>
      <c r="AH993" t="str">
        <f>IF(Transaction[[#This Row],[Quantity]]*Transaction[[#This Row],[UnitPrice_Clean]]=Transaction[[#This Row],[NetRevenue_Clean]],"Valid","Invalid")</f>
        <v>Valid</v>
      </c>
      <c r="AI993" t="s">
        <v>23</v>
      </c>
      <c r="AJ993" t="s">
        <v>1032</v>
      </c>
      <c r="AK993" t="str">
        <f>IF(Transaction[[#This Row],[Salesperson]]="","Missing Value",TRIM(PROPER(Transaction[[#This Row],[Salesperson]])))</f>
        <v>Singh</v>
      </c>
      <c r="AL993" t="s">
        <v>113</v>
      </c>
      <c r="AM993" t="str">
        <f>IF(Transaction[[#This Row],[ContractType]]="","Missing Value",Transaction[[#This Row],[ContractType]])</f>
        <v>Subscription</v>
      </c>
      <c r="AN993" t="s">
        <v>43</v>
      </c>
    </row>
    <row r="994" spans="1:40" x14ac:dyDescent="0.25">
      <c r="A994" t="s">
        <v>2577</v>
      </c>
      <c r="B994" s="1">
        <v>45800</v>
      </c>
      <c r="C99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99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99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94" s="2">
        <f>IFERROR(DATE(Transaction[[#This Row],[TransactionDateY]],Transaction[[#This Row],[TransactionDateM]],Transaction[[#This Row],[TransactionDateD]]),"Missing Value")</f>
        <v>45800</v>
      </c>
      <c r="G994" t="s">
        <v>167</v>
      </c>
      <c r="H994" t="str">
        <f>IFERROR(VLOOKUP(Transaction[[#This Row],[CustomerID]],Custumer[],1,0),IF(LEN(Transaction[[#This Row],[CustomerID]])=7,LEFT(Transaction[[#This Row],[CustomerID]],6),"Invalid ID"))</f>
        <v>C-1008</v>
      </c>
      <c r="I994" t="s">
        <v>222</v>
      </c>
      <c r="J994" t="str">
        <f>TRIM(UPPER(Transaction[[#This Row],[ProductID]]))</f>
        <v>P-FS-003</v>
      </c>
      <c r="K994" t="str">
        <f>IFERROR(VLOOKUP(Transaction[[#This Row],[ProductID_Clean]],Product[],1,FALSE),"Invalid ID")</f>
        <v>P-FS-003</v>
      </c>
      <c r="L994" t="str">
        <f>TRIM(SUBSTITUTE(SUBSTITUTE(SUBSTITUTE(SUBSTITUTE(UPPER(Transaction[[#This Row],[Region]]),"EMEA REGION","EMEA"),"APAC REGION","APAC"),"NORTH AMERICA","N. AMERICA"),"N .AMERICA","N.AMERICA"))</f>
        <v>N. AMERICA</v>
      </c>
      <c r="M994" t="s">
        <v>204</v>
      </c>
      <c r="N994" t="s">
        <v>771</v>
      </c>
      <c r="O99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994" t="s">
        <v>22</v>
      </c>
      <c r="Q994" t="str">
        <f>IF(TRIM(Transaction[[#This Row],[SalesChannel]])="","Missing Value",TRIM(Transaction[[#This Row],[SalesChannel]]))</f>
        <v>Direct</v>
      </c>
      <c r="R994" s="4">
        <v>1</v>
      </c>
      <c r="S994" s="4" t="str">
        <f>IF(Transaction[[#This Row],[Quantity]]&lt;0,"Negative-review","Valid")</f>
        <v>Valid</v>
      </c>
      <c r="T994">
        <v>3750.73</v>
      </c>
      <c r="U99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3750.73</v>
      </c>
      <c r="V994">
        <v>4100</v>
      </c>
      <c r="W994">
        <v>4100</v>
      </c>
      <c r="X99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4100</v>
      </c>
      <c r="Y994">
        <f>IF(Transaction[[#This Row],[GrossRevenue_Check]]="Invalid",Transaction[[#This Row],[ListPrice]]*Transaction[[#This Row],[Quantity]],Transaction[[#This Row],[GrossRevenue_Clean]])</f>
        <v>4100</v>
      </c>
      <c r="Z994" t="str">
        <f>IF(Transaction[[#This Row],[GrossRevenue_Clean]]=Transaction[[#This Row],[ListPrice]]*Transaction[[#This Row],[Quantity]],"Valid","Invalid")</f>
        <v>Valid</v>
      </c>
      <c r="AA994">
        <v>349.27</v>
      </c>
      <c r="AB99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349.27</v>
      </c>
      <c r="AC994">
        <f>IF(Transaction[[#This Row],[DiscountAmount_Check2]]="Invalid",Transaction[[#This Row],[GrossRevenue_Analytical]]-Transaction[[#This Row],[NetRevenue_Analytical]],Transaction[[#This Row],[DiscountAmount_Clean]])</f>
        <v>349.27</v>
      </c>
      <c r="AD994">
        <v>3750.73</v>
      </c>
      <c r="AE994" t="str">
        <f>IF(ROUND(Transaction[[#This Row],[GrossRevenue_Analytical]]-Transaction[[#This Row],[NetRevenue_Analytical]],2)=ROUND(Transaction[[#This Row],[DiscountAmount_Clean]],2),"Valid","Invalid")</f>
        <v>Valid</v>
      </c>
      <c r="AF994">
        <f>VALUE(IF(ISNUMBER(Transaction[[#This Row],[NetRevenue]]),Transaction[[#This Row],[NetRevenue]],IFERROR(IF(FIND("$",Transaction[[#This Row],[NetRevenue]])&gt;0,MID(Transaction[[#This Row],[NetRevenue]],2,10)),Transaction[[#This Row],[NetRevenue]])))</f>
        <v>3750.73</v>
      </c>
      <c r="AG994">
        <f>IF(Transaction[[#This Row],[NetRevenue_Check]]="Invalid",(Transaction[[#This Row],[Quantity]]*Transaction[[#This Row],[UnitPrice_Clean]]),Transaction[[#This Row],[NetRevenue_Clean]])</f>
        <v>3750.73</v>
      </c>
      <c r="AH994" t="str">
        <f>IF(Transaction[[#This Row],[Quantity]]*Transaction[[#This Row],[UnitPrice_Clean]]=Transaction[[#This Row],[NetRevenue_Clean]],"Valid","Invalid")</f>
        <v>Valid</v>
      </c>
      <c r="AI994" t="s">
        <v>23</v>
      </c>
      <c r="AJ994" t="s">
        <v>2578</v>
      </c>
      <c r="AK994" t="str">
        <f>IF(Transaction[[#This Row],[Salesperson]]="","Missing Value",TRIM(PROPER(Transaction[[#This Row],[Salesperson]])))</f>
        <v>Murray-Em</v>
      </c>
      <c r="AL994" t="s">
        <v>224</v>
      </c>
      <c r="AM994" t="str">
        <f>IF(Transaction[[#This Row],[ContractType]]="","Missing Value",Transaction[[#This Row],[ContractType]])</f>
        <v>Annual</v>
      </c>
      <c r="AN994" t="s">
        <v>26</v>
      </c>
    </row>
    <row r="995" spans="1:40" x14ac:dyDescent="0.25">
      <c r="A995" t="s">
        <v>418</v>
      </c>
      <c r="B995" t="s">
        <v>419</v>
      </c>
      <c r="C99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99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99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95" s="2">
        <f>IFERROR(DATE(Transaction[[#This Row],[TransactionDateY]],Transaction[[#This Row],[TransactionDateM]],Transaction[[#This Row],[TransactionDateD]]),"Missing Value")</f>
        <v>45702</v>
      </c>
      <c r="G995" t="s">
        <v>247</v>
      </c>
      <c r="H995" t="str">
        <f>IFERROR(VLOOKUP(Transaction[[#This Row],[CustomerID]],Custumer[],1,0),IF(LEN(Transaction[[#This Row],[CustomerID]])=7,LEFT(Transaction[[#This Row],[CustomerID]],6),"Invalid ID"))</f>
        <v>C-1045</v>
      </c>
      <c r="I995" t="s">
        <v>39</v>
      </c>
      <c r="J995" t="str">
        <f>TRIM(UPPER(Transaction[[#This Row],[ProductID]]))</f>
        <v>P-FS-006</v>
      </c>
      <c r="K995" t="str">
        <f>IFERROR(VLOOKUP(Transaction[[#This Row],[ProductID_Clean]],Product[],1,FALSE),"Invalid ID")</f>
        <v>P-FS-006</v>
      </c>
      <c r="L995" t="str">
        <f>TRIM(SUBSTITUTE(SUBSTITUTE(SUBSTITUTE(SUBSTITUTE(UPPER(Transaction[[#This Row],[Region]]),"EMEA REGION","EMEA"),"APAC REGION","APAC"),"NORTH AMERICA","N. AMERICA"),"N .AMERICA","N.AMERICA"))</f>
        <v>EMEA</v>
      </c>
      <c r="M995" t="s">
        <v>76</v>
      </c>
      <c r="N995" t="s">
        <v>21</v>
      </c>
      <c r="O99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995" t="s">
        <v>420</v>
      </c>
      <c r="Q995" t="str">
        <f>IF(TRIM(Transaction[[#This Row],[SalesChannel]])="","Missing Value",TRIM(Transaction[[#This Row],[SalesChannel]]))</f>
        <v>partner portal</v>
      </c>
      <c r="R995" s="4">
        <v>1</v>
      </c>
      <c r="S995" s="4" t="str">
        <f>IF(Transaction[[#This Row],[Quantity]]&lt;0,"Negative-review","Valid")</f>
        <v>Valid</v>
      </c>
      <c r="T995">
        <v>1199.7</v>
      </c>
      <c r="U99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1199.7</v>
      </c>
      <c r="V995">
        <v>1450</v>
      </c>
      <c r="W995">
        <v>1450</v>
      </c>
      <c r="X99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995">
        <f>IF(Transaction[[#This Row],[GrossRevenue_Check]]="Invalid",Transaction[[#This Row],[ListPrice]]*Transaction[[#This Row],[Quantity]],Transaction[[#This Row],[GrossRevenue_Clean]])</f>
        <v>1450</v>
      </c>
      <c r="Z995" t="str">
        <f>IF(Transaction[[#This Row],[GrossRevenue_Clean]]=Transaction[[#This Row],[ListPrice]]*Transaction[[#This Row],[Quantity]],"Valid","Invalid")</f>
        <v>Valid</v>
      </c>
      <c r="AA995">
        <v>250.3</v>
      </c>
      <c r="AB99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250.3</v>
      </c>
      <c r="AC995">
        <f>IF(Transaction[[#This Row],[DiscountAmount_Check2]]="Invalid",Transaction[[#This Row],[GrossRevenue_Analytical]]-Transaction[[#This Row],[NetRevenue_Analytical]],Transaction[[#This Row],[DiscountAmount_Clean]])</f>
        <v>250.3</v>
      </c>
      <c r="AD995">
        <v>1199.7</v>
      </c>
      <c r="AE995" t="str">
        <f>IF(ROUND(Transaction[[#This Row],[GrossRevenue_Analytical]]-Transaction[[#This Row],[NetRevenue_Analytical]],2)=ROUND(Transaction[[#This Row],[DiscountAmount_Clean]],2),"Valid","Invalid")</f>
        <v>Valid</v>
      </c>
      <c r="AF99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1199.7</v>
      </c>
      <c r="AG995">
        <f>IF(Transaction[[#This Row],[NetRevenue_Check]]="Invalid",(Transaction[[#This Row],[Quantity]]*Transaction[[#This Row],[UnitPrice_Clean]]),Transaction[[#This Row],[NetRevenue_Clean]])</f>
        <v>1199.7</v>
      </c>
      <c r="AH995" t="str">
        <f>IF(Transaction[[#This Row],[Quantity]]*Transaction[[#This Row],[UnitPrice_Clean]]=Transaction[[#This Row],[NetRevenue_Clean]],"Valid","Invalid")</f>
        <v>Valid</v>
      </c>
      <c r="AI995" t="s">
        <v>99</v>
      </c>
      <c r="AJ995" t="s">
        <v>421</v>
      </c>
      <c r="AK995" t="str">
        <f>IF(Transaction[[#This Row],[Salesperson]]="","Missing Value",TRIM(PROPER(Transaction[[#This Row],[Salesperson]])))</f>
        <v>Oconnor-Ap</v>
      </c>
      <c r="AL995" t="s">
        <v>55</v>
      </c>
      <c r="AM995" t="str">
        <f>IF(Transaction[[#This Row],[ContractType]]="","Missing Value",Transaction[[#This Row],[ContractType]])</f>
        <v>Spot</v>
      </c>
      <c r="AN995" t="s">
        <v>35</v>
      </c>
    </row>
    <row r="996" spans="1:40" x14ac:dyDescent="0.25">
      <c r="A996" t="s">
        <v>639</v>
      </c>
      <c r="B996" s="1">
        <v>45780</v>
      </c>
      <c r="C99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99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99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96" s="2">
        <f>IFERROR(DATE(Transaction[[#This Row],[TransactionDateY]],Transaction[[#This Row],[TransactionDateM]],Transaction[[#This Row],[TransactionDateD]]),"Missing Value")</f>
        <v>45780</v>
      </c>
      <c r="G996" t="s">
        <v>333</v>
      </c>
      <c r="H996" t="str">
        <f>IFERROR(VLOOKUP(Transaction[[#This Row],[CustomerID]],Custumer[],1,0),IF(LEN(Transaction[[#This Row],[CustomerID]])=7,LEFT(Transaction[[#This Row],[CustomerID]],6),"Invalid ID"))</f>
        <v>C-1033</v>
      </c>
      <c r="I996" t="s">
        <v>29</v>
      </c>
      <c r="J996" t="str">
        <f>TRIM(UPPER(Transaction[[#This Row],[ProductID]]))</f>
        <v>P-SA-001</v>
      </c>
      <c r="K996" t="str">
        <f>IFERROR(VLOOKUP(Transaction[[#This Row],[ProductID_Clean]],Product[],1,FALSE),"Invalid ID")</f>
        <v>P-SA-001</v>
      </c>
      <c r="L996" t="str">
        <f>TRIM(SUBSTITUTE(SUBSTITUTE(SUBSTITUTE(SUBSTITUTE(UPPER(Transaction[[#This Row],[Region]]),"EMEA REGION","EMEA"),"APAC REGION","APAC"),"NORTH AMERICA","N. AMERICA"),"N .AMERICA","N.AMERICA"))</f>
        <v>EMEA</v>
      </c>
      <c r="M996" t="s">
        <v>76</v>
      </c>
      <c r="N996" t="s">
        <v>31</v>
      </c>
      <c r="O99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996" t="s">
        <v>22</v>
      </c>
      <c r="Q996" t="str">
        <f>IF(TRIM(Transaction[[#This Row],[SalesChannel]])="","Missing Value",TRIM(Transaction[[#This Row],[SalesChannel]]))</f>
        <v>Direct</v>
      </c>
      <c r="R996" s="4">
        <v>1</v>
      </c>
      <c r="S996" s="4" t="str">
        <f>IF(Transaction[[#This Row],[Quantity]]&lt;0,"Negative-review","Valid")</f>
        <v>Valid</v>
      </c>
      <c r="T996">
        <v>3647.95</v>
      </c>
      <c r="U99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3647.95</v>
      </c>
      <c r="V996">
        <v>4200</v>
      </c>
      <c r="W996">
        <v>4200</v>
      </c>
      <c r="X99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996">
        <f>IF(Transaction[[#This Row],[GrossRevenue_Check]]="Invalid",Transaction[[#This Row],[ListPrice]]*Transaction[[#This Row],[Quantity]],Transaction[[#This Row],[GrossRevenue_Clean]])</f>
        <v>4200</v>
      </c>
      <c r="Z996" t="str">
        <f>IF(Transaction[[#This Row],[GrossRevenue_Clean]]=Transaction[[#This Row],[ListPrice]]*Transaction[[#This Row],[Quantity]],"Valid","Invalid")</f>
        <v>Valid</v>
      </c>
      <c r="AB99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996">
        <f>IF(Transaction[[#This Row],[DiscountAmount_Check2]]="Invalid",Transaction[[#This Row],[GrossRevenue_Analytical]]-Transaction[[#This Row],[NetRevenue_Analytical]],Transaction[[#This Row],[DiscountAmount_Clean]])</f>
        <v>552.05000000000018</v>
      </c>
      <c r="AD996">
        <v>3647.95</v>
      </c>
      <c r="AE996" t="str">
        <f>IF(ROUND(Transaction[[#This Row],[GrossRevenue_Analytical]]-Transaction[[#This Row],[NetRevenue_Analytical]],2)=ROUND(Transaction[[#This Row],[DiscountAmount_Clean]],2),"Valid","Invalid")</f>
        <v>Invalid</v>
      </c>
      <c r="AF996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3647.95</v>
      </c>
      <c r="AG996">
        <f>IF(Transaction[[#This Row],[NetRevenue_Check]]="Invalid",(Transaction[[#This Row],[Quantity]]*Transaction[[#This Row],[UnitPrice_Clean]]),Transaction[[#This Row],[NetRevenue_Clean]])</f>
        <v>3647.95</v>
      </c>
      <c r="AH996" t="str">
        <f>IF(Transaction[[#This Row],[Quantity]]*Transaction[[#This Row],[UnitPrice_Clean]]=Transaction[[#This Row],[NetRevenue_Clean]],"Valid","Invalid")</f>
        <v>Valid</v>
      </c>
      <c r="AI996" t="s">
        <v>23</v>
      </c>
      <c r="AJ996" t="s">
        <v>334</v>
      </c>
      <c r="AK996" t="str">
        <f>IF(Transaction[[#This Row],[Salesperson]]="","Missing Value",TRIM(PROPER(Transaction[[#This Row],[Salesperson]])))</f>
        <v>Mitchell-Em</v>
      </c>
      <c r="AL996" t="s">
        <v>34</v>
      </c>
      <c r="AM996" t="str">
        <f>IF(Transaction[[#This Row],[ContractType]]="","Missing Value",Transaction[[#This Row],[ContractType]])</f>
        <v>Annual License</v>
      </c>
      <c r="AN996" t="s">
        <v>43</v>
      </c>
    </row>
    <row r="997" spans="1:40" x14ac:dyDescent="0.25">
      <c r="A997" t="s">
        <v>2969</v>
      </c>
      <c r="B997" s="1">
        <v>45800</v>
      </c>
      <c r="C99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99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99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97" s="2">
        <f>IFERROR(DATE(Transaction[[#This Row],[TransactionDateY]],Transaction[[#This Row],[TransactionDateM]],Transaction[[#This Row],[TransactionDateD]]),"Missing Value")</f>
        <v>45800</v>
      </c>
      <c r="G997" t="s">
        <v>1668</v>
      </c>
      <c r="H997" t="str">
        <f>IFERROR(VLOOKUP(Transaction[[#This Row],[CustomerID]],Custumer[],1,0),IF(LEN(Transaction[[#This Row],[CustomerID]])=7,LEFT(Transaction[[#This Row],[CustomerID]],6),"Invalid ID"))</f>
        <v>C-1143</v>
      </c>
      <c r="I997" t="s">
        <v>46</v>
      </c>
      <c r="J997" t="str">
        <f>TRIM(UPPER(Transaction[[#This Row],[ProductID]]))</f>
        <v>P-SI-006</v>
      </c>
      <c r="K997" t="str">
        <f>IFERROR(VLOOKUP(Transaction[[#This Row],[ProductID_Clean]],Product[],1,FALSE),"Invalid ID")</f>
        <v>P-SI-006</v>
      </c>
      <c r="L997" t="str">
        <f>TRIM(SUBSTITUTE(SUBSTITUTE(SUBSTITUTE(SUBSTITUTE(UPPER(Transaction[[#This Row],[Region]]),"EMEA REGION","EMEA"),"APAC REGION","APAC"),"NORTH AMERICA","N. AMERICA"),"N .AMERICA","N.AMERICA"))</f>
        <v>EMEA</v>
      </c>
      <c r="M997" t="s">
        <v>76</v>
      </c>
      <c r="N997" t="s">
        <v>53</v>
      </c>
      <c r="O99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97" t="s">
        <v>22</v>
      </c>
      <c r="Q997" t="str">
        <f>IF(TRIM(Transaction[[#This Row],[SalesChannel]])="","Missing Value",TRIM(Transaction[[#This Row],[SalesChannel]]))</f>
        <v>Direct</v>
      </c>
      <c r="R997" s="4">
        <v>3</v>
      </c>
      <c r="S997" s="4" t="str">
        <f>IF(Transaction[[#This Row],[Quantity]]&lt;0,"Negative-review","Valid")</f>
        <v>Valid</v>
      </c>
      <c r="T997">
        <v>168.38</v>
      </c>
      <c r="U99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168.38</v>
      </c>
      <c r="V997">
        <v>215</v>
      </c>
      <c r="W997">
        <v>645</v>
      </c>
      <c r="X99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997">
        <f>IF(Transaction[[#This Row],[GrossRevenue_Check]]="Invalid",Transaction[[#This Row],[ListPrice]]*Transaction[[#This Row],[Quantity]],Transaction[[#This Row],[GrossRevenue_Clean]])</f>
        <v>645</v>
      </c>
      <c r="Z997" t="str">
        <f>IF(Transaction[[#This Row],[GrossRevenue_Clean]]=Transaction[[#This Row],[ListPrice]]*Transaction[[#This Row],[Quantity]],"Valid","Invalid")</f>
        <v>Valid</v>
      </c>
      <c r="AA997">
        <v>139.86000000000001</v>
      </c>
      <c r="AB99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139.86000000000001</v>
      </c>
      <c r="AC997">
        <f>IF(Transaction[[#This Row],[DiscountAmount_Check2]]="Invalid",Transaction[[#This Row],[GrossRevenue_Analytical]]-Transaction[[#This Row],[NetRevenue_Analytical]],Transaction[[#This Row],[DiscountAmount_Clean]])</f>
        <v>139.86000000000001</v>
      </c>
      <c r="AD997">
        <v>505.14</v>
      </c>
      <c r="AE997" t="str">
        <f>IF(ROUND(Transaction[[#This Row],[GrossRevenue_Analytical]]-Transaction[[#This Row],[NetRevenue_Analytical]],2)=ROUND(Transaction[[#This Row],[DiscountAmount_Clean]],2),"Valid","Invalid")</f>
        <v>Valid</v>
      </c>
      <c r="AF997">
        <f>VALUE(IF(ISNUMBER(Transaction[[#This Row],[NetRevenue]]),Transaction[[#This Row],[NetRevenue]],IFERROR(IF(FIND("$",Transaction[[#This Row],[NetRevenue]])&gt;0,MID(Transaction[[#This Row],[NetRevenue]],2,10)),Transaction[[#This Row],[NetRevenue]])))</f>
        <v>505.14</v>
      </c>
      <c r="AG997">
        <f>IF(Transaction[[#This Row],[NetRevenue_Check]]="Invalid",(Transaction[[#This Row],[Quantity]]*Transaction[[#This Row],[UnitPrice_Clean]]),Transaction[[#This Row],[NetRevenue_Clean]])</f>
        <v>505.14</v>
      </c>
      <c r="AH997" t="str">
        <f>IF(Transaction[[#This Row],[Quantity]]*Transaction[[#This Row],[UnitPrice_Clean]]=Transaction[[#This Row],[NetRevenue_Clean]],"Valid","Invalid")</f>
        <v>Valid</v>
      </c>
      <c r="AI997" t="s">
        <v>23</v>
      </c>
      <c r="AJ997" t="s">
        <v>2970</v>
      </c>
      <c r="AK997" t="str">
        <f>IF(Transaction[[#This Row],[Salesperson]]="","Missing Value",TRIM(PROPER(Transaction[[#This Row],[Salesperson]])))</f>
        <v>Taylor-Na</v>
      </c>
      <c r="AL997" t="s">
        <v>42</v>
      </c>
      <c r="AM997" t="str">
        <f>IF(Transaction[[#This Row],[ContractType]]="","Missing Value",Transaction[[#This Row],[ContractType]])</f>
        <v>Standard PO</v>
      </c>
      <c r="AN997" t="s">
        <v>26</v>
      </c>
    </row>
    <row r="998" spans="1:40" x14ac:dyDescent="0.25">
      <c r="A998" t="s">
        <v>792</v>
      </c>
      <c r="B998" s="1">
        <v>45670</v>
      </c>
      <c r="C99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99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99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98" s="2">
        <f>IFERROR(DATE(Transaction[[#This Row],[TransactionDateY]],Transaction[[#This Row],[TransactionDateM]],Transaction[[#This Row],[TransactionDateD]]),"Missing Value")</f>
        <v>45670</v>
      </c>
      <c r="G998" t="s">
        <v>518</v>
      </c>
      <c r="H998" t="str">
        <f>IFERROR(VLOOKUP(Transaction[[#This Row],[CustomerID]],Custumer[],1,0),IF(LEN(Transaction[[#This Row],[CustomerID]])=7,LEFT(Transaction[[#This Row],[CustomerID]],6),"Invalid ID"))</f>
        <v>C-1173</v>
      </c>
      <c r="I998" t="s">
        <v>117</v>
      </c>
      <c r="J998" t="str">
        <f>TRIM(UPPER(Transaction[[#This Row],[ProductID]]))</f>
        <v>P-SI-007</v>
      </c>
      <c r="K998" t="str">
        <f>IFERROR(VLOOKUP(Transaction[[#This Row],[ProductID_Clean]],Product[],1,FALSE),"Invalid ID")</f>
        <v>P-SI-007</v>
      </c>
      <c r="L998" t="str">
        <f>TRIM(SUBSTITUTE(SUBSTITUTE(SUBSTITUTE(SUBSTITUTE(UPPER(Transaction[[#This Row],[Region]]),"EMEA REGION","EMEA"),"APAC REGION","APAC"),"NORTH AMERICA","N. AMERICA"),"N .AMERICA","N.AMERICA"))</f>
        <v>EMEA</v>
      </c>
      <c r="M998" t="s">
        <v>76</v>
      </c>
      <c r="N998" t="s">
        <v>53</v>
      </c>
      <c r="O99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98" t="s">
        <v>93</v>
      </c>
      <c r="Q998" t="str">
        <f>IF(TRIM(Transaction[[#This Row],[SalesChannel]])="","Missing Value",TRIM(Transaction[[#This Row],[SalesChannel]]))</f>
        <v>direct</v>
      </c>
      <c r="R998" s="4">
        <v>5</v>
      </c>
      <c r="S998" s="4" t="str">
        <f>IF(Transaction[[#This Row],[Quantity]]&lt;0,"Negative-review","Valid")</f>
        <v>Valid</v>
      </c>
      <c r="T998">
        <v>932.14</v>
      </c>
      <c r="U99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932.14</v>
      </c>
      <c r="V998">
        <v>980</v>
      </c>
      <c r="W998">
        <v>4900</v>
      </c>
      <c r="X99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</v>
      </c>
      <c r="Y998">
        <f>IF(Transaction[[#This Row],[GrossRevenue_Check]]="Invalid",Transaction[[#This Row],[ListPrice]]*Transaction[[#This Row],[Quantity]],Transaction[[#This Row],[GrossRevenue_Clean]])</f>
        <v>4900</v>
      </c>
      <c r="Z998" t="str">
        <f>IF(Transaction[[#This Row],[GrossRevenue_Clean]]=Transaction[[#This Row],[ListPrice]]*Transaction[[#This Row],[Quantity]],"Valid","Invalid")</f>
        <v>Valid</v>
      </c>
      <c r="AA998">
        <v>239.3</v>
      </c>
      <c r="AB99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239.3</v>
      </c>
      <c r="AC998">
        <f>IF(Transaction[[#This Row],[DiscountAmount_Check2]]="Invalid",Transaction[[#This Row],[GrossRevenue_Analytical]]-Transaction[[#This Row],[NetRevenue_Analytical]],Transaction[[#This Row],[DiscountAmount_Clean]])</f>
        <v>239.3</v>
      </c>
      <c r="AD998">
        <v>4660.7</v>
      </c>
      <c r="AE998" t="str">
        <f>IF(ROUND(Transaction[[#This Row],[GrossRevenue_Analytical]]-Transaction[[#This Row],[NetRevenue_Analytical]],2)=ROUND(Transaction[[#This Row],[DiscountAmount_Clean]],2),"Valid","Invalid")</f>
        <v>Valid</v>
      </c>
      <c r="AF998">
        <f>VALUE(IF(ISNUMBER(Transaction[[#This Row],[NetRevenue]]),Transaction[[#This Row],[NetRevenue]],IFERROR(IF(FIND("$",Transaction[[#This Row],[NetRevenue]])&gt;0,MID(Transaction[[#This Row],[NetRevenue]],2,10)),Transaction[[#This Row],[NetRevenue]])))</f>
        <v>4660.7</v>
      </c>
      <c r="AG998">
        <f>IF(Transaction[[#This Row],[NetRevenue_Check]]="Invalid",(Transaction[[#This Row],[Quantity]]*Transaction[[#This Row],[UnitPrice_Clean]]),Transaction[[#This Row],[NetRevenue_Clean]])</f>
        <v>4660.7</v>
      </c>
      <c r="AH998" t="str">
        <f>IF(Transaction[[#This Row],[Quantity]]*Transaction[[#This Row],[UnitPrice_Clean]]=Transaction[[#This Row],[NetRevenue_Clean]],"Valid","Invalid")</f>
        <v>Valid</v>
      </c>
      <c r="AI998" t="s">
        <v>23</v>
      </c>
      <c r="AJ998" t="s">
        <v>793</v>
      </c>
      <c r="AK998" t="str">
        <f>IF(Transaction[[#This Row],[Salesperson]]="","Missing Value",TRIM(PROPER(Transaction[[#This Row],[Salesperson]])))</f>
        <v>Payne</v>
      </c>
      <c r="AL998" t="s">
        <v>42</v>
      </c>
      <c r="AM998" t="str">
        <f>IF(Transaction[[#This Row],[ContractType]]="","Missing Value",Transaction[[#This Row],[ContractType]])</f>
        <v>Standard PO</v>
      </c>
      <c r="AN998" t="s">
        <v>26</v>
      </c>
    </row>
    <row r="999" spans="1:40" x14ac:dyDescent="0.25">
      <c r="A999" t="s">
        <v>1816</v>
      </c>
      <c r="B999" s="1">
        <v>45822</v>
      </c>
      <c r="C99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99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99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999" s="2">
        <f>IFERROR(DATE(Transaction[[#This Row],[TransactionDateY]],Transaction[[#This Row],[TransactionDateM]],Transaction[[#This Row],[TransactionDateD]]),"Missing Value")</f>
        <v>45822</v>
      </c>
      <c r="G999" t="s">
        <v>146</v>
      </c>
      <c r="H999" t="str">
        <f>IFERROR(VLOOKUP(Transaction[[#This Row],[CustomerID]],Custumer[],1,0),IF(LEN(Transaction[[#This Row],[CustomerID]])=7,LEFT(Transaction[[#This Row],[CustomerID]],6),"Invalid ID"))</f>
        <v>C-1095</v>
      </c>
      <c r="I999" t="s">
        <v>97</v>
      </c>
      <c r="J999" t="str">
        <f>TRIM(UPPER(Transaction[[#This Row],[ProductID]]))</f>
        <v>P-SI-001</v>
      </c>
      <c r="K999" t="str">
        <f>IFERROR(VLOOKUP(Transaction[[#This Row],[ProductID_Clean]],Product[],1,FALSE),"Invalid ID")</f>
        <v>P-SI-001</v>
      </c>
      <c r="L999" t="str">
        <f>TRIM(SUBSTITUTE(SUBSTITUTE(SUBSTITUTE(SUBSTITUTE(UPPER(Transaction[[#This Row],[Region]]),"EMEA REGION","EMEA"),"APAC REGION","APAC"),"NORTH AMERICA","N. AMERICA"),"N .AMERICA","N.AMERICA"))</f>
        <v>LATIN AMERICA</v>
      </c>
      <c r="M999" t="s">
        <v>82</v>
      </c>
      <c r="N999" t="s">
        <v>53</v>
      </c>
      <c r="O99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999" t="s">
        <v>173</v>
      </c>
      <c r="Q999" t="str">
        <f>IF(TRIM(Transaction[[#This Row],[SalesChannel]])="","Missing Value",TRIM(Transaction[[#This Row],[SalesChannel]]))</f>
        <v>Distributor</v>
      </c>
      <c r="R999" s="4">
        <v>2</v>
      </c>
      <c r="S999" s="4" t="str">
        <f>IF(Transaction[[#This Row],[Quantity]]&lt;0,"Negative-review","Valid")</f>
        <v>Valid</v>
      </c>
      <c r="T999">
        <v>326.02</v>
      </c>
      <c r="U99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326.02</v>
      </c>
      <c r="V999">
        <v>485</v>
      </c>
      <c r="W999">
        <v>970</v>
      </c>
      <c r="X99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999">
        <f>IF(Transaction[[#This Row],[GrossRevenue_Check]]="Invalid",Transaction[[#This Row],[ListPrice]]*Transaction[[#This Row],[Quantity]],Transaction[[#This Row],[GrossRevenue_Clean]])</f>
        <v>970</v>
      </c>
      <c r="Z999" t="str">
        <f>IF(Transaction[[#This Row],[GrossRevenue_Clean]]=Transaction[[#This Row],[ListPrice]]*Transaction[[#This Row],[Quantity]],"Valid","Invalid")</f>
        <v>Valid</v>
      </c>
      <c r="AA999">
        <v>317.95999999999998</v>
      </c>
      <c r="AB99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317.95999999999998</v>
      </c>
      <c r="AC999">
        <f>IF(Transaction[[#This Row],[DiscountAmount_Check2]]="Invalid",Transaction[[#This Row],[GrossRevenue_Analytical]]-Transaction[[#This Row],[NetRevenue_Analytical]],Transaction[[#This Row],[DiscountAmount_Clean]])</f>
        <v>317.95999999999998</v>
      </c>
      <c r="AD999">
        <v>652.04</v>
      </c>
      <c r="AE999" t="str">
        <f>IF(ROUND(Transaction[[#This Row],[GrossRevenue_Analytical]]-Transaction[[#This Row],[NetRevenue_Analytical]],2)=ROUND(Transaction[[#This Row],[DiscountAmount_Clean]],2),"Valid","Invalid")</f>
        <v>Valid</v>
      </c>
      <c r="AF999">
        <f>VALUE(IF(ISNUMBER(Transaction[[#This Row],[NetRevenue]]),Transaction[[#This Row],[NetRevenue]],IFERROR(IF(FIND("$",Transaction[[#This Row],[NetRevenue]])&gt;0,MID(Transaction[[#This Row],[NetRevenue]],2,10)),Transaction[[#This Row],[NetRevenue]])))</f>
        <v>652.04</v>
      </c>
      <c r="AG999">
        <f>IF(Transaction[[#This Row],[NetRevenue_Check]]="Invalid",(Transaction[[#This Row],[Quantity]]*Transaction[[#This Row],[UnitPrice_Clean]]),Transaction[[#This Row],[NetRevenue_Clean]])</f>
        <v>652.04</v>
      </c>
      <c r="AH999" t="str">
        <f>IF(Transaction[[#This Row],[Quantity]]*Transaction[[#This Row],[UnitPrice_Clean]]=Transaction[[#This Row],[NetRevenue_Clean]],"Valid","Invalid")</f>
        <v>Valid</v>
      </c>
      <c r="AI999" t="s">
        <v>23</v>
      </c>
      <c r="AJ999" t="s">
        <v>1817</v>
      </c>
      <c r="AK999" t="str">
        <f>IF(Transaction[[#This Row],[Salesperson]]="","Missing Value",TRIM(PROPER(Transaction[[#This Row],[Salesperson]])))</f>
        <v>White-Ap</v>
      </c>
      <c r="AL999" t="s">
        <v>55</v>
      </c>
      <c r="AM999" t="str">
        <f>IF(Transaction[[#This Row],[ContractType]]="","Missing Value",Transaction[[#This Row],[ContractType]])</f>
        <v>Spot</v>
      </c>
      <c r="AN999" t="s">
        <v>49</v>
      </c>
    </row>
    <row r="1000" spans="1:40" x14ac:dyDescent="0.25">
      <c r="A1000" t="s">
        <v>1795</v>
      </c>
      <c r="B1000" t="s">
        <v>1796</v>
      </c>
      <c r="C100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100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08</v>
      </c>
      <c r="E100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00" s="2">
        <f>IFERROR(DATE(Transaction[[#This Row],[TransactionDateY]],Transaction[[#This Row],[TransactionDateM]],Transaction[[#This Row],[TransactionDateD]]),"Missing Value")</f>
        <v>45755</v>
      </c>
      <c r="G1000" t="s">
        <v>131</v>
      </c>
      <c r="H1000" t="str">
        <f>IFERROR(VLOOKUP(Transaction[[#This Row],[CustomerID]],Custumer[],1,0),IF(LEN(Transaction[[#This Row],[CustomerID]])=7,LEFT(Transaction[[#This Row],[CustomerID]],6),"Invalid ID"))</f>
        <v>C-1034</v>
      </c>
      <c r="I1000" t="s">
        <v>196</v>
      </c>
      <c r="J1000" t="str">
        <f>TRIM(UPPER(Transaction[[#This Row],[ProductID]]))</f>
        <v>P-SI-002</v>
      </c>
      <c r="K1000" t="str">
        <f>IFERROR(VLOOKUP(Transaction[[#This Row],[ProductID_Clean]],Product[],1,FALSE),"Invalid ID")</f>
        <v>P-SI-002</v>
      </c>
      <c r="L1000" t="str">
        <f>TRIM(SUBSTITUTE(SUBSTITUTE(SUBSTITUTE(SUBSTITUTE(UPPER(Transaction[[#This Row],[Region]]),"EMEA REGION","EMEA"),"APAC REGION","APAC"),"NORTH AMERICA","N. AMERICA"),"N .AMERICA","N.AMERICA"))</f>
        <v>N. AMERICA</v>
      </c>
      <c r="M1000" t="s">
        <v>20</v>
      </c>
      <c r="N1000" t="s">
        <v>98</v>
      </c>
      <c r="O100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00" t="s">
        <v>40</v>
      </c>
      <c r="Q1000" t="str">
        <f>IF(TRIM(Transaction[[#This Row],[SalesChannel]])="","Missing Value",TRIM(Transaction[[#This Row],[SalesChannel]]))</f>
        <v>Distributor</v>
      </c>
      <c r="R1000" s="4">
        <v>4</v>
      </c>
      <c r="S1000" s="4" t="str">
        <f>IF(Transaction[[#This Row],[Quantity]]&lt;0,"Negative-review","Valid")</f>
        <v>Valid</v>
      </c>
      <c r="T1000">
        <v>577.29</v>
      </c>
      <c r="U100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577.29</v>
      </c>
      <c r="V1000">
        <v>725</v>
      </c>
      <c r="W1000">
        <v>2900</v>
      </c>
      <c r="X100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2900</v>
      </c>
      <c r="Y1000">
        <f>IF(Transaction[[#This Row],[GrossRevenue_Check]]="Invalid",Transaction[[#This Row],[ListPrice]]*Transaction[[#This Row],[Quantity]],Transaction[[#This Row],[GrossRevenue_Clean]])</f>
        <v>2900</v>
      </c>
      <c r="Z1000" t="str">
        <f>IF(Transaction[[#This Row],[GrossRevenue_Clean]]=Transaction[[#This Row],[ListPrice]]*Transaction[[#This Row],[Quantity]],"Valid","Invalid")</f>
        <v>Valid</v>
      </c>
      <c r="AA1000">
        <v>590.84</v>
      </c>
      <c r="AB100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590.84</v>
      </c>
      <c r="AC1000">
        <f>IF(Transaction[[#This Row],[DiscountAmount_Check2]]="Invalid",Transaction[[#This Row],[GrossRevenue_Analytical]]-Transaction[[#This Row],[NetRevenue_Analytical]],Transaction[[#This Row],[DiscountAmount_Clean]])</f>
        <v>590.84</v>
      </c>
      <c r="AD1000">
        <v>2309.16</v>
      </c>
      <c r="AE1000" t="str">
        <f>IF(ROUND(Transaction[[#This Row],[GrossRevenue_Analytical]]-Transaction[[#This Row],[NetRevenue_Analytical]],2)=ROUND(Transaction[[#This Row],[DiscountAmount_Clean]],2),"Valid","Invalid")</f>
        <v>Valid</v>
      </c>
      <c r="AF100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2309.16</v>
      </c>
      <c r="AG1000">
        <f>IF(Transaction[[#This Row],[NetRevenue_Check]]="Invalid",(Transaction[[#This Row],[Quantity]]*Transaction[[#This Row],[UnitPrice_Clean]]),Transaction[[#This Row],[NetRevenue_Clean]])</f>
        <v>2309.16</v>
      </c>
      <c r="AH1000" t="str">
        <f>IF(Transaction[[#This Row],[Quantity]]*Transaction[[#This Row],[UnitPrice_Clean]]=Transaction[[#This Row],[NetRevenue_Clean]],"Valid","Invalid")</f>
        <v>Valid</v>
      </c>
      <c r="AI1000" t="s">
        <v>23</v>
      </c>
      <c r="AJ1000" t="s">
        <v>1797</v>
      </c>
      <c r="AK1000" t="str">
        <f>IF(Transaction[[#This Row],[Salesperson]]="","Missing Value",TRIM(PROPER(Transaction[[#This Row],[Salesperson]])))</f>
        <v>Preston-Em</v>
      </c>
      <c r="AL1000" t="s">
        <v>55</v>
      </c>
      <c r="AM1000" t="str">
        <f>IF(Transaction[[#This Row],[ContractType]]="","Missing Value",Transaction[[#This Row],[ContractType]])</f>
        <v>Spot</v>
      </c>
      <c r="AN1000" t="s">
        <v>26</v>
      </c>
    </row>
    <row r="1001" spans="1:40" x14ac:dyDescent="0.25">
      <c r="A1001" t="s">
        <v>1076</v>
      </c>
      <c r="B1001" t="s">
        <v>1077</v>
      </c>
      <c r="C100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100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100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01" s="2">
        <f>IFERROR(DATE(Transaction[[#This Row],[TransactionDateY]],Transaction[[#This Row],[TransactionDateM]],Transaction[[#This Row],[TransactionDateD]]),"Missing Value")</f>
        <v>45739</v>
      </c>
      <c r="G1001" t="s">
        <v>1078</v>
      </c>
      <c r="H1001" t="str">
        <f>IFERROR(VLOOKUP(Transaction[[#This Row],[CustomerID]],Custumer[],1,0),IF(LEN(Transaction[[#This Row],[CustomerID]])=7,LEFT(Transaction[[#This Row],[CustomerID]],6),"Invalid ID"))</f>
        <v>C-1018</v>
      </c>
      <c r="I1001" t="s">
        <v>75</v>
      </c>
      <c r="J1001" t="str">
        <f>TRIM(UPPER(Transaction[[#This Row],[ProductID]]))</f>
        <v>P-SA-005</v>
      </c>
      <c r="K1001" t="str">
        <f>IFERROR(VLOOKUP(Transaction[[#This Row],[ProductID_Clean]],Product[],1,FALSE),"Invalid ID")</f>
        <v>P-SA-005</v>
      </c>
      <c r="L1001" t="str">
        <f>TRIM(SUBSTITUTE(SUBSTITUTE(SUBSTITUTE(SUBSTITUTE(UPPER(Transaction[[#This Row],[Region]]),"EMEA REGION","EMEA"),"APAC REGION","APAC"),"NORTH AMERICA","N. AMERICA"),"N .AMERICA","N.AMERICA"))</f>
        <v>APAC</v>
      </c>
      <c r="M1001" t="s">
        <v>127</v>
      </c>
      <c r="N1001" t="s">
        <v>572</v>
      </c>
      <c r="O100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01" t="s">
        <v>181</v>
      </c>
      <c r="Q1001" t="str">
        <f>IF(TRIM(Transaction[[#This Row],[SalesChannel]])="","Missing Value",TRIM(Transaction[[#This Row],[SalesChannel]]))</f>
        <v>Partner Portal</v>
      </c>
      <c r="R1001" s="4">
        <v>1</v>
      </c>
      <c r="S1001" s="4" t="str">
        <f>IF(Transaction[[#This Row],[Quantity]]&lt;0,"Negative-review","Valid")</f>
        <v>Valid</v>
      </c>
      <c r="T1001">
        <v>2465.4299999999998</v>
      </c>
      <c r="U100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2465.4299999999998</v>
      </c>
      <c r="V1001">
        <v>3200</v>
      </c>
      <c r="W1001">
        <v>3200</v>
      </c>
      <c r="X100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1001">
        <f>IF(Transaction[[#This Row],[GrossRevenue_Check]]="Invalid",Transaction[[#This Row],[ListPrice]]*Transaction[[#This Row],[Quantity]],Transaction[[#This Row],[GrossRevenue_Clean]])</f>
        <v>3200</v>
      </c>
      <c r="Z1001" t="str">
        <f>IF(Transaction[[#This Row],[GrossRevenue_Clean]]=Transaction[[#This Row],[ListPrice]]*Transaction[[#This Row],[Quantity]],"Valid","Invalid")</f>
        <v>Valid</v>
      </c>
      <c r="AA1001" t="s">
        <v>1079</v>
      </c>
      <c r="AB100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734.57</v>
      </c>
      <c r="AC1001">
        <f>IF(Transaction[[#This Row],[DiscountAmount_Check2]]="Invalid",Transaction[[#This Row],[GrossRevenue_Analytical]]-Transaction[[#This Row],[NetRevenue_Analytical]],Transaction[[#This Row],[DiscountAmount_Clean]])</f>
        <v>734.57</v>
      </c>
      <c r="AD1001">
        <v>2465.4299999999998</v>
      </c>
      <c r="AE1001" t="str">
        <f>IF(ROUND(Transaction[[#This Row],[GrossRevenue_Analytical]]-Transaction[[#This Row],[NetRevenue_Analytical]],2)=ROUND(Transaction[[#This Row],[DiscountAmount_Clean]],2),"Valid","Invalid")</f>
        <v>Valid</v>
      </c>
      <c r="AF100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2465.4299999999998</v>
      </c>
      <c r="AG1001">
        <f>IF(Transaction[[#This Row],[NetRevenue_Check]]="Invalid",(Transaction[[#This Row],[Quantity]]*Transaction[[#This Row],[UnitPrice_Clean]]),Transaction[[#This Row],[NetRevenue_Clean]])</f>
        <v>2465.4299999999998</v>
      </c>
      <c r="AH1001" t="str">
        <f>IF(Transaction[[#This Row],[Quantity]]*Transaction[[#This Row],[UnitPrice_Clean]]=Transaction[[#This Row],[NetRevenue_Clean]],"Valid","Invalid")</f>
        <v>Valid</v>
      </c>
      <c r="AI1001" t="s">
        <v>23</v>
      </c>
      <c r="AJ1001" t="s">
        <v>1080</v>
      </c>
      <c r="AK1001" t="str">
        <f>IF(Transaction[[#This Row],[Salesperson]]="","Missing Value",TRIM(PROPER(Transaction[[#This Row],[Salesperson]])))</f>
        <v>Mooney-Ap</v>
      </c>
      <c r="AM1001" t="str">
        <f>IF(Transaction[[#This Row],[ContractType]]="","Missing Value",Transaction[[#This Row],[ContractType]])</f>
        <v>Missing Value</v>
      </c>
      <c r="AN1001" t="s">
        <v>43</v>
      </c>
    </row>
    <row r="1002" spans="1:40" x14ac:dyDescent="0.25">
      <c r="A1002" t="s">
        <v>1301</v>
      </c>
      <c r="B1002" s="1">
        <v>45764</v>
      </c>
      <c r="C100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00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100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02" s="2">
        <f>IFERROR(DATE(Transaction[[#This Row],[TransactionDateY]],Transaction[[#This Row],[TransactionDateM]],Transaction[[#This Row],[TransactionDateD]]),"Missing Value")</f>
        <v>45764</v>
      </c>
      <c r="G1002" t="s">
        <v>1143</v>
      </c>
      <c r="H1002" t="str">
        <f>IFERROR(VLOOKUP(Transaction[[#This Row],[CustomerID]],Custumer[],1,0),IF(LEN(Transaction[[#This Row],[CustomerID]])=7,LEFT(Transaction[[#This Row],[CustomerID]],6),"Invalid ID"))</f>
        <v>C-1114</v>
      </c>
      <c r="I1002" t="s">
        <v>258</v>
      </c>
      <c r="J1002" t="str">
        <f>TRIM(UPPER(Transaction[[#This Row],[ProductID]]))</f>
        <v>P-SA-003</v>
      </c>
      <c r="K1002" t="str">
        <f>IFERROR(VLOOKUP(Transaction[[#This Row],[ProductID_Clean]],Product[],1,FALSE),"Invalid ID")</f>
        <v>P-SA-003</v>
      </c>
      <c r="L1002" t="str">
        <f>TRIM(SUBSTITUTE(SUBSTITUTE(SUBSTITUTE(SUBSTITUTE(UPPER(Transaction[[#This Row],[Region]]),"EMEA REGION","EMEA"),"APAC REGION","APAC"),"NORTH AMERICA","N. AMERICA"),"N .AMERICA","N.AMERICA"))</f>
        <v>N. AMERICA</v>
      </c>
      <c r="M1002" t="s">
        <v>20</v>
      </c>
      <c r="N1002" t="s">
        <v>31</v>
      </c>
      <c r="O100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02" t="s">
        <v>22</v>
      </c>
      <c r="Q1002" t="str">
        <f>IF(TRIM(Transaction[[#This Row],[SalesChannel]])="","Missing Value",TRIM(Transaction[[#This Row],[SalesChannel]]))</f>
        <v>Direct</v>
      </c>
      <c r="R1002" s="4">
        <v>1</v>
      </c>
      <c r="S1002" s="4" t="str">
        <f>IF(Transaction[[#This Row],[Quantity]]&lt;0,"Negative-review","Valid")</f>
        <v>Valid</v>
      </c>
      <c r="T1002">
        <v>2737.92</v>
      </c>
      <c r="U100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2737.92</v>
      </c>
      <c r="V1002">
        <v>2750</v>
      </c>
      <c r="W1002">
        <v>2750</v>
      </c>
      <c r="X100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1002">
        <f>IF(Transaction[[#This Row],[GrossRevenue_Check]]="Invalid",Transaction[[#This Row],[ListPrice]]*Transaction[[#This Row],[Quantity]],Transaction[[#This Row],[GrossRevenue_Clean]])</f>
        <v>2750</v>
      </c>
      <c r="Z1002" t="str">
        <f>IF(Transaction[[#This Row],[GrossRevenue_Clean]]=Transaction[[#This Row],[ListPrice]]*Transaction[[#This Row],[Quantity]],"Valid","Invalid")</f>
        <v>Valid</v>
      </c>
      <c r="AA1002">
        <v>12.08</v>
      </c>
      <c r="AB100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12.08</v>
      </c>
      <c r="AC1002">
        <f>IF(Transaction[[#This Row],[DiscountAmount_Check2]]="Invalid",Transaction[[#This Row],[GrossRevenue_Analytical]]-Transaction[[#This Row],[NetRevenue_Analytical]],Transaction[[#This Row],[DiscountAmount_Clean]])</f>
        <v>12.08</v>
      </c>
      <c r="AD1002">
        <v>2737.92</v>
      </c>
      <c r="AE1002" t="str">
        <f>IF(ROUND(Transaction[[#This Row],[GrossRevenue_Analytical]]-Transaction[[#This Row],[NetRevenue_Analytical]],2)=ROUND(Transaction[[#This Row],[DiscountAmount_Clean]],2),"Valid","Invalid")</f>
        <v>Valid</v>
      </c>
      <c r="AF100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2737.92</v>
      </c>
      <c r="AG1002">
        <f>IF(Transaction[[#This Row],[NetRevenue_Check]]="Invalid",(Transaction[[#This Row],[Quantity]]*Transaction[[#This Row],[UnitPrice_Clean]]),Transaction[[#This Row],[NetRevenue_Clean]])</f>
        <v>2737.92</v>
      </c>
      <c r="AH1002" t="str">
        <f>IF(Transaction[[#This Row],[Quantity]]*Transaction[[#This Row],[UnitPrice_Clean]]=Transaction[[#This Row],[NetRevenue_Clean]],"Valid","Invalid")</f>
        <v>Valid</v>
      </c>
      <c r="AI1002" t="s">
        <v>23</v>
      </c>
      <c r="AJ1002" t="s">
        <v>1302</v>
      </c>
      <c r="AK1002" t="str">
        <f>IF(Transaction[[#This Row],[Salesperson]]="","Missing Value",TRIM(PROPER(Transaction[[#This Row],[Salesperson]])))</f>
        <v>Bernard-Na</v>
      </c>
      <c r="AL1002" t="s">
        <v>34</v>
      </c>
      <c r="AM1002" t="str">
        <f>IF(Transaction[[#This Row],[ContractType]]="","Missing Value",Transaction[[#This Row],[ContractType]])</f>
        <v>Annual License</v>
      </c>
      <c r="AN1002" t="s">
        <v>35</v>
      </c>
    </row>
    <row r="1003" spans="1:40" x14ac:dyDescent="0.25">
      <c r="A1003" t="s">
        <v>1650</v>
      </c>
      <c r="B1003" t="s">
        <v>1651</v>
      </c>
      <c r="C100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100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08</v>
      </c>
      <c r="E100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03" s="2">
        <f>IFERROR(DATE(Transaction[[#This Row],[TransactionDateY]],Transaction[[#This Row],[TransactionDateM]],Transaction[[#This Row],[TransactionDateD]]),"Missing Value")</f>
        <v>45696</v>
      </c>
      <c r="G1003" t="s">
        <v>1518</v>
      </c>
      <c r="H1003" t="str">
        <f>IFERROR(VLOOKUP(Transaction[[#This Row],[CustomerID]],Custumer[],1,0),IF(LEN(Transaction[[#This Row],[CustomerID]])=7,LEFT(Transaction[[#This Row],[CustomerID]],6),"Invalid ID"))</f>
        <v>C-1138</v>
      </c>
      <c r="I1003" t="s">
        <v>1652</v>
      </c>
      <c r="J1003" t="str">
        <f>TRIM(UPPER(Transaction[[#This Row],[ProductID]]))</f>
        <v>P-SA-001</v>
      </c>
      <c r="K1003" t="str">
        <f>IFERROR(VLOOKUP(Transaction[[#This Row],[ProductID_Clean]],Product[],1,FALSE),"Invalid ID")</f>
        <v>P-SA-001</v>
      </c>
      <c r="L1003" t="str">
        <f>TRIM(SUBSTITUTE(SUBSTITUTE(SUBSTITUTE(SUBSTITUTE(UPPER(Transaction[[#This Row],[Region]]),"EMEA REGION","EMEA"),"APAC REGION","APAC"),"NORTH AMERICA","N. AMERICA"),"N .AMERICA","N.AMERICA"))</f>
        <v>EMEA</v>
      </c>
      <c r="M1003" t="s">
        <v>76</v>
      </c>
      <c r="N1003" t="s">
        <v>572</v>
      </c>
      <c r="O100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03" t="s">
        <v>22</v>
      </c>
      <c r="Q1003" t="str">
        <f>IF(TRIM(Transaction[[#This Row],[SalesChannel]])="","Missing Value",TRIM(Transaction[[#This Row],[SalesChannel]]))</f>
        <v>Direct</v>
      </c>
      <c r="R1003" s="4">
        <v>1</v>
      </c>
      <c r="S1003" s="4" t="str">
        <f>IF(Transaction[[#This Row],[Quantity]]&lt;0,"Negative-review","Valid")</f>
        <v>Valid</v>
      </c>
      <c r="T1003">
        <v>3685.56</v>
      </c>
      <c r="U100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3685.56</v>
      </c>
      <c r="V1003">
        <v>4200</v>
      </c>
      <c r="W1003">
        <v>4200</v>
      </c>
      <c r="X100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1003">
        <f>IF(Transaction[[#This Row],[GrossRevenue_Check]]="Invalid",Transaction[[#This Row],[ListPrice]]*Transaction[[#This Row],[Quantity]],Transaction[[#This Row],[GrossRevenue_Clean]])</f>
        <v>4200</v>
      </c>
      <c r="Z1003" t="str">
        <f>IF(Transaction[[#This Row],[GrossRevenue_Clean]]=Transaction[[#This Row],[ListPrice]]*Transaction[[#This Row],[Quantity]],"Valid","Invalid")</f>
        <v>Valid</v>
      </c>
      <c r="AA1003">
        <v>514.44000000000005</v>
      </c>
      <c r="AB100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514.44000000000005</v>
      </c>
      <c r="AC1003">
        <f>IF(Transaction[[#This Row],[DiscountAmount_Check2]]="Invalid",Transaction[[#This Row],[GrossRevenue_Analytical]]-Transaction[[#This Row],[NetRevenue_Analytical]],Transaction[[#This Row],[DiscountAmount_Clean]])</f>
        <v>514.44000000000005</v>
      </c>
      <c r="AD1003">
        <v>3685.56</v>
      </c>
      <c r="AE1003" t="str">
        <f>IF(ROUND(Transaction[[#This Row],[GrossRevenue_Analytical]]-Transaction[[#This Row],[NetRevenue_Analytical]],2)=ROUND(Transaction[[#This Row],[DiscountAmount_Clean]],2),"Valid","Invalid")</f>
        <v>Valid</v>
      </c>
      <c r="AF100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3685.56</v>
      </c>
      <c r="AG1003">
        <f>IF(Transaction[[#This Row],[NetRevenue_Check]]="Invalid",(Transaction[[#This Row],[Quantity]]*Transaction[[#This Row],[UnitPrice_Clean]]),Transaction[[#This Row],[NetRevenue_Clean]])</f>
        <v>3685.56</v>
      </c>
      <c r="AH1003" t="str">
        <f>IF(Transaction[[#This Row],[Quantity]]*Transaction[[#This Row],[UnitPrice_Clean]]=Transaction[[#This Row],[NetRevenue_Clean]],"Valid","Invalid")</f>
        <v>Valid</v>
      </c>
      <c r="AI1003" t="s">
        <v>23</v>
      </c>
      <c r="AJ1003" t="s">
        <v>1317</v>
      </c>
      <c r="AK1003" t="str">
        <f>IF(Transaction[[#This Row],[Salesperson]]="","Missing Value",TRIM(PROPER(Transaction[[#This Row],[Salesperson]])))</f>
        <v>Warren</v>
      </c>
      <c r="AL1003" t="s">
        <v>34</v>
      </c>
      <c r="AM1003" t="str">
        <f>IF(Transaction[[#This Row],[ContractType]]="","Missing Value",Transaction[[#This Row],[ContractType]])</f>
        <v>Annual License</v>
      </c>
      <c r="AN1003" t="s">
        <v>35</v>
      </c>
    </row>
    <row r="1004" spans="1:40" x14ac:dyDescent="0.25">
      <c r="A1004" t="s">
        <v>1067</v>
      </c>
      <c r="C100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100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100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1004" s="2" t="str">
        <f>IFERROR(DATE(Transaction[[#This Row],[TransactionDateY]],Transaction[[#This Row],[TransactionDateM]],Transaction[[#This Row],[TransactionDateD]]),"Missing Value")</f>
        <v>Missing Value</v>
      </c>
      <c r="G1004" t="s">
        <v>163</v>
      </c>
      <c r="H1004" t="str">
        <f>IFERROR(VLOOKUP(Transaction[[#This Row],[CustomerID]],Custumer[],1,0),IF(LEN(Transaction[[#This Row],[CustomerID]])=7,LEFT(Transaction[[#This Row],[CustomerID]],6),"Invalid ID"))</f>
        <v>C-1164</v>
      </c>
      <c r="I1004" t="s">
        <v>71</v>
      </c>
      <c r="J1004" t="str">
        <f>TRIM(UPPER(Transaction[[#This Row],[ProductID]]))</f>
        <v>P-SI-003</v>
      </c>
      <c r="K1004" t="str">
        <f>IFERROR(VLOOKUP(Transaction[[#This Row],[ProductID_Clean]],Product[],1,FALSE),"Invalid ID")</f>
        <v>P-SI-003</v>
      </c>
      <c r="L1004" t="str">
        <f>TRIM(SUBSTITUTE(SUBSTITUTE(SUBSTITUTE(SUBSTITUTE(UPPER(Transaction[[#This Row],[Region]]),"EMEA REGION","EMEA"),"APAC REGION","APAC"),"NORTH AMERICA","N. AMERICA"),"N .AMERICA","N.AMERICA"))</f>
        <v>EMEA</v>
      </c>
      <c r="M1004" t="s">
        <v>76</v>
      </c>
      <c r="N1004" t="s">
        <v>53</v>
      </c>
      <c r="O100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04" t="s">
        <v>181</v>
      </c>
      <c r="Q1004" t="str">
        <f>IF(TRIM(Transaction[[#This Row],[SalesChannel]])="","Missing Value",TRIM(Transaction[[#This Row],[SalesChannel]]))</f>
        <v>Partner Portal</v>
      </c>
      <c r="R1004" s="4">
        <v>5</v>
      </c>
      <c r="S1004" s="4" t="str">
        <f>IF(Transaction[[#This Row],[Quantity]]&lt;0,"Negative-review","Valid")</f>
        <v>Valid</v>
      </c>
      <c r="T1004">
        <v>1517.01</v>
      </c>
      <c r="U100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1517.01</v>
      </c>
      <c r="V1004">
        <v>1890</v>
      </c>
      <c r="W1004">
        <v>9450</v>
      </c>
      <c r="X100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9450</v>
      </c>
      <c r="Y1004">
        <f>IF(Transaction[[#This Row],[GrossRevenue_Check]]="Invalid",Transaction[[#This Row],[ListPrice]]*Transaction[[#This Row],[Quantity]],Transaction[[#This Row],[GrossRevenue_Clean]])</f>
        <v>9450</v>
      </c>
      <c r="Z1004" t="str">
        <f>IF(Transaction[[#This Row],[GrossRevenue_Clean]]=Transaction[[#This Row],[ListPrice]]*Transaction[[#This Row],[Quantity]],"Valid","Invalid")</f>
        <v>Valid</v>
      </c>
      <c r="AA1004">
        <v>1864.95</v>
      </c>
      <c r="AB100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1864.95</v>
      </c>
      <c r="AC1004">
        <f>IF(Transaction[[#This Row],[DiscountAmount_Check2]]="Invalid",Transaction[[#This Row],[GrossRevenue_Analytical]]-Transaction[[#This Row],[NetRevenue_Analytical]],Transaction[[#This Row],[DiscountAmount_Clean]])</f>
        <v>1864.95</v>
      </c>
      <c r="AD1004" t="s">
        <v>1068</v>
      </c>
      <c r="AE1004" t="str">
        <f>IF(ROUND(Transaction[[#This Row],[GrossRevenue_Analytical]]-Transaction[[#This Row],[NetRevenue_Analytical]],2)=ROUND(Transaction[[#This Row],[DiscountAmount_Clean]],2),"Valid","Invalid")</f>
        <v>Valid</v>
      </c>
      <c r="AF1004">
        <f>VALUE(IF(ISNUMBER(Transaction[[#This Row],[NetRevenue]]),Transaction[[#This Row],[NetRevenue]],IFERROR(IF(FIND("$",Transaction[[#This Row],[NetRevenue]])&gt;0,MID(Transaction[[#This Row],[NetRevenue]],2,10)),Transaction[[#This Row],[NetRevenue]])))</f>
        <v>7585.05</v>
      </c>
      <c r="AG1004">
        <f>IF(Transaction[[#This Row],[NetRevenue_Check]]="Invalid",(Transaction[[#This Row],[Quantity]]*Transaction[[#This Row],[UnitPrice_Clean]]),Transaction[[#This Row],[NetRevenue_Clean]])</f>
        <v>7585.05</v>
      </c>
      <c r="AH1004" t="str">
        <f>IF(Transaction[[#This Row],[Quantity]]*Transaction[[#This Row],[UnitPrice_Clean]]=Transaction[[#This Row],[NetRevenue_Clean]],"Valid","Invalid")</f>
        <v>Valid</v>
      </c>
      <c r="AI1004" t="s">
        <v>23</v>
      </c>
      <c r="AJ1004" t="s">
        <v>1069</v>
      </c>
      <c r="AK1004" t="str">
        <f>IF(Transaction[[#This Row],[Salesperson]]="","Missing Value",TRIM(PROPER(Transaction[[#This Row],[Salesperson]])))</f>
        <v>Combs</v>
      </c>
      <c r="AL1004" t="s">
        <v>25</v>
      </c>
      <c r="AM1004" t="str">
        <f>IF(Transaction[[#This Row],[ContractType]]="","Missing Value",Transaction[[#This Row],[ContractType]])</f>
        <v>Frame Agreement</v>
      </c>
      <c r="AN1004" t="s">
        <v>43</v>
      </c>
    </row>
    <row r="1005" spans="1:40" x14ac:dyDescent="0.25">
      <c r="A1005" t="s">
        <v>1144</v>
      </c>
      <c r="B1005" t="s">
        <v>1145</v>
      </c>
      <c r="C100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100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100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05" s="2">
        <f>IFERROR(DATE(Transaction[[#This Row],[TransactionDateY]],Transaction[[#This Row],[TransactionDateM]],Transaction[[#This Row],[TransactionDateD]]),"Missing Value")</f>
        <v>45795</v>
      </c>
      <c r="G1005" t="s">
        <v>541</v>
      </c>
      <c r="H1005" t="str">
        <f>IFERROR(VLOOKUP(Transaction[[#This Row],[CustomerID]],Custumer[],1,0),IF(LEN(Transaction[[#This Row],[CustomerID]])=7,LEFT(Transaction[[#This Row],[CustomerID]],6),"Invalid ID"))</f>
        <v>C-1075</v>
      </c>
      <c r="I1005" t="s">
        <v>121</v>
      </c>
      <c r="J1005" t="str">
        <f>TRIM(UPPER(Transaction[[#This Row],[ProductID]]))</f>
        <v>P-FS-001</v>
      </c>
      <c r="K1005" t="str">
        <f>IFERROR(VLOOKUP(Transaction[[#This Row],[ProductID_Clean]],Product[],1,FALSE),"Invalid ID")</f>
        <v>P-FS-001</v>
      </c>
      <c r="L1005" t="str">
        <f>TRIM(SUBSTITUTE(SUBSTITUTE(SUBSTITUTE(SUBSTITUTE(UPPER(Transaction[[#This Row],[Region]]),"EMEA REGION","EMEA"),"APAC REGION","APAC"),"NORTH AMERICA","N. AMERICA"),"N .AMERICA","N.AMERICA"))</f>
        <v>N. AMERICA</v>
      </c>
      <c r="M1005" t="s">
        <v>20</v>
      </c>
      <c r="N1005" t="s">
        <v>21</v>
      </c>
      <c r="O100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005" t="s">
        <v>22</v>
      </c>
      <c r="Q1005" t="str">
        <f>IF(TRIM(Transaction[[#This Row],[SalesChannel]])="","Missing Value",TRIM(Transaction[[#This Row],[SalesChannel]]))</f>
        <v>Direct</v>
      </c>
      <c r="R1005" s="4">
        <v>1</v>
      </c>
      <c r="S1005" s="4" t="str">
        <f>IF(Transaction[[#This Row],[Quantity]]&lt;0,"Negative-review","Valid")</f>
        <v>Valid</v>
      </c>
      <c r="T1005">
        <v>1436.42</v>
      </c>
      <c r="U100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1436.42</v>
      </c>
      <c r="V1005">
        <v>1850</v>
      </c>
      <c r="W1005">
        <v>1850</v>
      </c>
      <c r="X100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1005">
        <f>IF(Transaction[[#This Row],[GrossRevenue_Check]]="Invalid",Transaction[[#This Row],[ListPrice]]*Transaction[[#This Row],[Quantity]],Transaction[[#This Row],[GrossRevenue_Clean]])</f>
        <v>1850</v>
      </c>
      <c r="Z1005" t="str">
        <f>IF(Transaction[[#This Row],[GrossRevenue_Clean]]=Transaction[[#This Row],[ListPrice]]*Transaction[[#This Row],[Quantity]],"Valid","Invalid")</f>
        <v>Valid</v>
      </c>
      <c r="AA1005">
        <v>413.58</v>
      </c>
      <c r="AB100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413.58</v>
      </c>
      <c r="AC1005">
        <f>IF(Transaction[[#This Row],[DiscountAmount_Check2]]="Invalid",Transaction[[#This Row],[GrossRevenue_Analytical]]-Transaction[[#This Row],[NetRevenue_Analytical]],Transaction[[#This Row],[DiscountAmount_Clean]])</f>
        <v>413.58</v>
      </c>
      <c r="AD1005">
        <v>1436.42</v>
      </c>
      <c r="AE1005" t="str">
        <f>IF(ROUND(Transaction[[#This Row],[GrossRevenue_Analytical]]-Transaction[[#This Row],[NetRevenue_Analytical]],2)=ROUND(Transaction[[#This Row],[DiscountAmount_Clean]],2),"Valid","Invalid")</f>
        <v>Valid</v>
      </c>
      <c r="AF100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1436.42</v>
      </c>
      <c r="AG1005">
        <f>IF(Transaction[[#This Row],[NetRevenue_Check]]="Invalid",(Transaction[[#This Row],[Quantity]]*Transaction[[#This Row],[UnitPrice_Clean]]),Transaction[[#This Row],[NetRevenue_Clean]])</f>
        <v>1436.42</v>
      </c>
      <c r="AH1005" t="str">
        <f>IF(Transaction[[#This Row],[Quantity]]*Transaction[[#This Row],[UnitPrice_Clean]]=Transaction[[#This Row],[NetRevenue_Clean]],"Valid","Invalid")</f>
        <v>Valid</v>
      </c>
      <c r="AI1005" t="s">
        <v>23</v>
      </c>
      <c r="AJ1005" t="s">
        <v>844</v>
      </c>
      <c r="AK1005" t="str">
        <f>IF(Transaction[[#This Row],[Salesperson]]="","Missing Value",TRIM(PROPER(Transaction[[#This Row],[Salesperson]])))</f>
        <v>Jones-Na</v>
      </c>
      <c r="AL1005" t="s">
        <v>42</v>
      </c>
      <c r="AM1005" t="str">
        <f>IF(Transaction[[#This Row],[ContractType]]="","Missing Value",Transaction[[#This Row],[ContractType]])</f>
        <v>Standard PO</v>
      </c>
      <c r="AN1005" t="s">
        <v>49</v>
      </c>
    </row>
    <row r="1006" spans="1:40" x14ac:dyDescent="0.25">
      <c r="A1006" t="s">
        <v>1782</v>
      </c>
      <c r="B1006" s="1">
        <v>45788</v>
      </c>
      <c r="C100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00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100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06" s="2">
        <f>IFERROR(DATE(Transaction[[#This Row],[TransactionDateY]],Transaction[[#This Row],[TransactionDateM]],Transaction[[#This Row],[TransactionDateD]]),"Missing Value")</f>
        <v>45788</v>
      </c>
      <c r="G1006" t="s">
        <v>507</v>
      </c>
      <c r="H1006" t="str">
        <f>IFERROR(VLOOKUP(Transaction[[#This Row],[CustomerID]],Custumer[],1,0),IF(LEN(Transaction[[#This Row],[CustomerID]])=7,LEFT(Transaction[[#This Row],[CustomerID]],6),"Invalid ID"))</f>
        <v>C-1091</v>
      </c>
      <c r="I1006" t="s">
        <v>62</v>
      </c>
      <c r="J1006" t="str">
        <f>TRIM(UPPER(Transaction[[#This Row],[ProductID]]))</f>
        <v>P-SI-004</v>
      </c>
      <c r="K1006" t="str">
        <f>IFERROR(VLOOKUP(Transaction[[#This Row],[ProductID_Clean]],Product[],1,FALSE),"Invalid ID")</f>
        <v>P-SI-004</v>
      </c>
      <c r="L1006" t="str">
        <f>TRIM(SUBSTITUTE(SUBSTITUTE(SUBSTITUTE(SUBSTITUTE(UPPER(Transaction[[#This Row],[Region]]),"EMEA REGION","EMEA"),"APAC REGION","APAC"),"NORTH AMERICA","N. AMERICA"),"N .AMERICA","N.AMERICA"))</f>
        <v>EMEA</v>
      </c>
      <c r="M1006" t="s">
        <v>76</v>
      </c>
      <c r="N1006" t="s">
        <v>53</v>
      </c>
      <c r="O100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06" t="s">
        <v>22</v>
      </c>
      <c r="Q1006" t="str">
        <f>IF(TRIM(Transaction[[#This Row],[SalesChannel]])="","Missing Value",TRIM(Transaction[[#This Row],[SalesChannel]]))</f>
        <v>Direct</v>
      </c>
      <c r="R1006" s="4">
        <v>11</v>
      </c>
      <c r="S1006" s="4" t="str">
        <f>IF(Transaction[[#This Row],[Quantity]]&lt;0,"Negative-review","Valid")</f>
        <v>Valid</v>
      </c>
      <c r="T1006">
        <v>2258.88</v>
      </c>
      <c r="U100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2258.88</v>
      </c>
      <c r="V1006">
        <v>2450</v>
      </c>
      <c r="W1006">
        <v>29400</v>
      </c>
      <c r="X100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29400</v>
      </c>
      <c r="Y1006">
        <f>IF(Transaction[[#This Row],[GrossRevenue_Check]]="Invalid",Transaction[[#This Row],[ListPrice]]*Transaction[[#This Row],[Quantity]],Transaction[[#This Row],[GrossRevenue_Clean]])</f>
        <v>26950</v>
      </c>
      <c r="Z1006" t="str">
        <f>IF(Transaction[[#This Row],[GrossRevenue_Clean]]=Transaction[[#This Row],[ListPrice]]*Transaction[[#This Row],[Quantity]],"Valid","Invalid")</f>
        <v>Invalid</v>
      </c>
      <c r="AA1006">
        <v>2293.44</v>
      </c>
      <c r="AB100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2293.44</v>
      </c>
      <c r="AC1006">
        <f>IF(Transaction[[#This Row],[DiscountAmount_Check2]]="Invalid",Transaction[[#This Row],[GrossRevenue_Analytical]]-Transaction[[#This Row],[NetRevenue_Analytical]],Transaction[[#This Row],[DiscountAmount_Clean]])</f>
        <v>2102.3199999999997</v>
      </c>
      <c r="AD1006">
        <v>27106.560000000001</v>
      </c>
      <c r="AE1006" t="str">
        <f>IF(ROUND(Transaction[[#This Row],[GrossRevenue_Analytical]]-Transaction[[#This Row],[NetRevenue_Analytical]],2)=ROUND(Transaction[[#This Row],[DiscountAmount_Clean]],2),"Valid","Invalid")</f>
        <v>Invalid</v>
      </c>
      <c r="AF1006">
        <f>VALUE(IF(ISNUMBER(Transaction[[#This Row],[NetRevenue]]),Transaction[[#This Row],[NetRevenue]],IFERROR(IF(FIND("$",Transaction[[#This Row],[NetRevenue]])&gt;0,MID(Transaction[[#This Row],[NetRevenue]],2,10)),Transaction[[#This Row],[NetRevenue]])))</f>
        <v>27106.560000000001</v>
      </c>
      <c r="AG1006">
        <f>IF(Transaction[[#This Row],[NetRevenue_Check]]="Invalid",(Transaction[[#This Row],[Quantity]]*Transaction[[#This Row],[UnitPrice_Clean]]),Transaction[[#This Row],[NetRevenue_Clean]])</f>
        <v>24847.68</v>
      </c>
      <c r="AH1006" t="str">
        <f>IF(Transaction[[#This Row],[Quantity]]*Transaction[[#This Row],[UnitPrice_Clean]]=Transaction[[#This Row],[NetRevenue_Clean]],"Valid","Invalid")</f>
        <v>Invalid</v>
      </c>
      <c r="AI1006" t="s">
        <v>23</v>
      </c>
      <c r="AJ1006" t="s">
        <v>1783</v>
      </c>
      <c r="AK1006" t="str">
        <f>IF(Transaction[[#This Row],[Salesperson]]="","Missing Value",TRIM(PROPER(Transaction[[#This Row],[Salesperson]])))</f>
        <v>Mclean-Ap</v>
      </c>
      <c r="AL1006" t="s">
        <v>42</v>
      </c>
      <c r="AM1006" t="str">
        <f>IF(Transaction[[#This Row],[ContractType]]="","Missing Value",Transaction[[#This Row],[ContractType]])</f>
        <v>Standard PO</v>
      </c>
      <c r="AN1006" t="s">
        <v>26</v>
      </c>
    </row>
    <row r="1007" spans="1:40" x14ac:dyDescent="0.25">
      <c r="A1007" t="s">
        <v>1089</v>
      </c>
      <c r="B1007" t="s">
        <v>1090</v>
      </c>
      <c r="C100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100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100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07" s="2">
        <f>IFERROR(DATE(Transaction[[#This Row],[TransactionDateY]],Transaction[[#This Row],[TransactionDateM]],Transaction[[#This Row],[TransactionDateD]]),"Missing Value")</f>
        <v>45734</v>
      </c>
      <c r="G1007" t="s">
        <v>139</v>
      </c>
      <c r="H1007" t="str">
        <f>IFERROR(VLOOKUP(Transaction[[#This Row],[CustomerID]],Custumer[],1,0),IF(LEN(Transaction[[#This Row],[CustomerID]])=7,LEFT(Transaction[[#This Row],[CustomerID]],6),"Invalid ID"))</f>
        <v>C-1171</v>
      </c>
      <c r="I1007" t="s">
        <v>1091</v>
      </c>
      <c r="J1007" t="str">
        <f>TRIM(UPPER(Transaction[[#This Row],[ProductID]]))</f>
        <v>P-SA-005</v>
      </c>
      <c r="K1007" t="str">
        <f>IFERROR(VLOOKUP(Transaction[[#This Row],[ProductID_Clean]],Product[],1,FALSE),"Invalid ID")</f>
        <v>P-SA-005</v>
      </c>
      <c r="L1007" t="str">
        <f>TRIM(SUBSTITUTE(SUBSTITUTE(SUBSTITUTE(SUBSTITUTE(UPPER(Transaction[[#This Row],[Region]]),"EMEA REGION","EMEA"),"APAC REGION","APAC"),"NORTH AMERICA","N. AMERICA"),"N .AMERICA","N.AMERICA"))</f>
        <v>APAC</v>
      </c>
      <c r="M1007" t="s">
        <v>30</v>
      </c>
      <c r="N1007" t="s">
        <v>205</v>
      </c>
      <c r="O100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07" t="s">
        <v>22</v>
      </c>
      <c r="Q1007" t="str">
        <f>IF(TRIM(Transaction[[#This Row],[SalesChannel]])="","Missing Value",TRIM(Transaction[[#This Row],[SalesChannel]]))</f>
        <v>Direct</v>
      </c>
      <c r="R1007" s="4">
        <v>1</v>
      </c>
      <c r="S1007" s="4" t="str">
        <f>IF(Transaction[[#This Row],[Quantity]]&lt;0,"Negative-review","Valid")</f>
        <v>Valid</v>
      </c>
      <c r="T1007">
        <v>2984.73</v>
      </c>
      <c r="U100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2984.73</v>
      </c>
      <c r="V1007">
        <v>3200</v>
      </c>
      <c r="W1007">
        <v>3200</v>
      </c>
      <c r="X100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1007">
        <f>IF(Transaction[[#This Row],[GrossRevenue_Check]]="Invalid",Transaction[[#This Row],[ListPrice]]*Transaction[[#This Row],[Quantity]],Transaction[[#This Row],[GrossRevenue_Clean]])</f>
        <v>3200</v>
      </c>
      <c r="Z1007" t="str">
        <f>IF(Transaction[[#This Row],[GrossRevenue_Clean]]=Transaction[[#This Row],[ListPrice]]*Transaction[[#This Row],[Quantity]],"Valid","Invalid")</f>
        <v>Valid</v>
      </c>
      <c r="AA1007">
        <v>215.27</v>
      </c>
      <c r="AB100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215.27</v>
      </c>
      <c r="AC1007">
        <f>IF(Transaction[[#This Row],[DiscountAmount_Check2]]="Invalid",Transaction[[#This Row],[GrossRevenue_Analytical]]-Transaction[[#This Row],[NetRevenue_Analytical]],Transaction[[#This Row],[DiscountAmount_Clean]])</f>
        <v>215.27</v>
      </c>
      <c r="AD1007" t="s">
        <v>1092</v>
      </c>
      <c r="AE1007" t="str">
        <f>IF(ROUND(Transaction[[#This Row],[GrossRevenue_Analytical]]-Transaction[[#This Row],[NetRevenue_Analytical]],2)=ROUND(Transaction[[#This Row],[DiscountAmount_Clean]],2),"Valid","Invalid")</f>
        <v>Valid</v>
      </c>
      <c r="AF1007">
        <f>VALUE(IF(ISNUMBER(Transaction[[#This Row],[NetRevenue]]),Transaction[[#This Row],[NetRevenue]],IFERROR(IF(FIND("$",Transaction[[#This Row],[NetRevenue]])&gt;0,MID(Transaction[[#This Row],[NetRevenue]],2,10)),Transaction[[#This Row],[NetRevenue]])))</f>
        <v>2984.73</v>
      </c>
      <c r="AG1007">
        <f>IF(Transaction[[#This Row],[NetRevenue_Check]]="Invalid",(Transaction[[#This Row],[Quantity]]*Transaction[[#This Row],[UnitPrice_Clean]]),Transaction[[#This Row],[NetRevenue_Clean]])</f>
        <v>2984.73</v>
      </c>
      <c r="AH1007" t="str">
        <f>IF(Transaction[[#This Row],[Quantity]]*Transaction[[#This Row],[UnitPrice_Clean]]=Transaction[[#This Row],[NetRevenue_Clean]],"Valid","Invalid")</f>
        <v>Valid</v>
      </c>
      <c r="AI1007" t="s">
        <v>23</v>
      </c>
      <c r="AJ1007" t="s">
        <v>1093</v>
      </c>
      <c r="AK1007" t="str">
        <f>IF(Transaction[[#This Row],[Salesperson]]="","Missing Value",TRIM(PROPER(Transaction[[#This Row],[Salesperson]])))</f>
        <v>Williams-Ap</v>
      </c>
      <c r="AL1007" t="s">
        <v>34</v>
      </c>
      <c r="AM1007" t="str">
        <f>IF(Transaction[[#This Row],[ContractType]]="","Missing Value",Transaction[[#This Row],[ContractType]])</f>
        <v>Annual License</v>
      </c>
      <c r="AN1007" t="s">
        <v>49</v>
      </c>
    </row>
    <row r="1008" spans="1:40" x14ac:dyDescent="0.25">
      <c r="A1008" t="s">
        <v>1146</v>
      </c>
      <c r="B1008" s="1">
        <v>45694</v>
      </c>
      <c r="C100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00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100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08" s="2">
        <f>IFERROR(DATE(Transaction[[#This Row],[TransactionDateY]],Transaction[[#This Row],[TransactionDateM]],Transaction[[#This Row],[TransactionDateD]]),"Missing Value")</f>
        <v>45694</v>
      </c>
      <c r="G1008" t="s">
        <v>146</v>
      </c>
      <c r="H1008" t="str">
        <f>IFERROR(VLOOKUP(Transaction[[#This Row],[CustomerID]],Custumer[],1,0),IF(LEN(Transaction[[#This Row],[CustomerID]])=7,LEFT(Transaction[[#This Row],[CustomerID]],6),"Invalid ID"))</f>
        <v>C-1095</v>
      </c>
      <c r="I1008" t="s">
        <v>62</v>
      </c>
      <c r="J1008" t="str">
        <f>TRIM(UPPER(Transaction[[#This Row],[ProductID]]))</f>
        <v>P-SI-004</v>
      </c>
      <c r="K1008" t="str">
        <f>IFERROR(VLOOKUP(Transaction[[#This Row],[ProductID_Clean]],Product[],1,FALSE),"Invalid ID")</f>
        <v>P-SI-004</v>
      </c>
      <c r="L1008" t="str">
        <f>TRIM(SUBSTITUTE(SUBSTITUTE(SUBSTITUTE(SUBSTITUTE(UPPER(Transaction[[#This Row],[Region]]),"EMEA REGION","EMEA"),"APAC REGION","APAC"),"NORTH AMERICA","N. AMERICA"),"N .AMERICA","N.AMERICA"))</f>
        <v>LATIN AMERICA</v>
      </c>
      <c r="M1008" t="s">
        <v>82</v>
      </c>
      <c r="N1008" t="s">
        <v>53</v>
      </c>
      <c r="O100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08" t="s">
        <v>22</v>
      </c>
      <c r="Q1008" t="str">
        <f>IF(TRIM(Transaction[[#This Row],[SalesChannel]])="","Missing Value",TRIM(Transaction[[#This Row],[SalesChannel]]))</f>
        <v>Direct</v>
      </c>
      <c r="R1008" s="4">
        <v>1</v>
      </c>
      <c r="S1008" s="4" t="str">
        <f>IF(Transaction[[#This Row],[Quantity]]&lt;0,"Negative-review","Valid")</f>
        <v>Valid</v>
      </c>
      <c r="T1008">
        <v>1980.78</v>
      </c>
      <c r="U100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1980.78</v>
      </c>
      <c r="V1008">
        <v>2450</v>
      </c>
      <c r="W1008">
        <v>2450</v>
      </c>
      <c r="X100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1008">
        <f>IF(Transaction[[#This Row],[GrossRevenue_Check]]="Invalid",Transaction[[#This Row],[ListPrice]]*Transaction[[#This Row],[Quantity]],Transaction[[#This Row],[GrossRevenue_Clean]])</f>
        <v>2450</v>
      </c>
      <c r="Z1008" t="str">
        <f>IF(Transaction[[#This Row],[GrossRevenue_Clean]]=Transaction[[#This Row],[ListPrice]]*Transaction[[#This Row],[Quantity]],"Valid","Invalid")</f>
        <v>Valid</v>
      </c>
      <c r="AA1008">
        <v>469.22</v>
      </c>
      <c r="AB100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469.22</v>
      </c>
      <c r="AC1008">
        <f>IF(Transaction[[#This Row],[DiscountAmount_Check2]]="Invalid",Transaction[[#This Row],[GrossRevenue_Analytical]]-Transaction[[#This Row],[NetRevenue_Analytical]],Transaction[[#This Row],[DiscountAmount_Clean]])</f>
        <v>469.22</v>
      </c>
      <c r="AD1008">
        <v>1980.78</v>
      </c>
      <c r="AE1008" t="str">
        <f>IF(ROUND(Transaction[[#This Row],[GrossRevenue_Analytical]]-Transaction[[#This Row],[NetRevenue_Analytical]],2)=ROUND(Transaction[[#This Row],[DiscountAmount_Clean]],2),"Valid","Invalid")</f>
        <v>Valid</v>
      </c>
      <c r="AF100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1980.78</v>
      </c>
      <c r="AG1008">
        <f>IF(Transaction[[#This Row],[NetRevenue_Check]]="Invalid",(Transaction[[#This Row],[Quantity]]*Transaction[[#This Row],[UnitPrice_Clean]]),Transaction[[#This Row],[NetRevenue_Clean]])</f>
        <v>1980.78</v>
      </c>
      <c r="AH1008" t="str">
        <f>IF(Transaction[[#This Row],[Quantity]]*Transaction[[#This Row],[UnitPrice_Clean]]=Transaction[[#This Row],[NetRevenue_Clean]],"Valid","Invalid")</f>
        <v>Valid</v>
      </c>
      <c r="AI1008" t="s">
        <v>23</v>
      </c>
      <c r="AJ1008" t="s">
        <v>1075</v>
      </c>
      <c r="AK1008" t="str">
        <f>IF(Transaction[[#This Row],[Salesperson]]="","Missing Value",TRIM(PROPER(Transaction[[#This Row],[Salesperson]])))</f>
        <v>Smith-Na</v>
      </c>
      <c r="AL1008" t="s">
        <v>25</v>
      </c>
      <c r="AM1008" t="str">
        <f>IF(Transaction[[#This Row],[ContractType]]="","Missing Value",Transaction[[#This Row],[ContractType]])</f>
        <v>Frame Agreement</v>
      </c>
      <c r="AN1008" t="s">
        <v>49</v>
      </c>
    </row>
    <row r="1009" spans="1:40" x14ac:dyDescent="0.25">
      <c r="A1009" t="s">
        <v>1851</v>
      </c>
      <c r="B1009" s="1">
        <v>45672</v>
      </c>
      <c r="C100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00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100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09" s="2">
        <f>IFERROR(DATE(Transaction[[#This Row],[TransactionDateY]],Transaction[[#This Row],[TransactionDateM]],Transaction[[#This Row],[TransactionDateD]]),"Missing Value")</f>
        <v>45672</v>
      </c>
      <c r="G1009" t="s">
        <v>208</v>
      </c>
      <c r="H1009" t="str">
        <f>IFERROR(VLOOKUP(Transaction[[#This Row],[CustomerID]],Custumer[],1,0),IF(LEN(Transaction[[#This Row],[CustomerID]])=7,LEFT(Transaction[[#This Row],[CustomerID]],6),"Invalid ID"))</f>
        <v>C-1076</v>
      </c>
      <c r="I1009" t="s">
        <v>92</v>
      </c>
      <c r="J1009" t="str">
        <f>TRIM(UPPER(Transaction[[#This Row],[ProductID]]))</f>
        <v>P-SI-008</v>
      </c>
      <c r="K1009" t="str">
        <f>IFERROR(VLOOKUP(Transaction[[#This Row],[ProductID_Clean]],Product[],1,FALSE),"Invalid ID")</f>
        <v>P-SI-008</v>
      </c>
      <c r="L1009" t="str">
        <f>TRIM(SUBSTITUTE(SUBSTITUTE(SUBSTITUTE(SUBSTITUTE(UPPER(Transaction[[#This Row],[Region]]),"EMEA REGION","EMEA"),"APAC REGION","APAC"),"NORTH AMERICA","N. AMERICA"),"N .AMERICA","N.AMERICA"))</f>
        <v>APAC</v>
      </c>
      <c r="M1009" t="s">
        <v>30</v>
      </c>
      <c r="N1009" t="s">
        <v>53</v>
      </c>
      <c r="O100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09" t="s">
        <v>22</v>
      </c>
      <c r="Q1009" t="str">
        <f>IF(TRIM(Transaction[[#This Row],[SalesChannel]])="","Missing Value",TRIM(Transaction[[#This Row],[SalesChannel]]))</f>
        <v>Direct</v>
      </c>
      <c r="R1009" s="4">
        <v>2</v>
      </c>
      <c r="S1009" s="4" t="str">
        <f>IF(Transaction[[#This Row],[Quantity]]&lt;0,"Negative-review","Valid")</f>
        <v>Valid</v>
      </c>
      <c r="T1009">
        <v>702.94</v>
      </c>
      <c r="U100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702.94</v>
      </c>
      <c r="V1009">
        <v>950</v>
      </c>
      <c r="W1009">
        <v>1900</v>
      </c>
      <c r="X100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1900</v>
      </c>
      <c r="Y1009">
        <f>IF(Transaction[[#This Row],[GrossRevenue_Check]]="Invalid",Transaction[[#This Row],[ListPrice]]*Transaction[[#This Row],[Quantity]],Transaction[[#This Row],[GrossRevenue_Clean]])</f>
        <v>1900</v>
      </c>
      <c r="Z1009" t="str">
        <f>IF(Transaction[[#This Row],[GrossRevenue_Clean]]=Transaction[[#This Row],[ListPrice]]*Transaction[[#This Row],[Quantity]],"Valid","Invalid")</f>
        <v>Valid</v>
      </c>
      <c r="AA1009">
        <v>494.12</v>
      </c>
      <c r="AB100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494.12</v>
      </c>
      <c r="AC1009">
        <f>IF(Transaction[[#This Row],[DiscountAmount_Check2]]="Invalid",Transaction[[#This Row],[GrossRevenue_Analytical]]-Transaction[[#This Row],[NetRevenue_Analytical]],Transaction[[#This Row],[DiscountAmount_Clean]])</f>
        <v>494.12</v>
      </c>
      <c r="AD1009">
        <v>1405.88</v>
      </c>
      <c r="AE1009" t="str">
        <f>IF(ROUND(Transaction[[#This Row],[GrossRevenue_Analytical]]-Transaction[[#This Row],[NetRevenue_Analytical]],2)=ROUND(Transaction[[#This Row],[DiscountAmount_Clean]],2),"Valid","Invalid")</f>
        <v>Valid</v>
      </c>
      <c r="AF100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1405.88</v>
      </c>
      <c r="AG1009">
        <f>IF(Transaction[[#This Row],[NetRevenue_Check]]="Invalid",(Transaction[[#This Row],[Quantity]]*Transaction[[#This Row],[UnitPrice_Clean]]),Transaction[[#This Row],[NetRevenue_Clean]])</f>
        <v>1405.88</v>
      </c>
      <c r="AH1009" t="str">
        <f>IF(Transaction[[#This Row],[Quantity]]*Transaction[[#This Row],[UnitPrice_Clean]]=Transaction[[#This Row],[NetRevenue_Clean]],"Valid","Invalid")</f>
        <v>Valid</v>
      </c>
      <c r="AI1009" t="s">
        <v>23</v>
      </c>
      <c r="AJ1009" t="s">
        <v>866</v>
      </c>
      <c r="AK1009" t="str">
        <f>IF(Transaction[[#This Row],[Salesperson]]="","Missing Value",TRIM(PROPER(Transaction[[#This Row],[Salesperson]])))</f>
        <v>Taylor-Em</v>
      </c>
      <c r="AL1009" t="s">
        <v>25</v>
      </c>
      <c r="AM1009" t="str">
        <f>IF(Transaction[[#This Row],[ContractType]]="","Missing Value",Transaction[[#This Row],[ContractType]])</f>
        <v>Frame Agreement</v>
      </c>
      <c r="AN1009" t="s">
        <v>49</v>
      </c>
    </row>
    <row r="1010" spans="1:40" x14ac:dyDescent="0.25">
      <c r="A1010" t="s">
        <v>1215</v>
      </c>
      <c r="B1010" t="s">
        <v>1216</v>
      </c>
      <c r="C101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101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101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10" s="2">
        <f>IFERROR(DATE(Transaction[[#This Row],[TransactionDateY]],Transaction[[#This Row],[TransactionDateM]],Transaction[[#This Row],[TransactionDateD]]),"Missing Value")</f>
        <v>45763</v>
      </c>
      <c r="G1010" t="s">
        <v>1026</v>
      </c>
      <c r="H1010" t="str">
        <f>IFERROR(VLOOKUP(Transaction[[#This Row],[CustomerID]],Custumer[],1,0),IF(LEN(Transaction[[#This Row],[CustomerID]])=7,LEFT(Transaction[[#This Row],[CustomerID]],6),"Invalid ID"))</f>
        <v>C-1056</v>
      </c>
      <c r="I1010" t="s">
        <v>258</v>
      </c>
      <c r="J1010" t="str">
        <f>TRIM(UPPER(Transaction[[#This Row],[ProductID]]))</f>
        <v>P-SA-003</v>
      </c>
      <c r="K1010" t="str">
        <f>IFERROR(VLOOKUP(Transaction[[#This Row],[ProductID_Clean]],Product[],1,FALSE),"Invalid ID")</f>
        <v>P-SA-003</v>
      </c>
      <c r="L1010" t="str">
        <f>TRIM(SUBSTITUTE(SUBSTITUTE(SUBSTITUTE(SUBSTITUTE(UPPER(Transaction[[#This Row],[Region]]),"EMEA REGION","EMEA"),"APAC REGION","APAC"),"NORTH AMERICA","N. AMERICA"),"N .AMERICA","N.AMERICA"))</f>
        <v>APAC</v>
      </c>
      <c r="M1010" t="s">
        <v>30</v>
      </c>
      <c r="N1010" t="s">
        <v>205</v>
      </c>
      <c r="O1010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10" t="s">
        <v>40</v>
      </c>
      <c r="Q1010" t="str">
        <f>IF(TRIM(Transaction[[#This Row],[SalesChannel]])="","Missing Value",TRIM(Transaction[[#This Row],[SalesChannel]]))</f>
        <v>Distributor</v>
      </c>
      <c r="R1010" s="4">
        <v>1</v>
      </c>
      <c r="S1010" s="4" t="str">
        <f>IF(Transaction[[#This Row],[Quantity]]&lt;0,"Negative-review","Valid")</f>
        <v>Valid</v>
      </c>
      <c r="T1010">
        <v>2085.2600000000002</v>
      </c>
      <c r="U101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2085.2600000000002</v>
      </c>
      <c r="V1010">
        <v>2750</v>
      </c>
      <c r="W1010" t="s">
        <v>1217</v>
      </c>
      <c r="X101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1010">
        <f>IF(Transaction[[#This Row],[GrossRevenue_Check]]="Invalid",Transaction[[#This Row],[ListPrice]]*Transaction[[#This Row],[Quantity]],Transaction[[#This Row],[GrossRevenue_Clean]])</f>
        <v>2750</v>
      </c>
      <c r="Z1010" t="str">
        <f>IF(Transaction[[#This Row],[GrossRevenue_Clean]]=Transaction[[#This Row],[ListPrice]]*Transaction[[#This Row],[Quantity]],"Valid","Invalid")</f>
        <v>Valid</v>
      </c>
      <c r="AA1010">
        <v>664.74</v>
      </c>
      <c r="AB101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664.74</v>
      </c>
      <c r="AC1010">
        <f>IF(Transaction[[#This Row],[DiscountAmount_Check2]]="Invalid",Transaction[[#This Row],[GrossRevenue_Analytical]]-Transaction[[#This Row],[NetRevenue_Analytical]],Transaction[[#This Row],[DiscountAmount_Clean]])</f>
        <v>664.74</v>
      </c>
      <c r="AD1010">
        <v>2085.2600000000002</v>
      </c>
      <c r="AE1010" t="str">
        <f>IF(ROUND(Transaction[[#This Row],[GrossRevenue_Analytical]]-Transaction[[#This Row],[NetRevenue_Analytical]],2)=ROUND(Transaction[[#This Row],[DiscountAmount_Clean]],2),"Valid","Invalid")</f>
        <v>Valid</v>
      </c>
      <c r="AF101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2085.2600000000002</v>
      </c>
      <c r="AG1010">
        <f>IF(Transaction[[#This Row],[NetRevenue_Check]]="Invalid",(Transaction[[#This Row],[Quantity]]*Transaction[[#This Row],[UnitPrice_Clean]]),Transaction[[#This Row],[NetRevenue_Clean]])</f>
        <v>2085.2600000000002</v>
      </c>
      <c r="AH1010" t="str">
        <f>IF(Transaction[[#This Row],[Quantity]]*Transaction[[#This Row],[UnitPrice_Clean]]=Transaction[[#This Row],[NetRevenue_Clean]],"Valid","Invalid")</f>
        <v>Valid</v>
      </c>
      <c r="AI1010" t="s">
        <v>23</v>
      </c>
      <c r="AJ1010" t="s">
        <v>1218</v>
      </c>
      <c r="AK1010" t="str">
        <f>IF(Transaction[[#This Row],[Salesperson]]="","Missing Value",TRIM(PROPER(Transaction[[#This Row],[Salesperson]])))</f>
        <v>Mccoy-Na</v>
      </c>
      <c r="AL1010" t="s">
        <v>210</v>
      </c>
      <c r="AM1010" t="str">
        <f>IF(Transaction[[#This Row],[ContractType]]="","Missing Value",Transaction[[#This Row],[ContractType]])</f>
        <v>Perpetual</v>
      </c>
      <c r="AN1010" t="s">
        <v>43</v>
      </c>
    </row>
    <row r="1011" spans="1:40" x14ac:dyDescent="0.25">
      <c r="A1011" t="s">
        <v>656</v>
      </c>
      <c r="B1011" t="s">
        <v>657</v>
      </c>
      <c r="C101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101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101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11" s="2">
        <f>IFERROR(DATE(Transaction[[#This Row],[TransactionDateY]],Transaction[[#This Row],[TransactionDateM]],Transaction[[#This Row],[TransactionDateD]]),"Missing Value")</f>
        <v>45800</v>
      </c>
      <c r="G1011" t="s">
        <v>167</v>
      </c>
      <c r="H1011" t="str">
        <f>IFERROR(VLOOKUP(Transaction[[#This Row],[CustomerID]],Custumer[],1,0),IF(LEN(Transaction[[#This Row],[CustomerID]])=7,LEFT(Transaction[[#This Row],[CustomerID]],6),"Invalid ID"))</f>
        <v>C-1008</v>
      </c>
      <c r="I1011" t="s">
        <v>97</v>
      </c>
      <c r="J1011" t="str">
        <f>TRIM(UPPER(Transaction[[#This Row],[ProductID]]))</f>
        <v>P-SI-001</v>
      </c>
      <c r="K1011" t="str">
        <f>IFERROR(VLOOKUP(Transaction[[#This Row],[ProductID_Clean]],Product[],1,FALSE),"Invalid ID")</f>
        <v>P-SI-001</v>
      </c>
      <c r="L1011" t="str">
        <f>TRIM(SUBSTITUTE(SUBSTITUTE(SUBSTITUTE(SUBSTITUTE(UPPER(Transaction[[#This Row],[Region]]),"EMEA REGION","EMEA"),"APAC REGION","APAC"),"NORTH AMERICA","N. AMERICA"),"N .AMERICA","N.AMERICA"))</f>
        <v>N. AMERICA</v>
      </c>
      <c r="M1011" t="s">
        <v>204</v>
      </c>
      <c r="N1011" t="s">
        <v>53</v>
      </c>
      <c r="O101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11" t="s">
        <v>40</v>
      </c>
      <c r="Q1011" t="str">
        <f>IF(TRIM(Transaction[[#This Row],[SalesChannel]])="","Missing Value",TRIM(Transaction[[#This Row],[SalesChannel]]))</f>
        <v>Distributor</v>
      </c>
      <c r="R1011" s="4">
        <v>2</v>
      </c>
      <c r="S1011" s="4" t="str">
        <f>IF(Transaction[[#This Row],[Quantity]]&lt;0,"Negative-review","Valid")</f>
        <v>Valid</v>
      </c>
      <c r="T1011">
        <v>379.05</v>
      </c>
      <c r="U101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379.05</v>
      </c>
      <c r="V1011">
        <v>485</v>
      </c>
      <c r="W1011">
        <v>970</v>
      </c>
      <c r="X101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1011">
        <f>IF(Transaction[[#This Row],[GrossRevenue_Check]]="Invalid",Transaction[[#This Row],[ListPrice]]*Transaction[[#This Row],[Quantity]],Transaction[[#This Row],[GrossRevenue_Clean]])</f>
        <v>970</v>
      </c>
      <c r="Z1011" t="str">
        <f>IF(Transaction[[#This Row],[GrossRevenue_Clean]]=Transaction[[#This Row],[ListPrice]]*Transaction[[#This Row],[Quantity]],"Valid","Invalid")</f>
        <v>Valid</v>
      </c>
      <c r="AA1011">
        <v>211.9</v>
      </c>
      <c r="AB101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211.9</v>
      </c>
      <c r="AC1011">
        <f>IF(Transaction[[#This Row],[DiscountAmount_Check2]]="Invalid",Transaction[[#This Row],[GrossRevenue_Analytical]]-Transaction[[#This Row],[NetRevenue_Analytical]],Transaction[[#This Row],[DiscountAmount_Clean]])</f>
        <v>211.9</v>
      </c>
      <c r="AD1011">
        <v>758.1</v>
      </c>
      <c r="AE1011" t="str">
        <f>IF(ROUND(Transaction[[#This Row],[GrossRevenue_Analytical]]-Transaction[[#This Row],[NetRevenue_Analytical]],2)=ROUND(Transaction[[#This Row],[DiscountAmount_Clean]],2),"Valid","Invalid")</f>
        <v>Valid</v>
      </c>
      <c r="AF1011">
        <f>VALUE(IF(ISNUMBER(Transaction[[#This Row],[NetRevenue]]),Transaction[[#This Row],[NetRevenue]],IFERROR(IF(FIND("$",Transaction[[#This Row],[NetRevenue]])&gt;0,MID(Transaction[[#This Row],[NetRevenue]],2,10)),Transaction[[#This Row],[NetRevenue]])))</f>
        <v>758.1</v>
      </c>
      <c r="AG1011">
        <f>IF(Transaction[[#This Row],[NetRevenue_Check]]="Invalid",(Transaction[[#This Row],[Quantity]]*Transaction[[#This Row],[UnitPrice_Clean]]),Transaction[[#This Row],[NetRevenue_Clean]])</f>
        <v>758.1</v>
      </c>
      <c r="AH1011" t="str">
        <f>IF(Transaction[[#This Row],[Quantity]]*Transaction[[#This Row],[UnitPrice_Clean]]=Transaction[[#This Row],[NetRevenue_Clean]],"Valid","Invalid")</f>
        <v>Valid</v>
      </c>
      <c r="AI1011" t="s">
        <v>23</v>
      </c>
      <c r="AK1011" t="str">
        <f>IF(Transaction[[#This Row],[Salesperson]]="","Missing Value",TRIM(PROPER(Transaction[[#This Row],[Salesperson]])))</f>
        <v>Missing Value</v>
      </c>
      <c r="AL1011" t="s">
        <v>25</v>
      </c>
      <c r="AM1011" t="str">
        <f>IF(Transaction[[#This Row],[ContractType]]="","Missing Value",Transaction[[#This Row],[ContractType]])</f>
        <v>Frame Agreement</v>
      </c>
      <c r="AN1011" t="s">
        <v>26</v>
      </c>
    </row>
    <row r="1012" spans="1:40" x14ac:dyDescent="0.25">
      <c r="A1012" t="s">
        <v>2034</v>
      </c>
      <c r="B1012" s="1">
        <v>45692</v>
      </c>
      <c r="C101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01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101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12" s="2">
        <f>IFERROR(DATE(Transaction[[#This Row],[TransactionDateY]],Transaction[[#This Row],[TransactionDateM]],Transaction[[#This Row],[TransactionDateD]]),"Missing Value")</f>
        <v>45692</v>
      </c>
      <c r="G1012" t="s">
        <v>1592</v>
      </c>
      <c r="H1012" t="str">
        <f>IFERROR(VLOOKUP(Transaction[[#This Row],[CustomerID]],Custumer[],1,0),IF(LEN(Transaction[[#This Row],[CustomerID]])=7,LEFT(Transaction[[#This Row],[CustomerID]],6),"Invalid ID"))</f>
        <v>C-1028</v>
      </c>
      <c r="I1012" t="s">
        <v>97</v>
      </c>
      <c r="J1012" t="str">
        <f>TRIM(UPPER(Transaction[[#This Row],[ProductID]]))</f>
        <v>P-SI-001</v>
      </c>
      <c r="K1012" t="str">
        <f>IFERROR(VLOOKUP(Transaction[[#This Row],[ProductID_Clean]],Product[],1,FALSE),"Invalid ID")</f>
        <v>P-SI-001</v>
      </c>
      <c r="L1012" t="str">
        <f>TRIM(SUBSTITUTE(SUBSTITUTE(SUBSTITUTE(SUBSTITUTE(UPPER(Transaction[[#This Row],[Region]]),"EMEA REGION","EMEA"),"APAC REGION","APAC"),"NORTH AMERICA","N. AMERICA"),"N .AMERICA","N.AMERICA"))</f>
        <v>EMEA</v>
      </c>
      <c r="M1012" t="s">
        <v>76</v>
      </c>
      <c r="N1012" t="s">
        <v>47</v>
      </c>
      <c r="O101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12" t="s">
        <v>22</v>
      </c>
      <c r="Q1012" t="str">
        <f>IF(TRIM(Transaction[[#This Row],[SalesChannel]])="","Missing Value",TRIM(Transaction[[#This Row],[SalesChannel]]))</f>
        <v>Direct</v>
      </c>
      <c r="R1012" s="4">
        <v>2</v>
      </c>
      <c r="S1012" s="4" t="str">
        <f>IF(Transaction[[#This Row],[Quantity]]&lt;0,"Negative-review","Valid")</f>
        <v>Valid</v>
      </c>
      <c r="T1012">
        <v>423.35</v>
      </c>
      <c r="U101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423.35</v>
      </c>
      <c r="V1012">
        <v>485</v>
      </c>
      <c r="W1012">
        <v>970</v>
      </c>
      <c r="X101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1012">
        <f>IF(Transaction[[#This Row],[GrossRevenue_Check]]="Invalid",Transaction[[#This Row],[ListPrice]]*Transaction[[#This Row],[Quantity]],Transaction[[#This Row],[GrossRevenue_Clean]])</f>
        <v>970</v>
      </c>
      <c r="Z1012" t="str">
        <f>IF(Transaction[[#This Row],[GrossRevenue_Clean]]=Transaction[[#This Row],[ListPrice]]*Transaction[[#This Row],[Quantity]],"Valid","Invalid")</f>
        <v>Valid</v>
      </c>
      <c r="AA1012">
        <v>123.3</v>
      </c>
      <c r="AB101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123.3</v>
      </c>
      <c r="AC1012">
        <f>IF(Transaction[[#This Row],[DiscountAmount_Check2]]="Invalid",Transaction[[#This Row],[GrossRevenue_Analytical]]-Transaction[[#This Row],[NetRevenue_Analytical]],Transaction[[#This Row],[DiscountAmount_Clean]])</f>
        <v>123.3</v>
      </c>
      <c r="AD1012">
        <v>846.7</v>
      </c>
      <c r="AE1012" t="str">
        <f>IF(ROUND(Transaction[[#This Row],[GrossRevenue_Analytical]]-Transaction[[#This Row],[NetRevenue_Analytical]],2)=ROUND(Transaction[[#This Row],[DiscountAmount_Clean]],2),"Valid","Invalid")</f>
        <v>Valid</v>
      </c>
      <c r="AF1012">
        <f>VALUE(IF(ISNUMBER(Transaction[[#This Row],[NetRevenue]]),Transaction[[#This Row],[NetRevenue]],IFERROR(IF(FIND("$",Transaction[[#This Row],[NetRevenue]])&gt;0,MID(Transaction[[#This Row],[NetRevenue]],2,10)),Transaction[[#This Row],[NetRevenue]])))</f>
        <v>846.7</v>
      </c>
      <c r="AG1012">
        <f>IF(Transaction[[#This Row],[NetRevenue_Check]]="Invalid",(Transaction[[#This Row],[Quantity]]*Transaction[[#This Row],[UnitPrice_Clean]]),Transaction[[#This Row],[NetRevenue_Clean]])</f>
        <v>846.7</v>
      </c>
      <c r="AH1012" t="str">
        <f>IF(Transaction[[#This Row],[Quantity]]*Transaction[[#This Row],[UnitPrice_Clean]]=Transaction[[#This Row],[NetRevenue_Clean]],"Valid","Invalid")</f>
        <v>Valid</v>
      </c>
      <c r="AI1012" t="s">
        <v>128</v>
      </c>
      <c r="AJ1012" t="s">
        <v>2035</v>
      </c>
      <c r="AK1012" t="str">
        <f>IF(Transaction[[#This Row],[Salesperson]]="","Missing Value",TRIM(PROPER(Transaction[[#This Row],[Salesperson]])))</f>
        <v>Hernandez-Na</v>
      </c>
      <c r="AL1012" t="s">
        <v>42</v>
      </c>
      <c r="AM1012" t="str">
        <f>IF(Transaction[[#This Row],[ContractType]]="","Missing Value",Transaction[[#This Row],[ContractType]])</f>
        <v>Standard PO</v>
      </c>
      <c r="AN1012" t="s">
        <v>43</v>
      </c>
    </row>
    <row r="1013" spans="1:40" x14ac:dyDescent="0.25">
      <c r="A1013" t="s">
        <v>2043</v>
      </c>
      <c r="B1013" t="s">
        <v>934</v>
      </c>
      <c r="C101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01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101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13" s="2">
        <f>IFERROR(DATE(Transaction[[#This Row],[TransactionDateY]],Transaction[[#This Row],[TransactionDateM]],Transaction[[#This Row],[TransactionDateD]]),"Missing Value")</f>
        <v>45750</v>
      </c>
      <c r="G1013" t="s">
        <v>456</v>
      </c>
      <c r="H1013" t="str">
        <f>IFERROR(VLOOKUP(Transaction[[#This Row],[CustomerID]],Custumer[],1,0),IF(LEN(Transaction[[#This Row],[CustomerID]])=7,LEFT(Transaction[[#This Row],[CustomerID]],6),"Invalid ID"))</f>
        <v>C-1020</v>
      </c>
      <c r="I1013" t="s">
        <v>71</v>
      </c>
      <c r="J1013" t="str">
        <f>TRIM(UPPER(Transaction[[#This Row],[ProductID]]))</f>
        <v>P-SI-003</v>
      </c>
      <c r="K1013" t="str">
        <f>IFERROR(VLOOKUP(Transaction[[#This Row],[ProductID_Clean]],Product[],1,FALSE),"Invalid ID")</f>
        <v>P-SI-003</v>
      </c>
      <c r="L1013" t="str">
        <f>TRIM(SUBSTITUTE(SUBSTITUTE(SUBSTITUTE(SUBSTITUTE(UPPER(Transaction[[#This Row],[Region]]),"EMEA REGION","EMEA"),"APAC REGION","APAC"),"NORTH AMERICA","N. AMERICA"),"N .AMERICA","N.AMERICA"))</f>
        <v>EMEA</v>
      </c>
      <c r="M1013" t="s">
        <v>87</v>
      </c>
      <c r="N1013" t="s">
        <v>98</v>
      </c>
      <c r="O101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13" t="s">
        <v>22</v>
      </c>
      <c r="Q1013" t="str">
        <f>IF(TRIM(Transaction[[#This Row],[SalesChannel]])="","Missing Value",TRIM(Transaction[[#This Row],[SalesChannel]]))</f>
        <v>Direct</v>
      </c>
      <c r="R1013" s="4">
        <v>1</v>
      </c>
      <c r="S1013" s="4" t="str">
        <f>IF(Transaction[[#This Row],[Quantity]]&lt;0,"Negative-review","Valid")</f>
        <v>Valid</v>
      </c>
      <c r="T1013">
        <v>1758.02</v>
      </c>
      <c r="U101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1758.02</v>
      </c>
      <c r="V1013">
        <v>1890</v>
      </c>
      <c r="W1013">
        <v>1890</v>
      </c>
      <c r="X101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1013">
        <f>IF(Transaction[[#This Row],[GrossRevenue_Check]]="Invalid",Transaction[[#This Row],[ListPrice]]*Transaction[[#This Row],[Quantity]],Transaction[[#This Row],[GrossRevenue_Clean]])</f>
        <v>1890</v>
      </c>
      <c r="Z1013" t="str">
        <f>IF(Transaction[[#This Row],[GrossRevenue_Clean]]=Transaction[[#This Row],[ListPrice]]*Transaction[[#This Row],[Quantity]],"Valid","Invalid")</f>
        <v>Valid</v>
      </c>
      <c r="AA1013">
        <v>131.97999999999999</v>
      </c>
      <c r="AB101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131.97999999999999</v>
      </c>
      <c r="AC1013">
        <f>IF(Transaction[[#This Row],[DiscountAmount_Check2]]="Invalid",Transaction[[#This Row],[GrossRevenue_Analytical]]-Transaction[[#This Row],[NetRevenue_Analytical]],Transaction[[#This Row],[DiscountAmount_Clean]])</f>
        <v>131.97999999999999</v>
      </c>
      <c r="AD1013">
        <v>1758.02</v>
      </c>
      <c r="AE1013" t="str">
        <f>IF(ROUND(Transaction[[#This Row],[GrossRevenue_Analytical]]-Transaction[[#This Row],[NetRevenue_Analytical]],2)=ROUND(Transaction[[#This Row],[DiscountAmount_Clean]],2),"Valid","Invalid")</f>
        <v>Valid</v>
      </c>
      <c r="AF101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1758.02</v>
      </c>
      <c r="AG1013">
        <f>IF(Transaction[[#This Row],[NetRevenue_Check]]="Invalid",(Transaction[[#This Row],[Quantity]]*Transaction[[#This Row],[UnitPrice_Clean]]),Transaction[[#This Row],[NetRevenue_Clean]])</f>
        <v>1758.02</v>
      </c>
      <c r="AH1013" t="str">
        <f>IF(Transaction[[#This Row],[Quantity]]*Transaction[[#This Row],[UnitPrice_Clean]]=Transaction[[#This Row],[NetRevenue_Clean]],"Valid","Invalid")</f>
        <v>Valid</v>
      </c>
      <c r="AI1013" t="s">
        <v>23</v>
      </c>
      <c r="AJ1013" t="s">
        <v>2044</v>
      </c>
      <c r="AK1013" t="str">
        <f>IF(Transaction[[#This Row],[Salesperson]]="","Missing Value",TRIM(PROPER(Transaction[[#This Row],[Salesperson]])))</f>
        <v>Robinson</v>
      </c>
      <c r="AL1013" t="s">
        <v>25</v>
      </c>
      <c r="AM1013" t="str">
        <f>IF(Transaction[[#This Row],[ContractType]]="","Missing Value",Transaction[[#This Row],[ContractType]])</f>
        <v>Frame Agreement</v>
      </c>
      <c r="AN1013" t="s">
        <v>43</v>
      </c>
    </row>
    <row r="1014" spans="1:40" x14ac:dyDescent="0.25">
      <c r="A1014" t="s">
        <v>2825</v>
      </c>
      <c r="B1014" s="1">
        <v>45710</v>
      </c>
      <c r="C101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01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101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14" s="2">
        <f>IFERROR(DATE(Transaction[[#This Row],[TransactionDateY]],Transaction[[#This Row],[TransactionDateM]],Transaction[[#This Row],[TransactionDateD]]),"Missing Value")</f>
        <v>45710</v>
      </c>
      <c r="G1014" t="s">
        <v>2826</v>
      </c>
      <c r="H1014" t="str">
        <f>IFERROR(VLOOKUP(Transaction[[#This Row],[CustomerID]],Custumer[],1,0),IF(LEN(Transaction[[#This Row],[CustomerID]])=7,LEFT(Transaction[[#This Row],[CustomerID]],6),"Invalid ID"))</f>
        <v>C-1097</v>
      </c>
      <c r="I1014" t="s">
        <v>97</v>
      </c>
      <c r="J1014" t="str">
        <f>TRIM(UPPER(Transaction[[#This Row],[ProductID]]))</f>
        <v>P-SI-001</v>
      </c>
      <c r="K1014" t="str">
        <f>IFERROR(VLOOKUP(Transaction[[#This Row],[ProductID_Clean]],Product[],1,FALSE),"Invalid ID")</f>
        <v>P-SI-001</v>
      </c>
      <c r="L1014" t="str">
        <f>TRIM(SUBSTITUTE(SUBSTITUTE(SUBSTITUTE(SUBSTITUTE(UPPER(Transaction[[#This Row],[Region]]),"EMEA REGION","EMEA"),"APAC REGION","APAC"),"NORTH AMERICA","N. AMERICA"),"N .AMERICA","N.AMERICA"))</f>
        <v>EMEA</v>
      </c>
      <c r="M1014" t="s">
        <v>76</v>
      </c>
      <c r="N1014" t="s">
        <v>47</v>
      </c>
      <c r="O101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14" t="s">
        <v>40</v>
      </c>
      <c r="Q1014" t="str">
        <f>IF(TRIM(Transaction[[#This Row],[SalesChannel]])="","Missing Value",TRIM(Transaction[[#This Row],[SalesChannel]]))</f>
        <v>Distributor</v>
      </c>
      <c r="R1014" s="4">
        <v>2</v>
      </c>
      <c r="S1014" s="4" t="str">
        <f>IF(Transaction[[#This Row],[Quantity]]&lt;0,"Negative-review","Valid")</f>
        <v>Valid</v>
      </c>
      <c r="T1014">
        <v>396.7</v>
      </c>
      <c r="U101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396.7</v>
      </c>
      <c r="V1014">
        <v>485</v>
      </c>
      <c r="W1014">
        <v>970</v>
      </c>
      <c r="X101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1014">
        <f>IF(Transaction[[#This Row],[GrossRevenue_Check]]="Invalid",Transaction[[#This Row],[ListPrice]]*Transaction[[#This Row],[Quantity]],Transaction[[#This Row],[GrossRevenue_Clean]])</f>
        <v>970</v>
      </c>
      <c r="Z1014" t="str">
        <f>IF(Transaction[[#This Row],[GrossRevenue_Clean]]=Transaction[[#This Row],[ListPrice]]*Transaction[[#This Row],[Quantity]],"Valid","Invalid")</f>
        <v>Valid</v>
      </c>
      <c r="AA1014">
        <v>176.6</v>
      </c>
      <c r="AB101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176.6</v>
      </c>
      <c r="AC1014">
        <f>IF(Transaction[[#This Row],[DiscountAmount_Check2]]="Invalid",Transaction[[#This Row],[GrossRevenue_Analytical]]-Transaction[[#This Row],[NetRevenue_Analytical]],Transaction[[#This Row],[DiscountAmount_Clean]])</f>
        <v>176.6</v>
      </c>
      <c r="AD1014">
        <v>793.4</v>
      </c>
      <c r="AE1014" t="str">
        <f>IF(ROUND(Transaction[[#This Row],[GrossRevenue_Analytical]]-Transaction[[#This Row],[NetRevenue_Analytical]],2)=ROUND(Transaction[[#This Row],[DiscountAmount_Clean]],2),"Valid","Invalid")</f>
        <v>Valid</v>
      </c>
      <c r="AF1014">
        <f>VALUE(IF(ISNUMBER(Transaction[[#This Row],[NetRevenue]]),Transaction[[#This Row],[NetRevenue]],IFERROR(IF(FIND("$",Transaction[[#This Row],[NetRevenue]])&gt;0,MID(Transaction[[#This Row],[NetRevenue]],2,10)),Transaction[[#This Row],[NetRevenue]])))</f>
        <v>793.4</v>
      </c>
      <c r="AG1014">
        <f>IF(Transaction[[#This Row],[NetRevenue_Check]]="Invalid",(Transaction[[#This Row],[Quantity]]*Transaction[[#This Row],[UnitPrice_Clean]]),Transaction[[#This Row],[NetRevenue_Clean]])</f>
        <v>793.4</v>
      </c>
      <c r="AH1014" t="str">
        <f>IF(Transaction[[#This Row],[Quantity]]*Transaction[[#This Row],[UnitPrice_Clean]]=Transaction[[#This Row],[NetRevenue_Clean]],"Valid","Invalid")</f>
        <v>Valid</v>
      </c>
      <c r="AI1014" t="s">
        <v>23</v>
      </c>
      <c r="AJ1014" t="s">
        <v>563</v>
      </c>
      <c r="AK1014" t="str">
        <f>IF(Transaction[[#This Row],[Salesperson]]="","Missing Value",TRIM(PROPER(Transaction[[#This Row],[Salesperson]])))</f>
        <v>Bryant</v>
      </c>
      <c r="AM1014" t="str">
        <f>IF(Transaction[[#This Row],[ContractType]]="","Missing Value",Transaction[[#This Row],[ContractType]])</f>
        <v>Missing Value</v>
      </c>
      <c r="AN1014" t="s">
        <v>35</v>
      </c>
    </row>
    <row r="1015" spans="1:40" x14ac:dyDescent="0.25">
      <c r="A1015" t="s">
        <v>2091</v>
      </c>
      <c r="B1015" t="s">
        <v>2092</v>
      </c>
      <c r="C101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101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101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15" s="2">
        <f>IFERROR(DATE(Transaction[[#This Row],[TransactionDateY]],Transaction[[#This Row],[TransactionDateM]],Transaction[[#This Row],[TransactionDateD]]),"Missing Value")</f>
        <v>45823</v>
      </c>
      <c r="G1015" t="s">
        <v>978</v>
      </c>
      <c r="H1015" t="str">
        <f>IFERROR(VLOOKUP(Transaction[[#This Row],[CustomerID]],Custumer[],1,0),IF(LEN(Transaction[[#This Row],[CustomerID]])=7,LEFT(Transaction[[#This Row],[CustomerID]],6),"Invalid ID"))</f>
        <v>C-1001</v>
      </c>
      <c r="I1015" t="s">
        <v>62</v>
      </c>
      <c r="J1015" t="str">
        <f>TRIM(UPPER(Transaction[[#This Row],[ProductID]]))</f>
        <v>P-SI-004</v>
      </c>
      <c r="K1015" t="str">
        <f>IFERROR(VLOOKUP(Transaction[[#This Row],[ProductID_Clean]],Product[],1,FALSE),"Invalid ID")</f>
        <v>P-SI-004</v>
      </c>
      <c r="L1015" t="str">
        <f>TRIM(SUBSTITUTE(SUBSTITUTE(SUBSTITUTE(SUBSTITUTE(UPPER(Transaction[[#This Row],[Region]]),"EMEA REGION","EMEA"),"APAC REGION","APAC"),"NORTH AMERICA","N. AMERICA"),"N .AMERICA","N.AMERICA"))</f>
        <v>LATIN AMERICA</v>
      </c>
      <c r="M1015" t="s">
        <v>82</v>
      </c>
      <c r="N1015" t="s">
        <v>272</v>
      </c>
      <c r="O101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15" t="s">
        <v>40</v>
      </c>
      <c r="Q1015" t="str">
        <f>IF(TRIM(Transaction[[#This Row],[SalesChannel]])="","Missing Value",TRIM(Transaction[[#This Row],[SalesChannel]]))</f>
        <v>Distributor</v>
      </c>
      <c r="R1015" s="4">
        <v>1</v>
      </c>
      <c r="S1015" s="4" t="str">
        <f>IF(Transaction[[#This Row],[Quantity]]&lt;0,"Negative-review","Valid")</f>
        <v>Valid</v>
      </c>
      <c r="T1015">
        <v>1836.21</v>
      </c>
      <c r="U101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1836.21</v>
      </c>
      <c r="V1015">
        <v>2450</v>
      </c>
      <c r="W1015">
        <v>2450</v>
      </c>
      <c r="X101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1015">
        <f>IF(Transaction[[#This Row],[GrossRevenue_Check]]="Invalid",Transaction[[#This Row],[ListPrice]]*Transaction[[#This Row],[Quantity]],Transaction[[#This Row],[GrossRevenue_Clean]])</f>
        <v>2450</v>
      </c>
      <c r="Z1015" t="str">
        <f>IF(Transaction[[#This Row],[GrossRevenue_Clean]]=Transaction[[#This Row],[ListPrice]]*Transaction[[#This Row],[Quantity]],"Valid","Invalid")</f>
        <v>Valid</v>
      </c>
      <c r="AA1015">
        <v>613.79</v>
      </c>
      <c r="AB101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613.79</v>
      </c>
      <c r="AC1015">
        <f>IF(Transaction[[#This Row],[DiscountAmount_Check2]]="Invalid",Transaction[[#This Row],[GrossRevenue_Analytical]]-Transaction[[#This Row],[NetRevenue_Analytical]],Transaction[[#This Row],[DiscountAmount_Clean]])</f>
        <v>613.79</v>
      </c>
      <c r="AD1015">
        <v>1836.21</v>
      </c>
      <c r="AE1015" t="str">
        <f>IF(ROUND(Transaction[[#This Row],[GrossRevenue_Analytical]]-Transaction[[#This Row],[NetRevenue_Analytical]],2)=ROUND(Transaction[[#This Row],[DiscountAmount_Clean]],2),"Valid","Invalid")</f>
        <v>Valid</v>
      </c>
      <c r="AF101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1836.21</v>
      </c>
      <c r="AG1015">
        <f>IF(Transaction[[#This Row],[NetRevenue_Check]]="Invalid",(Transaction[[#This Row],[Quantity]]*Transaction[[#This Row],[UnitPrice_Clean]]),Transaction[[#This Row],[NetRevenue_Clean]])</f>
        <v>1836.21</v>
      </c>
      <c r="AH1015" t="str">
        <f>IF(Transaction[[#This Row],[Quantity]]*Transaction[[#This Row],[UnitPrice_Clean]]=Transaction[[#This Row],[NetRevenue_Clean]],"Valid","Invalid")</f>
        <v>Valid</v>
      </c>
      <c r="AI1015" t="s">
        <v>23</v>
      </c>
      <c r="AJ1015" t="s">
        <v>888</v>
      </c>
      <c r="AK1015" t="str">
        <f>IF(Transaction[[#This Row],[Salesperson]]="","Missing Value",TRIM(PROPER(Transaction[[#This Row],[Salesperson]])))</f>
        <v>Brown</v>
      </c>
      <c r="AL1015" t="s">
        <v>42</v>
      </c>
      <c r="AM1015" t="str">
        <f>IF(Transaction[[#This Row],[ContractType]]="","Missing Value",Transaction[[#This Row],[ContractType]])</f>
        <v>Standard PO</v>
      </c>
      <c r="AN1015" t="s">
        <v>43</v>
      </c>
    </row>
    <row r="1016" spans="1:40" x14ac:dyDescent="0.25">
      <c r="A1016" t="s">
        <v>2694</v>
      </c>
      <c r="B1016" t="s">
        <v>1897</v>
      </c>
      <c r="C101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101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101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16" s="2">
        <f>IFERROR(DATE(Transaction[[#This Row],[TransactionDateY]],Transaction[[#This Row],[TransactionDateM]],Transaction[[#This Row],[TransactionDateD]]),"Missing Value")</f>
        <v>45773</v>
      </c>
      <c r="G1016" t="s">
        <v>267</v>
      </c>
      <c r="H1016" t="str">
        <f>IFERROR(VLOOKUP(Transaction[[#This Row],[CustomerID]],Custumer[],1,0),IF(LEN(Transaction[[#This Row],[CustomerID]])=7,LEFT(Transaction[[#This Row],[CustomerID]],6),"Invalid ID"))</f>
        <v>C-1119</v>
      </c>
      <c r="I1016" t="s">
        <v>62</v>
      </c>
      <c r="J1016" t="str">
        <f>TRIM(UPPER(Transaction[[#This Row],[ProductID]]))</f>
        <v>P-SI-004</v>
      </c>
      <c r="K1016" t="str">
        <f>IFERROR(VLOOKUP(Transaction[[#This Row],[ProductID_Clean]],Product[],1,FALSE),"Invalid ID")</f>
        <v>P-SI-004</v>
      </c>
      <c r="L1016" t="str">
        <f>TRIM(SUBSTITUTE(SUBSTITUTE(SUBSTITUTE(SUBSTITUTE(UPPER(Transaction[[#This Row],[Region]]),"EMEA REGION","EMEA"),"APAC REGION","APAC"),"NORTH AMERICA","N. AMERICA"),"N .AMERICA","N.AMERICA"))</f>
        <v>EMEA</v>
      </c>
      <c r="M1016" t="s">
        <v>76</v>
      </c>
      <c r="N1016" t="s">
        <v>53</v>
      </c>
      <c r="O101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16" t="s">
        <v>93</v>
      </c>
      <c r="Q1016" t="str">
        <f>IF(TRIM(Transaction[[#This Row],[SalesChannel]])="","Missing Value",TRIM(Transaction[[#This Row],[SalesChannel]]))</f>
        <v>direct</v>
      </c>
      <c r="R1016" s="4">
        <v>2</v>
      </c>
      <c r="S1016" s="4" t="str">
        <f>IF(Transaction[[#This Row],[Quantity]]&lt;0,"Negative-review","Valid")</f>
        <v>Valid</v>
      </c>
      <c r="T1016">
        <v>2247.46</v>
      </c>
      <c r="U101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2247.46</v>
      </c>
      <c r="V1016">
        <v>2450</v>
      </c>
      <c r="W1016">
        <v>4900</v>
      </c>
      <c r="X101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</v>
      </c>
      <c r="Y1016">
        <f>IF(Transaction[[#This Row],[GrossRevenue_Check]]="Invalid",Transaction[[#This Row],[ListPrice]]*Transaction[[#This Row],[Quantity]],Transaction[[#This Row],[GrossRevenue_Clean]])</f>
        <v>4900</v>
      </c>
      <c r="Z1016" t="str">
        <f>IF(Transaction[[#This Row],[GrossRevenue_Clean]]=Transaction[[#This Row],[ListPrice]]*Transaction[[#This Row],[Quantity]],"Valid","Invalid")</f>
        <v>Valid</v>
      </c>
      <c r="AA1016">
        <v>405.08</v>
      </c>
      <c r="AB101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405.08</v>
      </c>
      <c r="AC1016">
        <f>IF(Transaction[[#This Row],[DiscountAmount_Check2]]="Invalid",Transaction[[#This Row],[GrossRevenue_Analytical]]-Transaction[[#This Row],[NetRevenue_Analytical]],Transaction[[#This Row],[DiscountAmount_Clean]])</f>
        <v>405.08</v>
      </c>
      <c r="AD1016">
        <v>4494.92</v>
      </c>
      <c r="AE1016" t="str">
        <f>IF(ROUND(Transaction[[#This Row],[GrossRevenue_Analytical]]-Transaction[[#This Row],[NetRevenue_Analytical]],2)=ROUND(Transaction[[#This Row],[DiscountAmount_Clean]],2),"Valid","Invalid")</f>
        <v>Valid</v>
      </c>
      <c r="AF1016">
        <f>VALUE(IF(ISNUMBER(Transaction[[#This Row],[NetRevenue]]),Transaction[[#This Row],[NetRevenue]],IFERROR(IF(FIND("$",Transaction[[#This Row],[NetRevenue]])&gt;0,MID(Transaction[[#This Row],[NetRevenue]],2,10)),Transaction[[#This Row],[NetRevenue]])))</f>
        <v>4494.92</v>
      </c>
      <c r="AG1016">
        <f>IF(Transaction[[#This Row],[NetRevenue_Check]]="Invalid",(Transaction[[#This Row],[Quantity]]*Transaction[[#This Row],[UnitPrice_Clean]]),Transaction[[#This Row],[NetRevenue_Clean]])</f>
        <v>4494.92</v>
      </c>
      <c r="AH1016" t="str">
        <f>IF(Transaction[[#This Row],[Quantity]]*Transaction[[#This Row],[UnitPrice_Clean]]=Transaction[[#This Row],[NetRevenue_Clean]],"Valid","Invalid")</f>
        <v>Valid</v>
      </c>
      <c r="AI1016" t="s">
        <v>23</v>
      </c>
      <c r="AJ1016" t="s">
        <v>2695</v>
      </c>
      <c r="AK1016" t="str">
        <f>IF(Transaction[[#This Row],[Salesperson]]="","Missing Value",TRIM(PROPER(Transaction[[#This Row],[Salesperson]])))</f>
        <v>Little</v>
      </c>
      <c r="AL1016" t="s">
        <v>42</v>
      </c>
      <c r="AM1016" t="str">
        <f>IF(Transaction[[#This Row],[ContractType]]="","Missing Value",Transaction[[#This Row],[ContractType]])</f>
        <v>Standard PO</v>
      </c>
      <c r="AN1016" t="s">
        <v>49</v>
      </c>
    </row>
    <row r="1017" spans="1:40" x14ac:dyDescent="0.25">
      <c r="A1017" t="s">
        <v>1438</v>
      </c>
      <c r="B1017" t="s">
        <v>1145</v>
      </c>
      <c r="C101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101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101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17" s="2">
        <f>IFERROR(DATE(Transaction[[#This Row],[TransactionDateY]],Transaction[[#This Row],[TransactionDateM]],Transaction[[#This Row],[TransactionDateD]]),"Missing Value")</f>
        <v>45795</v>
      </c>
      <c r="G1017" t="s">
        <v>423</v>
      </c>
      <c r="H1017" t="str">
        <f>IFERROR(VLOOKUP(Transaction[[#This Row],[CustomerID]],Custumer[],1,0),IF(LEN(Transaction[[#This Row],[CustomerID]])=7,LEFT(Transaction[[#This Row],[CustomerID]],6),"Invalid ID"))</f>
        <v>C-1121</v>
      </c>
      <c r="I1017" t="s">
        <v>46</v>
      </c>
      <c r="J1017" t="str">
        <f>TRIM(UPPER(Transaction[[#This Row],[ProductID]]))</f>
        <v>P-SI-006</v>
      </c>
      <c r="K1017" t="str">
        <f>IFERROR(VLOOKUP(Transaction[[#This Row],[ProductID_Clean]],Product[],1,FALSE),"Invalid ID")</f>
        <v>P-SI-006</v>
      </c>
      <c r="L1017" t="str">
        <f>TRIM(SUBSTITUTE(SUBSTITUTE(SUBSTITUTE(SUBSTITUTE(UPPER(Transaction[[#This Row],[Region]]),"EMEA REGION","EMEA"),"APAC REGION","APAC"),"NORTH AMERICA","N. AMERICA"),"N .AMERICA","N.AMERICA"))</f>
        <v>N. AMERICA</v>
      </c>
      <c r="M1017" t="s">
        <v>20</v>
      </c>
      <c r="N1017" t="s">
        <v>272</v>
      </c>
      <c r="O101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17" t="s">
        <v>22</v>
      </c>
      <c r="Q1017" t="str">
        <f>IF(TRIM(Transaction[[#This Row],[SalesChannel]])="","Missing Value",TRIM(Transaction[[#This Row],[SalesChannel]]))</f>
        <v>Direct</v>
      </c>
      <c r="R1017" s="4">
        <v>2</v>
      </c>
      <c r="S1017" s="4" t="str">
        <f>IF(Transaction[[#This Row],[Quantity]]&lt;0,"Negative-review","Valid")</f>
        <v>Valid</v>
      </c>
      <c r="T1017" t="s">
        <v>1439</v>
      </c>
      <c r="U101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184.94</v>
      </c>
      <c r="V1017">
        <v>215</v>
      </c>
      <c r="W1017">
        <v>430</v>
      </c>
      <c r="X101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1017">
        <f>IF(Transaction[[#This Row],[GrossRevenue_Check]]="Invalid",Transaction[[#This Row],[ListPrice]]*Transaction[[#This Row],[Quantity]],Transaction[[#This Row],[GrossRevenue_Clean]])</f>
        <v>430</v>
      </c>
      <c r="Z1017" t="str">
        <f>IF(Transaction[[#This Row],[GrossRevenue_Clean]]=Transaction[[#This Row],[ListPrice]]*Transaction[[#This Row],[Quantity]],"Valid","Invalid")</f>
        <v>Valid</v>
      </c>
      <c r="AA1017">
        <v>60.12</v>
      </c>
      <c r="AB101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60.12</v>
      </c>
      <c r="AC1017">
        <f>IF(Transaction[[#This Row],[DiscountAmount_Check2]]="Invalid",Transaction[[#This Row],[GrossRevenue_Analytical]]-Transaction[[#This Row],[NetRevenue_Analytical]],Transaction[[#This Row],[DiscountAmount_Clean]])</f>
        <v>60.12</v>
      </c>
      <c r="AD1017">
        <v>369.88</v>
      </c>
      <c r="AE1017" t="str">
        <f>IF(ROUND(Transaction[[#This Row],[GrossRevenue_Analytical]]-Transaction[[#This Row],[NetRevenue_Analytical]],2)=ROUND(Transaction[[#This Row],[DiscountAmount_Clean]],2),"Valid","Invalid")</f>
        <v>Valid</v>
      </c>
      <c r="AF101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369.88</v>
      </c>
      <c r="AG1017">
        <f>IF(Transaction[[#This Row],[NetRevenue_Check]]="Invalid",(Transaction[[#This Row],[Quantity]]*Transaction[[#This Row],[UnitPrice_Clean]]),Transaction[[#This Row],[NetRevenue_Clean]])</f>
        <v>369.88</v>
      </c>
      <c r="AH1017" t="str">
        <f>IF(Transaction[[#This Row],[Quantity]]*Transaction[[#This Row],[UnitPrice_Clean]]=Transaction[[#This Row],[NetRevenue_Clean]],"Valid","Invalid")</f>
        <v>Valid</v>
      </c>
      <c r="AI1017" t="s">
        <v>23</v>
      </c>
      <c r="AJ1017" t="s">
        <v>1440</v>
      </c>
      <c r="AK1017" t="str">
        <f>IF(Transaction[[#This Row],[Salesperson]]="","Missing Value",TRIM(PROPER(Transaction[[#This Row],[Salesperson]])))</f>
        <v>Peck-Ap</v>
      </c>
      <c r="AL1017" t="s">
        <v>25</v>
      </c>
      <c r="AM1017" t="str">
        <f>IF(Transaction[[#This Row],[ContractType]]="","Missing Value",Transaction[[#This Row],[ContractType]])</f>
        <v>Frame Agreement</v>
      </c>
      <c r="AN1017" t="s">
        <v>49</v>
      </c>
    </row>
    <row r="1018" spans="1:40" x14ac:dyDescent="0.25">
      <c r="A1018" t="s">
        <v>2961</v>
      </c>
      <c r="B1018" t="s">
        <v>2962</v>
      </c>
      <c r="C101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101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101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18" s="2">
        <f>IFERROR(DATE(Transaction[[#This Row],[TransactionDateY]],Transaction[[#This Row],[TransactionDateM]],Transaction[[#This Row],[TransactionDateD]]),"Missing Value")</f>
        <v>45706</v>
      </c>
      <c r="G1018" t="s">
        <v>2963</v>
      </c>
      <c r="H1018" t="str">
        <f>IFERROR(VLOOKUP(Transaction[[#This Row],[CustomerID]],Custumer[],1,0),IF(LEN(Transaction[[#This Row],[CustomerID]])=7,LEFT(Transaction[[#This Row],[CustomerID]],6),"Invalid ID"))</f>
        <v>C-1107</v>
      </c>
      <c r="I1018" t="s">
        <v>92</v>
      </c>
      <c r="J1018" t="str">
        <f>TRIM(UPPER(Transaction[[#This Row],[ProductID]]))</f>
        <v>P-SI-008</v>
      </c>
      <c r="K1018" t="str">
        <f>IFERROR(VLOOKUP(Transaction[[#This Row],[ProductID_Clean]],Product[],1,FALSE),"Invalid ID")</f>
        <v>P-SI-008</v>
      </c>
      <c r="L1018" t="str">
        <f>TRIM(SUBSTITUTE(SUBSTITUTE(SUBSTITUTE(SUBSTITUTE(UPPER(Transaction[[#This Row],[Region]]),"EMEA REGION","EMEA"),"APAC REGION","APAC"),"NORTH AMERICA","N. AMERICA"),"N .AMERICA","N.AMERICA"))</f>
        <v>LATIN AMERICA</v>
      </c>
      <c r="M1018" t="s">
        <v>82</v>
      </c>
      <c r="N1018" t="s">
        <v>53</v>
      </c>
      <c r="O101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Q1018" t="str">
        <f>IF(TRIM(Transaction[[#This Row],[SalesChannel]])="","Missing Value",TRIM(Transaction[[#This Row],[SalesChannel]]))</f>
        <v>Missing Value</v>
      </c>
      <c r="R1018" s="4">
        <v>3</v>
      </c>
      <c r="S1018" s="4" t="str">
        <f>IF(Transaction[[#This Row],[Quantity]]&lt;0,"Negative-review","Valid")</f>
        <v>Valid</v>
      </c>
      <c r="T1018">
        <v>815.49</v>
      </c>
      <c r="U101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815.49</v>
      </c>
      <c r="V1018">
        <v>950</v>
      </c>
      <c r="W1018">
        <v>2850</v>
      </c>
      <c r="X101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2850</v>
      </c>
      <c r="Y1018">
        <f>IF(Transaction[[#This Row],[GrossRevenue_Check]]="Invalid",Transaction[[#This Row],[ListPrice]]*Transaction[[#This Row],[Quantity]],Transaction[[#This Row],[GrossRevenue_Clean]])</f>
        <v>2850</v>
      </c>
      <c r="Z1018" t="str">
        <f>IF(Transaction[[#This Row],[GrossRevenue_Clean]]=Transaction[[#This Row],[ListPrice]]*Transaction[[#This Row],[Quantity]],"Valid","Invalid")</f>
        <v>Valid</v>
      </c>
      <c r="AA1018">
        <v>403.53</v>
      </c>
      <c r="AB101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403.53</v>
      </c>
      <c r="AC1018">
        <f>IF(Transaction[[#This Row],[DiscountAmount_Check2]]="Invalid",Transaction[[#This Row],[GrossRevenue_Analytical]]-Transaction[[#This Row],[NetRevenue_Analytical]],Transaction[[#This Row],[DiscountAmount_Clean]])</f>
        <v>403.53</v>
      </c>
      <c r="AD1018">
        <v>2446.4699999999998</v>
      </c>
      <c r="AE1018" t="str">
        <f>IF(ROUND(Transaction[[#This Row],[GrossRevenue_Analytical]]-Transaction[[#This Row],[NetRevenue_Analytical]],2)=ROUND(Transaction[[#This Row],[DiscountAmount_Clean]],2),"Valid","Invalid")</f>
        <v>Valid</v>
      </c>
      <c r="AF101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2446.4699999999998</v>
      </c>
      <c r="AG1018">
        <f>IF(Transaction[[#This Row],[NetRevenue_Check]]="Invalid",(Transaction[[#This Row],[Quantity]]*Transaction[[#This Row],[UnitPrice_Clean]]),Transaction[[#This Row],[NetRevenue_Clean]])</f>
        <v>2446.4699999999998</v>
      </c>
      <c r="AH1018" t="str">
        <f>IF(Transaction[[#This Row],[Quantity]]*Transaction[[#This Row],[UnitPrice_Clean]]=Transaction[[#This Row],[NetRevenue_Clean]],"Valid","Invalid")</f>
        <v>Valid</v>
      </c>
      <c r="AI1018" t="s">
        <v>23</v>
      </c>
      <c r="AJ1018" t="s">
        <v>2868</v>
      </c>
      <c r="AK1018" t="str">
        <f>IF(Transaction[[#This Row],[Salesperson]]="","Missing Value",TRIM(PROPER(Transaction[[#This Row],[Salesperson]])))</f>
        <v>Durham</v>
      </c>
      <c r="AL1018" t="s">
        <v>42</v>
      </c>
      <c r="AM1018" t="str">
        <f>IF(Transaction[[#This Row],[ContractType]]="","Missing Value",Transaction[[#This Row],[ContractType]])</f>
        <v>Standard PO</v>
      </c>
      <c r="AN1018" t="s">
        <v>26</v>
      </c>
    </row>
    <row r="1019" spans="1:40" x14ac:dyDescent="0.25">
      <c r="A1019" t="s">
        <v>2914</v>
      </c>
      <c r="B1019" s="1">
        <v>45726</v>
      </c>
      <c r="C101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01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101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19" s="2">
        <f>IFERROR(DATE(Transaction[[#This Row],[TransactionDateY]],Transaction[[#This Row],[TransactionDateM]],Transaction[[#This Row],[TransactionDateD]]),"Missing Value")</f>
        <v>45726</v>
      </c>
      <c r="G1019" t="s">
        <v>1395</v>
      </c>
      <c r="H1019" t="str">
        <f>IFERROR(VLOOKUP(Transaction[[#This Row],[CustomerID]],Custumer[],1,0),IF(LEN(Transaction[[#This Row],[CustomerID]])=7,LEFT(Transaction[[#This Row],[CustomerID]],6),"Invalid ID"))</f>
        <v>C-1023</v>
      </c>
      <c r="I1019" t="s">
        <v>97</v>
      </c>
      <c r="J1019" t="str">
        <f>TRIM(UPPER(Transaction[[#This Row],[ProductID]]))</f>
        <v>P-SI-001</v>
      </c>
      <c r="K1019" t="str">
        <f>IFERROR(VLOOKUP(Transaction[[#This Row],[ProductID_Clean]],Product[],1,FALSE),"Invalid ID")</f>
        <v>P-SI-001</v>
      </c>
      <c r="L1019" t="str">
        <f>TRIM(SUBSTITUTE(SUBSTITUTE(SUBSTITUTE(SUBSTITUTE(UPPER(Transaction[[#This Row],[Region]]),"EMEA REGION","EMEA"),"APAC REGION","APAC"),"NORTH AMERICA","N. AMERICA"),"N .AMERICA","N.AMERICA"))</f>
        <v>N. AMERICA</v>
      </c>
      <c r="M1019" t="s">
        <v>20</v>
      </c>
      <c r="N1019" t="s">
        <v>53</v>
      </c>
      <c r="O101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19" t="s">
        <v>22</v>
      </c>
      <c r="Q1019" t="str">
        <f>IF(TRIM(Transaction[[#This Row],[SalesChannel]])="","Missing Value",TRIM(Transaction[[#This Row],[SalesChannel]]))</f>
        <v>Direct</v>
      </c>
      <c r="R1019" s="4">
        <v>15</v>
      </c>
      <c r="S1019" s="4" t="str">
        <f>IF(Transaction[[#This Row],[Quantity]]&lt;0,"Negative-review","Valid")</f>
        <v>Valid</v>
      </c>
      <c r="T1019">
        <v>446.85</v>
      </c>
      <c r="U101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446.85</v>
      </c>
      <c r="V1019">
        <v>485</v>
      </c>
      <c r="W1019" t="s">
        <v>2915</v>
      </c>
      <c r="X101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7275</v>
      </c>
      <c r="Y1019">
        <f>IF(Transaction[[#This Row],[GrossRevenue_Check]]="Invalid",Transaction[[#This Row],[ListPrice]]*Transaction[[#This Row],[Quantity]],Transaction[[#This Row],[GrossRevenue_Clean]])</f>
        <v>7275</v>
      </c>
      <c r="Z1019" t="str">
        <f>IF(Transaction[[#This Row],[GrossRevenue_Clean]]=Transaction[[#This Row],[ListPrice]]*Transaction[[#This Row],[Quantity]],"Valid","Invalid")</f>
        <v>Valid</v>
      </c>
      <c r="AA1019">
        <v>572.25</v>
      </c>
      <c r="AB101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572.25</v>
      </c>
      <c r="AC1019">
        <f>IF(Transaction[[#This Row],[DiscountAmount_Check2]]="Invalid",Transaction[[#This Row],[GrossRevenue_Analytical]]-Transaction[[#This Row],[NetRevenue_Analytical]],Transaction[[#This Row],[DiscountAmount_Clean]])</f>
        <v>572.25</v>
      </c>
      <c r="AD1019">
        <v>6702.75</v>
      </c>
      <c r="AE1019" t="str">
        <f>IF(ROUND(Transaction[[#This Row],[GrossRevenue_Analytical]]-Transaction[[#This Row],[NetRevenue_Analytical]],2)=ROUND(Transaction[[#This Row],[DiscountAmount_Clean]],2),"Valid","Invalid")</f>
        <v>Valid</v>
      </c>
      <c r="AF1019">
        <f>VALUE(IF(ISNUMBER(Transaction[[#This Row],[NetRevenue]]),Transaction[[#This Row],[NetRevenue]],IFERROR(IF(FIND("$",Transaction[[#This Row],[NetRevenue]])&gt;0,MID(Transaction[[#This Row],[NetRevenue]],2,10)),Transaction[[#This Row],[NetRevenue]])))</f>
        <v>6702.75</v>
      </c>
      <c r="AG1019">
        <f>IF(Transaction[[#This Row],[NetRevenue_Check]]="Invalid",(Transaction[[#This Row],[Quantity]]*Transaction[[#This Row],[UnitPrice_Clean]]),Transaction[[#This Row],[NetRevenue_Clean]])</f>
        <v>6702.75</v>
      </c>
      <c r="AH1019" t="str">
        <f>IF(Transaction[[#This Row],[Quantity]]*Transaction[[#This Row],[UnitPrice_Clean]]=Transaction[[#This Row],[NetRevenue_Clean]],"Valid","Invalid")</f>
        <v>Valid</v>
      </c>
      <c r="AI1019" t="s">
        <v>23</v>
      </c>
      <c r="AJ1019" t="s">
        <v>2916</v>
      </c>
      <c r="AK1019" t="str">
        <f>IF(Transaction[[#This Row],[Salesperson]]="","Missing Value",TRIM(PROPER(Transaction[[#This Row],[Salesperson]])))</f>
        <v>Hopkins-Na</v>
      </c>
      <c r="AL1019" t="s">
        <v>42</v>
      </c>
      <c r="AM1019" t="str">
        <f>IF(Transaction[[#This Row],[ContractType]]="","Missing Value",Transaction[[#This Row],[ContractType]])</f>
        <v>Standard PO</v>
      </c>
      <c r="AN1019" t="s">
        <v>49</v>
      </c>
    </row>
    <row r="1020" spans="1:40" x14ac:dyDescent="0.25">
      <c r="A1020" t="s">
        <v>786</v>
      </c>
      <c r="B1020" s="1">
        <v>45830</v>
      </c>
      <c r="C102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02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102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20" s="2">
        <f>IFERROR(DATE(Transaction[[#This Row],[TransactionDateY]],Transaction[[#This Row],[TransactionDateM]],Transaction[[#This Row],[TransactionDateD]]),"Missing Value")</f>
        <v>45830</v>
      </c>
      <c r="G1020" t="s">
        <v>470</v>
      </c>
      <c r="H1020" t="str">
        <f>IFERROR(VLOOKUP(Transaction[[#This Row],[CustomerID]],Custumer[],1,0),IF(LEN(Transaction[[#This Row],[CustomerID]])=7,LEFT(Transaction[[#This Row],[CustomerID]],6),"Invalid ID"))</f>
        <v>C-1151</v>
      </c>
      <c r="I1020" t="s">
        <v>103</v>
      </c>
      <c r="J1020" t="str">
        <f>TRIM(UPPER(Transaction[[#This Row],[ProductID]]))</f>
        <v>P-FS-005</v>
      </c>
      <c r="K1020" t="str">
        <f>IFERROR(VLOOKUP(Transaction[[#This Row],[ProductID_Clean]],Product[],1,FALSE),"Invalid ID")</f>
        <v>P-FS-005</v>
      </c>
      <c r="L1020" t="str">
        <f>TRIM(SUBSTITUTE(SUBSTITUTE(SUBSTITUTE(SUBSTITUTE(UPPER(Transaction[[#This Row],[Region]]),"EMEA REGION","EMEA"),"APAC REGION","APAC"),"NORTH AMERICA","N. AMERICA"),"N .AMERICA","N.AMERICA"))</f>
        <v>LATIN AMERICA</v>
      </c>
      <c r="M1020" t="s">
        <v>82</v>
      </c>
      <c r="N1020" t="s">
        <v>21</v>
      </c>
      <c r="O1020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020" t="s">
        <v>40</v>
      </c>
      <c r="Q1020" t="str">
        <f>IF(TRIM(Transaction[[#This Row],[SalesChannel]])="","Missing Value",TRIM(Transaction[[#This Row],[SalesChannel]]))</f>
        <v>Distributor</v>
      </c>
      <c r="R1020" s="4">
        <v>1</v>
      </c>
      <c r="S1020" s="4" t="str">
        <f>IF(Transaction[[#This Row],[Quantity]]&lt;0,"Negative-review","Valid")</f>
        <v>Valid</v>
      </c>
      <c r="T1020">
        <v>699.24</v>
      </c>
      <c r="U102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699.24</v>
      </c>
      <c r="V1020">
        <v>950</v>
      </c>
      <c r="W1020">
        <v>950</v>
      </c>
      <c r="X102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1020">
        <f>IF(Transaction[[#This Row],[GrossRevenue_Check]]="Invalid",Transaction[[#This Row],[ListPrice]]*Transaction[[#This Row],[Quantity]],Transaction[[#This Row],[GrossRevenue_Clean]])</f>
        <v>950</v>
      </c>
      <c r="Z1020" t="str">
        <f>IF(Transaction[[#This Row],[GrossRevenue_Clean]]=Transaction[[#This Row],[ListPrice]]*Transaction[[#This Row],[Quantity]],"Valid","Invalid")</f>
        <v>Valid</v>
      </c>
      <c r="AA1020">
        <v>250.76</v>
      </c>
      <c r="AB102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250.76</v>
      </c>
      <c r="AC1020">
        <f>IF(Transaction[[#This Row],[DiscountAmount_Check2]]="Invalid",Transaction[[#This Row],[GrossRevenue_Analytical]]-Transaction[[#This Row],[NetRevenue_Analytical]],Transaction[[#This Row],[DiscountAmount_Clean]])</f>
        <v>250.76</v>
      </c>
      <c r="AD1020">
        <v>699.24</v>
      </c>
      <c r="AE1020" t="str">
        <f>IF(ROUND(Transaction[[#This Row],[GrossRevenue_Analytical]]-Transaction[[#This Row],[NetRevenue_Analytical]],2)=ROUND(Transaction[[#This Row],[DiscountAmount_Clean]],2),"Valid","Invalid")</f>
        <v>Valid</v>
      </c>
      <c r="AF1020">
        <f>VALUE(IF(ISNUMBER(Transaction[[#This Row],[NetRevenue]]),Transaction[[#This Row],[NetRevenue]],IFERROR(IF(FIND("$",Transaction[[#This Row],[NetRevenue]])&gt;0,MID(Transaction[[#This Row],[NetRevenue]],2,10)),Transaction[[#This Row],[NetRevenue]])))</f>
        <v>699.24</v>
      </c>
      <c r="AG1020">
        <f>IF(Transaction[[#This Row],[NetRevenue_Check]]="Invalid",(Transaction[[#This Row],[Quantity]]*Transaction[[#This Row],[UnitPrice_Clean]]),Transaction[[#This Row],[NetRevenue_Clean]])</f>
        <v>699.24</v>
      </c>
      <c r="AH1020" t="str">
        <f>IF(Transaction[[#This Row],[Quantity]]*Transaction[[#This Row],[UnitPrice_Clean]]=Transaction[[#This Row],[NetRevenue_Clean]],"Valid","Invalid")</f>
        <v>Valid</v>
      </c>
      <c r="AI1020" t="s">
        <v>23</v>
      </c>
      <c r="AK1020" t="str">
        <f>IF(Transaction[[#This Row],[Salesperson]]="","Missing Value",TRIM(PROPER(Transaction[[#This Row],[Salesperson]])))</f>
        <v>Missing Value</v>
      </c>
      <c r="AL1020" t="s">
        <v>42</v>
      </c>
      <c r="AM1020" t="str">
        <f>IF(Transaction[[#This Row],[ContractType]]="","Missing Value",Transaction[[#This Row],[ContractType]])</f>
        <v>Standard PO</v>
      </c>
      <c r="AN1020" t="s">
        <v>49</v>
      </c>
    </row>
    <row r="1021" spans="1:40" x14ac:dyDescent="0.25">
      <c r="A1021" t="s">
        <v>2606</v>
      </c>
      <c r="B1021" s="1">
        <v>45812</v>
      </c>
      <c r="C102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02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102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21" s="2">
        <f>IFERROR(DATE(Transaction[[#This Row],[TransactionDateY]],Transaction[[#This Row],[TransactionDateM]],Transaction[[#This Row],[TransactionDateD]]),"Missing Value")</f>
        <v>45812</v>
      </c>
      <c r="G1021" t="s">
        <v>565</v>
      </c>
      <c r="H1021" t="str">
        <f>IFERROR(VLOOKUP(Transaction[[#This Row],[CustomerID]],Custumer[],1,0),IF(LEN(Transaction[[#This Row],[CustomerID]])=7,LEFT(Transaction[[#This Row],[CustomerID]],6),"Invalid ID"))</f>
        <v>C-1007</v>
      </c>
      <c r="I1021" t="s">
        <v>75</v>
      </c>
      <c r="J1021" t="str">
        <f>TRIM(UPPER(Transaction[[#This Row],[ProductID]]))</f>
        <v>P-SA-005</v>
      </c>
      <c r="K1021" t="str">
        <f>IFERROR(VLOOKUP(Transaction[[#This Row],[ProductID_Clean]],Product[],1,FALSE),"Invalid ID")</f>
        <v>P-SA-005</v>
      </c>
      <c r="L1021" t="str">
        <f>TRIM(SUBSTITUTE(SUBSTITUTE(SUBSTITUTE(SUBSTITUTE(UPPER(Transaction[[#This Row],[Region]]),"EMEA REGION","EMEA"),"APAC REGION","APAC"),"NORTH AMERICA","N. AMERICA"),"N .AMERICA","N.AMERICA"))</f>
        <v>N. AMERICA</v>
      </c>
      <c r="M1021" t="s">
        <v>204</v>
      </c>
      <c r="N1021" t="s">
        <v>572</v>
      </c>
      <c r="O102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21" t="s">
        <v>22</v>
      </c>
      <c r="Q1021" t="str">
        <f>IF(TRIM(Transaction[[#This Row],[SalesChannel]])="","Missing Value",TRIM(Transaction[[#This Row],[SalesChannel]]))</f>
        <v>Direct</v>
      </c>
      <c r="R1021" s="4">
        <v>1</v>
      </c>
      <c r="S1021" s="4" t="str">
        <f>IF(Transaction[[#This Row],[Quantity]]&lt;0,"Negative-review","Valid")</f>
        <v>Valid</v>
      </c>
      <c r="T1021">
        <v>2834.02</v>
      </c>
      <c r="U102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2834.02</v>
      </c>
      <c r="V1021">
        <v>3200</v>
      </c>
      <c r="W1021">
        <v>3200</v>
      </c>
      <c r="X102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1021">
        <f>IF(Transaction[[#This Row],[GrossRevenue_Check]]="Invalid",Transaction[[#This Row],[ListPrice]]*Transaction[[#This Row],[Quantity]],Transaction[[#This Row],[GrossRevenue_Clean]])</f>
        <v>3200</v>
      </c>
      <c r="Z1021" t="str">
        <f>IF(Transaction[[#This Row],[GrossRevenue_Clean]]=Transaction[[#This Row],[ListPrice]]*Transaction[[#This Row],[Quantity]],"Valid","Invalid")</f>
        <v>Valid</v>
      </c>
      <c r="AA1021">
        <v>365.98</v>
      </c>
      <c r="AB102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365.98</v>
      </c>
      <c r="AC1021">
        <f>IF(Transaction[[#This Row],[DiscountAmount_Check2]]="Invalid",Transaction[[#This Row],[GrossRevenue_Analytical]]-Transaction[[#This Row],[NetRevenue_Analytical]],Transaction[[#This Row],[DiscountAmount_Clean]])</f>
        <v>365.98</v>
      </c>
      <c r="AD1021">
        <v>2834.02</v>
      </c>
      <c r="AE1021" t="str">
        <f>IF(ROUND(Transaction[[#This Row],[GrossRevenue_Analytical]]-Transaction[[#This Row],[NetRevenue_Analytical]],2)=ROUND(Transaction[[#This Row],[DiscountAmount_Clean]],2),"Valid","Invalid")</f>
        <v>Valid</v>
      </c>
      <c r="AF102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2834.02</v>
      </c>
      <c r="AG1021">
        <f>IF(Transaction[[#This Row],[NetRevenue_Check]]="Invalid",(Transaction[[#This Row],[Quantity]]*Transaction[[#This Row],[UnitPrice_Clean]]),Transaction[[#This Row],[NetRevenue_Clean]])</f>
        <v>2834.02</v>
      </c>
      <c r="AH1021" t="str">
        <f>IF(Transaction[[#This Row],[Quantity]]*Transaction[[#This Row],[UnitPrice_Clean]]=Transaction[[#This Row],[NetRevenue_Clean]],"Valid","Invalid")</f>
        <v>Valid</v>
      </c>
      <c r="AI1021" t="s">
        <v>99</v>
      </c>
      <c r="AJ1021" t="s">
        <v>251</v>
      </c>
      <c r="AK1021" t="str">
        <f>IF(Transaction[[#This Row],[Salesperson]]="","Missing Value",TRIM(PROPER(Transaction[[#This Row],[Salesperson]])))</f>
        <v>Patel</v>
      </c>
      <c r="AL1021" t="s">
        <v>34</v>
      </c>
      <c r="AM1021" t="str">
        <f>IF(Transaction[[#This Row],[ContractType]]="","Missing Value",Transaction[[#This Row],[ContractType]])</f>
        <v>Annual License</v>
      </c>
      <c r="AN1021" t="s">
        <v>35</v>
      </c>
    </row>
    <row r="1022" spans="1:40" x14ac:dyDescent="0.25">
      <c r="A1022" t="s">
        <v>2846</v>
      </c>
      <c r="B1022" t="s">
        <v>2847</v>
      </c>
      <c r="C102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102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102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22" s="2">
        <f>IFERROR(DATE(Transaction[[#This Row],[TransactionDateY]],Transaction[[#This Row],[TransactionDateM]],Transaction[[#This Row],[TransactionDateD]]),"Missing Value")</f>
        <v>45676</v>
      </c>
      <c r="G1022" t="s">
        <v>694</v>
      </c>
      <c r="H1022" t="str">
        <f>IFERROR(VLOOKUP(Transaction[[#This Row],[CustomerID]],Custumer[],1,0),IF(LEN(Transaction[[#This Row],[CustomerID]])=7,LEFT(Transaction[[#This Row],[CustomerID]],6),"Invalid ID"))</f>
        <v>C-1165</v>
      </c>
      <c r="I1022" t="s">
        <v>19</v>
      </c>
      <c r="J1022" t="str">
        <f>TRIM(UPPER(Transaction[[#This Row],[ProductID]]))</f>
        <v>P-FS-004</v>
      </c>
      <c r="K1022" t="str">
        <f>IFERROR(VLOOKUP(Transaction[[#This Row],[ProductID_Clean]],Product[],1,FALSE),"Invalid ID")</f>
        <v>P-FS-004</v>
      </c>
      <c r="L1022" t="str">
        <f>TRIM(SUBSTITUTE(SUBSTITUTE(SUBSTITUTE(SUBSTITUTE(UPPER(Transaction[[#This Row],[Region]]),"EMEA REGION","EMEA"),"APAC REGION","APAC"),"NORTH AMERICA","N. AMERICA"),"N .AMERICA","N.AMERICA"))</f>
        <v>N. AMERICA</v>
      </c>
      <c r="M1022" t="s">
        <v>20</v>
      </c>
      <c r="N1022" t="s">
        <v>771</v>
      </c>
      <c r="O1022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022" t="s">
        <v>22</v>
      </c>
      <c r="Q1022" t="str">
        <f>IF(TRIM(Transaction[[#This Row],[SalesChannel]])="","Missing Value",TRIM(Transaction[[#This Row],[SalesChannel]]))</f>
        <v>Direct</v>
      </c>
      <c r="R1022" s="4">
        <v>1</v>
      </c>
      <c r="S1022" s="4" t="str">
        <f>IF(Transaction[[#This Row],[Quantity]]&lt;0,"Negative-review","Valid")</f>
        <v>Valid</v>
      </c>
      <c r="T1022">
        <v>2950.66</v>
      </c>
      <c r="U102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2950.66</v>
      </c>
      <c r="V1022">
        <v>3200</v>
      </c>
      <c r="W1022">
        <v>3200</v>
      </c>
      <c r="X102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1022">
        <f>IF(Transaction[[#This Row],[GrossRevenue_Check]]="Invalid",Transaction[[#This Row],[ListPrice]]*Transaction[[#This Row],[Quantity]],Transaction[[#This Row],[GrossRevenue_Clean]])</f>
        <v>3200</v>
      </c>
      <c r="Z1022" t="str">
        <f>IF(Transaction[[#This Row],[GrossRevenue_Clean]]=Transaction[[#This Row],[ListPrice]]*Transaction[[#This Row],[Quantity]],"Valid","Invalid")</f>
        <v>Valid</v>
      </c>
      <c r="AA1022">
        <v>249.34</v>
      </c>
      <c r="AB102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249.34</v>
      </c>
      <c r="AC1022">
        <f>IF(Transaction[[#This Row],[DiscountAmount_Check2]]="Invalid",Transaction[[#This Row],[GrossRevenue_Analytical]]-Transaction[[#This Row],[NetRevenue_Analytical]],Transaction[[#This Row],[DiscountAmount_Clean]])</f>
        <v>249.34</v>
      </c>
      <c r="AD1022">
        <v>2950.66</v>
      </c>
      <c r="AE1022" t="str">
        <f>IF(ROUND(Transaction[[#This Row],[GrossRevenue_Analytical]]-Transaction[[#This Row],[NetRevenue_Analytical]],2)=ROUND(Transaction[[#This Row],[DiscountAmount_Clean]],2),"Valid","Invalid")</f>
        <v>Valid</v>
      </c>
      <c r="AF102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2950.66</v>
      </c>
      <c r="AG1022">
        <f>IF(Transaction[[#This Row],[NetRevenue_Check]]="Invalid",(Transaction[[#This Row],[Quantity]]*Transaction[[#This Row],[UnitPrice_Clean]]),Transaction[[#This Row],[NetRevenue_Clean]])</f>
        <v>2950.66</v>
      </c>
      <c r="AH1022" t="str">
        <f>IF(Transaction[[#This Row],[Quantity]]*Transaction[[#This Row],[UnitPrice_Clean]]=Transaction[[#This Row],[NetRevenue_Clean]],"Valid","Invalid")</f>
        <v>Valid</v>
      </c>
      <c r="AI1022" t="s">
        <v>23</v>
      </c>
      <c r="AJ1022" t="s">
        <v>2848</v>
      </c>
      <c r="AK1022" t="str">
        <f>IF(Transaction[[#This Row],[Salesperson]]="","Missing Value",TRIM(PROPER(Transaction[[#This Row],[Salesperson]])))</f>
        <v>Jenkins</v>
      </c>
      <c r="AL1022" t="s">
        <v>42</v>
      </c>
      <c r="AM1022" t="str">
        <f>IF(Transaction[[#This Row],[ContractType]]="","Missing Value",Transaction[[#This Row],[ContractType]])</f>
        <v>Standard PO</v>
      </c>
      <c r="AN1022" t="s">
        <v>26</v>
      </c>
    </row>
    <row r="1023" spans="1:40" x14ac:dyDescent="0.25">
      <c r="A1023" t="s">
        <v>2986</v>
      </c>
      <c r="B1023" s="1">
        <v>45808</v>
      </c>
      <c r="C102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02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31</v>
      </c>
      <c r="E102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23" s="2">
        <f>IFERROR(DATE(Transaction[[#This Row],[TransactionDateY]],Transaction[[#This Row],[TransactionDateM]],Transaction[[#This Row],[TransactionDateD]]),"Missing Value")</f>
        <v>45808</v>
      </c>
      <c r="G1023" t="s">
        <v>647</v>
      </c>
      <c r="H1023" t="str">
        <f>IFERROR(VLOOKUP(Transaction[[#This Row],[CustomerID]],Custumer[],1,0),IF(LEN(Transaction[[#This Row],[CustomerID]])=7,LEFT(Transaction[[#This Row],[CustomerID]],6),"Invalid ID"))</f>
        <v>C-1085</v>
      </c>
      <c r="I1023" t="s">
        <v>121</v>
      </c>
      <c r="J1023" t="str">
        <f>TRIM(UPPER(Transaction[[#This Row],[ProductID]]))</f>
        <v>P-FS-001</v>
      </c>
      <c r="K1023" t="str">
        <f>IFERROR(VLOOKUP(Transaction[[#This Row],[ProductID_Clean]],Product[],1,FALSE),"Invalid ID")</f>
        <v>P-FS-001</v>
      </c>
      <c r="L1023" t="str">
        <f>TRIM(SUBSTITUTE(SUBSTITUTE(SUBSTITUTE(SUBSTITUTE(UPPER(Transaction[[#This Row],[Region]]),"EMEA REGION","EMEA"),"APAC REGION","APAC"),"NORTH AMERICA","N. AMERICA"),"N .AMERICA","N.AMERICA"))</f>
        <v>APAC</v>
      </c>
      <c r="M1023" t="s">
        <v>30</v>
      </c>
      <c r="N1023" t="s">
        <v>21</v>
      </c>
      <c r="O102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023" t="s">
        <v>40</v>
      </c>
      <c r="Q1023" t="str">
        <f>IF(TRIM(Transaction[[#This Row],[SalesChannel]])="","Missing Value",TRIM(Transaction[[#This Row],[SalesChannel]]))</f>
        <v>Distributor</v>
      </c>
      <c r="R1023" s="4">
        <v>1</v>
      </c>
      <c r="S1023" s="4" t="str">
        <f>IF(Transaction[[#This Row],[Quantity]]&lt;0,"Negative-review","Valid")</f>
        <v>Valid</v>
      </c>
      <c r="T1023">
        <v>1223.08</v>
      </c>
      <c r="U102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1223.08</v>
      </c>
      <c r="V1023">
        <v>1850</v>
      </c>
      <c r="W1023">
        <v>1850</v>
      </c>
      <c r="X102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1023">
        <f>IF(Transaction[[#This Row],[GrossRevenue_Check]]="Invalid",Transaction[[#This Row],[ListPrice]]*Transaction[[#This Row],[Quantity]],Transaction[[#This Row],[GrossRevenue_Clean]])</f>
        <v>1850</v>
      </c>
      <c r="Z1023" t="str">
        <f>IF(Transaction[[#This Row],[GrossRevenue_Clean]]=Transaction[[#This Row],[ListPrice]]*Transaction[[#This Row],[Quantity]],"Valid","Invalid")</f>
        <v>Valid</v>
      </c>
      <c r="AA1023" t="s">
        <v>2987</v>
      </c>
      <c r="AB102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626.91999999999996</v>
      </c>
      <c r="AC1023">
        <f>IF(Transaction[[#This Row],[DiscountAmount_Check2]]="Invalid",Transaction[[#This Row],[GrossRevenue_Analytical]]-Transaction[[#This Row],[NetRevenue_Analytical]],Transaction[[#This Row],[DiscountAmount_Clean]])</f>
        <v>626.91999999999996</v>
      </c>
      <c r="AD1023">
        <v>1223.08</v>
      </c>
      <c r="AE1023" t="str">
        <f>IF(ROUND(Transaction[[#This Row],[GrossRevenue_Analytical]]-Transaction[[#This Row],[NetRevenue_Analytical]],2)=ROUND(Transaction[[#This Row],[DiscountAmount_Clean]],2),"Valid","Invalid")</f>
        <v>Valid</v>
      </c>
      <c r="AF102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1223.08</v>
      </c>
      <c r="AG1023">
        <f>IF(Transaction[[#This Row],[NetRevenue_Check]]="Invalid",(Transaction[[#This Row],[Quantity]]*Transaction[[#This Row],[UnitPrice_Clean]]),Transaction[[#This Row],[NetRevenue_Clean]])</f>
        <v>1223.08</v>
      </c>
      <c r="AH1023" t="str">
        <f>IF(Transaction[[#This Row],[Quantity]]*Transaction[[#This Row],[UnitPrice_Clean]]=Transaction[[#This Row],[NetRevenue_Clean]],"Valid","Invalid")</f>
        <v>Valid</v>
      </c>
      <c r="AI1023" t="s">
        <v>23</v>
      </c>
      <c r="AJ1023" t="s">
        <v>2884</v>
      </c>
      <c r="AK1023" t="str">
        <f>IF(Transaction[[#This Row],[Salesperson]]="","Missing Value",TRIM(PROPER(Transaction[[#This Row],[Salesperson]])))</f>
        <v>Smith-Em</v>
      </c>
      <c r="AL1023" t="s">
        <v>42</v>
      </c>
      <c r="AM1023" t="str">
        <f>IF(Transaction[[#This Row],[ContractType]]="","Missing Value",Transaction[[#This Row],[ContractType]])</f>
        <v>Standard PO</v>
      </c>
      <c r="AN1023" t="s">
        <v>26</v>
      </c>
    </row>
    <row r="1024" spans="1:40" x14ac:dyDescent="0.25">
      <c r="A1024" t="s">
        <v>2011</v>
      </c>
      <c r="B1024" t="s">
        <v>1127</v>
      </c>
      <c r="C102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02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102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24" s="2">
        <f>IFERROR(DATE(Transaction[[#This Row],[TransactionDateY]],Transaction[[#This Row],[TransactionDateM]],Transaction[[#This Row],[TransactionDateD]]),"Missing Value")</f>
        <v>45713</v>
      </c>
      <c r="G1024" t="s">
        <v>203</v>
      </c>
      <c r="H1024" t="str">
        <f>IFERROR(VLOOKUP(Transaction[[#This Row],[CustomerID]],Custumer[],1,0),IF(LEN(Transaction[[#This Row],[CustomerID]])=7,LEFT(Transaction[[#This Row],[CustomerID]],6),"Invalid ID"))</f>
        <v>C-1005</v>
      </c>
      <c r="I1024" t="s">
        <v>97</v>
      </c>
      <c r="J1024" t="str">
        <f>TRIM(UPPER(Transaction[[#This Row],[ProductID]]))</f>
        <v>P-SI-001</v>
      </c>
      <c r="K1024" t="str">
        <f>IFERROR(VLOOKUP(Transaction[[#This Row],[ProductID_Clean]],Product[],1,FALSE),"Invalid ID")</f>
        <v>P-SI-001</v>
      </c>
      <c r="L1024" t="str">
        <f>TRIM(SUBSTITUTE(SUBSTITUTE(SUBSTITUTE(SUBSTITUTE(UPPER(Transaction[[#This Row],[Region]]),"EMEA REGION","EMEA"),"APAC REGION","APAC"),"NORTH AMERICA","N. AMERICA"),"N .AMERICA","N.AMERICA"))</f>
        <v>N. AMERICA</v>
      </c>
      <c r="M1024" t="s">
        <v>168</v>
      </c>
      <c r="N1024" t="s">
        <v>53</v>
      </c>
      <c r="O102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24" t="s">
        <v>22</v>
      </c>
      <c r="Q1024" t="str">
        <f>IF(TRIM(Transaction[[#This Row],[SalesChannel]])="","Missing Value",TRIM(Transaction[[#This Row],[SalesChannel]]))</f>
        <v>Direct</v>
      </c>
      <c r="R1024" s="4">
        <v>1</v>
      </c>
      <c r="S1024" s="4" t="str">
        <f>IF(Transaction[[#This Row],[Quantity]]&lt;0,"Negative-review","Valid")</f>
        <v>Valid</v>
      </c>
      <c r="T1024">
        <v>449.97</v>
      </c>
      <c r="U102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449.97</v>
      </c>
      <c r="V1024">
        <v>485</v>
      </c>
      <c r="W1024">
        <v>485</v>
      </c>
      <c r="X102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1024">
        <f>IF(Transaction[[#This Row],[GrossRevenue_Check]]="Invalid",Transaction[[#This Row],[ListPrice]]*Transaction[[#This Row],[Quantity]],Transaction[[#This Row],[GrossRevenue_Clean]])</f>
        <v>485</v>
      </c>
      <c r="Z1024" t="str">
        <f>IF(Transaction[[#This Row],[GrossRevenue_Clean]]=Transaction[[#This Row],[ListPrice]]*Transaction[[#This Row],[Quantity]],"Valid","Invalid")</f>
        <v>Valid</v>
      </c>
      <c r="AA1024">
        <v>35.03</v>
      </c>
      <c r="AB102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35.03</v>
      </c>
      <c r="AC1024">
        <f>IF(Transaction[[#This Row],[DiscountAmount_Check2]]="Invalid",Transaction[[#This Row],[GrossRevenue_Analytical]]-Transaction[[#This Row],[NetRevenue_Analytical]],Transaction[[#This Row],[DiscountAmount_Clean]])</f>
        <v>35.03</v>
      </c>
      <c r="AD1024">
        <v>449.97</v>
      </c>
      <c r="AE1024" t="str">
        <f>IF(ROUND(Transaction[[#This Row],[GrossRevenue_Analytical]]-Transaction[[#This Row],[NetRevenue_Analytical]],2)=ROUND(Transaction[[#This Row],[DiscountAmount_Clean]],2),"Valid","Invalid")</f>
        <v>Valid</v>
      </c>
      <c r="AF1024">
        <f>VALUE(IF(ISNUMBER(Transaction[[#This Row],[NetRevenue]]),Transaction[[#This Row],[NetRevenue]],IFERROR(IF(FIND("$",Transaction[[#This Row],[NetRevenue]])&gt;0,MID(Transaction[[#This Row],[NetRevenue]],2,10)),Transaction[[#This Row],[NetRevenue]])))</f>
        <v>449.97</v>
      </c>
      <c r="AG1024">
        <f>IF(Transaction[[#This Row],[NetRevenue_Check]]="Invalid",(Transaction[[#This Row],[Quantity]]*Transaction[[#This Row],[UnitPrice_Clean]]),Transaction[[#This Row],[NetRevenue_Clean]])</f>
        <v>449.97</v>
      </c>
      <c r="AH1024" t="str">
        <f>IF(Transaction[[#This Row],[Quantity]]*Transaction[[#This Row],[UnitPrice_Clean]]=Transaction[[#This Row],[NetRevenue_Clean]],"Valid","Invalid")</f>
        <v>Valid</v>
      </c>
      <c r="AI1024" t="s">
        <v>99</v>
      </c>
      <c r="AJ1024" t="s">
        <v>603</v>
      </c>
      <c r="AK1024" t="str">
        <f>IF(Transaction[[#This Row],[Salesperson]]="","Missing Value",TRIM(PROPER(Transaction[[#This Row],[Salesperson]])))</f>
        <v>Bowen-Na</v>
      </c>
      <c r="AL1024" t="s">
        <v>42</v>
      </c>
      <c r="AM1024" t="str">
        <f>IF(Transaction[[#This Row],[ContractType]]="","Missing Value",Transaction[[#This Row],[ContractType]])</f>
        <v>Standard PO</v>
      </c>
      <c r="AN1024" t="s">
        <v>35</v>
      </c>
    </row>
    <row r="1025" spans="1:40" x14ac:dyDescent="0.25">
      <c r="A1025" t="s">
        <v>349</v>
      </c>
      <c r="B1025" t="s">
        <v>350</v>
      </c>
      <c r="C102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02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102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25" s="2">
        <f>IFERROR(DATE(Transaction[[#This Row],[TransactionDateY]],Transaction[[#This Row],[TransactionDateM]],Transaction[[#This Row],[TransactionDateD]]),"Missing Value")</f>
        <v>45711</v>
      </c>
      <c r="G1025" t="s">
        <v>351</v>
      </c>
      <c r="H1025" t="str">
        <f>IFERROR(VLOOKUP(Transaction[[#This Row],[CustomerID]],Custumer[],1,0),IF(LEN(Transaction[[#This Row],[CustomerID]])=7,LEFT(Transaction[[#This Row],[CustomerID]],6),"Invalid ID"))</f>
        <v>C-1004</v>
      </c>
      <c r="I1025" t="s">
        <v>258</v>
      </c>
      <c r="J1025" t="str">
        <f>TRIM(UPPER(Transaction[[#This Row],[ProductID]]))</f>
        <v>P-SA-003</v>
      </c>
      <c r="K1025" t="str">
        <f>IFERROR(VLOOKUP(Transaction[[#This Row],[ProductID_Clean]],Product[],1,FALSE),"Invalid ID")</f>
        <v>P-SA-003</v>
      </c>
      <c r="L1025" t="str">
        <f>TRIM(SUBSTITUTE(SUBSTITUTE(SUBSTITUTE(SUBSTITUTE(UPPER(Transaction[[#This Row],[Region]]),"EMEA REGION","EMEA"),"APAC REGION","APAC"),"NORTH AMERICA","N. AMERICA"),"N .AMERICA","N.AMERICA"))</f>
        <v>N. AMERICA</v>
      </c>
      <c r="M1025" t="s">
        <v>20</v>
      </c>
      <c r="N1025" t="s">
        <v>31</v>
      </c>
      <c r="O102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25" t="s">
        <v>181</v>
      </c>
      <c r="Q1025" t="str">
        <f>IF(TRIM(Transaction[[#This Row],[SalesChannel]])="","Missing Value",TRIM(Transaction[[#This Row],[SalesChannel]]))</f>
        <v>Partner Portal</v>
      </c>
      <c r="R1025" s="4">
        <v>1</v>
      </c>
      <c r="S1025" s="4" t="str">
        <f>IF(Transaction[[#This Row],[Quantity]]&lt;0,"Negative-review","Valid")</f>
        <v>Valid</v>
      </c>
      <c r="T1025">
        <v>2420.96</v>
      </c>
      <c r="U102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2420.96</v>
      </c>
      <c r="V1025">
        <v>2750</v>
      </c>
      <c r="W1025">
        <v>2750</v>
      </c>
      <c r="X102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1025">
        <f>IF(Transaction[[#This Row],[GrossRevenue_Check]]="Invalid",Transaction[[#This Row],[ListPrice]]*Transaction[[#This Row],[Quantity]],Transaction[[#This Row],[GrossRevenue_Clean]])</f>
        <v>2750</v>
      </c>
      <c r="Z1025" t="str">
        <f>IF(Transaction[[#This Row],[GrossRevenue_Clean]]=Transaction[[#This Row],[ListPrice]]*Transaction[[#This Row],[Quantity]],"Valid","Invalid")</f>
        <v>Valid</v>
      </c>
      <c r="AA1025">
        <v>329.04</v>
      </c>
      <c r="AB102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329.04</v>
      </c>
      <c r="AC1025">
        <f>IF(Transaction[[#This Row],[DiscountAmount_Check2]]="Invalid",Transaction[[#This Row],[GrossRevenue_Analytical]]-Transaction[[#This Row],[NetRevenue_Analytical]],Transaction[[#This Row],[DiscountAmount_Clean]])</f>
        <v>329.04</v>
      </c>
      <c r="AD1025">
        <v>2420.96</v>
      </c>
      <c r="AE1025" t="str">
        <f>IF(ROUND(Transaction[[#This Row],[GrossRevenue_Analytical]]-Transaction[[#This Row],[NetRevenue_Analytical]],2)=ROUND(Transaction[[#This Row],[DiscountAmount_Clean]],2),"Valid","Invalid")</f>
        <v>Valid</v>
      </c>
      <c r="AF1025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2420.96</v>
      </c>
      <c r="AG1025">
        <f>IF(Transaction[[#This Row],[NetRevenue_Check]]="Invalid",(Transaction[[#This Row],[Quantity]]*Transaction[[#This Row],[UnitPrice_Clean]]),Transaction[[#This Row],[NetRevenue_Clean]])</f>
        <v>2420.96</v>
      </c>
      <c r="AH1025" t="str">
        <f>IF(Transaction[[#This Row],[Quantity]]*Transaction[[#This Row],[UnitPrice_Clean]]=Transaction[[#This Row],[NetRevenue_Clean]],"Valid","Invalid")</f>
        <v>Valid</v>
      </c>
      <c r="AI1025" t="s">
        <v>23</v>
      </c>
      <c r="AK1025" t="str">
        <f>IF(Transaction[[#This Row],[Salesperson]]="","Missing Value",TRIM(PROPER(Transaction[[#This Row],[Salesperson]])))</f>
        <v>Missing Value</v>
      </c>
      <c r="AL1025" t="s">
        <v>34</v>
      </c>
      <c r="AM1025" t="str">
        <f>IF(Transaction[[#This Row],[ContractType]]="","Missing Value",Transaction[[#This Row],[ContractType]])</f>
        <v>Annual License</v>
      </c>
      <c r="AN1025" t="s">
        <v>49</v>
      </c>
    </row>
    <row r="1026" spans="1:40" x14ac:dyDescent="0.25">
      <c r="A1026" t="s">
        <v>415</v>
      </c>
      <c r="B1026" t="s">
        <v>416</v>
      </c>
      <c r="C102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102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102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26" s="2">
        <f>IFERROR(DATE(Transaction[[#This Row],[TransactionDateY]],Transaction[[#This Row],[TransactionDateM]],Transaction[[#This Row],[TransactionDateD]]),"Missing Value")</f>
        <v>45735</v>
      </c>
      <c r="G1026" t="s">
        <v>153</v>
      </c>
      <c r="H1026" t="str">
        <f>IFERROR(VLOOKUP(Transaction[[#This Row],[CustomerID]],Custumer[],1,0),IF(LEN(Transaction[[#This Row],[CustomerID]])=7,LEFT(Transaction[[#This Row],[CustomerID]],6),"Invalid ID"))</f>
        <v>C-1161</v>
      </c>
      <c r="I1026" t="s">
        <v>268</v>
      </c>
      <c r="J1026" t="str">
        <f>TRIM(UPPER(Transaction[[#This Row],[ProductID]]))</f>
        <v>P-FS-002</v>
      </c>
      <c r="K1026" t="str">
        <f>IFERROR(VLOOKUP(Transaction[[#This Row],[ProductID_Clean]],Product[],1,FALSE),"Invalid ID")</f>
        <v>P-FS-002</v>
      </c>
      <c r="L1026" t="str">
        <f>TRIM(SUBSTITUTE(SUBSTITUTE(SUBSTITUTE(SUBSTITUTE(UPPER(Transaction[[#This Row],[Region]]),"EMEA REGION","EMEA"),"APAC REGION","APAC"),"NORTH AMERICA","N. AMERICA"),"N .AMERICA","N.AMERICA"))</f>
        <v>N. AMERICA</v>
      </c>
      <c r="M1026" t="s">
        <v>20</v>
      </c>
      <c r="N1026" t="s">
        <v>21</v>
      </c>
      <c r="O102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026" t="s">
        <v>181</v>
      </c>
      <c r="Q1026" t="str">
        <f>IF(TRIM(Transaction[[#This Row],[SalesChannel]])="","Missing Value",TRIM(Transaction[[#This Row],[SalesChannel]]))</f>
        <v>Partner Portal</v>
      </c>
      <c r="R1026" s="4">
        <v>1</v>
      </c>
      <c r="S1026" s="4" t="str">
        <f>IF(Transaction[[#This Row],[Quantity]]&lt;0,"Negative-review","Valid")</f>
        <v>Valid</v>
      </c>
      <c r="T1026">
        <v>2256.46</v>
      </c>
      <c r="U102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2256.46</v>
      </c>
      <c r="V1026">
        <v>2400</v>
      </c>
      <c r="W1026">
        <v>2400</v>
      </c>
      <c r="X102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1026">
        <f>IF(Transaction[[#This Row],[GrossRevenue_Check]]="Invalid",Transaction[[#This Row],[ListPrice]]*Transaction[[#This Row],[Quantity]],Transaction[[#This Row],[GrossRevenue_Clean]])</f>
        <v>2400</v>
      </c>
      <c r="Z1026" t="str">
        <f>IF(Transaction[[#This Row],[GrossRevenue_Clean]]=Transaction[[#This Row],[ListPrice]]*Transaction[[#This Row],[Quantity]],"Valid","Invalid")</f>
        <v>Valid</v>
      </c>
      <c r="AA1026">
        <v>143.54</v>
      </c>
      <c r="AB102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143.54</v>
      </c>
      <c r="AC1026">
        <f>IF(Transaction[[#This Row],[DiscountAmount_Check2]]="Invalid",Transaction[[#This Row],[GrossRevenue_Analytical]]-Transaction[[#This Row],[NetRevenue_Analytical]],Transaction[[#This Row],[DiscountAmount_Clean]])</f>
        <v>143.54</v>
      </c>
      <c r="AD1026">
        <v>2256.46</v>
      </c>
      <c r="AE1026" t="str">
        <f>IF(ROUND(Transaction[[#This Row],[GrossRevenue_Analytical]]-Transaction[[#This Row],[NetRevenue_Analytical]],2)=ROUND(Transaction[[#This Row],[DiscountAmount_Clean]],2),"Valid","Invalid")</f>
        <v>Valid</v>
      </c>
      <c r="AF1026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2256.46</v>
      </c>
      <c r="AG1026">
        <f>IF(Transaction[[#This Row],[NetRevenue_Check]]="Invalid",(Transaction[[#This Row],[Quantity]]*Transaction[[#This Row],[UnitPrice_Clean]]),Transaction[[#This Row],[NetRevenue_Clean]])</f>
        <v>2256.46</v>
      </c>
      <c r="AH1026" t="str">
        <f>IF(Transaction[[#This Row],[Quantity]]*Transaction[[#This Row],[UnitPrice_Clean]]=Transaction[[#This Row],[NetRevenue_Clean]],"Valid","Invalid")</f>
        <v>Valid</v>
      </c>
      <c r="AI1026" t="s">
        <v>99</v>
      </c>
      <c r="AJ1026" t="s">
        <v>417</v>
      </c>
      <c r="AK1026" t="str">
        <f>IF(Transaction[[#This Row],[Salesperson]]="","Missing Value",TRIM(PROPER(Transaction[[#This Row],[Salesperson]])))</f>
        <v>Mitchell</v>
      </c>
      <c r="AL1026" t="s">
        <v>224</v>
      </c>
      <c r="AM1026" t="str">
        <f>IF(Transaction[[#This Row],[ContractType]]="","Missing Value",Transaction[[#This Row],[ContractType]])</f>
        <v>Annual</v>
      </c>
      <c r="AN1026" t="s">
        <v>35</v>
      </c>
    </row>
    <row r="1027" spans="1:40" x14ac:dyDescent="0.25">
      <c r="A1027" t="s">
        <v>2988</v>
      </c>
      <c r="C102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102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102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1027" s="2" t="str">
        <f>IFERROR(DATE(Transaction[[#This Row],[TransactionDateY]],Transaction[[#This Row],[TransactionDateM]],Transaction[[#This Row],[TransactionDateD]]),"Missing Value")</f>
        <v>Missing Value</v>
      </c>
      <c r="G1027" t="s">
        <v>367</v>
      </c>
      <c r="H1027" t="str">
        <f>IFERROR(VLOOKUP(Transaction[[#This Row],[CustomerID]],Custumer[],1,0),IF(LEN(Transaction[[#This Row],[CustomerID]])=7,LEFT(Transaction[[#This Row],[CustomerID]],6),"Invalid ID"))</f>
        <v>C-1024</v>
      </c>
      <c r="I1027" t="s">
        <v>71</v>
      </c>
      <c r="J1027" t="str">
        <f>TRIM(UPPER(Transaction[[#This Row],[ProductID]]))</f>
        <v>P-SI-003</v>
      </c>
      <c r="K1027" t="str">
        <f>IFERROR(VLOOKUP(Transaction[[#This Row],[ProductID_Clean]],Product[],1,FALSE),"Invalid ID")</f>
        <v>P-SI-003</v>
      </c>
      <c r="L1027" t="str">
        <f>TRIM(SUBSTITUTE(SUBSTITUTE(SUBSTITUTE(SUBSTITUTE(UPPER(Transaction[[#This Row],[Region]]),"EMEA REGION","EMEA"),"APAC REGION","APAC"),"NORTH AMERICA","N. AMERICA"),"N .AMERICA","N.AMERICA"))</f>
        <v>APAC</v>
      </c>
      <c r="M1027" t="s">
        <v>30</v>
      </c>
      <c r="N1027" t="s">
        <v>47</v>
      </c>
      <c r="O102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27" t="s">
        <v>40</v>
      </c>
      <c r="Q1027" t="str">
        <f>IF(TRIM(Transaction[[#This Row],[SalesChannel]])="","Missing Value",TRIM(Transaction[[#This Row],[SalesChannel]]))</f>
        <v>Distributor</v>
      </c>
      <c r="R1027" s="4">
        <v>3</v>
      </c>
      <c r="S1027" s="4" t="str">
        <f>IF(Transaction[[#This Row],[Quantity]]&lt;0,"Negative-review","Valid")</f>
        <v>Valid</v>
      </c>
      <c r="T1027">
        <v>1503.27</v>
      </c>
      <c r="U102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1503.27</v>
      </c>
      <c r="V1027">
        <v>1890</v>
      </c>
      <c r="W1027">
        <v>5670</v>
      </c>
      <c r="X102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5670</v>
      </c>
      <c r="Y1027">
        <f>IF(Transaction[[#This Row],[GrossRevenue_Check]]="Invalid",Transaction[[#This Row],[ListPrice]]*Transaction[[#This Row],[Quantity]],Transaction[[#This Row],[GrossRevenue_Clean]])</f>
        <v>5670</v>
      </c>
      <c r="Z1027" t="str">
        <f>IF(Transaction[[#This Row],[GrossRevenue_Clean]]=Transaction[[#This Row],[ListPrice]]*Transaction[[#This Row],[Quantity]],"Valid","Invalid")</f>
        <v>Valid</v>
      </c>
      <c r="AA1027">
        <v>1160.19</v>
      </c>
      <c r="AB102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1160.19</v>
      </c>
      <c r="AC1027">
        <f>IF(Transaction[[#This Row],[DiscountAmount_Check2]]="Invalid",Transaction[[#This Row],[GrossRevenue_Analytical]]-Transaction[[#This Row],[NetRevenue_Analytical]],Transaction[[#This Row],[DiscountAmount_Clean]])</f>
        <v>1160.19</v>
      </c>
      <c r="AD1027">
        <v>4509.8100000000004</v>
      </c>
      <c r="AE1027" t="str">
        <f>IF(ROUND(Transaction[[#This Row],[GrossRevenue_Analytical]]-Transaction[[#This Row],[NetRevenue_Analytical]],2)=ROUND(Transaction[[#This Row],[DiscountAmount_Clean]],2),"Valid","Invalid")</f>
        <v>Valid</v>
      </c>
      <c r="AF1027">
        <f>VALUE(IF(ISNUMBER(Transaction[[#This Row],[NetRevenue]]),Transaction[[#This Row],[NetRevenue]],IFERROR(IF(FIND("$",Transaction[[#This Row],[NetRevenue]])&gt;0,MID(Transaction[[#This Row],[NetRevenue]],2,10)),Transaction[[#This Row],[NetRevenue]])))</f>
        <v>4509.8100000000004</v>
      </c>
      <c r="AG1027">
        <f>IF(Transaction[[#This Row],[NetRevenue_Check]]="Invalid",(Transaction[[#This Row],[Quantity]]*Transaction[[#This Row],[UnitPrice_Clean]]),Transaction[[#This Row],[NetRevenue_Clean]])</f>
        <v>4509.8100000000004</v>
      </c>
      <c r="AH1027" t="str">
        <f>IF(Transaction[[#This Row],[Quantity]]*Transaction[[#This Row],[UnitPrice_Clean]]=Transaction[[#This Row],[NetRevenue_Clean]],"Valid","Invalid")</f>
        <v>Valid</v>
      </c>
      <c r="AI1027" t="s">
        <v>23</v>
      </c>
      <c r="AJ1027" t="s">
        <v>2989</v>
      </c>
      <c r="AK1027" t="str">
        <f>IF(Transaction[[#This Row],[Salesperson]]="","Missing Value",TRIM(PROPER(Transaction[[#This Row],[Salesperson]])))</f>
        <v>Shaw</v>
      </c>
      <c r="AL1027" t="s">
        <v>55</v>
      </c>
      <c r="AM1027" t="str">
        <f>IF(Transaction[[#This Row],[ContractType]]="","Missing Value",Transaction[[#This Row],[ContractType]])</f>
        <v>Spot</v>
      </c>
      <c r="AN1027" t="s">
        <v>65</v>
      </c>
    </row>
    <row r="1028" spans="1:40" x14ac:dyDescent="0.25">
      <c r="A1028" t="s">
        <v>390</v>
      </c>
      <c r="B1028" s="1">
        <v>45688</v>
      </c>
      <c r="C102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02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31</v>
      </c>
      <c r="E102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28" s="2">
        <f>IFERROR(DATE(Transaction[[#This Row],[TransactionDateY]],Transaction[[#This Row],[TransactionDateM]],Transaction[[#This Row],[TransactionDateD]]),"Missing Value")</f>
        <v>45688</v>
      </c>
      <c r="G1028" t="s">
        <v>190</v>
      </c>
      <c r="H1028" t="str">
        <f>IFERROR(VLOOKUP(Transaction[[#This Row],[CustomerID]],Custumer[],1,0),IF(LEN(Transaction[[#This Row],[CustomerID]])=7,LEFT(Transaction[[#This Row],[CustomerID]],6),"Invalid ID"))</f>
        <v>C-1082</v>
      </c>
      <c r="I1028" t="s">
        <v>391</v>
      </c>
      <c r="J1028" t="str">
        <f>TRIM(UPPER(Transaction[[#This Row],[ProductID]]))</f>
        <v>P-FS-002</v>
      </c>
      <c r="K1028" t="str">
        <f>IFERROR(VLOOKUP(Transaction[[#This Row],[ProductID_Clean]],Product[],1,FALSE),"Invalid ID")</f>
        <v>P-FS-002</v>
      </c>
      <c r="L1028" t="str">
        <f>TRIM(SUBSTITUTE(SUBSTITUTE(SUBSTITUTE(SUBSTITUTE(UPPER(Transaction[[#This Row],[Region]]),"EMEA REGION","EMEA"),"APAC REGION","APAC"),"NORTH AMERICA","N. AMERICA"),"N .AMERICA","N.AMERICA"))</f>
        <v>N. AMERICA</v>
      </c>
      <c r="M1028" t="s">
        <v>20</v>
      </c>
      <c r="N1028" t="s">
        <v>21</v>
      </c>
      <c r="O1028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028" t="s">
        <v>22</v>
      </c>
      <c r="Q1028" t="str">
        <f>IF(TRIM(Transaction[[#This Row],[SalesChannel]])="","Missing Value",TRIM(Transaction[[#This Row],[SalesChannel]]))</f>
        <v>Direct</v>
      </c>
      <c r="R1028" s="4">
        <v>1</v>
      </c>
      <c r="S1028" s="4" t="str">
        <f>IF(Transaction[[#This Row],[Quantity]]&lt;0,"Negative-review","Valid")</f>
        <v>Valid</v>
      </c>
      <c r="T1028">
        <v>2027.37</v>
      </c>
      <c r="U102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2027.37</v>
      </c>
      <c r="V1028">
        <v>2400</v>
      </c>
      <c r="W1028">
        <v>2400</v>
      </c>
      <c r="X102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1028">
        <f>IF(Transaction[[#This Row],[GrossRevenue_Check]]="Invalid",Transaction[[#This Row],[ListPrice]]*Transaction[[#This Row],[Quantity]],Transaction[[#This Row],[GrossRevenue_Clean]])</f>
        <v>2400</v>
      </c>
      <c r="Z1028" t="str">
        <f>IF(Transaction[[#This Row],[GrossRevenue_Clean]]=Transaction[[#This Row],[ListPrice]]*Transaction[[#This Row],[Quantity]],"Valid","Invalid")</f>
        <v>Valid</v>
      </c>
      <c r="AA1028">
        <v>372.63</v>
      </c>
      <c r="AB102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372.63</v>
      </c>
      <c r="AC1028">
        <f>IF(Transaction[[#This Row],[DiscountAmount_Check2]]="Invalid",Transaction[[#This Row],[GrossRevenue_Analytical]]-Transaction[[#This Row],[NetRevenue_Analytical]],Transaction[[#This Row],[DiscountAmount_Clean]])</f>
        <v>372.63</v>
      </c>
      <c r="AD1028">
        <v>2027.37</v>
      </c>
      <c r="AE1028" t="str">
        <f>IF(ROUND(Transaction[[#This Row],[GrossRevenue_Analytical]]-Transaction[[#This Row],[NetRevenue_Analytical]],2)=ROUND(Transaction[[#This Row],[DiscountAmount_Clean]],2),"Valid","Invalid")</f>
        <v>Valid</v>
      </c>
      <c r="AF102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2027.37</v>
      </c>
      <c r="AG1028">
        <f>IF(Transaction[[#This Row],[NetRevenue_Check]]="Invalid",(Transaction[[#This Row],[Quantity]]*Transaction[[#This Row],[UnitPrice_Clean]]),Transaction[[#This Row],[NetRevenue_Clean]])</f>
        <v>2027.37</v>
      </c>
      <c r="AH1028" t="str">
        <f>IF(Transaction[[#This Row],[Quantity]]*Transaction[[#This Row],[UnitPrice_Clean]]=Transaction[[#This Row],[NetRevenue_Clean]],"Valid","Invalid")</f>
        <v>Valid</v>
      </c>
      <c r="AI1028" t="s">
        <v>23</v>
      </c>
      <c r="AJ1028" t="s">
        <v>392</v>
      </c>
      <c r="AK1028" t="str">
        <f>IF(Transaction[[#This Row],[Salesperson]]="","Missing Value",TRIM(PROPER(Transaction[[#This Row],[Salesperson]])))</f>
        <v>Wolfe-Na</v>
      </c>
      <c r="AL1028" t="s">
        <v>295</v>
      </c>
      <c r="AM1028" t="str">
        <f>IF(Transaction[[#This Row],[ContractType]]="","Missing Value",Transaction[[#This Row],[ContractType]])</f>
        <v>Multi-Year</v>
      </c>
      <c r="AN1028" t="s">
        <v>65</v>
      </c>
    </row>
    <row r="1029" spans="1:40" x14ac:dyDescent="0.25">
      <c r="A1029" t="s">
        <v>149</v>
      </c>
      <c r="B1029" s="1">
        <v>45720</v>
      </c>
      <c r="C102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02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102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29" s="2">
        <f>IFERROR(DATE(Transaction[[#This Row],[TransactionDateY]],Transaction[[#This Row],[TransactionDateM]],Transaction[[#This Row],[TransactionDateD]]),"Missing Value")</f>
        <v>45720</v>
      </c>
      <c r="G1029" t="s">
        <v>150</v>
      </c>
      <c r="H1029" t="str">
        <f>IFERROR(VLOOKUP(Transaction[[#This Row],[CustomerID]],Custumer[],1,0),IF(LEN(Transaction[[#This Row],[CustomerID]])=7,LEFT(Transaction[[#This Row],[CustomerID]],6),"Invalid ID"))</f>
        <v>C-1061</v>
      </c>
      <c r="I1029" t="s">
        <v>62</v>
      </c>
      <c r="J1029" t="str">
        <f>TRIM(UPPER(Transaction[[#This Row],[ProductID]]))</f>
        <v>P-SI-004</v>
      </c>
      <c r="K1029" t="str">
        <f>IFERROR(VLOOKUP(Transaction[[#This Row],[ProductID_Clean]],Product[],1,FALSE),"Invalid ID")</f>
        <v>P-SI-004</v>
      </c>
      <c r="L1029" t="str">
        <f>TRIM(SUBSTITUTE(SUBSTITUTE(SUBSTITUTE(SUBSTITUTE(UPPER(Transaction[[#This Row],[Region]]),"EMEA REGION","EMEA"),"APAC REGION","APAC"),"NORTH AMERICA","N. AMERICA"),"N .AMERICA","N.AMERICA"))</f>
        <v>EMEA</v>
      </c>
      <c r="M1029" t="s">
        <v>76</v>
      </c>
      <c r="N1029" t="s">
        <v>53</v>
      </c>
      <c r="O102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29" t="s">
        <v>22</v>
      </c>
      <c r="Q1029" t="str">
        <f>IF(TRIM(Transaction[[#This Row],[SalesChannel]])="","Missing Value",TRIM(Transaction[[#This Row],[SalesChannel]]))</f>
        <v>Direct</v>
      </c>
      <c r="R1029" s="4">
        <v>1</v>
      </c>
      <c r="S1029" s="4" t="str">
        <f>IF(Transaction[[#This Row],[Quantity]]&lt;0,"Negative-review","Valid")</f>
        <v>Valid</v>
      </c>
      <c r="T1029">
        <v>2302.8200000000002</v>
      </c>
      <c r="U102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2302.8200000000002</v>
      </c>
      <c r="V1029">
        <v>2450</v>
      </c>
      <c r="W1029">
        <v>2450</v>
      </c>
      <c r="X102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1029">
        <f>IF(Transaction[[#This Row],[GrossRevenue_Check]]="Invalid",Transaction[[#This Row],[ListPrice]]*Transaction[[#This Row],[Quantity]],Transaction[[#This Row],[GrossRevenue_Clean]])</f>
        <v>2450</v>
      </c>
      <c r="Z1029" t="str">
        <f>IF(Transaction[[#This Row],[GrossRevenue_Clean]]=Transaction[[#This Row],[ListPrice]]*Transaction[[#This Row],[Quantity]],"Valid","Invalid")</f>
        <v>Valid</v>
      </c>
      <c r="AA1029">
        <v>147.18</v>
      </c>
      <c r="AB102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147.18</v>
      </c>
      <c r="AC1029">
        <f>IF(Transaction[[#This Row],[DiscountAmount_Check2]]="Invalid",Transaction[[#This Row],[GrossRevenue_Analytical]]-Transaction[[#This Row],[NetRevenue_Analytical]],Transaction[[#This Row],[DiscountAmount_Clean]])</f>
        <v>147.18</v>
      </c>
      <c r="AD1029">
        <v>2302.8200000000002</v>
      </c>
      <c r="AE1029" t="str">
        <f>IF(ROUND(Transaction[[#This Row],[GrossRevenue_Analytical]]-Transaction[[#This Row],[NetRevenue_Analytical]],2)=ROUND(Transaction[[#This Row],[DiscountAmount_Clean]],2),"Valid","Invalid")</f>
        <v>Valid</v>
      </c>
      <c r="AF102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2302.8200000000002</v>
      </c>
      <c r="AG1029">
        <f>IF(Transaction[[#This Row],[NetRevenue_Check]]="Invalid",(Transaction[[#This Row],[Quantity]]*Transaction[[#This Row],[UnitPrice_Clean]]),Transaction[[#This Row],[NetRevenue_Clean]])</f>
        <v>2302.8200000000002</v>
      </c>
      <c r="AH1029" t="str">
        <f>IF(Transaction[[#This Row],[Quantity]]*Transaction[[#This Row],[UnitPrice_Clean]]=Transaction[[#This Row],[NetRevenue_Clean]],"Valid","Invalid")</f>
        <v>Valid</v>
      </c>
      <c r="AI1029" t="s">
        <v>23</v>
      </c>
      <c r="AJ1029" t="s">
        <v>151</v>
      </c>
      <c r="AK1029" t="str">
        <f>IF(Transaction[[#This Row],[Salesperson]]="","Missing Value",TRIM(PROPER(Transaction[[#This Row],[Salesperson]])))</f>
        <v>Jordan-Ap</v>
      </c>
      <c r="AL1029" t="s">
        <v>25</v>
      </c>
      <c r="AM1029" t="str">
        <f>IF(Transaction[[#This Row],[ContractType]]="","Missing Value",Transaction[[#This Row],[ContractType]])</f>
        <v>Frame Agreement</v>
      </c>
      <c r="AN1029" t="s">
        <v>49</v>
      </c>
    </row>
    <row r="1030" spans="1:40" x14ac:dyDescent="0.25">
      <c r="A1030" t="s">
        <v>2878</v>
      </c>
      <c r="B1030" s="1">
        <v>45812</v>
      </c>
      <c r="C103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03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103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30" s="2">
        <f>IFERROR(DATE(Transaction[[#This Row],[TransactionDateY]],Transaction[[#This Row],[TransactionDateM]],Transaction[[#This Row],[TransactionDateD]]),"Missing Value")</f>
        <v>45812</v>
      </c>
      <c r="G1030" t="s">
        <v>1343</v>
      </c>
      <c r="H1030" t="str">
        <f>IFERROR(VLOOKUP(Transaction[[#This Row],[CustomerID]],Custumer[],1,0),IF(LEN(Transaction[[#This Row],[CustomerID]])=7,LEFT(Transaction[[#This Row],[CustomerID]],6),"Invalid ID"))</f>
        <v>C-1135</v>
      </c>
      <c r="I1030" t="s">
        <v>117</v>
      </c>
      <c r="J1030" t="str">
        <f>TRIM(UPPER(Transaction[[#This Row],[ProductID]]))</f>
        <v>P-SI-007</v>
      </c>
      <c r="K1030" t="str">
        <f>IFERROR(VLOOKUP(Transaction[[#This Row],[ProductID_Clean]],Product[],1,FALSE),"Invalid ID")</f>
        <v>P-SI-007</v>
      </c>
      <c r="L1030" t="str">
        <f>TRIM(SUBSTITUTE(SUBSTITUTE(SUBSTITUTE(SUBSTITUTE(UPPER(Transaction[[#This Row],[Region]]),"EMEA REGION","EMEA"),"APAC REGION","APAC"),"NORTH AMERICA","N. AMERICA"),"N .AMERICA","N.AMERICA"))</f>
        <v>LATIN AMERICA</v>
      </c>
      <c r="M1030" t="s">
        <v>82</v>
      </c>
      <c r="N1030" t="s">
        <v>53</v>
      </c>
      <c r="O103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30" t="s">
        <v>40</v>
      </c>
      <c r="Q1030" t="str">
        <f>IF(TRIM(Transaction[[#This Row],[SalesChannel]])="","Missing Value",TRIM(Transaction[[#This Row],[SalesChannel]]))</f>
        <v>Distributor</v>
      </c>
      <c r="R1030" s="4">
        <v>10</v>
      </c>
      <c r="S1030" s="4" t="str">
        <f>IF(Transaction[[#This Row],[Quantity]]&lt;0,"Negative-review","Valid")</f>
        <v>Valid</v>
      </c>
      <c r="T1030">
        <v>655.5</v>
      </c>
      <c r="U103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655.5</v>
      </c>
      <c r="V1030">
        <v>980</v>
      </c>
      <c r="W1030">
        <v>9800</v>
      </c>
      <c r="X103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1030">
        <f>IF(Transaction[[#This Row],[GrossRevenue_Check]]="Invalid",Transaction[[#This Row],[ListPrice]]*Transaction[[#This Row],[Quantity]],Transaction[[#This Row],[GrossRevenue_Clean]])</f>
        <v>9800</v>
      </c>
      <c r="Z1030" t="str">
        <f>IF(Transaction[[#This Row],[GrossRevenue_Clean]]=Transaction[[#This Row],[ListPrice]]*Transaction[[#This Row],[Quantity]],"Valid","Invalid")</f>
        <v>Valid</v>
      </c>
      <c r="AA1030">
        <v>3245</v>
      </c>
      <c r="AB103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3245</v>
      </c>
      <c r="AC1030">
        <f>IF(Transaction[[#This Row],[DiscountAmount_Check2]]="Invalid",Transaction[[#This Row],[GrossRevenue_Analytical]]-Transaction[[#This Row],[NetRevenue_Analytical]],Transaction[[#This Row],[DiscountAmount_Clean]])</f>
        <v>3245</v>
      </c>
      <c r="AD1030">
        <v>6555</v>
      </c>
      <c r="AE1030" t="str">
        <f>IF(ROUND(Transaction[[#This Row],[GrossRevenue_Analytical]]-Transaction[[#This Row],[NetRevenue_Analytical]],2)=ROUND(Transaction[[#This Row],[DiscountAmount_Clean]],2),"Valid","Invalid")</f>
        <v>Valid</v>
      </c>
      <c r="AF1030">
        <f>VALUE(IF(ISNUMBER(Transaction[[#This Row],[NetRevenue]]),Transaction[[#This Row],[NetRevenue]],IFERROR(IF(FIND("$",Transaction[[#This Row],[NetRevenue]])&gt;0,MID(Transaction[[#This Row],[NetRevenue]],2,10)),Transaction[[#This Row],[NetRevenue]])))</f>
        <v>6555</v>
      </c>
      <c r="AG1030">
        <f>IF(Transaction[[#This Row],[NetRevenue_Check]]="Invalid",(Transaction[[#This Row],[Quantity]]*Transaction[[#This Row],[UnitPrice_Clean]]),Transaction[[#This Row],[NetRevenue_Clean]])</f>
        <v>6555</v>
      </c>
      <c r="AH1030" t="str">
        <f>IF(Transaction[[#This Row],[Quantity]]*Transaction[[#This Row],[UnitPrice_Clean]]=Transaction[[#This Row],[NetRevenue_Clean]],"Valid","Invalid")</f>
        <v>Valid</v>
      </c>
      <c r="AI1030" t="s">
        <v>23</v>
      </c>
      <c r="AJ1030" t="s">
        <v>2879</v>
      </c>
      <c r="AK1030" t="str">
        <f>IF(Transaction[[#This Row],[Salesperson]]="","Missing Value",TRIM(PROPER(Transaction[[#This Row],[Salesperson]])))</f>
        <v>Case-Ap</v>
      </c>
      <c r="AL1030" t="s">
        <v>42</v>
      </c>
      <c r="AM1030" t="str">
        <f>IF(Transaction[[#This Row],[ContractType]]="","Missing Value",Transaction[[#This Row],[ContractType]])</f>
        <v>Standard PO</v>
      </c>
      <c r="AN1030" t="s">
        <v>49</v>
      </c>
    </row>
    <row r="1031" spans="1:40" x14ac:dyDescent="0.25">
      <c r="A1031" t="s">
        <v>2484</v>
      </c>
      <c r="B1031" s="1">
        <v>45710</v>
      </c>
      <c r="C103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03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103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31" s="2">
        <f>IFERROR(DATE(Transaction[[#This Row],[TransactionDateY]],Transaction[[#This Row],[TransactionDateM]],Transaction[[#This Row],[TransactionDateD]]),"Missing Value")</f>
        <v>45710</v>
      </c>
      <c r="G1031" t="s">
        <v>193</v>
      </c>
      <c r="H1031" t="str">
        <f>IFERROR(VLOOKUP(Transaction[[#This Row],[CustomerID]],Custumer[],1,0),IF(LEN(Transaction[[#This Row],[CustomerID]])=7,LEFT(Transaction[[#This Row],[CustomerID]],6),"Invalid ID"))</f>
        <v>C-1079</v>
      </c>
      <c r="I1031" t="s">
        <v>97</v>
      </c>
      <c r="J1031" t="str">
        <f>TRIM(UPPER(Transaction[[#This Row],[ProductID]]))</f>
        <v>P-SI-001</v>
      </c>
      <c r="K1031" t="str">
        <f>IFERROR(VLOOKUP(Transaction[[#This Row],[ProductID_Clean]],Product[],1,FALSE),"Invalid ID")</f>
        <v>P-SI-001</v>
      </c>
      <c r="L1031" t="str">
        <f>TRIM(SUBSTITUTE(SUBSTITUTE(SUBSTITUTE(SUBSTITUTE(UPPER(Transaction[[#This Row],[Region]]),"EMEA REGION","EMEA"),"APAC REGION","APAC"),"NORTH AMERICA","N. AMERICA"),"N .AMERICA","N.AMERICA"))</f>
        <v>N. AMERICA</v>
      </c>
      <c r="M1031" t="s">
        <v>20</v>
      </c>
      <c r="N1031" t="s">
        <v>272</v>
      </c>
      <c r="O103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31" t="s">
        <v>40</v>
      </c>
      <c r="Q1031" t="str">
        <f>IF(TRIM(Transaction[[#This Row],[SalesChannel]])="","Missing Value",TRIM(Transaction[[#This Row],[SalesChannel]]))</f>
        <v>Distributor</v>
      </c>
      <c r="R1031" s="4">
        <v>15</v>
      </c>
      <c r="S1031" s="4" t="str">
        <f>IF(Transaction[[#This Row],[Quantity]]&lt;0,"Negative-review","Valid")</f>
        <v>Valid</v>
      </c>
      <c r="T1031">
        <v>415.61</v>
      </c>
      <c r="U103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415.61</v>
      </c>
      <c r="V1031">
        <v>485</v>
      </c>
      <c r="W1031">
        <v>7275</v>
      </c>
      <c r="X103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7275</v>
      </c>
      <c r="Y1031">
        <f>IF(Transaction[[#This Row],[GrossRevenue_Check]]="Invalid",Transaction[[#This Row],[ListPrice]]*Transaction[[#This Row],[Quantity]],Transaction[[#This Row],[GrossRevenue_Clean]])</f>
        <v>7275</v>
      </c>
      <c r="Z1031" t="str">
        <f>IF(Transaction[[#This Row],[GrossRevenue_Clean]]=Transaction[[#This Row],[ListPrice]]*Transaction[[#This Row],[Quantity]],"Valid","Invalid")</f>
        <v>Valid</v>
      </c>
      <c r="AA1031">
        <v>1040.8499999999999</v>
      </c>
      <c r="AB103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1040.8499999999999</v>
      </c>
      <c r="AC1031">
        <f>IF(Transaction[[#This Row],[DiscountAmount_Check2]]="Invalid",Transaction[[#This Row],[GrossRevenue_Analytical]]-Transaction[[#This Row],[NetRevenue_Analytical]],Transaction[[#This Row],[DiscountAmount_Clean]])</f>
        <v>1040.8499999999999</v>
      </c>
      <c r="AD1031">
        <v>6234.15</v>
      </c>
      <c r="AE1031" t="str">
        <f>IF(ROUND(Transaction[[#This Row],[GrossRevenue_Analytical]]-Transaction[[#This Row],[NetRevenue_Analytical]],2)=ROUND(Transaction[[#This Row],[DiscountAmount_Clean]],2),"Valid","Invalid")</f>
        <v>Valid</v>
      </c>
      <c r="AF1031">
        <f>VALUE(IF(ISNUMBER(Transaction[[#This Row],[NetRevenue]]),Transaction[[#This Row],[NetRevenue]],IFERROR(IF(FIND("$",Transaction[[#This Row],[NetRevenue]])&gt;0,MID(Transaction[[#This Row],[NetRevenue]],2,10)),Transaction[[#This Row],[NetRevenue]])))</f>
        <v>6234.15</v>
      </c>
      <c r="AG1031">
        <f>IF(Transaction[[#This Row],[NetRevenue_Check]]="Invalid",(Transaction[[#This Row],[Quantity]]*Transaction[[#This Row],[UnitPrice_Clean]]),Transaction[[#This Row],[NetRevenue_Clean]])</f>
        <v>6234.15</v>
      </c>
      <c r="AH1031" t="str">
        <f>IF(Transaction[[#This Row],[Quantity]]*Transaction[[#This Row],[UnitPrice_Clean]]=Transaction[[#This Row],[NetRevenue_Clean]],"Valid","Invalid")</f>
        <v>Valid</v>
      </c>
      <c r="AI1031" t="s">
        <v>23</v>
      </c>
      <c r="AJ1031" t="s">
        <v>59</v>
      </c>
      <c r="AK1031" t="str">
        <f>IF(Transaction[[#This Row],[Salesperson]]="","Missing Value",TRIM(PROPER(Transaction[[#This Row],[Salesperson]])))</f>
        <v>White-Na</v>
      </c>
      <c r="AL1031" t="s">
        <v>42</v>
      </c>
      <c r="AM1031" t="str">
        <f>IF(Transaction[[#This Row],[ContractType]]="","Missing Value",Transaction[[#This Row],[ContractType]])</f>
        <v>Standard PO</v>
      </c>
      <c r="AN1031" t="s">
        <v>65</v>
      </c>
    </row>
    <row r="1032" spans="1:40" x14ac:dyDescent="0.25">
      <c r="A1032" t="s">
        <v>2142</v>
      </c>
      <c r="B1032" s="1">
        <v>45719</v>
      </c>
      <c r="C103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03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103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32" s="2">
        <f>IFERROR(DATE(Transaction[[#This Row],[TransactionDateY]],Transaction[[#This Row],[TransactionDateM]],Transaction[[#This Row],[TransactionDateD]]),"Missing Value")</f>
        <v>45719</v>
      </c>
      <c r="G1032" t="s">
        <v>276</v>
      </c>
      <c r="H1032" t="str">
        <f>IFERROR(VLOOKUP(Transaction[[#This Row],[CustomerID]],Custumer[],1,0),IF(LEN(Transaction[[#This Row],[CustomerID]])=7,LEFT(Transaction[[#This Row],[CustomerID]],6),"Invalid ID"))</f>
        <v>C-1129</v>
      </c>
      <c r="I1032" t="s">
        <v>46</v>
      </c>
      <c r="J1032" t="str">
        <f>TRIM(UPPER(Transaction[[#This Row],[ProductID]]))</f>
        <v>P-SI-006</v>
      </c>
      <c r="K1032" t="str">
        <f>IFERROR(VLOOKUP(Transaction[[#This Row],[ProductID_Clean]],Product[],1,FALSE),"Invalid ID")</f>
        <v>P-SI-006</v>
      </c>
      <c r="L1032" t="str">
        <f>TRIM(SUBSTITUTE(SUBSTITUTE(SUBSTITUTE(SUBSTITUTE(UPPER(Transaction[[#This Row],[Region]]),"EMEA REGION","EMEA"),"APAC REGION","APAC"),"NORTH AMERICA","N. AMERICA"),"N .AMERICA","N.AMERICA"))</f>
        <v>N. AMERICA</v>
      </c>
      <c r="M1032" t="s">
        <v>20</v>
      </c>
      <c r="N1032" t="s">
        <v>53</v>
      </c>
      <c r="O103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32" t="s">
        <v>22</v>
      </c>
      <c r="Q1032" t="str">
        <f>IF(TRIM(Transaction[[#This Row],[SalesChannel]])="","Missing Value",TRIM(Transaction[[#This Row],[SalesChannel]]))</f>
        <v>Direct</v>
      </c>
      <c r="R1032" s="4">
        <v>5</v>
      </c>
      <c r="S1032" s="4" t="str">
        <f>IF(Transaction[[#This Row],[Quantity]]&lt;0,"Negative-review","Valid")</f>
        <v>Valid</v>
      </c>
      <c r="T1032">
        <v>189.51</v>
      </c>
      <c r="U103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189.51</v>
      </c>
      <c r="V1032">
        <v>215</v>
      </c>
      <c r="W1032">
        <v>1075</v>
      </c>
      <c r="X103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1075</v>
      </c>
      <c r="Y1032">
        <f>IF(Transaction[[#This Row],[GrossRevenue_Check]]="Invalid",Transaction[[#This Row],[ListPrice]]*Transaction[[#This Row],[Quantity]],Transaction[[#This Row],[GrossRevenue_Clean]])</f>
        <v>1075</v>
      </c>
      <c r="Z1032" t="str">
        <f>IF(Transaction[[#This Row],[GrossRevenue_Clean]]=Transaction[[#This Row],[ListPrice]]*Transaction[[#This Row],[Quantity]],"Valid","Invalid")</f>
        <v>Valid</v>
      </c>
      <c r="AA1032">
        <v>127.45</v>
      </c>
      <c r="AB103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127.45</v>
      </c>
      <c r="AC1032">
        <f>IF(Transaction[[#This Row],[DiscountAmount_Check2]]="Invalid",Transaction[[#This Row],[GrossRevenue_Analytical]]-Transaction[[#This Row],[NetRevenue_Analytical]],Transaction[[#This Row],[DiscountAmount_Clean]])</f>
        <v>127.45</v>
      </c>
      <c r="AD1032">
        <v>947.55</v>
      </c>
      <c r="AE1032" t="str">
        <f>IF(ROUND(Transaction[[#This Row],[GrossRevenue_Analytical]]-Transaction[[#This Row],[NetRevenue_Analytical]],2)=ROUND(Transaction[[#This Row],[DiscountAmount_Clean]],2),"Valid","Invalid")</f>
        <v>Valid</v>
      </c>
      <c r="AF1032">
        <f>VALUE(IF(ISNUMBER(Transaction[[#This Row],[NetRevenue]]),Transaction[[#This Row],[NetRevenue]],IFERROR(IF(FIND("$",Transaction[[#This Row],[NetRevenue]])&gt;0,MID(Transaction[[#This Row],[NetRevenue]],2,10)),Transaction[[#This Row],[NetRevenue]])))</f>
        <v>947.55</v>
      </c>
      <c r="AG1032">
        <f>IF(Transaction[[#This Row],[NetRevenue_Check]]="Invalid",(Transaction[[#This Row],[Quantity]]*Transaction[[#This Row],[UnitPrice_Clean]]),Transaction[[#This Row],[NetRevenue_Clean]])</f>
        <v>947.55</v>
      </c>
      <c r="AH1032" t="str">
        <f>IF(Transaction[[#This Row],[Quantity]]*Transaction[[#This Row],[UnitPrice_Clean]]=Transaction[[#This Row],[NetRevenue_Clean]],"Valid","Invalid")</f>
        <v>Valid</v>
      </c>
      <c r="AI1032" t="s">
        <v>23</v>
      </c>
      <c r="AJ1032" t="s">
        <v>2143</v>
      </c>
      <c r="AK1032" t="str">
        <f>IF(Transaction[[#This Row],[Salesperson]]="","Missing Value",TRIM(PROPER(Transaction[[#This Row],[Salesperson]])))</f>
        <v>Hull-Em</v>
      </c>
      <c r="AL1032" t="s">
        <v>25</v>
      </c>
      <c r="AM1032" t="str">
        <f>IF(Transaction[[#This Row],[ContractType]]="","Missing Value",Transaction[[#This Row],[ContractType]])</f>
        <v>Frame Agreement</v>
      </c>
      <c r="AN1032" t="s">
        <v>49</v>
      </c>
    </row>
    <row r="1033" spans="1:40" x14ac:dyDescent="0.25">
      <c r="A1033" t="s">
        <v>1500</v>
      </c>
      <c r="B1033" s="1">
        <v>45740</v>
      </c>
      <c r="C103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03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103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33" s="2">
        <f>IFERROR(DATE(Transaction[[#This Row],[TransactionDateY]],Transaction[[#This Row],[TransactionDateM]],Transaction[[#This Row],[TransactionDateD]]),"Missing Value")</f>
        <v>45740</v>
      </c>
      <c r="G1033" t="s">
        <v>200</v>
      </c>
      <c r="H1033" t="str">
        <f>IFERROR(VLOOKUP(Transaction[[#This Row],[CustomerID]],Custumer[],1,0),IF(LEN(Transaction[[#This Row],[CustomerID]])=7,LEFT(Transaction[[#This Row],[CustomerID]],6),"Invalid ID"))</f>
        <v>C-1070</v>
      </c>
      <c r="I1033" t="s">
        <v>92</v>
      </c>
      <c r="J1033" t="str">
        <f>TRIM(UPPER(Transaction[[#This Row],[ProductID]]))</f>
        <v>P-SI-008</v>
      </c>
      <c r="K1033" t="str">
        <f>IFERROR(VLOOKUP(Transaction[[#This Row],[ProductID_Clean]],Product[],1,FALSE),"Invalid ID")</f>
        <v>P-SI-008</v>
      </c>
      <c r="L1033" t="str">
        <f>TRIM(SUBSTITUTE(SUBSTITUTE(SUBSTITUTE(SUBSTITUTE(UPPER(Transaction[[#This Row],[Region]]),"EMEA REGION","EMEA"),"APAC REGION","APAC"),"NORTH AMERICA","N. AMERICA"),"N .AMERICA","N.AMERICA"))</f>
        <v>EMEA</v>
      </c>
      <c r="M1033" t="s">
        <v>76</v>
      </c>
      <c r="N1033" t="s">
        <v>53</v>
      </c>
      <c r="O103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33" t="s">
        <v>22</v>
      </c>
      <c r="Q1033" t="str">
        <f>IF(TRIM(Transaction[[#This Row],[SalesChannel]])="","Missing Value",TRIM(Transaction[[#This Row],[SalesChannel]]))</f>
        <v>Direct</v>
      </c>
      <c r="R1033" s="4">
        <v>5</v>
      </c>
      <c r="S1033" s="4" t="str">
        <f>IF(Transaction[[#This Row],[Quantity]]&lt;0,"Negative-review","Valid")</f>
        <v>Valid</v>
      </c>
      <c r="T1033" t="s">
        <v>1501</v>
      </c>
      <c r="U103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857.82</v>
      </c>
      <c r="V1033">
        <v>950</v>
      </c>
      <c r="W1033">
        <v>4750</v>
      </c>
      <c r="X103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4750</v>
      </c>
      <c r="Y1033">
        <f>IF(Transaction[[#This Row],[GrossRevenue_Check]]="Invalid",Transaction[[#This Row],[ListPrice]]*Transaction[[#This Row],[Quantity]],Transaction[[#This Row],[GrossRevenue_Clean]])</f>
        <v>4750</v>
      </c>
      <c r="Z1033" t="str">
        <f>IF(Transaction[[#This Row],[GrossRevenue_Clean]]=Transaction[[#This Row],[ListPrice]]*Transaction[[#This Row],[Quantity]],"Valid","Invalid")</f>
        <v>Valid</v>
      </c>
      <c r="AA1033">
        <v>460.9</v>
      </c>
      <c r="AB103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460.9</v>
      </c>
      <c r="AC1033">
        <f>IF(Transaction[[#This Row],[DiscountAmount_Check2]]="Invalid",Transaction[[#This Row],[GrossRevenue_Analytical]]-Transaction[[#This Row],[NetRevenue_Analytical]],Transaction[[#This Row],[DiscountAmount_Clean]])</f>
        <v>460.9</v>
      </c>
      <c r="AD1033">
        <v>4289.1000000000004</v>
      </c>
      <c r="AE1033" t="str">
        <f>IF(ROUND(Transaction[[#This Row],[GrossRevenue_Analytical]]-Transaction[[#This Row],[NetRevenue_Analytical]],2)=ROUND(Transaction[[#This Row],[DiscountAmount_Clean]],2),"Valid","Invalid")</f>
        <v>Valid</v>
      </c>
      <c r="AF1033">
        <f>VALUE(IF(ISNUMBER(Transaction[[#This Row],[NetRevenue]]),Transaction[[#This Row],[NetRevenue]],IFERROR(IF(FIND("$",Transaction[[#This Row],[NetRevenue]])&gt;0,MID(Transaction[[#This Row],[NetRevenue]],2,10)),Transaction[[#This Row],[NetRevenue]])))</f>
        <v>4289.1000000000004</v>
      </c>
      <c r="AG1033">
        <f>IF(Transaction[[#This Row],[NetRevenue_Check]]="Invalid",(Transaction[[#This Row],[Quantity]]*Transaction[[#This Row],[UnitPrice_Clean]]),Transaction[[#This Row],[NetRevenue_Clean]])</f>
        <v>4289.1000000000004</v>
      </c>
      <c r="AH1033" t="str">
        <f>IF(Transaction[[#This Row],[Quantity]]*Transaction[[#This Row],[UnitPrice_Clean]]=Transaction[[#This Row],[NetRevenue_Clean]],"Valid","Invalid")</f>
        <v>Valid</v>
      </c>
      <c r="AI1033" t="s">
        <v>23</v>
      </c>
      <c r="AJ1033" t="s">
        <v>1317</v>
      </c>
      <c r="AK1033" t="str">
        <f>IF(Transaction[[#This Row],[Salesperson]]="","Missing Value",TRIM(PROPER(Transaction[[#This Row],[Salesperson]])))</f>
        <v>Warren</v>
      </c>
      <c r="AL1033" t="s">
        <v>25</v>
      </c>
      <c r="AM1033" t="str">
        <f>IF(Transaction[[#This Row],[ContractType]]="","Missing Value",Transaction[[#This Row],[ContractType]])</f>
        <v>Frame Agreement</v>
      </c>
      <c r="AN1033" t="s">
        <v>35</v>
      </c>
    </row>
    <row r="1034" spans="1:40" x14ac:dyDescent="0.25">
      <c r="A1034" t="s">
        <v>2465</v>
      </c>
      <c r="B1034" t="s">
        <v>2466</v>
      </c>
      <c r="C103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103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08</v>
      </c>
      <c r="E103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34" s="2">
        <f>IFERROR(DATE(Transaction[[#This Row],[TransactionDateY]],Transaction[[#This Row],[TransactionDateM]],Transaction[[#This Row],[TransactionDateD]]),"Missing Value")</f>
        <v>45755</v>
      </c>
      <c r="G1034" t="s">
        <v>186</v>
      </c>
      <c r="H1034" t="str">
        <f>IFERROR(VLOOKUP(Transaction[[#This Row],[CustomerID]],Custumer[],1,0),IF(LEN(Transaction[[#This Row],[CustomerID]])=7,LEFT(Transaction[[#This Row],[CustomerID]],6),"Invalid ID"))</f>
        <v>C-1063</v>
      </c>
      <c r="I1034" t="s">
        <v>226</v>
      </c>
      <c r="J1034" t="str">
        <f>TRIM(UPPER(Transaction[[#This Row],[ProductID]]))</f>
        <v>P-SA-002</v>
      </c>
      <c r="K1034" t="str">
        <f>IFERROR(VLOOKUP(Transaction[[#This Row],[ProductID_Clean]],Product[],1,FALSE),"Invalid ID")</f>
        <v>P-SA-002</v>
      </c>
      <c r="L1034" t="str">
        <f>TRIM(SUBSTITUTE(SUBSTITUTE(SUBSTITUTE(SUBSTITUTE(UPPER(Transaction[[#This Row],[Region]]),"EMEA REGION","EMEA"),"APAC REGION","APAC"),"NORTH AMERICA","N. AMERICA"),"N .AMERICA","N.AMERICA"))</f>
        <v>N. AMERICA</v>
      </c>
      <c r="M1034" t="s">
        <v>20</v>
      </c>
      <c r="N1034" t="s">
        <v>31</v>
      </c>
      <c r="O103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34" t="s">
        <v>22</v>
      </c>
      <c r="Q1034" t="str">
        <f>IF(TRIM(Transaction[[#This Row],[SalesChannel]])="","Missing Value",TRIM(Transaction[[#This Row],[SalesChannel]]))</f>
        <v>Direct</v>
      </c>
      <c r="R1034" s="4">
        <v>1</v>
      </c>
      <c r="S1034" s="4" t="str">
        <f>IF(Transaction[[#This Row],[Quantity]]&lt;0,"Negative-review","Valid")</f>
        <v>Valid</v>
      </c>
      <c r="T1034">
        <v>8595.17</v>
      </c>
      <c r="U103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8595.17</v>
      </c>
      <c r="V1034">
        <v>9800</v>
      </c>
      <c r="W1034">
        <v>9800</v>
      </c>
      <c r="X103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1034">
        <f>IF(Transaction[[#This Row],[GrossRevenue_Check]]="Invalid",Transaction[[#This Row],[ListPrice]]*Transaction[[#This Row],[Quantity]],Transaction[[#This Row],[GrossRevenue_Clean]])</f>
        <v>9800</v>
      </c>
      <c r="Z1034" t="str">
        <f>IF(Transaction[[#This Row],[GrossRevenue_Clean]]=Transaction[[#This Row],[ListPrice]]*Transaction[[#This Row],[Quantity]],"Valid","Invalid")</f>
        <v>Valid</v>
      </c>
      <c r="AA1034">
        <v>1204.83</v>
      </c>
      <c r="AB103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1204.83</v>
      </c>
      <c r="AC1034">
        <f>IF(Transaction[[#This Row],[DiscountAmount_Check2]]="Invalid",Transaction[[#This Row],[GrossRevenue_Analytical]]-Transaction[[#This Row],[NetRevenue_Analytical]],Transaction[[#This Row],[DiscountAmount_Clean]])</f>
        <v>1204.83</v>
      </c>
      <c r="AD1034">
        <v>8595.17</v>
      </c>
      <c r="AE1034" t="str">
        <f>IF(ROUND(Transaction[[#This Row],[GrossRevenue_Analytical]]-Transaction[[#This Row],[NetRevenue_Analytical]],2)=ROUND(Transaction[[#This Row],[DiscountAmount_Clean]],2),"Valid","Invalid")</f>
        <v>Valid</v>
      </c>
      <c r="AF1034">
        <f>VALUE(IF(ISNUMBER(Transaction[[#This Row],[NetRevenue]]),Transaction[[#This Row],[NetRevenue]],IFERROR(IF(FIND("$",Transaction[[#This Row],[NetRevenue]])&gt;0,MID(Transaction[[#This Row],[NetRevenue]],2,10)),Transaction[[#This Row],[NetRevenue]])))</f>
        <v>8595.17</v>
      </c>
      <c r="AG1034">
        <f>IF(Transaction[[#This Row],[NetRevenue_Check]]="Invalid",(Transaction[[#This Row],[Quantity]]*Transaction[[#This Row],[UnitPrice_Clean]]),Transaction[[#This Row],[NetRevenue_Clean]])</f>
        <v>8595.17</v>
      </c>
      <c r="AH1034" t="str">
        <f>IF(Transaction[[#This Row],[Quantity]]*Transaction[[#This Row],[UnitPrice_Clean]]=Transaction[[#This Row],[NetRevenue_Clean]],"Valid","Invalid")</f>
        <v>Valid</v>
      </c>
      <c r="AI1034" t="s">
        <v>23</v>
      </c>
      <c r="AJ1034" t="s">
        <v>2314</v>
      </c>
      <c r="AK1034" t="str">
        <f>IF(Transaction[[#This Row],[Salesperson]]="","Missing Value",TRIM(PROPER(Transaction[[#This Row],[Salesperson]])))</f>
        <v>Allen-Na</v>
      </c>
      <c r="AL1034" t="s">
        <v>34</v>
      </c>
      <c r="AM1034" t="str">
        <f>IF(Transaction[[#This Row],[ContractType]]="","Missing Value",Transaction[[#This Row],[ContractType]])</f>
        <v>Annual License</v>
      </c>
      <c r="AN1034" t="s">
        <v>43</v>
      </c>
    </row>
    <row r="1035" spans="1:40" x14ac:dyDescent="0.25">
      <c r="A1035" t="s">
        <v>1804</v>
      </c>
      <c r="B1035" s="1">
        <v>45794</v>
      </c>
      <c r="C103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03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103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35" s="2">
        <f>IFERROR(DATE(Transaction[[#This Row],[TransactionDateY]],Transaction[[#This Row],[TransactionDateM]],Transaction[[#This Row],[TransactionDateD]]),"Missing Value")</f>
        <v>45794</v>
      </c>
      <c r="G1035" t="s">
        <v>167</v>
      </c>
      <c r="H1035" t="str">
        <f>IFERROR(VLOOKUP(Transaction[[#This Row],[CustomerID]],Custumer[],1,0),IF(LEN(Transaction[[#This Row],[CustomerID]])=7,LEFT(Transaction[[#This Row],[CustomerID]],6),"Invalid ID"))</f>
        <v>C-1008</v>
      </c>
      <c r="I1035" t="s">
        <v>226</v>
      </c>
      <c r="J1035" t="str">
        <f>TRIM(UPPER(Transaction[[#This Row],[ProductID]]))</f>
        <v>P-SA-002</v>
      </c>
      <c r="K1035" t="str">
        <f>IFERROR(VLOOKUP(Transaction[[#This Row],[ProductID_Clean]],Product[],1,FALSE),"Invalid ID")</f>
        <v>P-SA-002</v>
      </c>
      <c r="L1035" t="str">
        <f>TRIM(SUBSTITUTE(SUBSTITUTE(SUBSTITUTE(SUBSTITUTE(UPPER(Transaction[[#This Row],[Region]]),"EMEA REGION","EMEA"),"APAC REGION","APAC"),"NORTH AMERICA","N. AMERICA"),"N .AMERICA","N.AMERICA"))</f>
        <v>N. AMERICA</v>
      </c>
      <c r="M1035" t="s">
        <v>20</v>
      </c>
      <c r="N1035" t="s">
        <v>31</v>
      </c>
      <c r="O103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35" t="s">
        <v>22</v>
      </c>
      <c r="Q1035" t="str">
        <f>IF(TRIM(Transaction[[#This Row],[SalesChannel]])="","Missing Value",TRIM(Transaction[[#This Row],[SalesChannel]]))</f>
        <v>Direct</v>
      </c>
      <c r="R1035" s="4">
        <v>1</v>
      </c>
      <c r="S1035" s="4" t="str">
        <f>IF(Transaction[[#This Row],[Quantity]]&lt;0,"Negative-review","Valid")</f>
        <v>Valid</v>
      </c>
      <c r="T1035">
        <v>8745.41</v>
      </c>
      <c r="U103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8745.41</v>
      </c>
      <c r="V1035">
        <v>9800</v>
      </c>
      <c r="W1035" t="s">
        <v>1356</v>
      </c>
      <c r="X103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1035">
        <f>IF(Transaction[[#This Row],[GrossRevenue_Check]]="Invalid",Transaction[[#This Row],[ListPrice]]*Transaction[[#This Row],[Quantity]],Transaction[[#This Row],[GrossRevenue_Clean]])</f>
        <v>9800</v>
      </c>
      <c r="Z1035" t="str">
        <f>IF(Transaction[[#This Row],[GrossRevenue_Clean]]=Transaction[[#This Row],[ListPrice]]*Transaction[[#This Row],[Quantity]],"Valid","Invalid")</f>
        <v>Valid</v>
      </c>
      <c r="AA1035">
        <v>1054.5899999999999</v>
      </c>
      <c r="AB103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1054.5899999999999</v>
      </c>
      <c r="AC1035">
        <f>IF(Transaction[[#This Row],[DiscountAmount_Check2]]="Invalid",Transaction[[#This Row],[GrossRevenue_Analytical]]-Transaction[[#This Row],[NetRevenue_Analytical]],Transaction[[#This Row],[DiscountAmount_Clean]])</f>
        <v>1054.5899999999999</v>
      </c>
      <c r="AD1035">
        <v>8745.41</v>
      </c>
      <c r="AE1035" t="str">
        <f>IF(ROUND(Transaction[[#This Row],[GrossRevenue_Analytical]]-Transaction[[#This Row],[NetRevenue_Analytical]],2)=ROUND(Transaction[[#This Row],[DiscountAmount_Clean]],2),"Valid","Invalid")</f>
        <v>Valid</v>
      </c>
      <c r="AF1035">
        <f>VALUE(IF(ISNUMBER(Transaction[[#This Row],[NetRevenue]]),Transaction[[#This Row],[NetRevenue]],IFERROR(IF(FIND("$",Transaction[[#This Row],[NetRevenue]])&gt;0,MID(Transaction[[#This Row],[NetRevenue]],2,10)),Transaction[[#This Row],[NetRevenue]])))</f>
        <v>8745.41</v>
      </c>
      <c r="AG1035">
        <f>IF(Transaction[[#This Row],[NetRevenue_Check]]="Invalid",(Transaction[[#This Row],[Quantity]]*Transaction[[#This Row],[UnitPrice_Clean]]),Transaction[[#This Row],[NetRevenue_Clean]])</f>
        <v>8745.41</v>
      </c>
      <c r="AH1035" t="str">
        <f>IF(Transaction[[#This Row],[Quantity]]*Transaction[[#This Row],[UnitPrice_Clean]]=Transaction[[#This Row],[NetRevenue_Clean]],"Valid","Invalid")</f>
        <v>Valid</v>
      </c>
      <c r="AI1035" t="s">
        <v>23</v>
      </c>
      <c r="AJ1035" t="s">
        <v>1805</v>
      </c>
      <c r="AK1035" t="str">
        <f>IF(Transaction[[#This Row],[Salesperson]]="","Missing Value",TRIM(PROPER(Transaction[[#This Row],[Salesperson]])))</f>
        <v>Harvey-Ap</v>
      </c>
      <c r="AL1035" t="s">
        <v>210</v>
      </c>
      <c r="AM1035" t="str">
        <f>IF(Transaction[[#This Row],[ContractType]]="","Missing Value",Transaction[[#This Row],[ContractType]])</f>
        <v>Perpetual</v>
      </c>
      <c r="AN1035" t="s">
        <v>26</v>
      </c>
    </row>
    <row r="1036" spans="1:40" x14ac:dyDescent="0.25">
      <c r="A1036" t="s">
        <v>548</v>
      </c>
      <c r="B1036" t="s">
        <v>549</v>
      </c>
      <c r="C103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103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02</v>
      </c>
      <c r="E103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36" s="2">
        <f>IFERROR(DATE(Transaction[[#This Row],[TransactionDateY]],Transaction[[#This Row],[TransactionDateM]],Transaction[[#This Row],[TransactionDateD]]),"Missing Value")</f>
        <v>45749</v>
      </c>
      <c r="G1036" t="s">
        <v>550</v>
      </c>
      <c r="H1036" t="str">
        <f>IFERROR(VLOOKUP(Transaction[[#This Row],[CustomerID]],Custumer[],1,0),IF(LEN(Transaction[[#This Row],[CustomerID]])=7,LEFT(Transaction[[#This Row],[CustomerID]],6),"Invalid ID"))</f>
        <v>C-1136</v>
      </c>
      <c r="I1036" t="s">
        <v>97</v>
      </c>
      <c r="J1036" t="str">
        <f>TRIM(UPPER(Transaction[[#This Row],[ProductID]]))</f>
        <v>P-SI-001</v>
      </c>
      <c r="K1036" t="str">
        <f>IFERROR(VLOOKUP(Transaction[[#This Row],[ProductID_Clean]],Product[],1,FALSE),"Invalid ID")</f>
        <v>P-SI-001</v>
      </c>
      <c r="L1036" t="str">
        <f>TRIM(SUBSTITUTE(SUBSTITUTE(SUBSTITUTE(SUBSTITUTE(UPPER(Transaction[[#This Row],[Region]]),"EMEA REGION","EMEA"),"APAC REGION","APAC"),"NORTH AMERICA","N. AMERICA"),"N .AMERICA","N.AMERICA"))</f>
        <v>N. AMERICA</v>
      </c>
      <c r="M1036" t="s">
        <v>204</v>
      </c>
      <c r="N1036" t="s">
        <v>53</v>
      </c>
      <c r="O103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36" t="s">
        <v>40</v>
      </c>
      <c r="Q1036" t="str">
        <f>IF(TRIM(Transaction[[#This Row],[SalesChannel]])="","Missing Value",TRIM(Transaction[[#This Row],[SalesChannel]]))</f>
        <v>Distributor</v>
      </c>
      <c r="R1036" s="4">
        <v>1</v>
      </c>
      <c r="S1036" s="4" t="str">
        <f>IF(Transaction[[#This Row],[Quantity]]&lt;0,"Negative-review","Valid")</f>
        <v>Valid</v>
      </c>
      <c r="T1036">
        <v>429.16</v>
      </c>
      <c r="U103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429.16</v>
      </c>
      <c r="V1036">
        <v>485</v>
      </c>
      <c r="W1036">
        <v>485</v>
      </c>
      <c r="X103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1036">
        <f>IF(Transaction[[#This Row],[GrossRevenue_Check]]="Invalid",Transaction[[#This Row],[ListPrice]]*Transaction[[#This Row],[Quantity]],Transaction[[#This Row],[GrossRevenue_Clean]])</f>
        <v>485</v>
      </c>
      <c r="Z1036" t="str">
        <f>IF(Transaction[[#This Row],[GrossRevenue_Clean]]=Transaction[[#This Row],[ListPrice]]*Transaction[[#This Row],[Quantity]],"Valid","Invalid")</f>
        <v>Valid</v>
      </c>
      <c r="AA1036">
        <v>55.84</v>
      </c>
      <c r="AB103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55.84</v>
      </c>
      <c r="AC1036">
        <f>IF(Transaction[[#This Row],[DiscountAmount_Check2]]="Invalid",Transaction[[#This Row],[GrossRevenue_Analytical]]-Transaction[[#This Row],[NetRevenue_Analytical]],Transaction[[#This Row],[DiscountAmount_Clean]])</f>
        <v>55.84</v>
      </c>
      <c r="AD1036">
        <v>429.16</v>
      </c>
      <c r="AE1036" t="str">
        <f>IF(ROUND(Transaction[[#This Row],[GrossRevenue_Analytical]]-Transaction[[#This Row],[NetRevenue_Analytical]],2)=ROUND(Transaction[[#This Row],[DiscountAmount_Clean]],2),"Valid","Invalid")</f>
        <v>Valid</v>
      </c>
      <c r="AF1036">
        <f>VALUE(IF(ISNUMBER(Transaction[[#This Row],[NetRevenue]]),Transaction[[#This Row],[NetRevenue]],IFERROR(IF(FIND("$",Transaction[[#This Row],[NetRevenue]])&gt;0,MID(Transaction[[#This Row],[NetRevenue]],2,10)),Transaction[[#This Row],[NetRevenue]])))</f>
        <v>429.16</v>
      </c>
      <c r="AG1036">
        <f>IF(Transaction[[#This Row],[NetRevenue_Check]]="Invalid",(Transaction[[#This Row],[Quantity]]*Transaction[[#This Row],[UnitPrice_Clean]]),Transaction[[#This Row],[NetRevenue_Clean]])</f>
        <v>429.16</v>
      </c>
      <c r="AH1036" t="str">
        <f>IF(Transaction[[#This Row],[Quantity]]*Transaction[[#This Row],[UnitPrice_Clean]]=Transaction[[#This Row],[NetRevenue_Clean]],"Valid","Invalid")</f>
        <v>Valid</v>
      </c>
      <c r="AI1036" t="s">
        <v>23</v>
      </c>
      <c r="AJ1036" t="s">
        <v>551</v>
      </c>
      <c r="AK1036" t="str">
        <f>IF(Transaction[[#This Row],[Salesperson]]="","Missing Value",TRIM(PROPER(Transaction[[#This Row],[Salesperson]])))</f>
        <v>King</v>
      </c>
      <c r="AL1036" t="s">
        <v>42</v>
      </c>
      <c r="AM1036" t="str">
        <f>IF(Transaction[[#This Row],[ContractType]]="","Missing Value",Transaction[[#This Row],[ContractType]])</f>
        <v>Standard PO</v>
      </c>
      <c r="AN1036" t="s">
        <v>65</v>
      </c>
    </row>
    <row r="1037" spans="1:40" x14ac:dyDescent="0.25">
      <c r="A1037" t="s">
        <v>2109</v>
      </c>
      <c r="B1037" s="1">
        <v>45789</v>
      </c>
      <c r="C103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03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103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37" s="2">
        <f>IFERROR(DATE(Transaction[[#This Row],[TransactionDateY]],Transaction[[#This Row],[TransactionDateM]],Transaction[[#This Row],[TransactionDateD]]),"Missing Value")</f>
        <v>45789</v>
      </c>
      <c r="G1037" t="s">
        <v>795</v>
      </c>
      <c r="H1037" t="str">
        <f>IFERROR(VLOOKUP(Transaction[[#This Row],[CustomerID]],Custumer[],1,0),IF(LEN(Transaction[[#This Row],[CustomerID]])=7,LEFT(Transaction[[#This Row],[CustomerID]],6),"Invalid ID"))</f>
        <v>C-1118</v>
      </c>
      <c r="I1037" t="s">
        <v>92</v>
      </c>
      <c r="J1037" t="str">
        <f>TRIM(UPPER(Transaction[[#This Row],[ProductID]]))</f>
        <v>P-SI-008</v>
      </c>
      <c r="K1037" t="str">
        <f>IFERROR(VLOOKUP(Transaction[[#This Row],[ProductID_Clean]],Product[],1,FALSE),"Invalid ID")</f>
        <v>P-SI-008</v>
      </c>
      <c r="L1037" t="str">
        <f>TRIM(SUBSTITUTE(SUBSTITUTE(SUBSTITUTE(SUBSTITUTE(UPPER(Transaction[[#This Row],[Region]]),"EMEA REGION","EMEA"),"APAC REGION","APAC"),"NORTH AMERICA","N. AMERICA"),"N .AMERICA","N.AMERICA"))</f>
        <v>N. AMERICA</v>
      </c>
      <c r="M1037" t="s">
        <v>20</v>
      </c>
      <c r="N1037" t="s">
        <v>53</v>
      </c>
      <c r="O103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37" t="s">
        <v>22</v>
      </c>
      <c r="Q1037" t="str">
        <f>IF(TRIM(Transaction[[#This Row],[SalesChannel]])="","Missing Value",TRIM(Transaction[[#This Row],[SalesChannel]]))</f>
        <v>Direct</v>
      </c>
      <c r="R1037" s="4">
        <v>3</v>
      </c>
      <c r="S1037" s="4" t="str">
        <f>IF(Transaction[[#This Row],[Quantity]]&lt;0,"Negative-review","Valid")</f>
        <v>Valid</v>
      </c>
      <c r="T1037">
        <v>914.75</v>
      </c>
      <c r="U103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914.75</v>
      </c>
      <c r="V1037">
        <v>950</v>
      </c>
      <c r="W1037">
        <v>2850</v>
      </c>
      <c r="X103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2850</v>
      </c>
      <c r="Y1037">
        <f>IF(Transaction[[#This Row],[GrossRevenue_Check]]="Invalid",Transaction[[#This Row],[ListPrice]]*Transaction[[#This Row],[Quantity]],Transaction[[#This Row],[GrossRevenue_Clean]])</f>
        <v>2850</v>
      </c>
      <c r="Z1037" t="str">
        <f>IF(Transaction[[#This Row],[GrossRevenue_Clean]]=Transaction[[#This Row],[ListPrice]]*Transaction[[#This Row],[Quantity]],"Valid","Invalid")</f>
        <v>Valid</v>
      </c>
      <c r="AA1037">
        <v>105.75</v>
      </c>
      <c r="AB103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105.75</v>
      </c>
      <c r="AC1037">
        <f>IF(Transaction[[#This Row],[DiscountAmount_Check2]]="Invalid",Transaction[[#This Row],[GrossRevenue_Analytical]]-Transaction[[#This Row],[NetRevenue_Analytical]],Transaction[[#This Row],[DiscountAmount_Clean]])</f>
        <v>105.75</v>
      </c>
      <c r="AD1037">
        <v>2744.25</v>
      </c>
      <c r="AE1037" t="str">
        <f>IF(ROUND(Transaction[[#This Row],[GrossRevenue_Analytical]]-Transaction[[#This Row],[NetRevenue_Analytical]],2)=ROUND(Transaction[[#This Row],[DiscountAmount_Clean]],2),"Valid","Invalid")</f>
        <v>Valid</v>
      </c>
      <c r="AF1037">
        <f>VALUE(IF(ISNUMBER(Transaction[[#This Row],[NetRevenue]]),Transaction[[#This Row],[NetRevenue]],IFERROR(IF(FIND("$",Transaction[[#This Row],[NetRevenue]])&gt;0,MID(Transaction[[#This Row],[NetRevenue]],2,10)),Transaction[[#This Row],[NetRevenue]])))</f>
        <v>2744.25</v>
      </c>
      <c r="AG1037">
        <f>IF(Transaction[[#This Row],[NetRevenue_Check]]="Invalid",(Transaction[[#This Row],[Quantity]]*Transaction[[#This Row],[UnitPrice_Clean]]),Transaction[[#This Row],[NetRevenue_Clean]])</f>
        <v>2744.25</v>
      </c>
      <c r="AH1037" t="str">
        <f>IF(Transaction[[#This Row],[Quantity]]*Transaction[[#This Row],[UnitPrice_Clean]]=Transaction[[#This Row],[NetRevenue_Clean]],"Valid","Invalid")</f>
        <v>Valid</v>
      </c>
      <c r="AI1037" t="s">
        <v>23</v>
      </c>
      <c r="AK1037" t="str">
        <f>IF(Transaction[[#This Row],[Salesperson]]="","Missing Value",TRIM(PROPER(Transaction[[#This Row],[Salesperson]])))</f>
        <v>Missing Value</v>
      </c>
      <c r="AL1037" t="s">
        <v>42</v>
      </c>
      <c r="AM1037" t="str">
        <f>IF(Transaction[[#This Row],[ContractType]]="","Missing Value",Transaction[[#This Row],[ContractType]])</f>
        <v>Standard PO</v>
      </c>
      <c r="AN1037" t="s">
        <v>49</v>
      </c>
    </row>
    <row r="1038" spans="1:40" x14ac:dyDescent="0.25">
      <c r="A1038" t="s">
        <v>2077</v>
      </c>
      <c r="B1038" s="1">
        <v>45777</v>
      </c>
      <c r="C103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03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103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38" s="2">
        <f>IFERROR(DATE(Transaction[[#This Row],[TransactionDateY]],Transaction[[#This Row],[TransactionDateM]],Transaction[[#This Row],[TransactionDateD]]),"Missing Value")</f>
        <v>45777</v>
      </c>
      <c r="G1038" t="s">
        <v>1636</v>
      </c>
      <c r="H1038" t="str">
        <f>IFERROR(VLOOKUP(Transaction[[#This Row],[CustomerID]],Custumer[],1,0),IF(LEN(Transaction[[#This Row],[CustomerID]])=7,LEFT(Transaction[[#This Row],[CustomerID]],6),"Invalid ID"))</f>
        <v>C-1140</v>
      </c>
      <c r="I1038" t="s">
        <v>111</v>
      </c>
      <c r="J1038" t="str">
        <f>TRIM(UPPER(Transaction[[#This Row],[ProductID]]))</f>
        <v>P-SA-004</v>
      </c>
      <c r="K1038" t="str">
        <f>IFERROR(VLOOKUP(Transaction[[#This Row],[ProductID_Clean]],Product[],1,FALSE),"Invalid ID")</f>
        <v>P-SA-004</v>
      </c>
      <c r="L1038" t="str">
        <f>TRIM(SUBSTITUTE(SUBSTITUTE(SUBSTITUTE(SUBSTITUTE(UPPER(Transaction[[#This Row],[Region]]),"EMEA REGION","EMEA"),"APAC REGION","APAC"),"NORTH AMERICA","N. AMERICA"),"N .AMERICA","N.AMERICA"))</f>
        <v>N. AMERICA</v>
      </c>
      <c r="M1038" t="s">
        <v>168</v>
      </c>
      <c r="N1038" t="s">
        <v>31</v>
      </c>
      <c r="O103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38" t="s">
        <v>22</v>
      </c>
      <c r="Q1038" t="str">
        <f>IF(TRIM(Transaction[[#This Row],[SalesChannel]])="","Missing Value",TRIM(Transaction[[#This Row],[SalesChannel]]))</f>
        <v>Direct</v>
      </c>
      <c r="R1038" s="4">
        <v>1</v>
      </c>
      <c r="S1038" s="4" t="str">
        <f>IF(Transaction[[#This Row],[Quantity]]&lt;0,"Negative-review","Valid")</f>
        <v>Valid</v>
      </c>
      <c r="T1038">
        <v>1560.64</v>
      </c>
      <c r="U103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1560.64</v>
      </c>
      <c r="V1038">
        <v>1650</v>
      </c>
      <c r="W1038">
        <v>1650</v>
      </c>
      <c r="X103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038">
        <f>IF(Transaction[[#This Row],[GrossRevenue_Check]]="Invalid",Transaction[[#This Row],[ListPrice]]*Transaction[[#This Row],[Quantity]],Transaction[[#This Row],[GrossRevenue_Clean]])</f>
        <v>1650</v>
      </c>
      <c r="Z1038" t="str">
        <f>IF(Transaction[[#This Row],[GrossRevenue_Clean]]=Transaction[[#This Row],[ListPrice]]*Transaction[[#This Row],[Quantity]],"Valid","Invalid")</f>
        <v>Valid</v>
      </c>
      <c r="AA1038">
        <v>89.36</v>
      </c>
      <c r="AB103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89.36</v>
      </c>
      <c r="AC1038">
        <f>IF(Transaction[[#This Row],[DiscountAmount_Check2]]="Invalid",Transaction[[#This Row],[GrossRevenue_Analytical]]-Transaction[[#This Row],[NetRevenue_Analytical]],Transaction[[#This Row],[DiscountAmount_Clean]])</f>
        <v>89.36</v>
      </c>
      <c r="AD1038">
        <v>1560.64</v>
      </c>
      <c r="AE1038" t="str">
        <f>IF(ROUND(Transaction[[#This Row],[GrossRevenue_Analytical]]-Transaction[[#This Row],[NetRevenue_Analytical]],2)=ROUND(Transaction[[#This Row],[DiscountAmount_Clean]],2),"Valid","Invalid")</f>
        <v>Valid</v>
      </c>
      <c r="AF103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1560.64</v>
      </c>
      <c r="AG1038">
        <f>IF(Transaction[[#This Row],[NetRevenue_Check]]="Invalid",(Transaction[[#This Row],[Quantity]]*Transaction[[#This Row],[UnitPrice_Clean]]),Transaction[[#This Row],[NetRevenue_Clean]])</f>
        <v>1560.64</v>
      </c>
      <c r="AH1038" t="str">
        <f>IF(Transaction[[#This Row],[Quantity]]*Transaction[[#This Row],[UnitPrice_Clean]]=Transaction[[#This Row],[NetRevenue_Clean]],"Valid","Invalid")</f>
        <v>Valid</v>
      </c>
      <c r="AI1038" t="s">
        <v>23</v>
      </c>
      <c r="AJ1038" t="s">
        <v>993</v>
      </c>
      <c r="AK1038" t="str">
        <f>IF(Transaction[[#This Row],[Salesperson]]="","Missing Value",TRIM(PROPER(Transaction[[#This Row],[Salesperson]])))</f>
        <v>Miller-Ap</v>
      </c>
      <c r="AL1038" t="s">
        <v>34</v>
      </c>
      <c r="AM1038" t="str">
        <f>IF(Transaction[[#This Row],[ContractType]]="","Missing Value",Transaction[[#This Row],[ContractType]])</f>
        <v>Annual License</v>
      </c>
      <c r="AN1038" t="s">
        <v>35</v>
      </c>
    </row>
    <row r="1039" spans="1:40" x14ac:dyDescent="0.25">
      <c r="A1039" t="s">
        <v>2859</v>
      </c>
      <c r="B1039" t="s">
        <v>2860</v>
      </c>
      <c r="C103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103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01</v>
      </c>
      <c r="E103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39" s="2">
        <f>IFERROR(DATE(Transaction[[#This Row],[TransactionDateY]],Transaction[[#This Row],[TransactionDateM]],Transaction[[#This Row],[TransactionDateD]]),"Missing Value")</f>
        <v>45778</v>
      </c>
      <c r="G1039" t="s">
        <v>429</v>
      </c>
      <c r="H1039" t="str">
        <f>IFERROR(VLOOKUP(Transaction[[#This Row],[CustomerID]],Custumer[],1,0),IF(LEN(Transaction[[#This Row],[CustomerID]])=7,LEFT(Transaction[[#This Row],[CustomerID]],6),"Invalid ID"))</f>
        <v>C-1009</v>
      </c>
      <c r="I1039" t="s">
        <v>304</v>
      </c>
      <c r="J1039" t="str">
        <f>TRIM(UPPER(Transaction[[#This Row],[ProductID]]))</f>
        <v>P-XX-999</v>
      </c>
      <c r="K1039" t="str">
        <f>IFERROR(VLOOKUP(Transaction[[#This Row],[ProductID_Clean]],Product[],1,FALSE),"Invalid ID")</f>
        <v>Invalid ID</v>
      </c>
      <c r="L1039" t="str">
        <f>TRIM(SUBSTITUTE(SUBSTITUTE(SUBSTITUTE(SUBSTITUTE(UPPER(Transaction[[#This Row],[Region]]),"EMEA REGION","EMEA"),"APAC REGION","APAC"),"NORTH AMERICA","N. AMERICA"),"N .AMERICA","N.AMERICA"))</f>
        <v>EMEA</v>
      </c>
      <c r="M1039" t="s">
        <v>76</v>
      </c>
      <c r="N1039" t="s">
        <v>31</v>
      </c>
      <c r="O103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39" t="s">
        <v>22</v>
      </c>
      <c r="Q1039" t="str">
        <f>IF(TRIM(Transaction[[#This Row],[SalesChannel]])="","Missing Value",TRIM(Transaction[[#This Row],[SalesChannel]]))</f>
        <v>Direct</v>
      </c>
      <c r="R1039" s="4">
        <v>1</v>
      </c>
      <c r="S1039" s="4" t="str">
        <f>IF(Transaction[[#This Row],[Quantity]]&lt;0,"Negative-review","Valid")</f>
        <v>Valid</v>
      </c>
      <c r="T1039" t="s">
        <v>2861</v>
      </c>
      <c r="U103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1488.6</v>
      </c>
      <c r="V1039">
        <v>1650</v>
      </c>
      <c r="W1039">
        <v>1650</v>
      </c>
      <c r="X103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039">
        <f>IF(Transaction[[#This Row],[GrossRevenue_Check]]="Invalid",Transaction[[#This Row],[ListPrice]]*Transaction[[#This Row],[Quantity]],Transaction[[#This Row],[GrossRevenue_Clean]])</f>
        <v>1650</v>
      </c>
      <c r="Z1039" t="str">
        <f>IF(Transaction[[#This Row],[GrossRevenue_Clean]]=Transaction[[#This Row],[ListPrice]]*Transaction[[#This Row],[Quantity]],"Valid","Invalid")</f>
        <v>Valid</v>
      </c>
      <c r="AA1039">
        <v>161.4</v>
      </c>
      <c r="AB103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161.4</v>
      </c>
      <c r="AC1039">
        <f>IF(Transaction[[#This Row],[DiscountAmount_Check2]]="Invalid",Transaction[[#This Row],[GrossRevenue_Analytical]]-Transaction[[#This Row],[NetRevenue_Analytical]],Transaction[[#This Row],[DiscountAmount_Clean]])</f>
        <v>161.4</v>
      </c>
      <c r="AD1039">
        <v>1488.6</v>
      </c>
      <c r="AE1039" t="str">
        <f>IF(ROUND(Transaction[[#This Row],[GrossRevenue_Analytical]]-Transaction[[#This Row],[NetRevenue_Analytical]],2)=ROUND(Transaction[[#This Row],[DiscountAmount_Clean]],2),"Valid","Invalid")</f>
        <v>Valid</v>
      </c>
      <c r="AF103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1488.6</v>
      </c>
      <c r="AG1039">
        <f>IF(Transaction[[#This Row],[NetRevenue_Check]]="Invalid",(Transaction[[#This Row],[Quantity]]*Transaction[[#This Row],[UnitPrice_Clean]]),Transaction[[#This Row],[NetRevenue_Clean]])</f>
        <v>1488.6</v>
      </c>
      <c r="AH1039" t="str">
        <f>IF(Transaction[[#This Row],[Quantity]]*Transaction[[#This Row],[UnitPrice_Clean]]=Transaction[[#This Row],[NetRevenue_Clean]],"Valid","Invalid")</f>
        <v>Valid</v>
      </c>
      <c r="AI1039" t="s">
        <v>23</v>
      </c>
      <c r="AJ1039" t="s">
        <v>2862</v>
      </c>
      <c r="AK1039" t="str">
        <f>IF(Transaction[[#This Row],[Salesperson]]="","Missing Value",TRIM(PROPER(Transaction[[#This Row],[Salesperson]])))</f>
        <v>Chung</v>
      </c>
      <c r="AL1039" t="s">
        <v>113</v>
      </c>
      <c r="AM1039" t="str">
        <f>IF(Transaction[[#This Row],[ContractType]]="","Missing Value",Transaction[[#This Row],[ContractType]])</f>
        <v>Subscription</v>
      </c>
      <c r="AN1039" t="s">
        <v>49</v>
      </c>
    </row>
    <row r="1040" spans="1:40" x14ac:dyDescent="0.25">
      <c r="A1040" t="s">
        <v>1866</v>
      </c>
      <c r="B1040" s="1">
        <v>45710</v>
      </c>
      <c r="C104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04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104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40" s="2">
        <f>IFERROR(DATE(Transaction[[#This Row],[TransactionDateY]],Transaction[[#This Row],[TransactionDateM]],Transaction[[#This Row],[TransactionDateD]]),"Missing Value")</f>
        <v>45710</v>
      </c>
      <c r="G1040" t="s">
        <v>135</v>
      </c>
      <c r="H1040" t="str">
        <f>IFERROR(VLOOKUP(Transaction[[#This Row],[CustomerID]],Custumer[],1,0),IF(LEN(Transaction[[#This Row],[CustomerID]])=7,LEFT(Transaction[[#This Row],[CustomerID]],6),"Invalid ID"))</f>
        <v>C-1112</v>
      </c>
      <c r="I1040" t="s">
        <v>46</v>
      </c>
      <c r="J1040" t="str">
        <f>TRIM(UPPER(Transaction[[#This Row],[ProductID]]))</f>
        <v>P-SI-006</v>
      </c>
      <c r="K1040" t="str">
        <f>IFERROR(VLOOKUP(Transaction[[#This Row],[ProductID_Clean]],Product[],1,FALSE),"Invalid ID")</f>
        <v>P-SI-006</v>
      </c>
      <c r="L1040" t="str">
        <f>TRIM(SUBSTITUTE(SUBSTITUTE(SUBSTITUTE(SUBSTITUTE(UPPER(Transaction[[#This Row],[Region]]),"EMEA REGION","EMEA"),"APAC REGION","APAC"),"NORTH AMERICA","N. AMERICA"),"N .AMERICA","N.AMERICA"))</f>
        <v>N. AMERICA</v>
      </c>
      <c r="M1040" t="s">
        <v>20</v>
      </c>
      <c r="N1040" t="s">
        <v>53</v>
      </c>
      <c r="O104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40" t="s">
        <v>22</v>
      </c>
      <c r="Q1040" t="str">
        <f>IF(TRIM(Transaction[[#This Row],[SalesChannel]])="","Missing Value",TRIM(Transaction[[#This Row],[SalesChannel]]))</f>
        <v>Direct</v>
      </c>
      <c r="R1040" s="4">
        <v>2</v>
      </c>
      <c r="S1040" s="4" t="str">
        <f>IF(Transaction[[#This Row],[Quantity]]&lt;0,"Negative-review","Valid")</f>
        <v>Valid</v>
      </c>
      <c r="T1040">
        <v>156.52000000000001</v>
      </c>
      <c r="U104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156.52000000000001</v>
      </c>
      <c r="V1040">
        <v>215</v>
      </c>
      <c r="W1040">
        <v>430</v>
      </c>
      <c r="X104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1040">
        <f>IF(Transaction[[#This Row],[GrossRevenue_Check]]="Invalid",Transaction[[#This Row],[ListPrice]]*Transaction[[#This Row],[Quantity]],Transaction[[#This Row],[GrossRevenue_Clean]])</f>
        <v>430</v>
      </c>
      <c r="Z1040" t="str">
        <f>IF(Transaction[[#This Row],[GrossRevenue_Clean]]=Transaction[[#This Row],[ListPrice]]*Transaction[[#This Row],[Quantity]],"Valid","Invalid")</f>
        <v>Valid</v>
      </c>
      <c r="AA1040" t="s">
        <v>1867</v>
      </c>
      <c r="AB104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116.96</v>
      </c>
      <c r="AC1040">
        <f>IF(Transaction[[#This Row],[DiscountAmount_Check2]]="Invalid",Transaction[[#This Row],[GrossRevenue_Analytical]]-Transaction[[#This Row],[NetRevenue_Analytical]],Transaction[[#This Row],[DiscountAmount_Clean]])</f>
        <v>116.96</v>
      </c>
      <c r="AD1040">
        <v>313.04000000000002</v>
      </c>
      <c r="AE1040" t="str">
        <f>IF(ROUND(Transaction[[#This Row],[GrossRevenue_Analytical]]-Transaction[[#This Row],[NetRevenue_Analytical]],2)=ROUND(Transaction[[#This Row],[DiscountAmount_Clean]],2),"Valid","Invalid")</f>
        <v>Valid</v>
      </c>
      <c r="AF1040">
        <f>VALUE(IF(ISNUMBER(Transaction[[#This Row],[NetRevenue]]),Transaction[[#This Row],[NetRevenue]],IFERROR(IF(FIND("$",Transaction[[#This Row],[NetRevenue]])&gt;0,MID(Transaction[[#This Row],[NetRevenue]],2,10)),Transaction[[#This Row],[NetRevenue]])))</f>
        <v>313.04000000000002</v>
      </c>
      <c r="AG1040">
        <f>IF(Transaction[[#This Row],[NetRevenue_Check]]="Invalid",(Transaction[[#This Row],[Quantity]]*Transaction[[#This Row],[UnitPrice_Clean]]),Transaction[[#This Row],[NetRevenue_Clean]])</f>
        <v>313.04000000000002</v>
      </c>
      <c r="AH1040" t="str">
        <f>IF(Transaction[[#This Row],[Quantity]]*Transaction[[#This Row],[UnitPrice_Clean]]=Transaction[[#This Row],[NetRevenue_Clean]],"Valid","Invalid")</f>
        <v>Valid</v>
      </c>
      <c r="AI1040" t="s">
        <v>23</v>
      </c>
      <c r="AJ1040" t="s">
        <v>1868</v>
      </c>
      <c r="AK1040" t="str">
        <f>IF(Transaction[[#This Row],[Salesperson]]="","Missing Value",TRIM(PROPER(Transaction[[#This Row],[Salesperson]])))</f>
        <v>Stevens</v>
      </c>
      <c r="AL1040" t="s">
        <v>42</v>
      </c>
      <c r="AM1040" t="str">
        <f>IF(Transaction[[#This Row],[ContractType]]="","Missing Value",Transaction[[#This Row],[ContractType]])</f>
        <v>Standard PO</v>
      </c>
      <c r="AN1040" t="s">
        <v>43</v>
      </c>
    </row>
    <row r="1041" spans="1:40" x14ac:dyDescent="0.25">
      <c r="A1041" t="s">
        <v>2167</v>
      </c>
      <c r="B1041" t="s">
        <v>2168</v>
      </c>
      <c r="C104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104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104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41" s="2">
        <f>IFERROR(DATE(Transaction[[#This Row],[TransactionDateY]],Transaction[[#This Row],[TransactionDateM]],Transaction[[#This Row],[TransactionDateD]]),"Missing Value")</f>
        <v>45738</v>
      </c>
      <c r="G1041" t="s">
        <v>146</v>
      </c>
      <c r="H1041" t="str">
        <f>IFERROR(VLOOKUP(Transaction[[#This Row],[CustomerID]],Custumer[],1,0),IF(LEN(Transaction[[#This Row],[CustomerID]])=7,LEFT(Transaction[[#This Row],[CustomerID]],6),"Invalid ID"))</f>
        <v>C-1095</v>
      </c>
      <c r="I1041" t="s">
        <v>52</v>
      </c>
      <c r="J1041" t="str">
        <f>TRIM(UPPER(Transaction[[#This Row],[ProductID]]))</f>
        <v>P-SI-002</v>
      </c>
      <c r="K1041" t="str">
        <f>IFERROR(VLOOKUP(Transaction[[#This Row],[ProductID_Clean]],Product[],1,FALSE),"Invalid ID")</f>
        <v>P-SI-002</v>
      </c>
      <c r="L1041" t="str">
        <f>TRIM(SUBSTITUTE(SUBSTITUTE(SUBSTITUTE(SUBSTITUTE(UPPER(Transaction[[#This Row],[Region]]),"EMEA REGION","EMEA"),"APAC REGION","APAC"),"NORTH AMERICA","N. AMERICA"),"N .AMERICA","N.AMERICA"))</f>
        <v>LATIN AMERICA</v>
      </c>
      <c r="M1041" t="s">
        <v>82</v>
      </c>
      <c r="N1041" t="s">
        <v>47</v>
      </c>
      <c r="O104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41" t="s">
        <v>22</v>
      </c>
      <c r="Q1041" t="str">
        <f>IF(TRIM(Transaction[[#This Row],[SalesChannel]])="","Missing Value",TRIM(Transaction[[#This Row],[SalesChannel]]))</f>
        <v>Direct</v>
      </c>
      <c r="R1041" s="4">
        <v>3</v>
      </c>
      <c r="S1041" s="4" t="str">
        <f>IF(Transaction[[#This Row],[Quantity]]&lt;0,"Negative-review","Valid")</f>
        <v>Valid</v>
      </c>
      <c r="T1041">
        <v>631.64</v>
      </c>
      <c r="U104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631.64</v>
      </c>
      <c r="V1041">
        <v>725</v>
      </c>
      <c r="W1041">
        <v>2175</v>
      </c>
      <c r="X104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2175</v>
      </c>
      <c r="Y1041">
        <f>IF(Transaction[[#This Row],[GrossRevenue_Check]]="Invalid",Transaction[[#This Row],[ListPrice]]*Transaction[[#This Row],[Quantity]],Transaction[[#This Row],[GrossRevenue_Clean]])</f>
        <v>2175</v>
      </c>
      <c r="Z1041" t="str">
        <f>IF(Transaction[[#This Row],[GrossRevenue_Clean]]=Transaction[[#This Row],[ListPrice]]*Transaction[[#This Row],[Quantity]],"Valid","Invalid")</f>
        <v>Valid</v>
      </c>
      <c r="AA1041">
        <v>280.08</v>
      </c>
      <c r="AB104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280.08</v>
      </c>
      <c r="AC1041">
        <f>IF(Transaction[[#This Row],[DiscountAmount_Check2]]="Invalid",Transaction[[#This Row],[GrossRevenue_Analytical]]-Transaction[[#This Row],[NetRevenue_Analytical]],Transaction[[#This Row],[DiscountAmount_Clean]])</f>
        <v>280.08</v>
      </c>
      <c r="AD1041">
        <v>1894.92</v>
      </c>
      <c r="AE1041" t="str">
        <f>IF(ROUND(Transaction[[#This Row],[GrossRevenue_Analytical]]-Transaction[[#This Row],[NetRevenue_Analytical]],2)=ROUND(Transaction[[#This Row],[DiscountAmount_Clean]],2),"Valid","Invalid")</f>
        <v>Valid</v>
      </c>
      <c r="AF104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1894.92</v>
      </c>
      <c r="AG1041">
        <f>IF(Transaction[[#This Row],[NetRevenue_Check]]="Invalid",(Transaction[[#This Row],[Quantity]]*Transaction[[#This Row],[UnitPrice_Clean]]),Transaction[[#This Row],[NetRevenue_Clean]])</f>
        <v>1894.92</v>
      </c>
      <c r="AH1041" t="str">
        <f>IF(Transaction[[#This Row],[Quantity]]*Transaction[[#This Row],[UnitPrice_Clean]]=Transaction[[#This Row],[NetRevenue_Clean]],"Valid","Invalid")</f>
        <v>Valid</v>
      </c>
      <c r="AI1041" t="s">
        <v>23</v>
      </c>
      <c r="AJ1041" t="s">
        <v>2169</v>
      </c>
      <c r="AK1041" t="str">
        <f>IF(Transaction[[#This Row],[Salesperson]]="","Missing Value",TRIM(PROPER(Transaction[[#This Row],[Salesperson]])))</f>
        <v>Sanchez-Na</v>
      </c>
      <c r="AL1041" t="s">
        <v>42</v>
      </c>
      <c r="AM1041" t="str">
        <f>IF(Transaction[[#This Row],[ContractType]]="","Missing Value",Transaction[[#This Row],[ContractType]])</f>
        <v>Standard PO</v>
      </c>
      <c r="AN1041" t="s">
        <v>49</v>
      </c>
    </row>
    <row r="1042" spans="1:40" x14ac:dyDescent="0.25">
      <c r="A1042" t="s">
        <v>1663</v>
      </c>
      <c r="B1042" s="1">
        <v>45669</v>
      </c>
      <c r="C104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04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104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42" s="2">
        <f>IFERROR(DATE(Transaction[[#This Row],[TransactionDateY]],Transaction[[#This Row],[TransactionDateM]],Transaction[[#This Row],[TransactionDateD]]),"Missing Value")</f>
        <v>45669</v>
      </c>
      <c r="G1042" t="s">
        <v>494</v>
      </c>
      <c r="H1042" t="str">
        <f>IFERROR(VLOOKUP(Transaction[[#This Row],[CustomerID]],Custumer[],1,0),IF(LEN(Transaction[[#This Row],[CustomerID]])=7,LEFT(Transaction[[#This Row],[CustomerID]],6),"Invalid ID"))</f>
        <v>C-1132</v>
      </c>
      <c r="I1042" t="s">
        <v>1664</v>
      </c>
      <c r="J1042" t="str">
        <f>TRIM(UPPER(Transaction[[#This Row],[ProductID]]))</f>
        <v>P-SA-002</v>
      </c>
      <c r="K1042" t="str">
        <f>IFERROR(VLOOKUP(Transaction[[#This Row],[ProductID_Clean]],Product[],1,FALSE),"Invalid ID")</f>
        <v>P-SA-002</v>
      </c>
      <c r="L1042" t="str">
        <f>TRIM(SUBSTITUTE(SUBSTITUTE(SUBSTITUTE(SUBSTITUTE(UPPER(Transaction[[#This Row],[Region]]),"EMEA REGION","EMEA"),"APAC REGION","APAC"),"NORTH AMERICA","N. AMERICA"),"N .AMERICA","N.AMERICA"))</f>
        <v>N. AMERICA</v>
      </c>
      <c r="M1042" t="s">
        <v>20</v>
      </c>
      <c r="N1042" t="s">
        <v>31</v>
      </c>
      <c r="O104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42" t="s">
        <v>22</v>
      </c>
      <c r="Q1042" t="str">
        <f>IF(TRIM(Transaction[[#This Row],[SalesChannel]])="","Missing Value",TRIM(Transaction[[#This Row],[SalesChannel]]))</f>
        <v>Direct</v>
      </c>
      <c r="R1042" s="4">
        <v>1</v>
      </c>
      <c r="S1042" s="4" t="str">
        <f>IF(Transaction[[#This Row],[Quantity]]&lt;0,"Negative-review","Valid")</f>
        <v>Valid</v>
      </c>
      <c r="T1042" t="s">
        <v>1665</v>
      </c>
      <c r="U104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9549.08</v>
      </c>
      <c r="V1042">
        <v>9800</v>
      </c>
      <c r="W1042">
        <v>9800</v>
      </c>
      <c r="X104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1042">
        <f>IF(Transaction[[#This Row],[GrossRevenue_Check]]="Invalid",Transaction[[#This Row],[ListPrice]]*Transaction[[#This Row],[Quantity]],Transaction[[#This Row],[GrossRevenue_Clean]])</f>
        <v>9800</v>
      </c>
      <c r="Z1042" t="str">
        <f>IF(Transaction[[#This Row],[GrossRevenue_Clean]]=Transaction[[#This Row],[ListPrice]]*Transaction[[#This Row],[Quantity]],"Valid","Invalid")</f>
        <v>Valid</v>
      </c>
      <c r="AA1042">
        <v>250.92</v>
      </c>
      <c r="AB104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250.92</v>
      </c>
      <c r="AC1042">
        <f>IF(Transaction[[#This Row],[DiscountAmount_Check2]]="Invalid",Transaction[[#This Row],[GrossRevenue_Analytical]]-Transaction[[#This Row],[NetRevenue_Analytical]],Transaction[[#This Row],[DiscountAmount_Clean]])</f>
        <v>250.92</v>
      </c>
      <c r="AD1042">
        <v>9549.08</v>
      </c>
      <c r="AE1042" t="str">
        <f>IF(ROUND(Transaction[[#This Row],[GrossRevenue_Analytical]]-Transaction[[#This Row],[NetRevenue_Analytical]],2)=ROUND(Transaction[[#This Row],[DiscountAmount_Clean]],2),"Valid","Invalid")</f>
        <v>Valid</v>
      </c>
      <c r="AF1042">
        <f>VALUE(IF(ISNUMBER(Transaction[[#This Row],[NetRevenue]]),Transaction[[#This Row],[NetRevenue]],IFERROR(IF(FIND("$",Transaction[[#This Row],[NetRevenue]])&gt;0,MID(Transaction[[#This Row],[NetRevenue]],2,10)),Transaction[[#This Row],[NetRevenue]])))</f>
        <v>9549.08</v>
      </c>
      <c r="AG1042">
        <f>IF(Transaction[[#This Row],[NetRevenue_Check]]="Invalid",(Transaction[[#This Row],[Quantity]]*Transaction[[#This Row],[UnitPrice_Clean]]),Transaction[[#This Row],[NetRevenue_Clean]])</f>
        <v>9549.08</v>
      </c>
      <c r="AH1042" t="str">
        <f>IF(Transaction[[#This Row],[Quantity]]*Transaction[[#This Row],[UnitPrice_Clean]]=Transaction[[#This Row],[NetRevenue_Clean]],"Valid","Invalid")</f>
        <v>Valid</v>
      </c>
      <c r="AI1042" t="s">
        <v>23</v>
      </c>
      <c r="AJ1042" t="s">
        <v>1666</v>
      </c>
      <c r="AK1042" t="str">
        <f>IF(Transaction[[#This Row],[Salesperson]]="","Missing Value",TRIM(PROPER(Transaction[[#This Row],[Salesperson]])))</f>
        <v>Terry-Em</v>
      </c>
      <c r="AL1042" t="s">
        <v>34</v>
      </c>
      <c r="AM1042" t="str">
        <f>IF(Transaction[[#This Row],[ContractType]]="","Missing Value",Transaction[[#This Row],[ContractType]])</f>
        <v>Annual License</v>
      </c>
      <c r="AN1042" t="s">
        <v>49</v>
      </c>
    </row>
    <row r="1043" spans="1:40" x14ac:dyDescent="0.25">
      <c r="A1043" t="s">
        <v>2179</v>
      </c>
      <c r="B1043" s="1">
        <v>45714</v>
      </c>
      <c r="C104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04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104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43" s="2">
        <f>IFERROR(DATE(Transaction[[#This Row],[TransactionDateY]],Transaction[[#This Row],[TransactionDateM]],Transaction[[#This Row],[TransactionDateD]]),"Missing Value")</f>
        <v>45714</v>
      </c>
      <c r="G1043" t="s">
        <v>960</v>
      </c>
      <c r="H1043" t="str">
        <f>IFERROR(VLOOKUP(Transaction[[#This Row],[CustomerID]],Custumer[],1,0),IF(LEN(Transaction[[#This Row],[CustomerID]])=7,LEFT(Transaction[[#This Row],[CustomerID]],6),"Invalid ID"))</f>
        <v>C-1160</v>
      </c>
      <c r="I1043" t="s">
        <v>52</v>
      </c>
      <c r="J1043" t="str">
        <f>TRIM(UPPER(Transaction[[#This Row],[ProductID]]))</f>
        <v>P-SI-002</v>
      </c>
      <c r="K1043" t="str">
        <f>IFERROR(VLOOKUP(Transaction[[#This Row],[ProductID_Clean]],Product[],1,FALSE),"Invalid ID")</f>
        <v>P-SI-002</v>
      </c>
      <c r="L1043" t="str">
        <f>TRIM(SUBSTITUTE(SUBSTITUTE(SUBSTITUTE(SUBSTITUTE(UPPER(Transaction[[#This Row],[Region]]),"EMEA REGION","EMEA"),"APAC REGION","APAC"),"NORTH AMERICA","N. AMERICA"),"N .AMERICA","N.AMERICA"))</f>
        <v>LATIN AMERICA</v>
      </c>
      <c r="M1043" t="s">
        <v>82</v>
      </c>
      <c r="N1043" t="s">
        <v>47</v>
      </c>
      <c r="O104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43" t="s">
        <v>22</v>
      </c>
      <c r="Q1043" t="str">
        <f>IF(TRIM(Transaction[[#This Row],[SalesChannel]])="","Missing Value",TRIM(Transaction[[#This Row],[SalesChannel]]))</f>
        <v>Direct</v>
      </c>
      <c r="R1043" s="4">
        <v>1</v>
      </c>
      <c r="S1043" s="4" t="str">
        <f>IF(Transaction[[#This Row],[Quantity]]&lt;0,"Negative-review","Valid")</f>
        <v>Valid</v>
      </c>
      <c r="T1043">
        <v>683.59</v>
      </c>
      <c r="U104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683.59</v>
      </c>
      <c r="V1043">
        <v>725</v>
      </c>
      <c r="W1043">
        <v>725</v>
      </c>
      <c r="X104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1043">
        <f>IF(Transaction[[#This Row],[GrossRevenue_Check]]="Invalid",Transaction[[#This Row],[ListPrice]]*Transaction[[#This Row],[Quantity]],Transaction[[#This Row],[GrossRevenue_Clean]])</f>
        <v>725</v>
      </c>
      <c r="Z1043" t="str">
        <f>IF(Transaction[[#This Row],[GrossRevenue_Clean]]=Transaction[[#This Row],[ListPrice]]*Transaction[[#This Row],[Quantity]],"Valid","Invalid")</f>
        <v>Valid</v>
      </c>
      <c r="AA1043">
        <v>41.41</v>
      </c>
      <c r="AB104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41.41</v>
      </c>
      <c r="AC1043">
        <f>IF(Transaction[[#This Row],[DiscountAmount_Check2]]="Invalid",Transaction[[#This Row],[GrossRevenue_Analytical]]-Transaction[[#This Row],[NetRevenue_Analytical]],Transaction[[#This Row],[DiscountAmount_Clean]])</f>
        <v>41.41</v>
      </c>
      <c r="AD1043">
        <v>683.59</v>
      </c>
      <c r="AE1043" t="str">
        <f>IF(ROUND(Transaction[[#This Row],[GrossRevenue_Analytical]]-Transaction[[#This Row],[NetRevenue_Analytical]],2)=ROUND(Transaction[[#This Row],[DiscountAmount_Clean]],2),"Valid","Invalid")</f>
        <v>Valid</v>
      </c>
      <c r="AF1043">
        <f>VALUE(IF(ISNUMBER(Transaction[[#This Row],[NetRevenue]]),Transaction[[#This Row],[NetRevenue]],IFERROR(IF(FIND("$",Transaction[[#This Row],[NetRevenue]])&gt;0,MID(Transaction[[#This Row],[NetRevenue]],2,10)),Transaction[[#This Row],[NetRevenue]])))</f>
        <v>683.59</v>
      </c>
      <c r="AG1043">
        <f>IF(Transaction[[#This Row],[NetRevenue_Check]]="Invalid",(Transaction[[#This Row],[Quantity]]*Transaction[[#This Row],[UnitPrice_Clean]]),Transaction[[#This Row],[NetRevenue_Clean]])</f>
        <v>683.59</v>
      </c>
      <c r="AH1043" t="str">
        <f>IF(Transaction[[#This Row],[Quantity]]*Transaction[[#This Row],[UnitPrice_Clean]]=Transaction[[#This Row],[NetRevenue_Clean]],"Valid","Invalid")</f>
        <v>Valid</v>
      </c>
      <c r="AI1043" t="s">
        <v>99</v>
      </c>
      <c r="AJ1043" t="s">
        <v>1115</v>
      </c>
      <c r="AK1043" t="str">
        <f>IF(Transaction[[#This Row],[Salesperson]]="","Missing Value",TRIM(PROPER(Transaction[[#This Row],[Salesperson]])))</f>
        <v>Evans</v>
      </c>
      <c r="AL1043" t="s">
        <v>42</v>
      </c>
      <c r="AM1043" t="str">
        <f>IF(Transaction[[#This Row],[ContractType]]="","Missing Value",Transaction[[#This Row],[ContractType]])</f>
        <v>Standard PO</v>
      </c>
      <c r="AN1043" t="s">
        <v>65</v>
      </c>
    </row>
    <row r="1044" spans="1:40" x14ac:dyDescent="0.25">
      <c r="A1044" t="s">
        <v>481</v>
      </c>
      <c r="B1044" s="1">
        <v>45724</v>
      </c>
      <c r="C104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04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104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44" s="2">
        <f>IFERROR(DATE(Transaction[[#This Row],[TransactionDateY]],Transaction[[#This Row],[TransactionDateM]],Transaction[[#This Row],[TransactionDateD]]),"Missing Value")</f>
        <v>45724</v>
      </c>
      <c r="G1044" t="s">
        <v>276</v>
      </c>
      <c r="H1044" t="str">
        <f>IFERROR(VLOOKUP(Transaction[[#This Row],[CustomerID]],Custumer[],1,0),IF(LEN(Transaction[[#This Row],[CustomerID]])=7,LEFT(Transaction[[#This Row],[CustomerID]],6),"Invalid ID"))</f>
        <v>C-1129</v>
      </c>
      <c r="I1044" t="s">
        <v>111</v>
      </c>
      <c r="J1044" t="str">
        <f>TRIM(UPPER(Transaction[[#This Row],[ProductID]]))</f>
        <v>P-SA-004</v>
      </c>
      <c r="K1044" t="str">
        <f>IFERROR(VLOOKUP(Transaction[[#This Row],[ProductID_Clean]],Product[],1,FALSE),"Invalid ID")</f>
        <v>P-SA-004</v>
      </c>
      <c r="L1044" t="str">
        <f>TRIM(SUBSTITUTE(SUBSTITUTE(SUBSTITUTE(SUBSTITUTE(UPPER(Transaction[[#This Row],[Region]]),"EMEA REGION","EMEA"),"APAC REGION","APAC"),"NORTH AMERICA","N. AMERICA"),"N .AMERICA","N.AMERICA"))</f>
        <v>N. AMERICA</v>
      </c>
      <c r="M1044" t="s">
        <v>20</v>
      </c>
      <c r="N1044" t="s">
        <v>31</v>
      </c>
      <c r="O104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44" t="s">
        <v>22</v>
      </c>
      <c r="Q1044" t="str">
        <f>IF(TRIM(Transaction[[#This Row],[SalesChannel]])="","Missing Value",TRIM(Transaction[[#This Row],[SalesChannel]]))</f>
        <v>Direct</v>
      </c>
      <c r="R1044" s="4">
        <v>1</v>
      </c>
      <c r="S1044" s="4" t="str">
        <f>IF(Transaction[[#This Row],[Quantity]]&lt;0,"Negative-review","Valid")</f>
        <v>Valid</v>
      </c>
      <c r="T1044">
        <v>1508.81</v>
      </c>
      <c r="U104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1508.81</v>
      </c>
      <c r="V1044">
        <v>1650</v>
      </c>
      <c r="W1044">
        <v>1650</v>
      </c>
      <c r="X104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044">
        <f>IF(Transaction[[#This Row],[GrossRevenue_Check]]="Invalid",Transaction[[#This Row],[ListPrice]]*Transaction[[#This Row],[Quantity]],Transaction[[#This Row],[GrossRevenue_Clean]])</f>
        <v>1650</v>
      </c>
      <c r="Z1044" t="str">
        <f>IF(Transaction[[#This Row],[GrossRevenue_Clean]]=Transaction[[#This Row],[ListPrice]]*Transaction[[#This Row],[Quantity]],"Valid","Invalid")</f>
        <v>Valid</v>
      </c>
      <c r="AA1044">
        <v>141.19</v>
      </c>
      <c r="AB104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141.19</v>
      </c>
      <c r="AC1044">
        <f>IF(Transaction[[#This Row],[DiscountAmount_Check2]]="Invalid",Transaction[[#This Row],[GrossRevenue_Analytical]]-Transaction[[#This Row],[NetRevenue_Analytical]],Transaction[[#This Row],[DiscountAmount_Clean]])</f>
        <v>141.19</v>
      </c>
      <c r="AD1044">
        <v>1508.81</v>
      </c>
      <c r="AE1044" t="str">
        <f>IF(ROUND(Transaction[[#This Row],[GrossRevenue_Analytical]]-Transaction[[#This Row],[NetRevenue_Analytical]],2)=ROUND(Transaction[[#This Row],[DiscountAmount_Clean]],2),"Valid","Invalid")</f>
        <v>Valid</v>
      </c>
      <c r="AF104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1508.81</v>
      </c>
      <c r="AG1044">
        <f>IF(Transaction[[#This Row],[NetRevenue_Check]]="Invalid",(Transaction[[#This Row],[Quantity]]*Transaction[[#This Row],[UnitPrice_Clean]]),Transaction[[#This Row],[NetRevenue_Clean]])</f>
        <v>1508.81</v>
      </c>
      <c r="AH1044" t="str">
        <f>IF(Transaction[[#This Row],[Quantity]]*Transaction[[#This Row],[UnitPrice_Clean]]=Transaction[[#This Row],[NetRevenue_Clean]],"Valid","Invalid")</f>
        <v>Valid</v>
      </c>
      <c r="AI1044" t="s">
        <v>23</v>
      </c>
      <c r="AJ1044" t="s">
        <v>482</v>
      </c>
      <c r="AK1044" t="str">
        <f>IF(Transaction[[#This Row],[Salesperson]]="","Missing Value",TRIM(PROPER(Transaction[[#This Row],[Salesperson]])))</f>
        <v>Clayton-Em</v>
      </c>
      <c r="AL1044" t="s">
        <v>34</v>
      </c>
      <c r="AM1044" t="str">
        <f>IF(Transaction[[#This Row],[ContractType]]="","Missing Value",Transaction[[#This Row],[ContractType]])</f>
        <v>Annual License</v>
      </c>
      <c r="AN1044" t="s">
        <v>49</v>
      </c>
    </row>
    <row r="1045" spans="1:40" x14ac:dyDescent="0.25">
      <c r="A1045" t="s">
        <v>3083</v>
      </c>
      <c r="B1045" t="s">
        <v>3084</v>
      </c>
      <c r="C104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04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104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45" s="2">
        <f>IFERROR(DATE(Transaction[[#This Row],[TransactionDateY]],Transaction[[#This Row],[TransactionDateM]],Transaction[[#This Row],[TransactionDateD]]),"Missing Value")</f>
        <v>45807</v>
      </c>
      <c r="G1045" t="s">
        <v>38</v>
      </c>
      <c r="H1045" t="str">
        <f>IFERROR(VLOOKUP(Transaction[[#This Row],[CustomerID]],Custumer[],1,0),IF(LEN(Transaction[[#This Row],[CustomerID]])=7,LEFT(Transaction[[#This Row],[CustomerID]],6),"Invalid ID"))</f>
        <v>C-1027</v>
      </c>
      <c r="I1045" t="s">
        <v>71</v>
      </c>
      <c r="J1045" t="str">
        <f>TRIM(UPPER(Transaction[[#This Row],[ProductID]]))</f>
        <v>P-SI-003</v>
      </c>
      <c r="K1045" t="str">
        <f>IFERROR(VLOOKUP(Transaction[[#This Row],[ProductID_Clean]],Product[],1,FALSE),"Invalid ID")</f>
        <v>P-SI-003</v>
      </c>
      <c r="L1045" t="str">
        <f>TRIM(SUBSTITUTE(SUBSTITUTE(SUBSTITUTE(SUBSTITUTE(UPPER(Transaction[[#This Row],[Region]]),"EMEA REGION","EMEA"),"APAC REGION","APAC"),"NORTH AMERICA","N. AMERICA"),"N .AMERICA","N.AMERICA"))</f>
        <v>N. AMERICA</v>
      </c>
      <c r="M1045" t="s">
        <v>20</v>
      </c>
      <c r="N1045" t="s">
        <v>53</v>
      </c>
      <c r="O104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45" t="s">
        <v>22</v>
      </c>
      <c r="Q1045" t="str">
        <f>IF(TRIM(Transaction[[#This Row],[SalesChannel]])="","Missing Value",TRIM(Transaction[[#This Row],[SalesChannel]]))</f>
        <v>Direct</v>
      </c>
      <c r="R1045" s="4">
        <v>5</v>
      </c>
      <c r="S1045" s="4" t="str">
        <f>IF(Transaction[[#This Row],[Quantity]]&lt;0,"Negative-review","Valid")</f>
        <v>Valid</v>
      </c>
      <c r="T1045">
        <v>1703.33</v>
      </c>
      <c r="U104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1703.33</v>
      </c>
      <c r="V1045">
        <v>1890</v>
      </c>
      <c r="W1045">
        <v>9450</v>
      </c>
      <c r="X104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9450</v>
      </c>
      <c r="Y1045">
        <f>IF(Transaction[[#This Row],[GrossRevenue_Check]]="Invalid",Transaction[[#This Row],[ListPrice]]*Transaction[[#This Row],[Quantity]],Transaction[[#This Row],[GrossRevenue_Clean]])</f>
        <v>9450</v>
      </c>
      <c r="Z1045" t="str">
        <f>IF(Transaction[[#This Row],[GrossRevenue_Clean]]=Transaction[[#This Row],[ListPrice]]*Transaction[[#This Row],[Quantity]],"Valid","Invalid")</f>
        <v>Valid</v>
      </c>
      <c r="AA1045">
        <v>933.35</v>
      </c>
      <c r="AB104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933.35</v>
      </c>
      <c r="AC1045">
        <f>IF(Transaction[[#This Row],[DiscountAmount_Check2]]="Invalid",Transaction[[#This Row],[GrossRevenue_Analytical]]-Transaction[[#This Row],[NetRevenue_Analytical]],Transaction[[#This Row],[DiscountAmount_Clean]])</f>
        <v>933.35</v>
      </c>
      <c r="AD1045">
        <v>8516.65</v>
      </c>
      <c r="AE1045" t="str">
        <f>IF(ROUND(Transaction[[#This Row],[GrossRevenue_Analytical]]-Transaction[[#This Row],[NetRevenue_Analytical]],2)=ROUND(Transaction[[#This Row],[DiscountAmount_Clean]],2),"Valid","Invalid")</f>
        <v>Valid</v>
      </c>
      <c r="AF1045">
        <f>VALUE(IF(ISNUMBER(Transaction[[#This Row],[NetRevenue]]),Transaction[[#This Row],[NetRevenue]],IFERROR(IF(FIND("$",Transaction[[#This Row],[NetRevenue]])&gt;0,MID(Transaction[[#This Row],[NetRevenue]],2,10)),Transaction[[#This Row],[NetRevenue]])))</f>
        <v>8516.65</v>
      </c>
      <c r="AG1045">
        <f>IF(Transaction[[#This Row],[NetRevenue_Check]]="Invalid",(Transaction[[#This Row],[Quantity]]*Transaction[[#This Row],[UnitPrice_Clean]]),Transaction[[#This Row],[NetRevenue_Clean]])</f>
        <v>8516.65</v>
      </c>
      <c r="AH1045" t="str">
        <f>IF(Transaction[[#This Row],[Quantity]]*Transaction[[#This Row],[UnitPrice_Clean]]=Transaction[[#This Row],[NetRevenue_Clean]],"Valid","Invalid")</f>
        <v>Valid</v>
      </c>
      <c r="AI1045" t="s">
        <v>23</v>
      </c>
      <c r="AJ1045" t="s">
        <v>1865</v>
      </c>
      <c r="AK1045" t="str">
        <f>IF(Transaction[[#This Row],[Salesperson]]="","Missing Value",TRIM(PROPER(Transaction[[#This Row],[Salesperson]])))</f>
        <v>Miller-Na</v>
      </c>
      <c r="AL1045" t="s">
        <v>55</v>
      </c>
      <c r="AM1045" t="str">
        <f>IF(Transaction[[#This Row],[ContractType]]="","Missing Value",Transaction[[#This Row],[ContractType]])</f>
        <v>Spot</v>
      </c>
      <c r="AN1045" t="s">
        <v>43</v>
      </c>
    </row>
    <row r="1046" spans="1:40" x14ac:dyDescent="0.25">
      <c r="A1046" t="s">
        <v>2634</v>
      </c>
      <c r="B1046" s="1">
        <v>45733</v>
      </c>
      <c r="C104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04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104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46" s="2">
        <f>IFERROR(DATE(Transaction[[#This Row],[TransactionDateY]],Transaction[[#This Row],[TransactionDateM]],Transaction[[#This Row],[TransactionDateD]]),"Missing Value")</f>
        <v>45733</v>
      </c>
      <c r="G1046" t="s">
        <v>126</v>
      </c>
      <c r="H1046" t="str">
        <f>IFERROR(VLOOKUP(Transaction[[#This Row],[CustomerID]],Custumer[],1,0),IF(LEN(Transaction[[#This Row],[CustomerID]])=7,LEFT(Transaction[[#This Row],[CustomerID]],6),"Invalid ID"))</f>
        <v>C-1019</v>
      </c>
      <c r="I1046" t="s">
        <v>92</v>
      </c>
      <c r="J1046" t="str">
        <f>TRIM(UPPER(Transaction[[#This Row],[ProductID]]))</f>
        <v>P-SI-008</v>
      </c>
      <c r="K1046" t="str">
        <f>IFERROR(VLOOKUP(Transaction[[#This Row],[ProductID_Clean]],Product[],1,FALSE),"Invalid ID")</f>
        <v>P-SI-008</v>
      </c>
      <c r="L1046" t="str">
        <f>TRIM(SUBSTITUTE(SUBSTITUTE(SUBSTITUTE(SUBSTITUTE(UPPER(Transaction[[#This Row],[Region]]),"EMEA REGION","EMEA"),"APAC REGION","APAC"),"NORTH AMERICA","N. AMERICA"),"N .AMERICA","N.AMERICA"))</f>
        <v>APAC</v>
      </c>
      <c r="M1046" t="s">
        <v>30</v>
      </c>
      <c r="N1046" t="s">
        <v>98</v>
      </c>
      <c r="O104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46" t="s">
        <v>40</v>
      </c>
      <c r="Q1046" t="str">
        <f>IF(TRIM(Transaction[[#This Row],[SalesChannel]])="","Missing Value",TRIM(Transaction[[#This Row],[SalesChannel]]))</f>
        <v>Distributor</v>
      </c>
      <c r="R1046" s="4">
        <v>10</v>
      </c>
      <c r="S1046" s="4" t="str">
        <f>IF(Transaction[[#This Row],[Quantity]]&lt;0,"Negative-review","Valid")</f>
        <v>Valid</v>
      </c>
      <c r="T1046">
        <v>759.45</v>
      </c>
      <c r="U104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759.45</v>
      </c>
      <c r="V1046">
        <v>950</v>
      </c>
      <c r="W1046">
        <v>9500</v>
      </c>
      <c r="X104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9500</v>
      </c>
      <c r="Y1046">
        <f>IF(Transaction[[#This Row],[GrossRevenue_Check]]="Invalid",Transaction[[#This Row],[ListPrice]]*Transaction[[#This Row],[Quantity]],Transaction[[#This Row],[GrossRevenue_Clean]])</f>
        <v>9500</v>
      </c>
      <c r="Z1046" t="str">
        <f>IF(Transaction[[#This Row],[GrossRevenue_Clean]]=Transaction[[#This Row],[ListPrice]]*Transaction[[#This Row],[Quantity]],"Valid","Invalid")</f>
        <v>Valid</v>
      </c>
      <c r="AA1046">
        <v>1905.5</v>
      </c>
      <c r="AB104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1905.5</v>
      </c>
      <c r="AC1046">
        <f>IF(Transaction[[#This Row],[DiscountAmount_Check2]]="Invalid",Transaction[[#This Row],[GrossRevenue_Analytical]]-Transaction[[#This Row],[NetRevenue_Analytical]],Transaction[[#This Row],[DiscountAmount_Clean]])</f>
        <v>1905.5</v>
      </c>
      <c r="AD1046">
        <v>7594.5</v>
      </c>
      <c r="AE1046" t="str">
        <f>IF(ROUND(Transaction[[#This Row],[GrossRevenue_Analytical]]-Transaction[[#This Row],[NetRevenue_Analytical]],2)=ROUND(Transaction[[#This Row],[DiscountAmount_Clean]],2),"Valid","Invalid")</f>
        <v>Valid</v>
      </c>
      <c r="AF1046">
        <f>VALUE(IF(ISNUMBER(Transaction[[#This Row],[NetRevenue]]),Transaction[[#This Row],[NetRevenue]],IFERROR(IF(FIND("$",Transaction[[#This Row],[NetRevenue]])&gt;0,MID(Transaction[[#This Row],[NetRevenue]],2,10)),Transaction[[#This Row],[NetRevenue]])))</f>
        <v>7594.5</v>
      </c>
      <c r="AG1046">
        <f>IF(Transaction[[#This Row],[NetRevenue_Check]]="Invalid",(Transaction[[#This Row],[Quantity]]*Transaction[[#This Row],[UnitPrice_Clean]]),Transaction[[#This Row],[NetRevenue_Clean]])</f>
        <v>7594.5</v>
      </c>
      <c r="AH1046" t="str">
        <f>IF(Transaction[[#This Row],[Quantity]]*Transaction[[#This Row],[UnitPrice_Clean]]=Transaction[[#This Row],[NetRevenue_Clean]],"Valid","Invalid")</f>
        <v>Valid</v>
      </c>
      <c r="AI1046" t="s">
        <v>23</v>
      </c>
      <c r="AJ1046" t="s">
        <v>2635</v>
      </c>
      <c r="AK1046" t="str">
        <f>IF(Transaction[[#This Row],[Salesperson]]="","Missing Value",TRIM(PROPER(Transaction[[#This Row],[Salesperson]])))</f>
        <v>Frey</v>
      </c>
      <c r="AL1046" t="s">
        <v>25</v>
      </c>
      <c r="AM1046" t="str">
        <f>IF(Transaction[[#This Row],[ContractType]]="","Missing Value",Transaction[[#This Row],[ContractType]])</f>
        <v>Frame Agreement</v>
      </c>
      <c r="AN1046" t="s">
        <v>49</v>
      </c>
    </row>
    <row r="1047" spans="1:40" x14ac:dyDescent="0.25">
      <c r="A1047" t="s">
        <v>84</v>
      </c>
      <c r="B1047" t="s">
        <v>85</v>
      </c>
      <c r="C104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104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104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47" s="2">
        <f>IFERROR(DATE(Transaction[[#This Row],[TransactionDateY]],Transaction[[#This Row],[TransactionDateM]],Transaction[[#This Row],[TransactionDateD]]),"Missing Value")</f>
        <v>45708</v>
      </c>
      <c r="G1047" t="s">
        <v>86</v>
      </c>
      <c r="H1047" t="str">
        <f>IFERROR(VLOOKUP(Transaction[[#This Row],[CustomerID]],Custumer[],1,0),IF(LEN(Transaction[[#This Row],[CustomerID]])=7,LEFT(Transaction[[#This Row],[CustomerID]],6),"Invalid ID"))</f>
        <v>C-1177</v>
      </c>
      <c r="I1047" t="s">
        <v>62</v>
      </c>
      <c r="J1047" t="str">
        <f>TRIM(UPPER(Transaction[[#This Row],[ProductID]]))</f>
        <v>P-SI-004</v>
      </c>
      <c r="K1047" t="str">
        <f>IFERROR(VLOOKUP(Transaction[[#This Row],[ProductID_Clean]],Product[],1,FALSE),"Invalid ID")</f>
        <v>P-SI-004</v>
      </c>
      <c r="L1047" t="str">
        <f>TRIM(SUBSTITUTE(SUBSTITUTE(SUBSTITUTE(SUBSTITUTE(UPPER(Transaction[[#This Row],[Region]]),"EMEA REGION","EMEA"),"APAC REGION","APAC"),"NORTH AMERICA","N. AMERICA"),"N .AMERICA","N.AMERICA"))</f>
        <v>EMEA</v>
      </c>
      <c r="M1047" t="s">
        <v>87</v>
      </c>
      <c r="N1047" t="s">
        <v>53</v>
      </c>
      <c r="O104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47" t="s">
        <v>40</v>
      </c>
      <c r="Q1047" t="str">
        <f>IF(TRIM(Transaction[[#This Row],[SalesChannel]])="","Missing Value",TRIM(Transaction[[#This Row],[SalesChannel]]))</f>
        <v>Distributor</v>
      </c>
      <c r="R1047" s="4">
        <v>1</v>
      </c>
      <c r="S1047" s="4" t="str">
        <f>IF(Transaction[[#This Row],[Quantity]]&lt;0,"Negative-review","Valid")</f>
        <v>Valid</v>
      </c>
      <c r="T1047">
        <v>1786.64</v>
      </c>
      <c r="U104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1786.64</v>
      </c>
      <c r="V1047">
        <v>2450</v>
      </c>
      <c r="W1047" t="s">
        <v>88</v>
      </c>
      <c r="X104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1047">
        <f>IF(Transaction[[#This Row],[GrossRevenue_Check]]="Invalid",Transaction[[#This Row],[ListPrice]]*Transaction[[#This Row],[Quantity]],Transaction[[#This Row],[GrossRevenue_Clean]])</f>
        <v>2450</v>
      </c>
      <c r="Z1047" t="str">
        <f>IF(Transaction[[#This Row],[GrossRevenue_Clean]]=Transaction[[#This Row],[ListPrice]]*Transaction[[#This Row],[Quantity]],"Valid","Invalid")</f>
        <v>Valid</v>
      </c>
      <c r="AA1047">
        <v>663.36</v>
      </c>
      <c r="AB104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663.36</v>
      </c>
      <c r="AC1047">
        <f>IF(Transaction[[#This Row],[DiscountAmount_Check2]]="Invalid",Transaction[[#This Row],[GrossRevenue_Analytical]]-Transaction[[#This Row],[NetRevenue_Analytical]],Transaction[[#This Row],[DiscountAmount_Clean]])</f>
        <v>663.36</v>
      </c>
      <c r="AD1047">
        <v>1786.64</v>
      </c>
      <c r="AE1047" t="str">
        <f>IF(ROUND(Transaction[[#This Row],[GrossRevenue_Analytical]]-Transaction[[#This Row],[NetRevenue_Analytical]],2)=ROUND(Transaction[[#This Row],[DiscountAmount_Clean]],2),"Valid","Invalid")</f>
        <v>Valid</v>
      </c>
      <c r="AF104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1786.64</v>
      </c>
      <c r="AG1047">
        <f>IF(Transaction[[#This Row],[NetRevenue_Check]]="Invalid",(Transaction[[#This Row],[Quantity]]*Transaction[[#This Row],[UnitPrice_Clean]]),Transaction[[#This Row],[NetRevenue_Clean]])</f>
        <v>1786.64</v>
      </c>
      <c r="AH1047" t="str">
        <f>IF(Transaction[[#This Row],[Quantity]]*Transaction[[#This Row],[UnitPrice_Clean]]=Transaction[[#This Row],[NetRevenue_Clean]],"Valid","Invalid")</f>
        <v>Valid</v>
      </c>
      <c r="AI1047" t="s">
        <v>23</v>
      </c>
      <c r="AJ1047" t="s">
        <v>89</v>
      </c>
      <c r="AK1047" t="str">
        <f>IF(Transaction[[#This Row],[Salesperson]]="","Missing Value",TRIM(PROPER(Transaction[[#This Row],[Salesperson]])))</f>
        <v>Santos</v>
      </c>
      <c r="AL1047" t="s">
        <v>42</v>
      </c>
      <c r="AM1047" t="str">
        <f>IF(Transaction[[#This Row],[ContractType]]="","Missing Value",Transaction[[#This Row],[ContractType]])</f>
        <v>Standard PO</v>
      </c>
      <c r="AN1047" t="s">
        <v>49</v>
      </c>
    </row>
    <row r="1048" spans="1:40" x14ac:dyDescent="0.25">
      <c r="A1048" t="s">
        <v>2112</v>
      </c>
      <c r="B1048" t="s">
        <v>2113</v>
      </c>
      <c r="C104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104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104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48" s="2">
        <f>IFERROR(DATE(Transaction[[#This Row],[TransactionDateY]],Transaction[[#This Row],[TransactionDateM]],Transaction[[#This Row],[TransactionDateD]]),"Missing Value")</f>
        <v>45716</v>
      </c>
      <c r="G1048" t="s">
        <v>186</v>
      </c>
      <c r="H1048" t="str">
        <f>IFERROR(VLOOKUP(Transaction[[#This Row],[CustomerID]],Custumer[],1,0),IF(LEN(Transaction[[#This Row],[CustomerID]])=7,LEFT(Transaction[[#This Row],[CustomerID]],6),"Invalid ID"))</f>
        <v>C-1063</v>
      </c>
      <c r="I1048" t="s">
        <v>121</v>
      </c>
      <c r="J1048" t="str">
        <f>TRIM(UPPER(Transaction[[#This Row],[ProductID]]))</f>
        <v>P-FS-001</v>
      </c>
      <c r="K1048" t="str">
        <f>IFERROR(VLOOKUP(Transaction[[#This Row],[ProductID_Clean]],Product[],1,FALSE),"Invalid ID")</f>
        <v>P-FS-001</v>
      </c>
      <c r="L1048" t="str">
        <f>TRIM(SUBSTITUTE(SUBSTITUTE(SUBSTITUTE(SUBSTITUTE(UPPER(Transaction[[#This Row],[Region]]),"EMEA REGION","EMEA"),"APAC REGION","APAC"),"NORTH AMERICA","N. AMERICA"),"N .AMERICA","N.AMERICA"))</f>
        <v>N. AMERICA</v>
      </c>
      <c r="M1048" t="s">
        <v>20</v>
      </c>
      <c r="N1048" t="s">
        <v>21</v>
      </c>
      <c r="O1048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048" t="s">
        <v>40</v>
      </c>
      <c r="Q1048" t="str">
        <f>IF(TRIM(Transaction[[#This Row],[SalesChannel]])="","Missing Value",TRIM(Transaction[[#This Row],[SalesChannel]]))</f>
        <v>Distributor</v>
      </c>
      <c r="R1048" s="4">
        <v>1</v>
      </c>
      <c r="S1048" s="4" t="str">
        <f>IF(Transaction[[#This Row],[Quantity]]&lt;0,"Negative-review","Valid")</f>
        <v>Valid</v>
      </c>
      <c r="T1048">
        <v>1219.67</v>
      </c>
      <c r="U104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1219.67</v>
      </c>
      <c r="V1048">
        <v>1850</v>
      </c>
      <c r="W1048">
        <v>1850</v>
      </c>
      <c r="X104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1048">
        <f>IF(Transaction[[#This Row],[GrossRevenue_Check]]="Invalid",Transaction[[#This Row],[ListPrice]]*Transaction[[#This Row],[Quantity]],Transaction[[#This Row],[GrossRevenue_Clean]])</f>
        <v>1850</v>
      </c>
      <c r="Z1048" t="str">
        <f>IF(Transaction[[#This Row],[GrossRevenue_Clean]]=Transaction[[#This Row],[ListPrice]]*Transaction[[#This Row],[Quantity]],"Valid","Invalid")</f>
        <v>Valid</v>
      </c>
      <c r="AA1048">
        <v>630.33000000000004</v>
      </c>
      <c r="AB104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630.33000000000004</v>
      </c>
      <c r="AC1048">
        <f>IF(Transaction[[#This Row],[DiscountAmount_Check2]]="Invalid",Transaction[[#This Row],[GrossRevenue_Analytical]]-Transaction[[#This Row],[NetRevenue_Analytical]],Transaction[[#This Row],[DiscountAmount_Clean]])</f>
        <v>630.33000000000004</v>
      </c>
      <c r="AD1048">
        <v>1219.67</v>
      </c>
      <c r="AE1048" t="str">
        <f>IF(ROUND(Transaction[[#This Row],[GrossRevenue_Analytical]]-Transaction[[#This Row],[NetRevenue_Analytical]],2)=ROUND(Transaction[[#This Row],[DiscountAmount_Clean]],2),"Valid","Invalid")</f>
        <v>Valid</v>
      </c>
      <c r="AF104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1219.67</v>
      </c>
      <c r="AG1048">
        <f>IF(Transaction[[#This Row],[NetRevenue_Check]]="Invalid",(Transaction[[#This Row],[Quantity]]*Transaction[[#This Row],[UnitPrice_Clean]]),Transaction[[#This Row],[NetRevenue_Clean]])</f>
        <v>1219.67</v>
      </c>
      <c r="AH1048" t="str">
        <f>IF(Transaction[[#This Row],[Quantity]]*Transaction[[#This Row],[UnitPrice_Clean]]=Transaction[[#This Row],[NetRevenue_Clean]],"Valid","Invalid")</f>
        <v>Valid</v>
      </c>
      <c r="AI1048" t="s">
        <v>23</v>
      </c>
      <c r="AK1048" t="str">
        <f>IF(Transaction[[#This Row],[Salesperson]]="","Missing Value",TRIM(PROPER(Transaction[[#This Row],[Salesperson]])))</f>
        <v>Missing Value</v>
      </c>
      <c r="AL1048" t="s">
        <v>42</v>
      </c>
      <c r="AM1048" t="str">
        <f>IF(Transaction[[#This Row],[ContractType]]="","Missing Value",Transaction[[#This Row],[ContractType]])</f>
        <v>Standard PO</v>
      </c>
      <c r="AN1048" t="s">
        <v>43</v>
      </c>
    </row>
    <row r="1049" spans="1:40" x14ac:dyDescent="0.25">
      <c r="A1049" t="s">
        <v>1688</v>
      </c>
      <c r="B1049" s="1">
        <v>45785</v>
      </c>
      <c r="C104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04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104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49" s="2">
        <f>IFERROR(DATE(Transaction[[#This Row],[TransactionDateY]],Transaction[[#This Row],[TransactionDateM]],Transaction[[#This Row],[TransactionDateD]]),"Missing Value")</f>
        <v>45785</v>
      </c>
      <c r="G1049" t="s">
        <v>1689</v>
      </c>
      <c r="H1049" t="str">
        <f>IFERROR(VLOOKUP(Transaction[[#This Row],[CustomerID]],Custumer[],1,0),IF(LEN(Transaction[[#This Row],[CustomerID]])=7,LEFT(Transaction[[#This Row],[CustomerID]],6),"Invalid ID"))</f>
        <v>Invalid ID</v>
      </c>
      <c r="I1049" t="s">
        <v>946</v>
      </c>
      <c r="J1049" t="str">
        <f>TRIM(UPPER(Transaction[[#This Row],[ProductID]]))</f>
        <v>P-SI-006</v>
      </c>
      <c r="K1049" t="str">
        <f>IFERROR(VLOOKUP(Transaction[[#This Row],[ProductID_Clean]],Product[],1,FALSE),"Invalid ID")</f>
        <v>P-SI-006</v>
      </c>
      <c r="L1049" t="str">
        <f>TRIM(SUBSTITUTE(SUBSTITUTE(SUBSTITUTE(SUBSTITUTE(UPPER(Transaction[[#This Row],[Region]]),"EMEA REGION","EMEA"),"APAC REGION","APAC"),"NORTH AMERICA","N. AMERICA"),"N .AMERICA","N.AMERICA"))</f>
        <v>APAC</v>
      </c>
      <c r="M1049" t="s">
        <v>127</v>
      </c>
      <c r="N1049" t="s">
        <v>53</v>
      </c>
      <c r="O104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49" t="s">
        <v>181</v>
      </c>
      <c r="Q1049" t="str">
        <f>IF(TRIM(Transaction[[#This Row],[SalesChannel]])="","Missing Value",TRIM(Transaction[[#This Row],[SalesChannel]]))</f>
        <v>Partner Portal</v>
      </c>
      <c r="R1049" s="4">
        <v>2</v>
      </c>
      <c r="S1049" s="4" t="str">
        <f>IF(Transaction[[#This Row],[Quantity]]&lt;0,"Negative-review","Valid")</f>
        <v>Valid</v>
      </c>
      <c r="T1049">
        <v>165.43</v>
      </c>
      <c r="U104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165.43</v>
      </c>
      <c r="V1049">
        <v>215</v>
      </c>
      <c r="W1049">
        <v>430</v>
      </c>
      <c r="X104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1049">
        <f>IF(Transaction[[#This Row],[GrossRevenue_Check]]="Invalid",Transaction[[#This Row],[ListPrice]]*Transaction[[#This Row],[Quantity]],Transaction[[#This Row],[GrossRevenue_Clean]])</f>
        <v>430</v>
      </c>
      <c r="Z1049" t="str">
        <f>IF(Transaction[[#This Row],[GrossRevenue_Clean]]=Transaction[[#This Row],[ListPrice]]*Transaction[[#This Row],[Quantity]],"Valid","Invalid")</f>
        <v>Valid</v>
      </c>
      <c r="AA1049">
        <v>99.14</v>
      </c>
      <c r="AB104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99.14</v>
      </c>
      <c r="AC1049">
        <f>IF(Transaction[[#This Row],[DiscountAmount_Check2]]="Invalid",Transaction[[#This Row],[GrossRevenue_Analytical]]-Transaction[[#This Row],[NetRevenue_Analytical]],Transaction[[#This Row],[DiscountAmount_Clean]])</f>
        <v>99.14</v>
      </c>
      <c r="AD1049">
        <v>330.86</v>
      </c>
      <c r="AE1049" t="str">
        <f>IF(ROUND(Transaction[[#This Row],[GrossRevenue_Analytical]]-Transaction[[#This Row],[NetRevenue_Analytical]],2)=ROUND(Transaction[[#This Row],[DiscountAmount_Clean]],2),"Valid","Invalid")</f>
        <v>Valid</v>
      </c>
      <c r="AF1049">
        <f>VALUE(IF(ISNUMBER(Transaction[[#This Row],[NetRevenue]]),Transaction[[#This Row],[NetRevenue]],IFERROR(IF(FIND("$",Transaction[[#This Row],[NetRevenue]])&gt;0,MID(Transaction[[#This Row],[NetRevenue]],2,10)),Transaction[[#This Row],[NetRevenue]])))</f>
        <v>330.86</v>
      </c>
      <c r="AG1049">
        <f>IF(Transaction[[#This Row],[NetRevenue_Check]]="Invalid",(Transaction[[#This Row],[Quantity]]*Transaction[[#This Row],[UnitPrice_Clean]]),Transaction[[#This Row],[NetRevenue_Clean]])</f>
        <v>330.86</v>
      </c>
      <c r="AH1049" t="str">
        <f>IF(Transaction[[#This Row],[Quantity]]*Transaction[[#This Row],[UnitPrice_Clean]]=Transaction[[#This Row],[NetRevenue_Clean]],"Valid","Invalid")</f>
        <v>Valid</v>
      </c>
      <c r="AI1049" t="s">
        <v>23</v>
      </c>
      <c r="AJ1049" t="s">
        <v>1690</v>
      </c>
      <c r="AK1049" t="str">
        <f>IF(Transaction[[#This Row],[Salesperson]]="","Missing Value",TRIM(PROPER(Transaction[[#This Row],[Salesperson]])))</f>
        <v>Sullivan-Em</v>
      </c>
      <c r="AL1049" t="s">
        <v>25</v>
      </c>
      <c r="AM1049" t="str">
        <f>IF(Transaction[[#This Row],[ContractType]]="","Missing Value",Transaction[[#This Row],[ContractType]])</f>
        <v>Frame Agreement</v>
      </c>
      <c r="AN1049" t="s">
        <v>35</v>
      </c>
    </row>
    <row r="1050" spans="1:40" x14ac:dyDescent="0.25">
      <c r="A1050" t="s">
        <v>2540</v>
      </c>
      <c r="B1050" t="s">
        <v>2541</v>
      </c>
      <c r="C105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105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105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50" s="2">
        <f>IFERROR(DATE(Transaction[[#This Row],[TransactionDateY]],Transaction[[#This Row],[TransactionDateM]],Transaction[[#This Row],[TransactionDateD]]),"Missing Value")</f>
        <v>45825</v>
      </c>
      <c r="G1050" t="s">
        <v>167</v>
      </c>
      <c r="H1050" t="str">
        <f>IFERROR(VLOOKUP(Transaction[[#This Row],[CustomerID]],Custumer[],1,0),IF(LEN(Transaction[[#This Row],[CustomerID]])=7,LEFT(Transaction[[#This Row],[CustomerID]],6),"Invalid ID"))</f>
        <v>C-1008</v>
      </c>
      <c r="I1050" t="s">
        <v>46</v>
      </c>
      <c r="J1050" t="str">
        <f>TRIM(UPPER(Transaction[[#This Row],[ProductID]]))</f>
        <v>P-SI-006</v>
      </c>
      <c r="K1050" t="str">
        <f>IFERROR(VLOOKUP(Transaction[[#This Row],[ProductID_Clean]],Product[],1,FALSE),"Invalid ID")</f>
        <v>P-SI-006</v>
      </c>
      <c r="L1050" t="str">
        <f>TRIM(SUBSTITUTE(SUBSTITUTE(SUBSTITUTE(SUBSTITUTE(UPPER(Transaction[[#This Row],[Region]]),"EMEA REGION","EMEA"),"APAC REGION","APAC"),"NORTH AMERICA","N. AMERICA"),"N .AMERICA","N.AMERICA"))</f>
        <v>N. AMERICA</v>
      </c>
      <c r="M1050" t="s">
        <v>20</v>
      </c>
      <c r="N1050" t="s">
        <v>53</v>
      </c>
      <c r="O105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50" t="s">
        <v>40</v>
      </c>
      <c r="Q1050" t="str">
        <f>IF(TRIM(Transaction[[#This Row],[SalesChannel]])="","Missing Value",TRIM(Transaction[[#This Row],[SalesChannel]]))</f>
        <v>Distributor</v>
      </c>
      <c r="R1050" s="4">
        <v>10</v>
      </c>
      <c r="S1050" s="4" t="str">
        <f>IF(Transaction[[#This Row],[Quantity]]&lt;0,"Negative-review","Valid")</f>
        <v>Valid</v>
      </c>
      <c r="T1050">
        <v>156.9</v>
      </c>
      <c r="U105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156.9</v>
      </c>
      <c r="V1050">
        <v>215</v>
      </c>
      <c r="W1050">
        <v>2150</v>
      </c>
      <c r="X105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2150</v>
      </c>
      <c r="Y1050">
        <f>IF(Transaction[[#This Row],[GrossRevenue_Check]]="Invalid",Transaction[[#This Row],[ListPrice]]*Transaction[[#This Row],[Quantity]],Transaction[[#This Row],[GrossRevenue_Clean]])</f>
        <v>2150</v>
      </c>
      <c r="Z1050" t="str">
        <f>IF(Transaction[[#This Row],[GrossRevenue_Clean]]=Transaction[[#This Row],[ListPrice]]*Transaction[[#This Row],[Quantity]],"Valid","Invalid")</f>
        <v>Valid</v>
      </c>
      <c r="AA1050">
        <v>581</v>
      </c>
      <c r="AB105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581</v>
      </c>
      <c r="AC1050">
        <f>IF(Transaction[[#This Row],[DiscountAmount_Check2]]="Invalid",Transaction[[#This Row],[GrossRevenue_Analytical]]-Transaction[[#This Row],[NetRevenue_Analytical]],Transaction[[#This Row],[DiscountAmount_Clean]])</f>
        <v>581</v>
      </c>
      <c r="AD1050">
        <v>1569</v>
      </c>
      <c r="AE1050" t="str">
        <f>IF(ROUND(Transaction[[#This Row],[GrossRevenue_Analytical]]-Transaction[[#This Row],[NetRevenue_Analytical]],2)=ROUND(Transaction[[#This Row],[DiscountAmount_Clean]],2),"Valid","Invalid")</f>
        <v>Valid</v>
      </c>
      <c r="AF105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1569</v>
      </c>
      <c r="AG1050">
        <f>IF(Transaction[[#This Row],[NetRevenue_Check]]="Invalid",(Transaction[[#This Row],[Quantity]]*Transaction[[#This Row],[UnitPrice_Clean]]),Transaction[[#This Row],[NetRevenue_Clean]])</f>
        <v>1569</v>
      </c>
      <c r="AH1050" t="str">
        <f>IF(Transaction[[#This Row],[Quantity]]*Transaction[[#This Row],[UnitPrice_Clean]]=Transaction[[#This Row],[NetRevenue_Clean]],"Valid","Invalid")</f>
        <v>Valid</v>
      </c>
      <c r="AI1050" t="s">
        <v>23</v>
      </c>
      <c r="AJ1050" t="s">
        <v>2542</v>
      </c>
      <c r="AK1050" t="str">
        <f>IF(Transaction[[#This Row],[Salesperson]]="","Missing Value",TRIM(PROPER(Transaction[[#This Row],[Salesperson]])))</f>
        <v>Bennett-Ap</v>
      </c>
      <c r="AL1050" t="s">
        <v>25</v>
      </c>
      <c r="AM1050" t="str">
        <f>IF(Transaction[[#This Row],[ContractType]]="","Missing Value",Transaction[[#This Row],[ContractType]])</f>
        <v>Frame Agreement</v>
      </c>
      <c r="AN1050" t="s">
        <v>26</v>
      </c>
    </row>
    <row r="1051" spans="1:40" x14ac:dyDescent="0.25">
      <c r="A1051" t="s">
        <v>141</v>
      </c>
      <c r="B1051" s="1">
        <v>45744</v>
      </c>
      <c r="C105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05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105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51" s="2">
        <f>IFERROR(DATE(Transaction[[#This Row],[TransactionDateY]],Transaction[[#This Row],[TransactionDateM]],Transaction[[#This Row],[TransactionDateD]]),"Missing Value")</f>
        <v>45744</v>
      </c>
      <c r="G1051" t="s">
        <v>102</v>
      </c>
      <c r="H1051" t="str">
        <f>IFERROR(VLOOKUP(Transaction[[#This Row],[CustomerID]],Custumer[],1,0),IF(LEN(Transaction[[#This Row],[CustomerID]])=7,LEFT(Transaction[[#This Row],[CustomerID]],6),"Invalid ID"))</f>
        <v>C-1120</v>
      </c>
      <c r="I1051" t="s">
        <v>142</v>
      </c>
      <c r="J1051" t="str">
        <f>TRIM(UPPER(Transaction[[#This Row],[ProductID]]))</f>
        <v>P-FS-004</v>
      </c>
      <c r="K1051" t="str">
        <f>IFERROR(VLOOKUP(Transaction[[#This Row],[ProductID_Clean]],Product[],1,FALSE),"Invalid ID")</f>
        <v>P-FS-004</v>
      </c>
      <c r="L1051" t="str">
        <f>TRIM(SUBSTITUTE(SUBSTITUTE(SUBSTITUTE(SUBSTITUTE(UPPER(Transaction[[#This Row],[Region]]),"EMEA REGION","EMEA"),"APAC REGION","APAC"),"NORTH AMERICA","N. AMERICA"),"N .AMERICA","N.AMERICA"))</f>
        <v>EMEA</v>
      </c>
      <c r="M1051" t="s">
        <v>87</v>
      </c>
      <c r="N1051" t="s">
        <v>21</v>
      </c>
      <c r="O1051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051" t="s">
        <v>22</v>
      </c>
      <c r="Q1051" t="str">
        <f>IF(TRIM(Transaction[[#This Row],[SalesChannel]])="","Missing Value",TRIM(Transaction[[#This Row],[SalesChannel]]))</f>
        <v>Direct</v>
      </c>
      <c r="R1051" s="4">
        <v>1</v>
      </c>
      <c r="S1051" s="4" t="str">
        <f>IF(Transaction[[#This Row],[Quantity]]&lt;0,"Negative-review","Valid")</f>
        <v>Valid</v>
      </c>
      <c r="T1051" t="s">
        <v>143</v>
      </c>
      <c r="U105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3014.21</v>
      </c>
      <c r="V1051">
        <v>3200</v>
      </c>
      <c r="W1051">
        <v>3200</v>
      </c>
      <c r="X105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1051">
        <f>IF(Transaction[[#This Row],[GrossRevenue_Check]]="Invalid",Transaction[[#This Row],[ListPrice]]*Transaction[[#This Row],[Quantity]],Transaction[[#This Row],[GrossRevenue_Clean]])</f>
        <v>3200</v>
      </c>
      <c r="Z1051" t="str">
        <f>IF(Transaction[[#This Row],[GrossRevenue_Clean]]=Transaction[[#This Row],[ListPrice]]*Transaction[[#This Row],[Quantity]],"Valid","Invalid")</f>
        <v>Valid</v>
      </c>
      <c r="AA1051">
        <v>185.79</v>
      </c>
      <c r="AB105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185.79</v>
      </c>
      <c r="AC1051">
        <f>IF(Transaction[[#This Row],[DiscountAmount_Check2]]="Invalid",Transaction[[#This Row],[GrossRevenue_Analytical]]-Transaction[[#This Row],[NetRevenue_Analytical]],Transaction[[#This Row],[DiscountAmount_Clean]])</f>
        <v>185.79</v>
      </c>
      <c r="AD1051">
        <v>3014.21</v>
      </c>
      <c r="AE1051" t="str">
        <f>IF(ROUND(Transaction[[#This Row],[GrossRevenue_Analytical]]-Transaction[[#This Row],[NetRevenue_Analytical]],2)=ROUND(Transaction[[#This Row],[DiscountAmount_Clean]],2),"Valid","Invalid")</f>
        <v>Valid</v>
      </c>
      <c r="AF1051">
        <f>VALUE(IF(ISNUMBER(Transaction[[#This Row],[NetRevenue]]),Transaction[[#This Row],[NetRevenue]],IFERROR(IF(FIND("$",Transaction[[#This Row],[NetRevenue]])&gt;0,MID(Transaction[[#This Row],[NetRevenue]],2,10)),Transaction[[#This Row],[NetRevenue]])))</f>
        <v>3014.21</v>
      </c>
      <c r="AG1051">
        <f>IF(Transaction[[#This Row],[NetRevenue_Check]]="Invalid",(Transaction[[#This Row],[Quantity]]*Transaction[[#This Row],[UnitPrice_Clean]]),Transaction[[#This Row],[NetRevenue_Clean]])</f>
        <v>3014.21</v>
      </c>
      <c r="AH1051" t="str">
        <f>IF(Transaction[[#This Row],[Quantity]]*Transaction[[#This Row],[UnitPrice_Clean]]=Transaction[[#This Row],[NetRevenue_Clean]],"Valid","Invalid")</f>
        <v>Valid</v>
      </c>
      <c r="AI1051" t="s">
        <v>23</v>
      </c>
      <c r="AJ1051" t="s">
        <v>144</v>
      </c>
      <c r="AK1051" t="str">
        <f>IF(Transaction[[#This Row],[Salesperson]]="","Missing Value",TRIM(PROPER(Transaction[[#This Row],[Salesperson]])))</f>
        <v>Alvarez-Na</v>
      </c>
      <c r="AL1051" t="s">
        <v>42</v>
      </c>
      <c r="AM1051" t="str">
        <f>IF(Transaction[[#This Row],[ContractType]]="","Missing Value",Transaction[[#This Row],[ContractType]])</f>
        <v>Standard PO</v>
      </c>
      <c r="AN1051" t="s">
        <v>43</v>
      </c>
    </row>
    <row r="1052" spans="1:40" x14ac:dyDescent="0.25">
      <c r="A1052" t="s">
        <v>2909</v>
      </c>
      <c r="B1052" s="1">
        <v>45822</v>
      </c>
      <c r="C105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05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105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52" s="2">
        <f>IFERROR(DATE(Transaction[[#This Row],[TransactionDateY]],Transaction[[#This Row],[TransactionDateM]],Transaction[[#This Row],[TransactionDateD]]),"Missing Value")</f>
        <v>45822</v>
      </c>
      <c r="G1052" t="s">
        <v>200</v>
      </c>
      <c r="H1052" t="str">
        <f>IFERROR(VLOOKUP(Transaction[[#This Row],[CustomerID]],Custumer[],1,0),IF(LEN(Transaction[[#This Row],[CustomerID]])=7,LEFT(Transaction[[#This Row],[CustomerID]],6),"Invalid ID"))</f>
        <v>C-1070</v>
      </c>
      <c r="I1052" t="s">
        <v>946</v>
      </c>
      <c r="J1052" t="str">
        <f>TRIM(UPPER(Transaction[[#This Row],[ProductID]]))</f>
        <v>P-SI-006</v>
      </c>
      <c r="K1052" t="str">
        <f>IFERROR(VLOOKUP(Transaction[[#This Row],[ProductID_Clean]],Product[],1,FALSE),"Invalid ID")</f>
        <v>P-SI-006</v>
      </c>
      <c r="L1052" t="str">
        <f>TRIM(SUBSTITUTE(SUBSTITUTE(SUBSTITUTE(SUBSTITUTE(UPPER(Transaction[[#This Row],[Region]]),"EMEA REGION","EMEA"),"APAC REGION","APAC"),"NORTH AMERICA","N. AMERICA"),"N .AMERICA","N.AMERICA"))</f>
        <v>EMEA</v>
      </c>
      <c r="M1052" t="s">
        <v>76</v>
      </c>
      <c r="N1052" t="s">
        <v>98</v>
      </c>
      <c r="O105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52" t="s">
        <v>181</v>
      </c>
      <c r="Q1052" t="str">
        <f>IF(TRIM(Transaction[[#This Row],[SalesChannel]])="","Missing Value",TRIM(Transaction[[#This Row],[SalesChannel]]))</f>
        <v>Partner Portal</v>
      </c>
      <c r="R1052" s="4">
        <v>15</v>
      </c>
      <c r="S1052" s="4" t="str">
        <f>IF(Transaction[[#This Row],[Quantity]]&lt;0,"Negative-review","Valid")</f>
        <v>Valid</v>
      </c>
      <c r="T1052">
        <v>172.08</v>
      </c>
      <c r="U105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172.08</v>
      </c>
      <c r="V1052">
        <v>215</v>
      </c>
      <c r="W1052" t="s">
        <v>2910</v>
      </c>
      <c r="X105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3225</v>
      </c>
      <c r="Y1052">
        <f>IF(Transaction[[#This Row],[GrossRevenue_Check]]="Invalid",Transaction[[#This Row],[ListPrice]]*Transaction[[#This Row],[Quantity]],Transaction[[#This Row],[GrossRevenue_Clean]])</f>
        <v>3225</v>
      </c>
      <c r="Z1052" t="str">
        <f>IF(Transaction[[#This Row],[GrossRevenue_Clean]]=Transaction[[#This Row],[ListPrice]]*Transaction[[#This Row],[Quantity]],"Valid","Invalid")</f>
        <v>Valid</v>
      </c>
      <c r="AA1052">
        <v>643.79999999999995</v>
      </c>
      <c r="AB105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643.79999999999995</v>
      </c>
      <c r="AC1052">
        <f>IF(Transaction[[#This Row],[DiscountAmount_Check2]]="Invalid",Transaction[[#This Row],[GrossRevenue_Analytical]]-Transaction[[#This Row],[NetRevenue_Analytical]],Transaction[[#This Row],[DiscountAmount_Clean]])</f>
        <v>643.79999999999995</v>
      </c>
      <c r="AD1052">
        <v>2581.1999999999998</v>
      </c>
      <c r="AE1052" t="str">
        <f>IF(ROUND(Transaction[[#This Row],[GrossRevenue_Analytical]]-Transaction[[#This Row],[NetRevenue_Analytical]],2)=ROUND(Transaction[[#This Row],[DiscountAmount_Clean]],2),"Valid","Invalid")</f>
        <v>Valid</v>
      </c>
      <c r="AF105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2581.1999999999998</v>
      </c>
      <c r="AG1052">
        <f>IF(Transaction[[#This Row],[NetRevenue_Check]]="Invalid",(Transaction[[#This Row],[Quantity]]*Transaction[[#This Row],[UnitPrice_Clean]]),Transaction[[#This Row],[NetRevenue_Clean]])</f>
        <v>2581.1999999999998</v>
      </c>
      <c r="AH1052" t="str">
        <f>IF(Transaction[[#This Row],[Quantity]]*Transaction[[#This Row],[UnitPrice_Clean]]=Transaction[[#This Row],[NetRevenue_Clean]],"Valid","Invalid")</f>
        <v>Valid</v>
      </c>
      <c r="AI1052" t="s">
        <v>23</v>
      </c>
      <c r="AJ1052" t="s">
        <v>2911</v>
      </c>
      <c r="AK1052" t="str">
        <f>IF(Transaction[[#This Row],[Salesperson]]="","Missing Value",TRIM(PROPER(Transaction[[#This Row],[Salesperson]])))</f>
        <v>Walsh-Ap</v>
      </c>
      <c r="AL1052" t="s">
        <v>42</v>
      </c>
      <c r="AM1052" t="str">
        <f>IF(Transaction[[#This Row],[ContractType]]="","Missing Value",Transaction[[#This Row],[ContractType]])</f>
        <v>Standard PO</v>
      </c>
      <c r="AN1052" t="s">
        <v>35</v>
      </c>
    </row>
    <row r="1053" spans="1:40" x14ac:dyDescent="0.25">
      <c r="A1053" t="s">
        <v>1749</v>
      </c>
      <c r="B1053" s="1">
        <v>45783</v>
      </c>
      <c r="C105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05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105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53" s="2">
        <f>IFERROR(DATE(Transaction[[#This Row],[TransactionDateY]],Transaction[[#This Row],[TransactionDateM]],Transaction[[#This Row],[TransactionDateD]]),"Missing Value")</f>
        <v>45783</v>
      </c>
      <c r="G1053" t="s">
        <v>541</v>
      </c>
      <c r="H1053" t="str">
        <f>IFERROR(VLOOKUP(Transaction[[#This Row],[CustomerID]],Custumer[],1,0),IF(LEN(Transaction[[#This Row],[CustomerID]])=7,LEFT(Transaction[[#This Row],[CustomerID]],6),"Invalid ID"))</f>
        <v>C-1075</v>
      </c>
      <c r="I1053" t="s">
        <v>46</v>
      </c>
      <c r="J1053" t="str">
        <f>TRIM(UPPER(Transaction[[#This Row],[ProductID]]))</f>
        <v>P-SI-006</v>
      </c>
      <c r="K1053" t="str">
        <f>IFERROR(VLOOKUP(Transaction[[#This Row],[ProductID_Clean]],Product[],1,FALSE),"Invalid ID")</f>
        <v>P-SI-006</v>
      </c>
      <c r="L1053" t="str">
        <f>TRIM(SUBSTITUTE(SUBSTITUTE(SUBSTITUTE(SUBSTITUTE(UPPER(Transaction[[#This Row],[Region]]),"EMEA REGION","EMEA"),"APAC REGION","APAC"),"NORTH AMERICA","N. AMERICA"),"N .AMERICA","N.AMERICA"))</f>
        <v>N. AMERICA</v>
      </c>
      <c r="M1053" t="s">
        <v>20</v>
      </c>
      <c r="N1053" t="s">
        <v>53</v>
      </c>
      <c r="O105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53" t="s">
        <v>22</v>
      </c>
      <c r="Q1053" t="str">
        <f>IF(TRIM(Transaction[[#This Row],[SalesChannel]])="","Missing Value",TRIM(Transaction[[#This Row],[SalesChannel]]))</f>
        <v>Direct</v>
      </c>
      <c r="R1053" s="4">
        <v>10</v>
      </c>
      <c r="S1053" s="4" t="str">
        <f>IF(Transaction[[#This Row],[Quantity]]&lt;0,"Negative-review","Valid")</f>
        <v>Valid</v>
      </c>
      <c r="T1053">
        <v>164.3</v>
      </c>
      <c r="U105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164.3</v>
      </c>
      <c r="V1053">
        <v>215</v>
      </c>
      <c r="W1053">
        <v>2150</v>
      </c>
      <c r="X105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2150</v>
      </c>
      <c r="Y1053">
        <f>IF(Transaction[[#This Row],[GrossRevenue_Check]]="Invalid",Transaction[[#This Row],[ListPrice]]*Transaction[[#This Row],[Quantity]],Transaction[[#This Row],[GrossRevenue_Clean]])</f>
        <v>2150</v>
      </c>
      <c r="Z1053" t="str">
        <f>IF(Transaction[[#This Row],[GrossRevenue_Clean]]=Transaction[[#This Row],[ListPrice]]*Transaction[[#This Row],[Quantity]],"Valid","Invalid")</f>
        <v>Valid</v>
      </c>
      <c r="AA1053">
        <v>507</v>
      </c>
      <c r="AB105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507</v>
      </c>
      <c r="AC1053">
        <f>IF(Transaction[[#This Row],[DiscountAmount_Check2]]="Invalid",Transaction[[#This Row],[GrossRevenue_Analytical]]-Transaction[[#This Row],[NetRevenue_Analytical]],Transaction[[#This Row],[DiscountAmount_Clean]])</f>
        <v>507</v>
      </c>
      <c r="AD1053" t="s">
        <v>1750</v>
      </c>
      <c r="AE1053" t="str">
        <f>IF(ROUND(Transaction[[#This Row],[GrossRevenue_Analytical]]-Transaction[[#This Row],[NetRevenue_Analytical]],2)=ROUND(Transaction[[#This Row],[DiscountAmount_Clean]],2),"Valid","Invalid")</f>
        <v>Valid</v>
      </c>
      <c r="AF105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1643</v>
      </c>
      <c r="AG1053">
        <f>IF(Transaction[[#This Row],[NetRevenue_Check]]="Invalid",(Transaction[[#This Row],[Quantity]]*Transaction[[#This Row],[UnitPrice_Clean]]),Transaction[[#This Row],[NetRevenue_Clean]])</f>
        <v>1643</v>
      </c>
      <c r="AH1053" t="str">
        <f>IF(Transaction[[#This Row],[Quantity]]*Transaction[[#This Row],[UnitPrice_Clean]]=Transaction[[#This Row],[NetRevenue_Clean]],"Valid","Invalid")</f>
        <v>Valid</v>
      </c>
      <c r="AI1053" t="s">
        <v>23</v>
      </c>
      <c r="AJ1053" t="s">
        <v>1751</v>
      </c>
      <c r="AK1053" t="str">
        <f>IF(Transaction[[#This Row],[Salesperson]]="","Missing Value",TRIM(PROPER(Transaction[[#This Row],[Salesperson]])))</f>
        <v>Warner-Na</v>
      </c>
      <c r="AL1053" t="s">
        <v>42</v>
      </c>
      <c r="AM1053" t="str">
        <f>IF(Transaction[[#This Row],[ContractType]]="","Missing Value",Transaction[[#This Row],[ContractType]])</f>
        <v>Standard PO</v>
      </c>
      <c r="AN1053" t="s">
        <v>49</v>
      </c>
    </row>
    <row r="1054" spans="1:40" x14ac:dyDescent="0.25">
      <c r="A1054" t="s">
        <v>2404</v>
      </c>
      <c r="B1054" t="s">
        <v>379</v>
      </c>
      <c r="C105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05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105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54" s="2">
        <f>IFERROR(DATE(Transaction[[#This Row],[TransactionDateY]],Transaction[[#This Row],[TransactionDateM]],Transaction[[#This Row],[TransactionDateD]]),"Missing Value")</f>
        <v>45701</v>
      </c>
      <c r="G1054" t="s">
        <v>367</v>
      </c>
      <c r="H1054" t="str">
        <f>IFERROR(VLOOKUP(Transaction[[#This Row],[CustomerID]],Custumer[],1,0),IF(LEN(Transaction[[#This Row],[CustomerID]])=7,LEFT(Transaction[[#This Row],[CustomerID]],6),"Invalid ID"))</f>
        <v>C-1024</v>
      </c>
      <c r="I1054" t="s">
        <v>117</v>
      </c>
      <c r="J1054" t="str">
        <f>TRIM(UPPER(Transaction[[#This Row],[ProductID]]))</f>
        <v>P-SI-007</v>
      </c>
      <c r="K1054" t="str">
        <f>IFERROR(VLOOKUP(Transaction[[#This Row],[ProductID_Clean]],Product[],1,FALSE),"Invalid ID")</f>
        <v>P-SI-007</v>
      </c>
      <c r="L1054" t="str">
        <f>TRIM(SUBSTITUTE(SUBSTITUTE(SUBSTITUTE(SUBSTITUTE(UPPER(Transaction[[#This Row],[Region]]),"EMEA REGION","EMEA"),"APAC REGION","APAC"),"NORTH AMERICA","N. AMERICA"),"N .AMERICA","N.AMERICA"))</f>
        <v>APAC</v>
      </c>
      <c r="M1054" t="s">
        <v>122</v>
      </c>
      <c r="N1054" t="s">
        <v>53</v>
      </c>
      <c r="O105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54" t="s">
        <v>173</v>
      </c>
      <c r="Q1054" t="str">
        <f>IF(TRIM(Transaction[[#This Row],[SalesChannel]])="","Missing Value",TRIM(Transaction[[#This Row],[SalesChannel]]))</f>
        <v>Distributor</v>
      </c>
      <c r="R1054" s="4">
        <v>1</v>
      </c>
      <c r="S1054" s="4" t="str">
        <f>IF(Transaction[[#This Row],[Quantity]]&lt;0,"Negative-review","Valid")</f>
        <v>Valid</v>
      </c>
      <c r="T1054">
        <v>751.73</v>
      </c>
      <c r="U105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751.73</v>
      </c>
      <c r="V1054">
        <v>980</v>
      </c>
      <c r="W1054">
        <v>980</v>
      </c>
      <c r="X105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1054">
        <f>IF(Transaction[[#This Row],[GrossRevenue_Check]]="Invalid",Transaction[[#This Row],[ListPrice]]*Transaction[[#This Row],[Quantity]],Transaction[[#This Row],[GrossRevenue_Clean]])</f>
        <v>980</v>
      </c>
      <c r="Z1054" t="str">
        <f>IF(Transaction[[#This Row],[GrossRevenue_Clean]]=Transaction[[#This Row],[ListPrice]]*Transaction[[#This Row],[Quantity]],"Valid","Invalid")</f>
        <v>Valid</v>
      </c>
      <c r="AA1054">
        <v>228.27</v>
      </c>
      <c r="AB105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228.27</v>
      </c>
      <c r="AC1054">
        <f>IF(Transaction[[#This Row],[DiscountAmount_Check2]]="Invalid",Transaction[[#This Row],[GrossRevenue_Analytical]]-Transaction[[#This Row],[NetRevenue_Analytical]],Transaction[[#This Row],[DiscountAmount_Clean]])</f>
        <v>228.27</v>
      </c>
      <c r="AD1054">
        <v>751.73</v>
      </c>
      <c r="AE1054" t="str">
        <f>IF(ROUND(Transaction[[#This Row],[GrossRevenue_Analytical]]-Transaction[[#This Row],[NetRevenue_Analytical]],2)=ROUND(Transaction[[#This Row],[DiscountAmount_Clean]],2),"Valid","Invalid")</f>
        <v>Valid</v>
      </c>
      <c r="AF1054">
        <f>VALUE(IF(ISNUMBER(Transaction[[#This Row],[NetRevenue]]),Transaction[[#This Row],[NetRevenue]],IFERROR(IF(FIND("$",Transaction[[#This Row],[NetRevenue]])&gt;0,MID(Transaction[[#This Row],[NetRevenue]],2,10)),Transaction[[#This Row],[NetRevenue]])))</f>
        <v>751.73</v>
      </c>
      <c r="AG1054">
        <f>IF(Transaction[[#This Row],[NetRevenue_Check]]="Invalid",(Transaction[[#This Row],[Quantity]]*Transaction[[#This Row],[UnitPrice_Clean]]),Transaction[[#This Row],[NetRevenue_Clean]])</f>
        <v>751.73</v>
      </c>
      <c r="AH1054" t="str">
        <f>IF(Transaction[[#This Row],[Quantity]]*Transaction[[#This Row],[UnitPrice_Clean]]=Transaction[[#This Row],[NetRevenue_Clean]],"Valid","Invalid")</f>
        <v>Valid</v>
      </c>
      <c r="AI1054" t="s">
        <v>23</v>
      </c>
      <c r="AK1054" t="str">
        <f>IF(Transaction[[#This Row],[Salesperson]]="","Missing Value",TRIM(PROPER(Transaction[[#This Row],[Salesperson]])))</f>
        <v>Missing Value</v>
      </c>
      <c r="AL1054" t="s">
        <v>42</v>
      </c>
      <c r="AM1054" t="str">
        <f>IF(Transaction[[#This Row],[ContractType]]="","Missing Value",Transaction[[#This Row],[ContractType]])</f>
        <v>Standard PO</v>
      </c>
      <c r="AN1054" t="s">
        <v>65</v>
      </c>
    </row>
    <row r="1055" spans="1:40" x14ac:dyDescent="0.25">
      <c r="A1055" t="s">
        <v>1324</v>
      </c>
      <c r="B1055" s="1">
        <v>45748</v>
      </c>
      <c r="C105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05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105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55" s="2">
        <f>IFERROR(DATE(Transaction[[#This Row],[TransactionDateY]],Transaction[[#This Row],[TransactionDateM]],Transaction[[#This Row],[TransactionDateD]]),"Missing Value")</f>
        <v>45748</v>
      </c>
      <c r="G1055" t="s">
        <v>45</v>
      </c>
      <c r="H1055" t="str">
        <f>IFERROR(VLOOKUP(Transaction[[#This Row],[CustomerID]],Custumer[],1,0),IF(LEN(Transaction[[#This Row],[CustomerID]])=7,LEFT(Transaction[[#This Row],[CustomerID]],6),"Invalid ID"))</f>
        <v>C-1155</v>
      </c>
      <c r="I1055" t="s">
        <v>268</v>
      </c>
      <c r="J1055" t="str">
        <f>TRIM(UPPER(Transaction[[#This Row],[ProductID]]))</f>
        <v>P-FS-002</v>
      </c>
      <c r="K1055" t="str">
        <f>IFERROR(VLOOKUP(Transaction[[#This Row],[ProductID_Clean]],Product[],1,FALSE),"Invalid ID")</f>
        <v>P-FS-002</v>
      </c>
      <c r="L1055" t="str">
        <f>TRIM(SUBSTITUTE(SUBSTITUTE(SUBSTITUTE(SUBSTITUTE(UPPER(Transaction[[#This Row],[Region]]),"EMEA REGION","EMEA"),"APAC REGION","APAC"),"NORTH AMERICA","N. AMERICA"),"N .AMERICA","N.AMERICA"))</f>
        <v>APAC</v>
      </c>
      <c r="M1055" t="s">
        <v>30</v>
      </c>
      <c r="N1055" t="s">
        <v>771</v>
      </c>
      <c r="O105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055" t="s">
        <v>181</v>
      </c>
      <c r="Q1055" t="str">
        <f>IF(TRIM(Transaction[[#This Row],[SalesChannel]])="","Missing Value",TRIM(Transaction[[#This Row],[SalesChannel]]))</f>
        <v>Partner Portal</v>
      </c>
      <c r="R1055" s="4">
        <v>1</v>
      </c>
      <c r="S1055" s="4" t="str">
        <f>IF(Transaction[[#This Row],[Quantity]]&lt;0,"Negative-review","Valid")</f>
        <v>Valid</v>
      </c>
      <c r="T1055" t="s">
        <v>1325</v>
      </c>
      <c r="U105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2050.91</v>
      </c>
      <c r="V1055">
        <v>2400</v>
      </c>
      <c r="W1055">
        <v>2400</v>
      </c>
      <c r="X105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1055">
        <f>IF(Transaction[[#This Row],[GrossRevenue_Check]]="Invalid",Transaction[[#This Row],[ListPrice]]*Transaction[[#This Row],[Quantity]],Transaction[[#This Row],[GrossRevenue_Clean]])</f>
        <v>2400</v>
      </c>
      <c r="Z1055" t="str">
        <f>IF(Transaction[[#This Row],[GrossRevenue_Clean]]=Transaction[[#This Row],[ListPrice]]*Transaction[[#This Row],[Quantity]],"Valid","Invalid")</f>
        <v>Valid</v>
      </c>
      <c r="AA1055">
        <v>349.09</v>
      </c>
      <c r="AB105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349.09</v>
      </c>
      <c r="AC1055">
        <f>IF(Transaction[[#This Row],[DiscountAmount_Check2]]="Invalid",Transaction[[#This Row],[GrossRevenue_Analytical]]-Transaction[[#This Row],[NetRevenue_Analytical]],Transaction[[#This Row],[DiscountAmount_Clean]])</f>
        <v>349.09</v>
      </c>
      <c r="AD1055">
        <v>2050.91</v>
      </c>
      <c r="AE1055" t="str">
        <f>IF(ROUND(Transaction[[#This Row],[GrossRevenue_Analytical]]-Transaction[[#This Row],[NetRevenue_Analytical]],2)=ROUND(Transaction[[#This Row],[DiscountAmount_Clean]],2),"Valid","Invalid")</f>
        <v>Valid</v>
      </c>
      <c r="AF1055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2050.91</v>
      </c>
      <c r="AG1055">
        <f>IF(Transaction[[#This Row],[NetRevenue_Check]]="Invalid",(Transaction[[#This Row],[Quantity]]*Transaction[[#This Row],[UnitPrice_Clean]]),Transaction[[#This Row],[NetRevenue_Clean]])</f>
        <v>2050.91</v>
      </c>
      <c r="AH1055" t="str">
        <f>IF(Transaction[[#This Row],[Quantity]]*Transaction[[#This Row],[UnitPrice_Clean]]=Transaction[[#This Row],[NetRevenue_Clean]],"Valid","Invalid")</f>
        <v>Valid</v>
      </c>
      <c r="AI1055" t="s">
        <v>99</v>
      </c>
      <c r="AJ1055" t="s">
        <v>1326</v>
      </c>
      <c r="AK1055" t="str">
        <f>IF(Transaction[[#This Row],[Salesperson]]="","Missing Value",TRIM(PROPER(Transaction[[#This Row],[Salesperson]])))</f>
        <v>Bruce</v>
      </c>
      <c r="AL1055" t="s">
        <v>224</v>
      </c>
      <c r="AM1055" t="str">
        <f>IF(Transaction[[#This Row],[ContractType]]="","Missing Value",Transaction[[#This Row],[ContractType]])</f>
        <v>Annual</v>
      </c>
      <c r="AN1055" t="s">
        <v>49</v>
      </c>
    </row>
    <row r="1056" spans="1:40" x14ac:dyDescent="0.25">
      <c r="A1056" t="s">
        <v>2230</v>
      </c>
      <c r="B1056" s="1">
        <v>45693</v>
      </c>
      <c r="C105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05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105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56" s="2">
        <f>IFERROR(DATE(Transaction[[#This Row],[TransactionDateY]],Transaction[[#This Row],[TransactionDateM]],Transaction[[#This Row],[TransactionDateD]]),"Missing Value")</f>
        <v>45693</v>
      </c>
      <c r="G1056" t="s">
        <v>571</v>
      </c>
      <c r="H1056" t="str">
        <f>IFERROR(VLOOKUP(Transaction[[#This Row],[CustomerID]],Custumer[],1,0),IF(LEN(Transaction[[#This Row],[CustomerID]])=7,LEFT(Transaction[[#This Row],[CustomerID]],6),"Invalid ID"))</f>
        <v>C-1060</v>
      </c>
      <c r="I1056" t="s">
        <v>39</v>
      </c>
      <c r="J1056" t="str">
        <f>TRIM(UPPER(Transaction[[#This Row],[ProductID]]))</f>
        <v>P-FS-006</v>
      </c>
      <c r="K1056" t="str">
        <f>IFERROR(VLOOKUP(Transaction[[#This Row],[ProductID_Clean]],Product[],1,FALSE),"Invalid ID")</f>
        <v>P-FS-006</v>
      </c>
      <c r="L1056" t="str">
        <f>TRIM(SUBSTITUTE(SUBSTITUTE(SUBSTITUTE(SUBSTITUTE(UPPER(Transaction[[#This Row],[Region]]),"EMEA REGION","EMEA"),"APAC REGION","APAC"),"NORTH AMERICA","N. AMERICA"),"N .AMERICA","N.AMERICA"))</f>
        <v>APAC</v>
      </c>
      <c r="M1056" t="s">
        <v>30</v>
      </c>
      <c r="N1056" t="s">
        <v>21</v>
      </c>
      <c r="O105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056" t="s">
        <v>22</v>
      </c>
      <c r="Q1056" t="str">
        <f>IF(TRIM(Transaction[[#This Row],[SalesChannel]])="","Missing Value",TRIM(Transaction[[#This Row],[SalesChannel]]))</f>
        <v>Direct</v>
      </c>
      <c r="R1056" s="4">
        <v>1</v>
      </c>
      <c r="S1056" s="4" t="str">
        <f>IF(Transaction[[#This Row],[Quantity]]&lt;0,"Negative-review","Valid")</f>
        <v>Valid</v>
      </c>
      <c r="T1056">
        <v>1150.02</v>
      </c>
      <c r="U105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1150.02</v>
      </c>
      <c r="V1056">
        <v>1450</v>
      </c>
      <c r="W1056">
        <v>1450</v>
      </c>
      <c r="X105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1056">
        <f>IF(Transaction[[#This Row],[GrossRevenue_Check]]="Invalid",Transaction[[#This Row],[ListPrice]]*Transaction[[#This Row],[Quantity]],Transaction[[#This Row],[GrossRevenue_Clean]])</f>
        <v>1450</v>
      </c>
      <c r="Z1056" t="str">
        <f>IF(Transaction[[#This Row],[GrossRevenue_Clean]]=Transaction[[#This Row],[ListPrice]]*Transaction[[#This Row],[Quantity]],"Valid","Invalid")</f>
        <v>Valid</v>
      </c>
      <c r="AA1056">
        <v>299.98</v>
      </c>
      <c r="AB105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299.98</v>
      </c>
      <c r="AC1056">
        <f>IF(Transaction[[#This Row],[DiscountAmount_Check2]]="Invalid",Transaction[[#This Row],[GrossRevenue_Analytical]]-Transaction[[#This Row],[NetRevenue_Analytical]],Transaction[[#This Row],[DiscountAmount_Clean]])</f>
        <v>299.98</v>
      </c>
      <c r="AD1056">
        <v>1150.02</v>
      </c>
      <c r="AE1056" t="str">
        <f>IF(ROUND(Transaction[[#This Row],[GrossRevenue_Analytical]]-Transaction[[#This Row],[NetRevenue_Analytical]],2)=ROUND(Transaction[[#This Row],[DiscountAmount_Clean]],2),"Valid","Invalid")</f>
        <v>Valid</v>
      </c>
      <c r="AF105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1150.02</v>
      </c>
      <c r="AG1056">
        <f>IF(Transaction[[#This Row],[NetRevenue_Check]]="Invalid",(Transaction[[#This Row],[Quantity]]*Transaction[[#This Row],[UnitPrice_Clean]]),Transaction[[#This Row],[NetRevenue_Clean]])</f>
        <v>1150.02</v>
      </c>
      <c r="AH1056" t="str">
        <f>IF(Transaction[[#This Row],[Quantity]]*Transaction[[#This Row],[UnitPrice_Clean]]=Transaction[[#This Row],[NetRevenue_Clean]],"Valid","Invalid")</f>
        <v>Valid</v>
      </c>
      <c r="AI1056" t="s">
        <v>23</v>
      </c>
      <c r="AJ1056" t="s">
        <v>1372</v>
      </c>
      <c r="AK1056" t="str">
        <f>IF(Transaction[[#This Row],[Salesperson]]="","Missing Value",TRIM(PROPER(Transaction[[#This Row],[Salesperson]])))</f>
        <v>Newman-Ap</v>
      </c>
      <c r="AL1056" t="s">
        <v>42</v>
      </c>
      <c r="AM1056" t="str">
        <f>IF(Transaction[[#This Row],[ContractType]]="","Missing Value",Transaction[[#This Row],[ContractType]])</f>
        <v>Standard PO</v>
      </c>
      <c r="AN1056" t="s">
        <v>43</v>
      </c>
    </row>
    <row r="1057" spans="1:40" x14ac:dyDescent="0.25">
      <c r="A1057" t="s">
        <v>699</v>
      </c>
      <c r="B1057" s="1">
        <v>45797</v>
      </c>
      <c r="C105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05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105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57" s="2">
        <f>IFERROR(DATE(Transaction[[#This Row],[TransactionDateY]],Transaction[[#This Row],[TransactionDateM]],Transaction[[#This Row],[TransactionDateD]]),"Missing Value")</f>
        <v>45797</v>
      </c>
      <c r="G1057" t="s">
        <v>394</v>
      </c>
      <c r="H1057" t="str">
        <f>IFERROR(VLOOKUP(Transaction[[#This Row],[CustomerID]],Custumer[],1,0),IF(LEN(Transaction[[#This Row],[CustomerID]])=7,LEFT(Transaction[[#This Row],[CustomerID]],6),"Invalid ID"))</f>
        <v>C-1128</v>
      </c>
      <c r="I1057" t="s">
        <v>71</v>
      </c>
      <c r="J1057" t="str">
        <f>TRIM(UPPER(Transaction[[#This Row],[ProductID]]))</f>
        <v>P-SI-003</v>
      </c>
      <c r="K1057" t="str">
        <f>IFERROR(VLOOKUP(Transaction[[#This Row],[ProductID_Clean]],Product[],1,FALSE),"Invalid ID")</f>
        <v>P-SI-003</v>
      </c>
      <c r="L1057" t="str">
        <f>TRIM(SUBSTITUTE(SUBSTITUTE(SUBSTITUTE(SUBSTITUTE(UPPER(Transaction[[#This Row],[Region]]),"EMEA REGION","EMEA"),"APAC REGION","APAC"),"NORTH AMERICA","N. AMERICA"),"N .AMERICA","N.AMERICA"))</f>
        <v>EMEA</v>
      </c>
      <c r="M1057" t="s">
        <v>76</v>
      </c>
      <c r="N1057" t="s">
        <v>47</v>
      </c>
      <c r="O105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57" t="s">
        <v>181</v>
      </c>
      <c r="Q1057" t="str">
        <f>IF(TRIM(Transaction[[#This Row],[SalesChannel]])="","Missing Value",TRIM(Transaction[[#This Row],[SalesChannel]]))</f>
        <v>Partner Portal</v>
      </c>
      <c r="R1057" s="4">
        <v>3</v>
      </c>
      <c r="S1057" s="4" t="str">
        <f>IF(Transaction[[#This Row],[Quantity]]&lt;0,"Negative-review","Valid")</f>
        <v>Valid</v>
      </c>
      <c r="T1057">
        <v>1686.63</v>
      </c>
      <c r="U105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1686.63</v>
      </c>
      <c r="V1057">
        <v>1890</v>
      </c>
      <c r="W1057">
        <v>5670</v>
      </c>
      <c r="X105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5670</v>
      </c>
      <c r="Y1057">
        <f>IF(Transaction[[#This Row],[GrossRevenue_Check]]="Invalid",Transaction[[#This Row],[ListPrice]]*Transaction[[#This Row],[Quantity]],Transaction[[#This Row],[GrossRevenue_Clean]])</f>
        <v>5670</v>
      </c>
      <c r="Z1057" t="str">
        <f>IF(Transaction[[#This Row],[GrossRevenue_Clean]]=Transaction[[#This Row],[ListPrice]]*Transaction[[#This Row],[Quantity]],"Valid","Invalid")</f>
        <v>Valid</v>
      </c>
      <c r="AA1057">
        <v>610.11</v>
      </c>
      <c r="AB105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610.11</v>
      </c>
      <c r="AC1057">
        <f>IF(Transaction[[#This Row],[DiscountAmount_Check2]]="Invalid",Transaction[[#This Row],[GrossRevenue_Analytical]]-Transaction[[#This Row],[NetRevenue_Analytical]],Transaction[[#This Row],[DiscountAmount_Clean]])</f>
        <v>610.11</v>
      </c>
      <c r="AD1057" t="s">
        <v>700</v>
      </c>
      <c r="AE1057" t="str">
        <f>IF(ROUND(Transaction[[#This Row],[GrossRevenue_Analytical]]-Transaction[[#This Row],[NetRevenue_Analytical]],2)=ROUND(Transaction[[#This Row],[DiscountAmount_Clean]],2),"Valid","Invalid")</f>
        <v>Valid</v>
      </c>
      <c r="AF1057">
        <f>VALUE(IF(ISNUMBER(Transaction[[#This Row],[NetRevenue]]),Transaction[[#This Row],[NetRevenue]],IFERROR(IF(FIND("$",Transaction[[#This Row],[NetRevenue]])&gt;0,MID(Transaction[[#This Row],[NetRevenue]],2,10)),Transaction[[#This Row],[NetRevenue]])))</f>
        <v>5059.8900000000003</v>
      </c>
      <c r="AG1057">
        <f>IF(Transaction[[#This Row],[NetRevenue_Check]]="Invalid",(Transaction[[#This Row],[Quantity]]*Transaction[[#This Row],[UnitPrice_Clean]]),Transaction[[#This Row],[NetRevenue_Clean]])</f>
        <v>5059.8900000000003</v>
      </c>
      <c r="AH1057" t="str">
        <f>IF(Transaction[[#This Row],[Quantity]]*Transaction[[#This Row],[UnitPrice_Clean]]=Transaction[[#This Row],[NetRevenue_Clean]],"Valid","Invalid")</f>
        <v>Valid</v>
      </c>
      <c r="AI1057" t="s">
        <v>23</v>
      </c>
      <c r="AJ1057" t="s">
        <v>701</v>
      </c>
      <c r="AK1057" t="str">
        <f>IF(Transaction[[#This Row],[Salesperson]]="","Missing Value",TRIM(PROPER(Transaction[[#This Row],[Salesperson]])))</f>
        <v>Rivera-Na</v>
      </c>
      <c r="AM1057" t="str">
        <f>IF(Transaction[[#This Row],[ContractType]]="","Missing Value",Transaction[[#This Row],[ContractType]])</f>
        <v>Missing Value</v>
      </c>
      <c r="AN1057" t="s">
        <v>43</v>
      </c>
    </row>
    <row r="1058" spans="1:40" x14ac:dyDescent="0.25">
      <c r="A1058" t="s">
        <v>676</v>
      </c>
      <c r="B1058" t="s">
        <v>677</v>
      </c>
      <c r="C105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12</v>
      </c>
      <c r="D105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105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2024</v>
      </c>
      <c r="F1058" s="2">
        <f>IFERROR(DATE(Transaction[[#This Row],[TransactionDateY]],Transaction[[#This Row],[TransactionDateM]],Transaction[[#This Row],[TransactionDateD]]),"Missing Value")</f>
        <v>45651</v>
      </c>
      <c r="G1058" t="s">
        <v>610</v>
      </c>
      <c r="H1058" t="str">
        <f>IFERROR(VLOOKUP(Transaction[[#This Row],[CustomerID]],Custumer[],1,0),IF(LEN(Transaction[[#This Row],[CustomerID]])=7,LEFT(Transaction[[#This Row],[CustomerID]],6),"Invalid ID"))</f>
        <v>C-1156</v>
      </c>
      <c r="I1058" t="s">
        <v>46</v>
      </c>
      <c r="J1058" t="str">
        <f>TRIM(UPPER(Transaction[[#This Row],[ProductID]]))</f>
        <v>P-SI-006</v>
      </c>
      <c r="K1058" t="str">
        <f>IFERROR(VLOOKUP(Transaction[[#This Row],[ProductID_Clean]],Product[],1,FALSE),"Invalid ID")</f>
        <v>P-SI-006</v>
      </c>
      <c r="L1058" t="str">
        <f>TRIM(SUBSTITUTE(SUBSTITUTE(SUBSTITUTE(SUBSTITUTE(UPPER(Transaction[[#This Row],[Region]]),"EMEA REGION","EMEA"),"APAC REGION","APAC"),"NORTH AMERICA","N. AMERICA"),"N .AMERICA","N.AMERICA"))</f>
        <v>N. AMERICA</v>
      </c>
      <c r="M1058" t="s">
        <v>20</v>
      </c>
      <c r="N1058" t="s">
        <v>53</v>
      </c>
      <c r="O105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58" t="s">
        <v>22</v>
      </c>
      <c r="Q1058" t="str">
        <f>IF(TRIM(Transaction[[#This Row],[SalesChannel]])="","Missing Value",TRIM(Transaction[[#This Row],[SalesChannel]]))</f>
        <v>Direct</v>
      </c>
      <c r="R1058" s="4">
        <v>1</v>
      </c>
      <c r="S1058" s="4" t="str">
        <f>IF(Transaction[[#This Row],[Quantity]]&lt;0,"Negative-review","Valid")</f>
        <v>Valid</v>
      </c>
      <c r="T1058">
        <v>189.43</v>
      </c>
      <c r="U105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189.43</v>
      </c>
      <c r="V1058">
        <v>215</v>
      </c>
      <c r="W1058">
        <v>215</v>
      </c>
      <c r="X105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1058">
        <f>IF(Transaction[[#This Row],[GrossRevenue_Check]]="Invalid",Transaction[[#This Row],[ListPrice]]*Transaction[[#This Row],[Quantity]],Transaction[[#This Row],[GrossRevenue_Clean]])</f>
        <v>215</v>
      </c>
      <c r="Z1058" t="str">
        <f>IF(Transaction[[#This Row],[GrossRevenue_Clean]]=Transaction[[#This Row],[ListPrice]]*Transaction[[#This Row],[Quantity]],"Valid","Invalid")</f>
        <v>Valid</v>
      </c>
      <c r="AA1058">
        <v>25.57</v>
      </c>
      <c r="AB105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25.57</v>
      </c>
      <c r="AC1058">
        <f>IF(Transaction[[#This Row],[DiscountAmount_Check2]]="Invalid",Transaction[[#This Row],[GrossRevenue_Analytical]]-Transaction[[#This Row],[NetRevenue_Analytical]],Transaction[[#This Row],[DiscountAmount_Clean]])</f>
        <v>25.57</v>
      </c>
      <c r="AD1058" t="s">
        <v>678</v>
      </c>
      <c r="AE1058" t="str">
        <f>IF(ROUND(Transaction[[#This Row],[GrossRevenue_Analytical]]-Transaction[[#This Row],[NetRevenue_Analytical]],2)=ROUND(Transaction[[#This Row],[DiscountAmount_Clean]],2),"Valid","Invalid")</f>
        <v>Valid</v>
      </c>
      <c r="AF105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189.43</v>
      </c>
      <c r="AG1058">
        <f>IF(Transaction[[#This Row],[NetRevenue_Check]]="Invalid",(Transaction[[#This Row],[Quantity]]*Transaction[[#This Row],[UnitPrice_Clean]]),Transaction[[#This Row],[NetRevenue_Clean]])</f>
        <v>189.43</v>
      </c>
      <c r="AH1058" t="str">
        <f>IF(Transaction[[#This Row],[Quantity]]*Transaction[[#This Row],[UnitPrice_Clean]]=Transaction[[#This Row],[NetRevenue_Clean]],"Valid","Invalid")</f>
        <v>Valid</v>
      </c>
      <c r="AI1058" t="s">
        <v>23</v>
      </c>
      <c r="AJ1058" t="s">
        <v>679</v>
      </c>
      <c r="AK1058" t="str">
        <f>IF(Transaction[[#This Row],[Salesperson]]="","Missing Value",TRIM(PROPER(Transaction[[#This Row],[Salesperson]])))</f>
        <v>Roach-Ap</v>
      </c>
      <c r="AL1058" t="s">
        <v>42</v>
      </c>
      <c r="AM1058" t="str">
        <f>IF(Transaction[[#This Row],[ContractType]]="","Missing Value",Transaction[[#This Row],[ContractType]])</f>
        <v>Standard PO</v>
      </c>
      <c r="AN1058" t="s">
        <v>49</v>
      </c>
    </row>
    <row r="1059" spans="1:40" x14ac:dyDescent="0.25">
      <c r="A1059" t="s">
        <v>439</v>
      </c>
      <c r="B1059" s="1">
        <v>45705</v>
      </c>
      <c r="C105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05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105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59" s="2">
        <f>IFERROR(DATE(Transaction[[#This Row],[TransactionDateY]],Transaction[[#This Row],[TransactionDateM]],Transaction[[#This Row],[TransactionDateD]]),"Missing Value")</f>
        <v>45705</v>
      </c>
      <c r="G1059" t="s">
        <v>250</v>
      </c>
      <c r="H1059" t="str">
        <f>IFERROR(VLOOKUP(Transaction[[#This Row],[CustomerID]],Custumer[],1,0),IF(LEN(Transaction[[#This Row],[CustomerID]])=7,LEFT(Transaction[[#This Row],[CustomerID]],6),"Invalid ID"))</f>
        <v>C-1043</v>
      </c>
      <c r="I1059" t="s">
        <v>117</v>
      </c>
      <c r="J1059" t="str">
        <f>TRIM(UPPER(Transaction[[#This Row],[ProductID]]))</f>
        <v>P-SI-007</v>
      </c>
      <c r="K1059" t="str">
        <f>IFERROR(VLOOKUP(Transaction[[#This Row],[ProductID_Clean]],Product[],1,FALSE),"Invalid ID")</f>
        <v>P-SI-007</v>
      </c>
      <c r="L1059" t="str">
        <f>TRIM(SUBSTITUTE(SUBSTITUTE(SUBSTITUTE(SUBSTITUTE(UPPER(Transaction[[#This Row],[Region]]),"EMEA REGION","EMEA"),"APAC REGION","APAC"),"NORTH AMERICA","N. AMERICA"),"N .AMERICA","N.AMERICA"))</f>
        <v>EMEA</v>
      </c>
      <c r="M1059" t="s">
        <v>76</v>
      </c>
      <c r="N1059" t="s">
        <v>53</v>
      </c>
      <c r="O105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59" t="s">
        <v>40</v>
      </c>
      <c r="Q1059" t="str">
        <f>IF(TRIM(Transaction[[#This Row],[SalesChannel]])="","Missing Value",TRIM(Transaction[[#This Row],[SalesChannel]]))</f>
        <v>Distributor</v>
      </c>
      <c r="R1059" s="4">
        <v>8</v>
      </c>
      <c r="S1059" s="4" t="str">
        <f>IF(Transaction[[#This Row],[Quantity]]&lt;0,"Negative-review","Valid")</f>
        <v>Valid</v>
      </c>
      <c r="T1059">
        <v>875.81</v>
      </c>
      <c r="U105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875.81</v>
      </c>
      <c r="V1059">
        <v>980</v>
      </c>
      <c r="W1059" t="s">
        <v>440</v>
      </c>
      <c r="X105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7840</v>
      </c>
      <c r="Y1059">
        <f>IF(Transaction[[#This Row],[GrossRevenue_Check]]="Invalid",Transaction[[#This Row],[ListPrice]]*Transaction[[#This Row],[Quantity]],Transaction[[#This Row],[GrossRevenue_Clean]])</f>
        <v>7840</v>
      </c>
      <c r="Z1059" t="str">
        <f>IF(Transaction[[#This Row],[GrossRevenue_Clean]]=Transaction[[#This Row],[ListPrice]]*Transaction[[#This Row],[Quantity]],"Valid","Invalid")</f>
        <v>Valid</v>
      </c>
      <c r="AA1059" t="s">
        <v>441</v>
      </c>
      <c r="AB105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833.52</v>
      </c>
      <c r="AC1059">
        <f>IF(Transaction[[#This Row],[DiscountAmount_Check2]]="Invalid",Transaction[[#This Row],[GrossRevenue_Analytical]]-Transaction[[#This Row],[NetRevenue_Analytical]],Transaction[[#This Row],[DiscountAmount_Clean]])</f>
        <v>833.52</v>
      </c>
      <c r="AD1059">
        <v>7006.48</v>
      </c>
      <c r="AE1059" t="str">
        <f>IF(ROUND(Transaction[[#This Row],[GrossRevenue_Analytical]]-Transaction[[#This Row],[NetRevenue_Analytical]],2)=ROUND(Transaction[[#This Row],[DiscountAmount_Clean]],2),"Valid","Invalid")</f>
        <v>Valid</v>
      </c>
      <c r="AF1059">
        <f>VALUE(IF(ISNUMBER(Transaction[[#This Row],[NetRevenue]]),Transaction[[#This Row],[NetRevenue]],IFERROR(IF(FIND("$",Transaction[[#This Row],[NetRevenue]])&gt;0,MID(Transaction[[#This Row],[NetRevenue]],2,10)),Transaction[[#This Row],[NetRevenue]])))</f>
        <v>7006.48</v>
      </c>
      <c r="AG1059">
        <f>IF(Transaction[[#This Row],[NetRevenue_Check]]="Invalid",(Transaction[[#This Row],[Quantity]]*Transaction[[#This Row],[UnitPrice_Clean]]),Transaction[[#This Row],[NetRevenue_Clean]])</f>
        <v>7006.48</v>
      </c>
      <c r="AH1059" t="str">
        <f>IF(Transaction[[#This Row],[Quantity]]*Transaction[[#This Row],[UnitPrice_Clean]]=Transaction[[#This Row],[NetRevenue_Clean]],"Valid","Invalid")</f>
        <v>Valid</v>
      </c>
      <c r="AI1059" t="s">
        <v>23</v>
      </c>
      <c r="AJ1059" t="s">
        <v>442</v>
      </c>
      <c r="AK1059" t="str">
        <f>IF(Transaction[[#This Row],[Salesperson]]="","Missing Value",TRIM(PROPER(Transaction[[#This Row],[Salesperson]])))</f>
        <v>Madden-Em</v>
      </c>
      <c r="AL1059" t="s">
        <v>42</v>
      </c>
      <c r="AM1059" t="str">
        <f>IF(Transaction[[#This Row],[ContractType]]="","Missing Value",Transaction[[#This Row],[ContractType]])</f>
        <v>Standard PO</v>
      </c>
      <c r="AN1059" t="s">
        <v>35</v>
      </c>
    </row>
    <row r="1060" spans="1:40" x14ac:dyDescent="0.25">
      <c r="A1060" t="s">
        <v>1998</v>
      </c>
      <c r="B1060" s="1">
        <v>45822</v>
      </c>
      <c r="C106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06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106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60" s="2">
        <f>IFERROR(DATE(Transaction[[#This Row],[TransactionDateY]],Transaction[[#This Row],[TransactionDateM]],Transaction[[#This Row],[TransactionDateD]]),"Missing Value")</f>
        <v>45822</v>
      </c>
      <c r="G1060" t="s">
        <v>1336</v>
      </c>
      <c r="H1060" t="str">
        <f>IFERROR(VLOOKUP(Transaction[[#This Row],[CustomerID]],Custumer[],1,0),IF(LEN(Transaction[[#This Row],[CustomerID]])=7,LEFT(Transaction[[#This Row],[CustomerID]],6),"Invalid ID"))</f>
        <v>Invalid ID</v>
      </c>
      <c r="I1060" t="s">
        <v>46</v>
      </c>
      <c r="J1060" t="str">
        <f>TRIM(UPPER(Transaction[[#This Row],[ProductID]]))</f>
        <v>P-SI-006</v>
      </c>
      <c r="K1060" t="str">
        <f>IFERROR(VLOOKUP(Transaction[[#This Row],[ProductID_Clean]],Product[],1,FALSE),"Invalid ID")</f>
        <v>P-SI-006</v>
      </c>
      <c r="L1060" t="str">
        <f>TRIM(SUBSTITUTE(SUBSTITUTE(SUBSTITUTE(SUBSTITUTE(UPPER(Transaction[[#This Row],[Region]]),"EMEA REGION","EMEA"),"APAC REGION","APAC"),"NORTH AMERICA","N. AMERICA"),"N .AMERICA","N.AMERICA"))</f>
        <v>EMEA</v>
      </c>
      <c r="M1060" t="s">
        <v>76</v>
      </c>
      <c r="N1060" t="s">
        <v>53</v>
      </c>
      <c r="O106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60" t="s">
        <v>22</v>
      </c>
      <c r="Q1060" t="str">
        <f>IF(TRIM(Transaction[[#This Row],[SalesChannel]])="","Missing Value",TRIM(Transaction[[#This Row],[SalesChannel]]))</f>
        <v>Direct</v>
      </c>
      <c r="R1060" s="4">
        <v>2</v>
      </c>
      <c r="S1060" s="4" t="str">
        <f>IF(Transaction[[#This Row],[Quantity]]&lt;0,"Negative-review","Valid")</f>
        <v>Valid</v>
      </c>
      <c r="T1060">
        <v>154.74</v>
      </c>
      <c r="U106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154.74</v>
      </c>
      <c r="V1060">
        <v>215</v>
      </c>
      <c r="W1060">
        <v>430</v>
      </c>
      <c r="X106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1060">
        <f>IF(Transaction[[#This Row],[GrossRevenue_Check]]="Invalid",Transaction[[#This Row],[ListPrice]]*Transaction[[#This Row],[Quantity]],Transaction[[#This Row],[GrossRevenue_Clean]])</f>
        <v>430</v>
      </c>
      <c r="Z1060" t="str">
        <f>IF(Transaction[[#This Row],[GrossRevenue_Clean]]=Transaction[[#This Row],[ListPrice]]*Transaction[[#This Row],[Quantity]],"Valid","Invalid")</f>
        <v>Valid</v>
      </c>
      <c r="AA1060">
        <v>120.52</v>
      </c>
      <c r="AB106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120.52</v>
      </c>
      <c r="AC1060">
        <f>IF(Transaction[[#This Row],[DiscountAmount_Check2]]="Invalid",Transaction[[#This Row],[GrossRevenue_Analytical]]-Transaction[[#This Row],[NetRevenue_Analytical]],Transaction[[#This Row],[DiscountAmount_Clean]])</f>
        <v>120.52</v>
      </c>
      <c r="AD1060">
        <v>309.48</v>
      </c>
      <c r="AE1060" t="str">
        <f>IF(ROUND(Transaction[[#This Row],[GrossRevenue_Analytical]]-Transaction[[#This Row],[NetRevenue_Analytical]],2)=ROUND(Transaction[[#This Row],[DiscountAmount_Clean]],2),"Valid","Invalid")</f>
        <v>Valid</v>
      </c>
      <c r="AF1060">
        <f>VALUE(IF(ISNUMBER(Transaction[[#This Row],[NetRevenue]]),Transaction[[#This Row],[NetRevenue]],IFERROR(IF(FIND("$",Transaction[[#This Row],[NetRevenue]])&gt;0,MID(Transaction[[#This Row],[NetRevenue]],2,10)),Transaction[[#This Row],[NetRevenue]])))</f>
        <v>309.48</v>
      </c>
      <c r="AG1060">
        <f>IF(Transaction[[#This Row],[NetRevenue_Check]]="Invalid",(Transaction[[#This Row],[Quantity]]*Transaction[[#This Row],[UnitPrice_Clean]]),Transaction[[#This Row],[NetRevenue_Clean]])</f>
        <v>309.48</v>
      </c>
      <c r="AH1060" t="str">
        <f>IF(Transaction[[#This Row],[Quantity]]*Transaction[[#This Row],[UnitPrice_Clean]]=Transaction[[#This Row],[NetRevenue_Clean]],"Valid","Invalid")</f>
        <v>Valid</v>
      </c>
      <c r="AI1060" t="s">
        <v>99</v>
      </c>
      <c r="AJ1060" t="s">
        <v>1999</v>
      </c>
      <c r="AK1060" t="str">
        <f>IF(Transaction[[#This Row],[Salesperson]]="","Missing Value",TRIM(PROPER(Transaction[[#This Row],[Salesperson]])))</f>
        <v>Dickson</v>
      </c>
      <c r="AL1060" t="s">
        <v>25</v>
      </c>
      <c r="AM1060" t="str">
        <f>IF(Transaction[[#This Row],[ContractType]]="","Missing Value",Transaction[[#This Row],[ContractType]])</f>
        <v>Frame Agreement</v>
      </c>
      <c r="AN1060" t="s">
        <v>35</v>
      </c>
    </row>
    <row r="1061" spans="1:40" x14ac:dyDescent="0.25">
      <c r="A1061" t="s">
        <v>2835</v>
      </c>
      <c r="B1061" s="1">
        <v>45792</v>
      </c>
      <c r="C106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06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106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61" s="2">
        <f>IFERROR(DATE(Transaction[[#This Row],[TransactionDateY]],Transaction[[#This Row],[TransactionDateM]],Transaction[[#This Row],[TransactionDateD]]),"Missing Value")</f>
        <v>45792</v>
      </c>
      <c r="G1061" t="s">
        <v>357</v>
      </c>
      <c r="H1061" t="str">
        <f>IFERROR(VLOOKUP(Transaction[[#This Row],[CustomerID]],Custumer[],1,0),IF(LEN(Transaction[[#This Row],[CustomerID]])=7,LEFT(Transaction[[#This Row],[CustomerID]],6),"Invalid ID"))</f>
        <v>C-1078</v>
      </c>
      <c r="I1061" t="s">
        <v>117</v>
      </c>
      <c r="J1061" t="str">
        <f>TRIM(UPPER(Transaction[[#This Row],[ProductID]]))</f>
        <v>P-SI-007</v>
      </c>
      <c r="K1061" t="str">
        <f>IFERROR(VLOOKUP(Transaction[[#This Row],[ProductID_Clean]],Product[],1,FALSE),"Invalid ID")</f>
        <v>P-SI-007</v>
      </c>
      <c r="L1061" t="str">
        <f>TRIM(SUBSTITUTE(SUBSTITUTE(SUBSTITUTE(SUBSTITUTE(UPPER(Transaction[[#This Row],[Region]]),"EMEA REGION","EMEA"),"APAC REGION","APAC"),"NORTH AMERICA","N. AMERICA"),"N .AMERICA","N.AMERICA"))</f>
        <v>N. AMERICA</v>
      </c>
      <c r="M1061" t="s">
        <v>20</v>
      </c>
      <c r="N1061" t="s">
        <v>53</v>
      </c>
      <c r="O106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61" t="s">
        <v>22</v>
      </c>
      <c r="Q1061" t="str">
        <f>IF(TRIM(Transaction[[#This Row],[SalesChannel]])="","Missing Value",TRIM(Transaction[[#This Row],[SalesChannel]]))</f>
        <v>Direct</v>
      </c>
      <c r="R1061" s="4">
        <v>10</v>
      </c>
      <c r="S1061" s="4" t="str">
        <f>IF(Transaction[[#This Row],[Quantity]]&lt;0,"Negative-review","Valid")</f>
        <v>Valid</v>
      </c>
      <c r="T1061">
        <v>882.7</v>
      </c>
      <c r="U106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882.7</v>
      </c>
      <c r="V1061">
        <v>980</v>
      </c>
      <c r="W1061">
        <v>9800</v>
      </c>
      <c r="X106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1061">
        <f>IF(Transaction[[#This Row],[GrossRevenue_Check]]="Invalid",Transaction[[#This Row],[ListPrice]]*Transaction[[#This Row],[Quantity]],Transaction[[#This Row],[GrossRevenue_Clean]])</f>
        <v>9800</v>
      </c>
      <c r="Z1061" t="str">
        <f>IF(Transaction[[#This Row],[GrossRevenue_Clean]]=Transaction[[#This Row],[ListPrice]]*Transaction[[#This Row],[Quantity]],"Valid","Invalid")</f>
        <v>Valid</v>
      </c>
      <c r="AA1061">
        <v>973</v>
      </c>
      <c r="AB106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973</v>
      </c>
      <c r="AC1061">
        <f>IF(Transaction[[#This Row],[DiscountAmount_Check2]]="Invalid",Transaction[[#This Row],[GrossRevenue_Analytical]]-Transaction[[#This Row],[NetRevenue_Analytical]],Transaction[[#This Row],[DiscountAmount_Clean]])</f>
        <v>973</v>
      </c>
      <c r="AD1061">
        <v>8827</v>
      </c>
      <c r="AE1061" t="str">
        <f>IF(ROUND(Transaction[[#This Row],[GrossRevenue_Analytical]]-Transaction[[#This Row],[NetRevenue_Analytical]],2)=ROUND(Transaction[[#This Row],[DiscountAmount_Clean]],2),"Valid","Invalid")</f>
        <v>Valid</v>
      </c>
      <c r="AF1061">
        <f>VALUE(IF(ISNUMBER(Transaction[[#This Row],[NetRevenue]]),Transaction[[#This Row],[NetRevenue]],IFERROR(IF(FIND("$",Transaction[[#This Row],[NetRevenue]])&gt;0,MID(Transaction[[#This Row],[NetRevenue]],2,10)),Transaction[[#This Row],[NetRevenue]])))</f>
        <v>8827</v>
      </c>
      <c r="AG1061">
        <f>IF(Transaction[[#This Row],[NetRevenue_Check]]="Invalid",(Transaction[[#This Row],[Quantity]]*Transaction[[#This Row],[UnitPrice_Clean]]),Transaction[[#This Row],[NetRevenue_Clean]])</f>
        <v>8827</v>
      </c>
      <c r="AH1061" t="str">
        <f>IF(Transaction[[#This Row],[Quantity]]*Transaction[[#This Row],[UnitPrice_Clean]]=Transaction[[#This Row],[NetRevenue_Clean]],"Valid","Invalid")</f>
        <v>Valid</v>
      </c>
      <c r="AI1061" t="s">
        <v>23</v>
      </c>
      <c r="AJ1061" t="s">
        <v>2836</v>
      </c>
      <c r="AK1061" t="str">
        <f>IF(Transaction[[#This Row],[Salesperson]]="","Missing Value",TRIM(PROPER(Transaction[[#This Row],[Salesperson]])))</f>
        <v>Jacobson</v>
      </c>
      <c r="AL1061" t="s">
        <v>25</v>
      </c>
      <c r="AM1061" t="str">
        <f>IF(Transaction[[#This Row],[ContractType]]="","Missing Value",Transaction[[#This Row],[ContractType]])</f>
        <v>Frame Agreement</v>
      </c>
      <c r="AN1061" t="s">
        <v>26</v>
      </c>
    </row>
    <row r="1062" spans="1:40" x14ac:dyDescent="0.25">
      <c r="A1062" t="s">
        <v>2696</v>
      </c>
      <c r="B1062" t="s">
        <v>2697</v>
      </c>
      <c r="C106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106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106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62" s="2">
        <f>IFERROR(DATE(Transaction[[#This Row],[TransactionDateY]],Transaction[[#This Row],[TransactionDateM]],Transaction[[#This Row],[TransactionDateD]]),"Missing Value")</f>
        <v>45677</v>
      </c>
      <c r="G1062" t="s">
        <v>2232</v>
      </c>
      <c r="H1062" t="str">
        <f>IFERROR(VLOOKUP(Transaction[[#This Row],[CustomerID]],Custumer[],1,0),IF(LEN(Transaction[[#This Row],[CustomerID]])=7,LEFT(Transaction[[#This Row],[CustomerID]],6),"Invalid ID"))</f>
        <v>C-1149</v>
      </c>
      <c r="I1062" t="s">
        <v>46</v>
      </c>
      <c r="J1062" t="str">
        <f>TRIM(UPPER(Transaction[[#This Row],[ProductID]]))</f>
        <v>P-SI-006</v>
      </c>
      <c r="K1062" t="str">
        <f>IFERROR(VLOOKUP(Transaction[[#This Row],[ProductID_Clean]],Product[],1,FALSE),"Invalid ID")</f>
        <v>P-SI-006</v>
      </c>
      <c r="L1062" t="str">
        <f>TRIM(SUBSTITUTE(SUBSTITUTE(SUBSTITUTE(SUBSTITUTE(UPPER(Transaction[[#This Row],[Region]]),"EMEA REGION","EMEA"),"APAC REGION","APAC"),"NORTH AMERICA","N. AMERICA"),"N .AMERICA","N.AMERICA"))</f>
        <v>N. AMERICA</v>
      </c>
      <c r="M1062" t="s">
        <v>20</v>
      </c>
      <c r="N1062" t="s">
        <v>53</v>
      </c>
      <c r="O106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62" t="s">
        <v>22</v>
      </c>
      <c r="Q1062" t="str">
        <f>IF(TRIM(Transaction[[#This Row],[SalesChannel]])="","Missing Value",TRIM(Transaction[[#This Row],[SalesChannel]]))</f>
        <v>Direct</v>
      </c>
      <c r="R1062" s="4">
        <v>1</v>
      </c>
      <c r="S1062" s="4" t="str">
        <f>IF(Transaction[[#This Row],[Quantity]]&lt;0,"Negative-review","Valid")</f>
        <v>Valid</v>
      </c>
      <c r="T1062">
        <v>182.51</v>
      </c>
      <c r="U106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182.51</v>
      </c>
      <c r="V1062">
        <v>215</v>
      </c>
      <c r="W1062">
        <v>215</v>
      </c>
      <c r="X106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1062">
        <f>IF(Transaction[[#This Row],[GrossRevenue_Check]]="Invalid",Transaction[[#This Row],[ListPrice]]*Transaction[[#This Row],[Quantity]],Transaction[[#This Row],[GrossRevenue_Clean]])</f>
        <v>215</v>
      </c>
      <c r="Z1062" t="str">
        <f>IF(Transaction[[#This Row],[GrossRevenue_Clean]]=Transaction[[#This Row],[ListPrice]]*Transaction[[#This Row],[Quantity]],"Valid","Invalid")</f>
        <v>Valid</v>
      </c>
      <c r="AA1062">
        <v>32.49</v>
      </c>
      <c r="AB106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32.49</v>
      </c>
      <c r="AC1062">
        <f>IF(Transaction[[#This Row],[DiscountAmount_Check2]]="Invalid",Transaction[[#This Row],[GrossRevenue_Analytical]]-Transaction[[#This Row],[NetRevenue_Analytical]],Transaction[[#This Row],[DiscountAmount_Clean]])</f>
        <v>32.49</v>
      </c>
      <c r="AD1062">
        <v>182.51</v>
      </c>
      <c r="AE1062" t="str">
        <f>IF(ROUND(Transaction[[#This Row],[GrossRevenue_Analytical]]-Transaction[[#This Row],[NetRevenue_Analytical]],2)=ROUND(Transaction[[#This Row],[DiscountAmount_Clean]],2),"Valid","Invalid")</f>
        <v>Valid</v>
      </c>
      <c r="AF106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182.51</v>
      </c>
      <c r="AG1062">
        <f>IF(Transaction[[#This Row],[NetRevenue_Check]]="Invalid",(Transaction[[#This Row],[Quantity]]*Transaction[[#This Row],[UnitPrice_Clean]]),Transaction[[#This Row],[NetRevenue_Clean]])</f>
        <v>182.51</v>
      </c>
      <c r="AH1062" t="str">
        <f>IF(Transaction[[#This Row],[Quantity]]*Transaction[[#This Row],[UnitPrice_Clean]]=Transaction[[#This Row],[NetRevenue_Clean]],"Valid","Invalid")</f>
        <v>Valid</v>
      </c>
      <c r="AI1062" t="s">
        <v>99</v>
      </c>
      <c r="AJ1062" t="s">
        <v>2698</v>
      </c>
      <c r="AK1062" t="str">
        <f>IF(Transaction[[#This Row],[Salesperson]]="","Missing Value",TRIM(PROPER(Transaction[[#This Row],[Salesperson]])))</f>
        <v>Ellison-Ap</v>
      </c>
      <c r="AL1062" t="s">
        <v>55</v>
      </c>
      <c r="AM1062" t="str">
        <f>IF(Transaction[[#This Row],[ContractType]]="","Missing Value",Transaction[[#This Row],[ContractType]])</f>
        <v>Spot</v>
      </c>
      <c r="AN1062" t="s">
        <v>43</v>
      </c>
    </row>
    <row r="1063" spans="1:40" x14ac:dyDescent="0.25">
      <c r="A1063" t="s">
        <v>130</v>
      </c>
      <c r="B1063" s="1">
        <v>45791</v>
      </c>
      <c r="C106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06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106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63" s="2">
        <f>IFERROR(DATE(Transaction[[#This Row],[TransactionDateY]],Transaction[[#This Row],[TransactionDateM]],Transaction[[#This Row],[TransactionDateD]]),"Missing Value")</f>
        <v>45791</v>
      </c>
      <c r="G1063" t="s">
        <v>131</v>
      </c>
      <c r="H1063" t="str">
        <f>IFERROR(VLOOKUP(Transaction[[#This Row],[CustomerID]],Custumer[],1,0),IF(LEN(Transaction[[#This Row],[CustomerID]])=7,LEFT(Transaction[[#This Row],[CustomerID]],6),"Invalid ID"))</f>
        <v>C-1034</v>
      </c>
      <c r="I1063" t="s">
        <v>97</v>
      </c>
      <c r="J1063" t="str">
        <f>TRIM(UPPER(Transaction[[#This Row],[ProductID]]))</f>
        <v>P-SI-001</v>
      </c>
      <c r="K1063" t="str">
        <f>IFERROR(VLOOKUP(Transaction[[#This Row],[ProductID_Clean]],Product[],1,FALSE),"Invalid ID")</f>
        <v>P-SI-001</v>
      </c>
      <c r="L1063" t="str">
        <f>TRIM(SUBSTITUTE(SUBSTITUTE(SUBSTITUTE(SUBSTITUTE(UPPER(Transaction[[#This Row],[Region]]),"EMEA REGION","EMEA"),"APAC REGION","APAC"),"NORTH AMERICA","N. AMERICA"),"N .AMERICA","N.AMERICA"))</f>
        <v>N. AMERICA</v>
      </c>
      <c r="M1063" t="s">
        <v>20</v>
      </c>
      <c r="N1063" t="s">
        <v>47</v>
      </c>
      <c r="O106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63" t="s">
        <v>22</v>
      </c>
      <c r="Q1063" t="str">
        <f>IF(TRIM(Transaction[[#This Row],[SalesChannel]])="","Missing Value",TRIM(Transaction[[#This Row],[SalesChannel]]))</f>
        <v>Direct</v>
      </c>
      <c r="R1063" s="4">
        <v>4</v>
      </c>
      <c r="S1063" s="4" t="str">
        <f>IF(Transaction[[#This Row],[Quantity]]&lt;0,"Negative-review","Valid")</f>
        <v>Valid</v>
      </c>
      <c r="T1063">
        <v>424.32</v>
      </c>
      <c r="U106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424.32</v>
      </c>
      <c r="V1063">
        <v>485</v>
      </c>
      <c r="W1063">
        <v>1940</v>
      </c>
      <c r="X106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1940</v>
      </c>
      <c r="Y1063">
        <f>IF(Transaction[[#This Row],[GrossRevenue_Check]]="Invalid",Transaction[[#This Row],[ListPrice]]*Transaction[[#This Row],[Quantity]],Transaction[[#This Row],[GrossRevenue_Clean]])</f>
        <v>1940</v>
      </c>
      <c r="Z1063" t="str">
        <f>IF(Transaction[[#This Row],[GrossRevenue_Clean]]=Transaction[[#This Row],[ListPrice]]*Transaction[[#This Row],[Quantity]],"Valid","Invalid")</f>
        <v>Valid</v>
      </c>
      <c r="AB106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1063">
        <f>IF(Transaction[[#This Row],[DiscountAmount_Check2]]="Invalid",Transaction[[#This Row],[GrossRevenue_Analytical]]-Transaction[[#This Row],[NetRevenue_Analytical]],Transaction[[#This Row],[DiscountAmount_Clean]])</f>
        <v>242.72000000000003</v>
      </c>
      <c r="AD1063">
        <v>1697.28</v>
      </c>
      <c r="AE1063" t="str">
        <f>IF(ROUND(Transaction[[#This Row],[GrossRevenue_Analytical]]-Transaction[[#This Row],[NetRevenue_Analytical]],2)=ROUND(Transaction[[#This Row],[DiscountAmount_Clean]],2),"Valid","Invalid")</f>
        <v>Invalid</v>
      </c>
      <c r="AF106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1697.28</v>
      </c>
      <c r="AG1063">
        <f>IF(Transaction[[#This Row],[NetRevenue_Check]]="Invalid",(Transaction[[#This Row],[Quantity]]*Transaction[[#This Row],[UnitPrice_Clean]]),Transaction[[#This Row],[NetRevenue_Clean]])</f>
        <v>1697.28</v>
      </c>
      <c r="AH1063" t="str">
        <f>IF(Transaction[[#This Row],[Quantity]]*Transaction[[#This Row],[UnitPrice_Clean]]=Transaction[[#This Row],[NetRevenue_Clean]],"Valid","Invalid")</f>
        <v>Valid</v>
      </c>
      <c r="AI1063" t="s">
        <v>128</v>
      </c>
      <c r="AJ1063" t="s">
        <v>132</v>
      </c>
      <c r="AK1063" t="str">
        <f>IF(Transaction[[#This Row],[Salesperson]]="","Missing Value",TRIM(PROPER(Transaction[[#This Row],[Salesperson]])))</f>
        <v>Joyce-Ap</v>
      </c>
      <c r="AL1063" t="s">
        <v>42</v>
      </c>
      <c r="AM1063" t="str">
        <f>IF(Transaction[[#This Row],[ContractType]]="","Missing Value",Transaction[[#This Row],[ContractType]])</f>
        <v>Standard PO</v>
      </c>
      <c r="AN1063" t="s">
        <v>26</v>
      </c>
    </row>
    <row r="1064" spans="1:40" x14ac:dyDescent="0.25">
      <c r="A1064" t="s">
        <v>114</v>
      </c>
      <c r="B1064" t="s">
        <v>115</v>
      </c>
      <c r="C106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106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106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64" s="2">
        <f>IFERROR(DATE(Transaction[[#This Row],[TransactionDateY]],Transaction[[#This Row],[TransactionDateM]],Transaction[[#This Row],[TransactionDateD]]),"Missing Value")</f>
        <v>45763</v>
      </c>
      <c r="G1064" t="s">
        <v>116</v>
      </c>
      <c r="H1064" t="str">
        <f>IFERROR(VLOOKUP(Transaction[[#This Row],[CustomerID]],Custumer[],1,0),IF(LEN(Transaction[[#This Row],[CustomerID]])=7,LEFT(Transaction[[#This Row],[CustomerID]],6),"Invalid ID"))</f>
        <v>C-1167</v>
      </c>
      <c r="I1064" t="s">
        <v>117</v>
      </c>
      <c r="J1064" t="str">
        <f>TRIM(UPPER(Transaction[[#This Row],[ProductID]]))</f>
        <v>P-SI-007</v>
      </c>
      <c r="K1064" t="str">
        <f>IFERROR(VLOOKUP(Transaction[[#This Row],[ProductID_Clean]],Product[],1,FALSE),"Invalid ID")</f>
        <v>P-SI-007</v>
      </c>
      <c r="L1064" t="str">
        <f>TRIM(SUBSTITUTE(SUBSTITUTE(SUBSTITUTE(SUBSTITUTE(UPPER(Transaction[[#This Row],[Region]]),"EMEA REGION","EMEA"),"APAC REGION","APAC"),"NORTH AMERICA","N. AMERICA"),"N .AMERICA","N.AMERICA"))</f>
        <v>EMEA</v>
      </c>
      <c r="M1064" t="s">
        <v>76</v>
      </c>
      <c r="N1064" t="s">
        <v>53</v>
      </c>
      <c r="O106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64" t="s">
        <v>22</v>
      </c>
      <c r="Q1064" t="str">
        <f>IF(TRIM(Transaction[[#This Row],[SalesChannel]])="","Missing Value",TRIM(Transaction[[#This Row],[SalesChannel]]))</f>
        <v>Direct</v>
      </c>
      <c r="R1064" s="4">
        <v>3</v>
      </c>
      <c r="S1064" s="4" t="str">
        <f>IF(Transaction[[#This Row],[Quantity]]&lt;0,"Negative-review","Valid")</f>
        <v>Valid</v>
      </c>
      <c r="T1064">
        <v>822.52</v>
      </c>
      <c r="U106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822.52</v>
      </c>
      <c r="V1064">
        <v>980</v>
      </c>
      <c r="W1064">
        <v>2940</v>
      </c>
      <c r="X106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2940</v>
      </c>
      <c r="Y1064">
        <f>IF(Transaction[[#This Row],[GrossRevenue_Check]]="Invalid",Transaction[[#This Row],[ListPrice]]*Transaction[[#This Row],[Quantity]],Transaction[[#This Row],[GrossRevenue_Clean]])</f>
        <v>2940</v>
      </c>
      <c r="Z1064" t="str">
        <f>IF(Transaction[[#This Row],[GrossRevenue_Clean]]=Transaction[[#This Row],[ListPrice]]*Transaction[[#This Row],[Quantity]],"Valid","Invalid")</f>
        <v>Valid</v>
      </c>
      <c r="AA1064">
        <v>472.44</v>
      </c>
      <c r="AB106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472.44</v>
      </c>
      <c r="AC1064">
        <f>IF(Transaction[[#This Row],[DiscountAmount_Check2]]="Invalid",Transaction[[#This Row],[GrossRevenue_Analytical]]-Transaction[[#This Row],[NetRevenue_Analytical]],Transaction[[#This Row],[DiscountAmount_Clean]])</f>
        <v>472.44</v>
      </c>
      <c r="AD1064">
        <v>2467.56</v>
      </c>
      <c r="AE1064" t="str">
        <f>IF(ROUND(Transaction[[#This Row],[GrossRevenue_Analytical]]-Transaction[[#This Row],[NetRevenue_Analytical]],2)=ROUND(Transaction[[#This Row],[DiscountAmount_Clean]],2),"Valid","Invalid")</f>
        <v>Valid</v>
      </c>
      <c r="AF106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2467.56</v>
      </c>
      <c r="AG1064">
        <f>IF(Transaction[[#This Row],[NetRevenue_Check]]="Invalid",(Transaction[[#This Row],[Quantity]]*Transaction[[#This Row],[UnitPrice_Clean]]),Transaction[[#This Row],[NetRevenue_Clean]])</f>
        <v>2467.56</v>
      </c>
      <c r="AH1064" t="str">
        <f>IF(Transaction[[#This Row],[Quantity]]*Transaction[[#This Row],[UnitPrice_Clean]]=Transaction[[#This Row],[NetRevenue_Clean]],"Valid","Invalid")</f>
        <v>Valid</v>
      </c>
      <c r="AI1064" t="s">
        <v>23</v>
      </c>
      <c r="AJ1064" t="s">
        <v>118</v>
      </c>
      <c r="AK1064" t="str">
        <f>IF(Transaction[[#This Row],[Salesperson]]="","Missing Value",TRIM(PROPER(Transaction[[#This Row],[Salesperson]])))</f>
        <v>Valenzuela</v>
      </c>
      <c r="AL1064" t="s">
        <v>42</v>
      </c>
      <c r="AM1064" t="str">
        <f>IF(Transaction[[#This Row],[ContractType]]="","Missing Value",Transaction[[#This Row],[ContractType]])</f>
        <v>Standard PO</v>
      </c>
      <c r="AN1064" t="s">
        <v>49</v>
      </c>
    </row>
    <row r="1065" spans="1:40" x14ac:dyDescent="0.25">
      <c r="A1065" t="s">
        <v>1635</v>
      </c>
      <c r="B1065" s="1">
        <v>45819</v>
      </c>
      <c r="C106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06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106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65" s="2">
        <f>IFERROR(DATE(Transaction[[#This Row],[TransactionDateY]],Transaction[[#This Row],[TransactionDateM]],Transaction[[#This Row],[TransactionDateD]]),"Missing Value")</f>
        <v>45819</v>
      </c>
      <c r="G1065" t="s">
        <v>1636</v>
      </c>
      <c r="H1065" t="str">
        <f>IFERROR(VLOOKUP(Transaction[[#This Row],[CustomerID]],Custumer[],1,0),IF(LEN(Transaction[[#This Row],[CustomerID]])=7,LEFT(Transaction[[#This Row],[CustomerID]],6),"Invalid ID"))</f>
        <v>C-1140</v>
      </c>
      <c r="I1065" t="s">
        <v>1637</v>
      </c>
      <c r="J1065" t="str">
        <f>TRIM(UPPER(Transaction[[#This Row],[ProductID]]))</f>
        <v>P-SA-004</v>
      </c>
      <c r="K1065" t="str">
        <f>IFERROR(VLOOKUP(Transaction[[#This Row],[ProductID_Clean]],Product[],1,FALSE),"Invalid ID")</f>
        <v>P-SA-004</v>
      </c>
      <c r="L1065" t="str">
        <f>TRIM(SUBSTITUTE(SUBSTITUTE(SUBSTITUTE(SUBSTITUTE(UPPER(Transaction[[#This Row],[Region]]),"EMEA REGION","EMEA"),"APAC REGION","APAC"),"NORTH AMERICA","N. AMERICA"),"N .AMERICA","N.AMERICA"))</f>
        <v>N. AMERICA</v>
      </c>
      <c r="M1065" t="s">
        <v>20</v>
      </c>
      <c r="N1065" t="s">
        <v>205</v>
      </c>
      <c r="O106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65" t="s">
        <v>181</v>
      </c>
      <c r="Q1065" t="str">
        <f>IF(TRIM(Transaction[[#This Row],[SalesChannel]])="","Missing Value",TRIM(Transaction[[#This Row],[SalesChannel]]))</f>
        <v>Partner Portal</v>
      </c>
      <c r="R1065" s="4">
        <v>1</v>
      </c>
      <c r="S1065" s="4" t="str">
        <f>IF(Transaction[[#This Row],[Quantity]]&lt;0,"Negative-review","Valid")</f>
        <v>Valid</v>
      </c>
      <c r="T1065">
        <v>1491.26</v>
      </c>
      <c r="U106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1491.26</v>
      </c>
      <c r="V1065">
        <v>1650</v>
      </c>
      <c r="W1065">
        <v>1650</v>
      </c>
      <c r="X106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065">
        <f>IF(Transaction[[#This Row],[GrossRevenue_Check]]="Invalid",Transaction[[#This Row],[ListPrice]]*Transaction[[#This Row],[Quantity]],Transaction[[#This Row],[GrossRevenue_Clean]])</f>
        <v>1650</v>
      </c>
      <c r="Z1065" t="str">
        <f>IF(Transaction[[#This Row],[GrossRevenue_Clean]]=Transaction[[#This Row],[ListPrice]]*Transaction[[#This Row],[Quantity]],"Valid","Invalid")</f>
        <v>Valid</v>
      </c>
      <c r="AA1065">
        <v>158.74</v>
      </c>
      <c r="AB106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158.74</v>
      </c>
      <c r="AC1065">
        <f>IF(Transaction[[#This Row],[DiscountAmount_Check2]]="Invalid",Transaction[[#This Row],[GrossRevenue_Analytical]]-Transaction[[#This Row],[NetRevenue_Analytical]],Transaction[[#This Row],[DiscountAmount_Clean]])</f>
        <v>158.74</v>
      </c>
      <c r="AD1065">
        <v>1491.26</v>
      </c>
      <c r="AE1065" t="str">
        <f>IF(ROUND(Transaction[[#This Row],[GrossRevenue_Analytical]]-Transaction[[#This Row],[NetRevenue_Analytical]],2)=ROUND(Transaction[[#This Row],[DiscountAmount_Clean]],2),"Valid","Invalid")</f>
        <v>Valid</v>
      </c>
      <c r="AF106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1491.26</v>
      </c>
      <c r="AG1065">
        <f>IF(Transaction[[#This Row],[NetRevenue_Check]]="Invalid",(Transaction[[#This Row],[Quantity]]*Transaction[[#This Row],[UnitPrice_Clean]]),Transaction[[#This Row],[NetRevenue_Clean]])</f>
        <v>1491.26</v>
      </c>
      <c r="AH1065" t="str">
        <f>IF(Transaction[[#This Row],[Quantity]]*Transaction[[#This Row],[UnitPrice_Clean]]=Transaction[[#This Row],[NetRevenue_Clean]],"Valid","Invalid")</f>
        <v>Valid</v>
      </c>
      <c r="AI1065" t="s">
        <v>23</v>
      </c>
      <c r="AJ1065" t="s">
        <v>1638</v>
      </c>
      <c r="AK1065" t="str">
        <f>IF(Transaction[[#This Row],[Salesperson]]="","Missing Value",TRIM(PROPER(Transaction[[#This Row],[Salesperson]])))</f>
        <v>Schwartz</v>
      </c>
      <c r="AL1065" t="s">
        <v>34</v>
      </c>
      <c r="AM1065" t="str">
        <f>IF(Transaction[[#This Row],[ContractType]]="","Missing Value",Transaction[[#This Row],[ContractType]])</f>
        <v>Annual License</v>
      </c>
      <c r="AN1065" t="s">
        <v>35</v>
      </c>
    </row>
    <row r="1066" spans="1:40" x14ac:dyDescent="0.25">
      <c r="A1066" t="s">
        <v>2939</v>
      </c>
      <c r="B1066" s="1">
        <v>45675</v>
      </c>
      <c r="C106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06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106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66" s="2">
        <f>IFERROR(DATE(Transaction[[#This Row],[TransactionDateY]],Transaction[[#This Row],[TransactionDateM]],Transaction[[#This Row],[TransactionDateD]]),"Missing Value")</f>
        <v>45675</v>
      </c>
      <c r="G1066" t="s">
        <v>784</v>
      </c>
      <c r="H1066" t="str">
        <f>IFERROR(VLOOKUP(Transaction[[#This Row],[CustomerID]],Custumer[],1,0),IF(LEN(Transaction[[#This Row],[CustomerID]])=7,LEFT(Transaction[[#This Row],[CustomerID]],6),"Invalid ID"))</f>
        <v>C-1159</v>
      </c>
      <c r="I1066" t="s">
        <v>268</v>
      </c>
      <c r="J1066" t="str">
        <f>TRIM(UPPER(Transaction[[#This Row],[ProductID]]))</f>
        <v>P-FS-002</v>
      </c>
      <c r="K1066" t="str">
        <f>IFERROR(VLOOKUP(Transaction[[#This Row],[ProductID_Clean]],Product[],1,FALSE),"Invalid ID")</f>
        <v>P-FS-002</v>
      </c>
      <c r="L1066" t="str">
        <f>TRIM(SUBSTITUTE(SUBSTITUTE(SUBSTITUTE(SUBSTITUTE(UPPER(Transaction[[#This Row],[Region]]),"EMEA REGION","EMEA"),"APAC REGION","APAC"),"NORTH AMERICA","N. AMERICA"),"N .AMERICA","N.AMERICA"))</f>
        <v>EMEA</v>
      </c>
      <c r="M1066" t="s">
        <v>76</v>
      </c>
      <c r="N1066" t="s">
        <v>244</v>
      </c>
      <c r="O106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066" t="s">
        <v>173</v>
      </c>
      <c r="Q1066" t="str">
        <f>IF(TRIM(Transaction[[#This Row],[SalesChannel]])="","Missing Value",TRIM(Transaction[[#This Row],[SalesChannel]]))</f>
        <v>Distributor</v>
      </c>
      <c r="R1066" s="4">
        <v>1</v>
      </c>
      <c r="S1066" s="4" t="str">
        <f>IF(Transaction[[#This Row],[Quantity]]&lt;0,"Negative-review","Valid")</f>
        <v>Valid</v>
      </c>
      <c r="T1066">
        <v>2046.96</v>
      </c>
      <c r="U106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2046.96</v>
      </c>
      <c r="V1066">
        <v>2400</v>
      </c>
      <c r="W1066">
        <v>2400</v>
      </c>
      <c r="X106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1066">
        <f>IF(Transaction[[#This Row],[GrossRevenue_Check]]="Invalid",Transaction[[#This Row],[ListPrice]]*Transaction[[#This Row],[Quantity]],Transaction[[#This Row],[GrossRevenue_Clean]])</f>
        <v>2400</v>
      </c>
      <c r="Z1066" t="str">
        <f>IF(Transaction[[#This Row],[GrossRevenue_Clean]]=Transaction[[#This Row],[ListPrice]]*Transaction[[#This Row],[Quantity]],"Valid","Invalid")</f>
        <v>Valid</v>
      </c>
      <c r="AA1066">
        <v>353.04</v>
      </c>
      <c r="AB106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353.04</v>
      </c>
      <c r="AC1066">
        <f>IF(Transaction[[#This Row],[DiscountAmount_Check2]]="Invalid",Transaction[[#This Row],[GrossRevenue_Analytical]]-Transaction[[#This Row],[NetRevenue_Analytical]],Transaction[[#This Row],[DiscountAmount_Clean]])</f>
        <v>353.04</v>
      </c>
      <c r="AD1066">
        <v>2046.96</v>
      </c>
      <c r="AE1066" t="str">
        <f>IF(ROUND(Transaction[[#This Row],[GrossRevenue_Analytical]]-Transaction[[#This Row],[NetRevenue_Analytical]],2)=ROUND(Transaction[[#This Row],[DiscountAmount_Clean]],2),"Valid","Invalid")</f>
        <v>Valid</v>
      </c>
      <c r="AF1066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2046.96</v>
      </c>
      <c r="AG1066">
        <f>IF(Transaction[[#This Row],[NetRevenue_Check]]="Invalid",(Transaction[[#This Row],[Quantity]]*Transaction[[#This Row],[UnitPrice_Clean]]),Transaction[[#This Row],[NetRevenue_Clean]])</f>
        <v>2046.96</v>
      </c>
      <c r="AH1066" t="str">
        <f>IF(Transaction[[#This Row],[Quantity]]*Transaction[[#This Row],[UnitPrice_Clean]]=Transaction[[#This Row],[NetRevenue_Clean]],"Valid","Invalid")</f>
        <v>Valid</v>
      </c>
      <c r="AI1066" t="s">
        <v>23</v>
      </c>
      <c r="AJ1066" t="s">
        <v>2940</v>
      </c>
      <c r="AK1066" t="str">
        <f>IF(Transaction[[#This Row],[Salesperson]]="","Missing Value",TRIM(PROPER(Transaction[[#This Row],[Salesperson]])))</f>
        <v>Knight-Ap</v>
      </c>
      <c r="AL1066" t="s">
        <v>295</v>
      </c>
      <c r="AM1066" t="str">
        <f>IF(Transaction[[#This Row],[ContractType]]="","Missing Value",Transaction[[#This Row],[ContractType]])</f>
        <v>Multi-Year</v>
      </c>
      <c r="AN1066" t="s">
        <v>49</v>
      </c>
    </row>
    <row r="1067" spans="1:40" x14ac:dyDescent="0.25">
      <c r="A1067" t="s">
        <v>1970</v>
      </c>
      <c r="B1067" s="1">
        <v>45696</v>
      </c>
      <c r="C106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06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106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67" s="2">
        <f>IFERROR(DATE(Transaction[[#This Row],[TransactionDateY]],Transaction[[#This Row],[TransactionDateM]],Transaction[[#This Row],[TransactionDateD]]),"Missing Value")</f>
        <v>45696</v>
      </c>
      <c r="G1067" t="s">
        <v>795</v>
      </c>
      <c r="H1067" t="str">
        <f>IFERROR(VLOOKUP(Transaction[[#This Row],[CustomerID]],Custumer[],1,0),IF(LEN(Transaction[[#This Row],[CustomerID]])=7,LEFT(Transaction[[#This Row],[CustomerID]],6),"Invalid ID"))</f>
        <v>C-1118</v>
      </c>
      <c r="I1067" t="s">
        <v>117</v>
      </c>
      <c r="J1067" t="str">
        <f>TRIM(UPPER(Transaction[[#This Row],[ProductID]]))</f>
        <v>P-SI-007</v>
      </c>
      <c r="K1067" t="str">
        <f>IFERROR(VLOOKUP(Transaction[[#This Row],[ProductID_Clean]],Product[],1,FALSE),"Invalid ID")</f>
        <v>P-SI-007</v>
      </c>
      <c r="L1067" t="str">
        <f>TRIM(SUBSTITUTE(SUBSTITUTE(SUBSTITUTE(SUBSTITUTE(UPPER(Transaction[[#This Row],[Region]]),"EMEA REGION","EMEA"),"APAC REGION","APAC"),"NORTH AMERICA","N. AMERICA"),"N .AMERICA","N.AMERICA"))</f>
        <v>N. AMERICA</v>
      </c>
      <c r="M1067" t="s">
        <v>20</v>
      </c>
      <c r="N1067" t="s">
        <v>53</v>
      </c>
      <c r="O106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67" t="s">
        <v>22</v>
      </c>
      <c r="Q1067" t="str">
        <f>IF(TRIM(Transaction[[#This Row],[SalesChannel]])="","Missing Value",TRIM(Transaction[[#This Row],[SalesChannel]]))</f>
        <v>Direct</v>
      </c>
      <c r="R1067" s="4">
        <v>3</v>
      </c>
      <c r="S1067" s="4" t="str">
        <f>IF(Transaction[[#This Row],[Quantity]]&lt;0,"Negative-review","Valid")</f>
        <v>Valid</v>
      </c>
      <c r="T1067">
        <v>901.69</v>
      </c>
      <c r="U106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901.69</v>
      </c>
      <c r="V1067">
        <v>980</v>
      </c>
      <c r="W1067">
        <v>2940</v>
      </c>
      <c r="X106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2940</v>
      </c>
      <c r="Y1067">
        <f>IF(Transaction[[#This Row],[GrossRevenue_Check]]="Invalid",Transaction[[#This Row],[ListPrice]]*Transaction[[#This Row],[Quantity]],Transaction[[#This Row],[GrossRevenue_Clean]])</f>
        <v>2940</v>
      </c>
      <c r="Z1067" t="str">
        <f>IF(Transaction[[#This Row],[GrossRevenue_Clean]]=Transaction[[#This Row],[ListPrice]]*Transaction[[#This Row],[Quantity]],"Valid","Invalid")</f>
        <v>Valid</v>
      </c>
      <c r="AA1067">
        <v>234.93</v>
      </c>
      <c r="AB106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234.93</v>
      </c>
      <c r="AC1067">
        <f>IF(Transaction[[#This Row],[DiscountAmount_Check2]]="Invalid",Transaction[[#This Row],[GrossRevenue_Analytical]]-Transaction[[#This Row],[NetRevenue_Analytical]],Transaction[[#This Row],[DiscountAmount_Clean]])</f>
        <v>234.93</v>
      </c>
      <c r="AD1067">
        <v>2705.07</v>
      </c>
      <c r="AE1067" t="str">
        <f>IF(ROUND(Transaction[[#This Row],[GrossRevenue_Analytical]]-Transaction[[#This Row],[NetRevenue_Analytical]],2)=ROUND(Transaction[[#This Row],[DiscountAmount_Clean]],2),"Valid","Invalid")</f>
        <v>Valid</v>
      </c>
      <c r="AF1067">
        <f>VALUE(IF(ISNUMBER(Transaction[[#This Row],[NetRevenue]]),Transaction[[#This Row],[NetRevenue]],IFERROR(IF(FIND("$",Transaction[[#This Row],[NetRevenue]])&gt;0,MID(Transaction[[#This Row],[NetRevenue]],2,10)),Transaction[[#This Row],[NetRevenue]])))</f>
        <v>2705.07</v>
      </c>
      <c r="AG1067">
        <f>IF(Transaction[[#This Row],[NetRevenue_Check]]="Invalid",(Transaction[[#This Row],[Quantity]]*Transaction[[#This Row],[UnitPrice_Clean]]),Transaction[[#This Row],[NetRevenue_Clean]])</f>
        <v>2705.07</v>
      </c>
      <c r="AH1067" t="str">
        <f>IF(Transaction[[#This Row],[Quantity]]*Transaction[[#This Row],[UnitPrice_Clean]]=Transaction[[#This Row],[NetRevenue_Clean]],"Valid","Invalid")</f>
        <v>Valid</v>
      </c>
      <c r="AI1067" t="s">
        <v>23</v>
      </c>
      <c r="AJ1067" t="s">
        <v>1971</v>
      </c>
      <c r="AK1067" t="str">
        <f>IF(Transaction[[#This Row],[Salesperson]]="","Missing Value",TRIM(PROPER(Transaction[[#This Row],[Salesperson]])))</f>
        <v>Nelson</v>
      </c>
      <c r="AL1067" t="s">
        <v>42</v>
      </c>
      <c r="AM1067" t="str">
        <f>IF(Transaction[[#This Row],[ContractType]]="","Missing Value",Transaction[[#This Row],[ContractType]])</f>
        <v>Standard PO</v>
      </c>
      <c r="AN1067" t="s">
        <v>49</v>
      </c>
    </row>
    <row r="1068" spans="1:40" x14ac:dyDescent="0.25">
      <c r="A1068" t="s">
        <v>1126</v>
      </c>
      <c r="B1068" t="s">
        <v>1127</v>
      </c>
      <c r="C106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06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106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68" s="2">
        <f>IFERROR(DATE(Transaction[[#This Row],[TransactionDateY]],Transaction[[#This Row],[TransactionDateM]],Transaction[[#This Row],[TransactionDateD]]),"Missing Value")</f>
        <v>45713</v>
      </c>
      <c r="G1068" t="s">
        <v>779</v>
      </c>
      <c r="H1068" t="str">
        <f>IFERROR(VLOOKUP(Transaction[[#This Row],[CustomerID]],Custumer[],1,0),IF(LEN(Transaction[[#This Row],[CustomerID]])=7,LEFT(Transaction[[#This Row],[CustomerID]],6),"Invalid ID"))</f>
        <v>C-1025</v>
      </c>
      <c r="I1068" t="s">
        <v>62</v>
      </c>
      <c r="J1068" t="str">
        <f>TRIM(UPPER(Transaction[[#This Row],[ProductID]]))</f>
        <v>P-SI-004</v>
      </c>
      <c r="K1068" t="str">
        <f>IFERROR(VLOOKUP(Transaction[[#This Row],[ProductID_Clean]],Product[],1,FALSE),"Invalid ID")</f>
        <v>P-SI-004</v>
      </c>
      <c r="L1068" t="str">
        <f>TRIM(SUBSTITUTE(SUBSTITUTE(SUBSTITUTE(SUBSTITUTE(UPPER(Transaction[[#This Row],[Region]]),"EMEA REGION","EMEA"),"APAC REGION","APAC"),"NORTH AMERICA","N. AMERICA"),"N .AMERICA","N.AMERICA"))</f>
        <v>LATIN AMERICA</v>
      </c>
      <c r="M1068" t="s">
        <v>82</v>
      </c>
      <c r="N1068" t="s">
        <v>53</v>
      </c>
      <c r="O106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68" t="s">
        <v>22</v>
      </c>
      <c r="Q1068" t="str">
        <f>IF(TRIM(Transaction[[#This Row],[SalesChannel]])="","Missing Value",TRIM(Transaction[[#This Row],[SalesChannel]]))</f>
        <v>Direct</v>
      </c>
      <c r="R1068" s="4">
        <v>3</v>
      </c>
      <c r="S1068" s="4" t="str">
        <f>IF(Transaction[[#This Row],[Quantity]]&lt;0,"Negative-review","Valid")</f>
        <v>Valid</v>
      </c>
      <c r="T1068">
        <v>2035.29</v>
      </c>
      <c r="U106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2035.29</v>
      </c>
      <c r="V1068">
        <v>2450</v>
      </c>
      <c r="W1068">
        <v>7350</v>
      </c>
      <c r="X106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7350</v>
      </c>
      <c r="Y1068">
        <f>IF(Transaction[[#This Row],[GrossRevenue_Check]]="Invalid",Transaction[[#This Row],[ListPrice]]*Transaction[[#This Row],[Quantity]],Transaction[[#This Row],[GrossRevenue_Clean]])</f>
        <v>7350</v>
      </c>
      <c r="Z1068" t="str">
        <f>IF(Transaction[[#This Row],[GrossRevenue_Clean]]=Transaction[[#This Row],[ListPrice]]*Transaction[[#This Row],[Quantity]],"Valid","Invalid")</f>
        <v>Valid</v>
      </c>
      <c r="AA1068">
        <v>1244.1300000000001</v>
      </c>
      <c r="AB106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1244.1300000000001</v>
      </c>
      <c r="AC1068">
        <f>IF(Transaction[[#This Row],[DiscountAmount_Check2]]="Invalid",Transaction[[#This Row],[GrossRevenue_Analytical]]-Transaction[[#This Row],[NetRevenue_Analytical]],Transaction[[#This Row],[DiscountAmount_Clean]])</f>
        <v>1244.1300000000001</v>
      </c>
      <c r="AD1068">
        <v>6105.87</v>
      </c>
      <c r="AE1068" t="str">
        <f>IF(ROUND(Transaction[[#This Row],[GrossRevenue_Analytical]]-Transaction[[#This Row],[NetRevenue_Analytical]],2)=ROUND(Transaction[[#This Row],[DiscountAmount_Clean]],2),"Valid","Invalid")</f>
        <v>Valid</v>
      </c>
      <c r="AF1068">
        <f>VALUE(IF(ISNUMBER(Transaction[[#This Row],[NetRevenue]]),Transaction[[#This Row],[NetRevenue]],IFERROR(IF(FIND("$",Transaction[[#This Row],[NetRevenue]])&gt;0,MID(Transaction[[#This Row],[NetRevenue]],2,10)),Transaction[[#This Row],[NetRevenue]])))</f>
        <v>6105.87</v>
      </c>
      <c r="AG1068">
        <f>IF(Transaction[[#This Row],[NetRevenue_Check]]="Invalid",(Transaction[[#This Row],[Quantity]]*Transaction[[#This Row],[UnitPrice_Clean]]),Transaction[[#This Row],[NetRevenue_Clean]])</f>
        <v>6105.87</v>
      </c>
      <c r="AH1068" t="str">
        <f>IF(Transaction[[#This Row],[Quantity]]*Transaction[[#This Row],[UnitPrice_Clean]]=Transaction[[#This Row],[NetRevenue_Clean]],"Valid","Invalid")</f>
        <v>Valid</v>
      </c>
      <c r="AI1068" t="s">
        <v>23</v>
      </c>
      <c r="AJ1068" t="s">
        <v>1128</v>
      </c>
      <c r="AK1068" t="str">
        <f>IF(Transaction[[#This Row],[Salesperson]]="","Missing Value",TRIM(PROPER(Transaction[[#This Row],[Salesperson]])))</f>
        <v>Glass-Em</v>
      </c>
      <c r="AL1068" t="s">
        <v>42</v>
      </c>
      <c r="AM1068" t="str">
        <f>IF(Transaction[[#This Row],[ContractType]]="","Missing Value",Transaction[[#This Row],[ContractType]])</f>
        <v>Standard PO</v>
      </c>
      <c r="AN1068" t="s">
        <v>26</v>
      </c>
    </row>
    <row r="1069" spans="1:40" x14ac:dyDescent="0.25">
      <c r="A1069" t="s">
        <v>2297</v>
      </c>
      <c r="B1069" t="s">
        <v>2298</v>
      </c>
      <c r="C106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106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106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69" s="2">
        <f>IFERROR(DATE(Transaction[[#This Row],[TransactionDateY]],Transaction[[#This Row],[TransactionDateM]],Transaction[[#This Row],[TransactionDateD]]),"Missing Value")</f>
        <v>45774</v>
      </c>
      <c r="G1069" t="s">
        <v>518</v>
      </c>
      <c r="H1069" t="str">
        <f>IFERROR(VLOOKUP(Transaction[[#This Row],[CustomerID]],Custumer[],1,0),IF(LEN(Transaction[[#This Row],[CustomerID]])=7,LEFT(Transaction[[#This Row],[CustomerID]],6),"Invalid ID"))</f>
        <v>C-1173</v>
      </c>
      <c r="I1069" t="s">
        <v>75</v>
      </c>
      <c r="J1069" t="str">
        <f>TRIM(UPPER(Transaction[[#This Row],[ProductID]]))</f>
        <v>P-SA-005</v>
      </c>
      <c r="K1069" t="str">
        <f>IFERROR(VLOOKUP(Transaction[[#This Row],[ProductID_Clean]],Product[],1,FALSE),"Invalid ID")</f>
        <v>P-SA-005</v>
      </c>
      <c r="L1069" t="str">
        <f>TRIM(SUBSTITUTE(SUBSTITUTE(SUBSTITUTE(SUBSTITUTE(UPPER(Transaction[[#This Row],[Region]]),"EMEA REGION","EMEA"),"APAC REGION","APAC"),"NORTH AMERICA","N. AMERICA"),"N .AMERICA","N.AMERICA"))</f>
        <v>EMEA</v>
      </c>
      <c r="M1069" t="s">
        <v>76</v>
      </c>
      <c r="N1069" t="s">
        <v>31</v>
      </c>
      <c r="O106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69" t="s">
        <v>22</v>
      </c>
      <c r="Q1069" t="str">
        <f>IF(TRIM(Transaction[[#This Row],[SalesChannel]])="","Missing Value",TRIM(Transaction[[#This Row],[SalesChannel]]))</f>
        <v>Direct</v>
      </c>
      <c r="R1069" s="4">
        <v>1</v>
      </c>
      <c r="S1069" s="4" t="str">
        <f>IF(Transaction[[#This Row],[Quantity]]&lt;0,"Negative-review","Valid")</f>
        <v>Valid</v>
      </c>
      <c r="T1069">
        <v>3052.91</v>
      </c>
      <c r="U106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3052.91</v>
      </c>
      <c r="V1069">
        <v>3200</v>
      </c>
      <c r="W1069">
        <v>3200</v>
      </c>
      <c r="X106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1069">
        <f>IF(Transaction[[#This Row],[GrossRevenue_Check]]="Invalid",Transaction[[#This Row],[ListPrice]]*Transaction[[#This Row],[Quantity]],Transaction[[#This Row],[GrossRevenue_Clean]])</f>
        <v>3200</v>
      </c>
      <c r="Z1069" t="str">
        <f>IF(Transaction[[#This Row],[GrossRevenue_Clean]]=Transaction[[#This Row],[ListPrice]]*Transaction[[#This Row],[Quantity]],"Valid","Invalid")</f>
        <v>Valid</v>
      </c>
      <c r="AA1069">
        <v>147.09</v>
      </c>
      <c r="AB106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147.09</v>
      </c>
      <c r="AC1069">
        <f>IF(Transaction[[#This Row],[DiscountAmount_Check2]]="Invalid",Transaction[[#This Row],[GrossRevenue_Analytical]]-Transaction[[#This Row],[NetRevenue_Analytical]],Transaction[[#This Row],[DiscountAmount_Clean]])</f>
        <v>147.09</v>
      </c>
      <c r="AD1069">
        <v>3052.91</v>
      </c>
      <c r="AE1069" t="str">
        <f>IF(ROUND(Transaction[[#This Row],[GrossRevenue_Analytical]]-Transaction[[#This Row],[NetRevenue_Analytical]],2)=ROUND(Transaction[[#This Row],[DiscountAmount_Clean]],2),"Valid","Invalid")</f>
        <v>Valid</v>
      </c>
      <c r="AF1069">
        <f>VALUE(IF(ISNUMBER(Transaction[[#This Row],[NetRevenue]]),Transaction[[#This Row],[NetRevenue]],IFERROR(IF(FIND("$",Transaction[[#This Row],[NetRevenue]])&gt;0,MID(Transaction[[#This Row],[NetRevenue]],2,10)),Transaction[[#This Row],[NetRevenue]])))</f>
        <v>3052.91</v>
      </c>
      <c r="AG1069">
        <f>IF(Transaction[[#This Row],[NetRevenue_Check]]="Invalid",(Transaction[[#This Row],[Quantity]]*Transaction[[#This Row],[UnitPrice_Clean]]),Transaction[[#This Row],[NetRevenue_Clean]])</f>
        <v>3052.91</v>
      </c>
      <c r="AH1069" t="str">
        <f>IF(Transaction[[#This Row],[Quantity]]*Transaction[[#This Row],[UnitPrice_Clean]]=Transaction[[#This Row],[NetRevenue_Clean]],"Valid","Invalid")</f>
        <v>Valid</v>
      </c>
      <c r="AI1069" t="s">
        <v>23</v>
      </c>
      <c r="AJ1069" t="s">
        <v>2299</v>
      </c>
      <c r="AK1069" t="str">
        <f>IF(Transaction[[#This Row],[Salesperson]]="","Missing Value",TRIM(PROPER(Transaction[[#This Row],[Salesperson]])))</f>
        <v>Cohen-Em</v>
      </c>
      <c r="AL1069" t="s">
        <v>34</v>
      </c>
      <c r="AM1069" t="str">
        <f>IF(Transaction[[#This Row],[ContractType]]="","Missing Value",Transaction[[#This Row],[ContractType]])</f>
        <v>Annual License</v>
      </c>
      <c r="AN1069" t="s">
        <v>26</v>
      </c>
    </row>
    <row r="1070" spans="1:40" x14ac:dyDescent="0.25">
      <c r="A1070" t="s">
        <v>2227</v>
      </c>
      <c r="B1070" s="1">
        <v>45821</v>
      </c>
      <c r="C107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07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107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70" s="2">
        <f>IFERROR(DATE(Transaction[[#This Row],[TransactionDateY]],Transaction[[#This Row],[TransactionDateM]],Transaction[[#This Row],[TransactionDateD]]),"Missing Value")</f>
        <v>45821</v>
      </c>
      <c r="G1070" t="s">
        <v>336</v>
      </c>
      <c r="H1070" t="str">
        <f>IFERROR(VLOOKUP(Transaction[[#This Row],[CustomerID]],Custumer[],1,0),IF(LEN(Transaction[[#This Row],[CustomerID]])=7,LEFT(Transaction[[#This Row],[CustomerID]],6),"Invalid ID"))</f>
        <v>C-1109</v>
      </c>
      <c r="I1070" t="s">
        <v>58</v>
      </c>
      <c r="J1070" t="str">
        <f>TRIM(UPPER(Transaction[[#This Row],[ProductID]]))</f>
        <v>P-SI-005</v>
      </c>
      <c r="K1070" t="str">
        <f>IFERROR(VLOOKUP(Transaction[[#This Row],[ProductID_Clean]],Product[],1,FALSE),"Invalid ID")</f>
        <v>P-SI-005</v>
      </c>
      <c r="L1070" t="str">
        <f>TRIM(SUBSTITUTE(SUBSTITUTE(SUBSTITUTE(SUBSTITUTE(UPPER(Transaction[[#This Row],[Region]]),"EMEA REGION","EMEA"),"APAC REGION","APAC"),"NORTH AMERICA","N. AMERICA"),"N .AMERICA","N.AMERICA"))</f>
        <v>EMEA</v>
      </c>
      <c r="M1070" t="s">
        <v>87</v>
      </c>
      <c r="N1070" t="s">
        <v>53</v>
      </c>
      <c r="O107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70" t="s">
        <v>22</v>
      </c>
      <c r="Q1070" t="str">
        <f>IF(TRIM(Transaction[[#This Row],[SalesChannel]])="","Missing Value",TRIM(Transaction[[#This Row],[SalesChannel]]))</f>
        <v>Direct</v>
      </c>
      <c r="R1070" s="4">
        <v>5</v>
      </c>
      <c r="S1070" s="4" t="str">
        <f>IF(Transaction[[#This Row],[Quantity]]&lt;0,"Negative-review","Valid")</f>
        <v>Valid</v>
      </c>
      <c r="T1070">
        <v>983.01</v>
      </c>
      <c r="U107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983.01</v>
      </c>
      <c r="V1070">
        <v>1120</v>
      </c>
      <c r="W1070">
        <v>5600</v>
      </c>
      <c r="X107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5600</v>
      </c>
      <c r="Y1070">
        <f>IF(Transaction[[#This Row],[GrossRevenue_Check]]="Invalid",Transaction[[#This Row],[ListPrice]]*Transaction[[#This Row],[Quantity]],Transaction[[#This Row],[GrossRevenue_Clean]])</f>
        <v>5600</v>
      </c>
      <c r="Z1070" t="str">
        <f>IF(Transaction[[#This Row],[GrossRevenue_Clean]]=Transaction[[#This Row],[ListPrice]]*Transaction[[#This Row],[Quantity]],"Valid","Invalid")</f>
        <v>Valid</v>
      </c>
      <c r="AA1070">
        <v>684.95</v>
      </c>
      <c r="AB107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684.95</v>
      </c>
      <c r="AC1070">
        <f>IF(Transaction[[#This Row],[DiscountAmount_Check2]]="Invalid",Transaction[[#This Row],[GrossRevenue_Analytical]]-Transaction[[#This Row],[NetRevenue_Analytical]],Transaction[[#This Row],[DiscountAmount_Clean]])</f>
        <v>684.95</v>
      </c>
      <c r="AD1070">
        <v>4915.05</v>
      </c>
      <c r="AE1070" t="str">
        <f>IF(ROUND(Transaction[[#This Row],[GrossRevenue_Analytical]]-Transaction[[#This Row],[NetRevenue_Analytical]],2)=ROUND(Transaction[[#This Row],[DiscountAmount_Clean]],2),"Valid","Invalid")</f>
        <v>Valid</v>
      </c>
      <c r="AF1070">
        <f>VALUE(IF(ISNUMBER(Transaction[[#This Row],[NetRevenue]]),Transaction[[#This Row],[NetRevenue]],IFERROR(IF(FIND("$",Transaction[[#This Row],[NetRevenue]])&gt;0,MID(Transaction[[#This Row],[NetRevenue]],2,10)),Transaction[[#This Row],[NetRevenue]])))</f>
        <v>4915.05</v>
      </c>
      <c r="AG1070">
        <f>IF(Transaction[[#This Row],[NetRevenue_Check]]="Invalid",(Transaction[[#This Row],[Quantity]]*Transaction[[#This Row],[UnitPrice_Clean]]),Transaction[[#This Row],[NetRevenue_Clean]])</f>
        <v>4915.05</v>
      </c>
      <c r="AH1070" t="str">
        <f>IF(Transaction[[#This Row],[Quantity]]*Transaction[[#This Row],[UnitPrice_Clean]]=Transaction[[#This Row],[NetRevenue_Clean]],"Valid","Invalid")</f>
        <v>Valid</v>
      </c>
      <c r="AI1070" t="s">
        <v>23</v>
      </c>
      <c r="AJ1070" t="s">
        <v>2224</v>
      </c>
      <c r="AK1070" t="str">
        <f>IF(Transaction[[#This Row],[Salesperson]]="","Missing Value",TRIM(PROPER(Transaction[[#This Row],[Salesperson]])))</f>
        <v>Ramirez-Ap</v>
      </c>
      <c r="AL1070" t="s">
        <v>42</v>
      </c>
      <c r="AM1070" t="str">
        <f>IF(Transaction[[#This Row],[ContractType]]="","Missing Value",Transaction[[#This Row],[ContractType]])</f>
        <v>Standard PO</v>
      </c>
      <c r="AN1070" t="s">
        <v>65</v>
      </c>
    </row>
    <row r="1071" spans="1:40" x14ac:dyDescent="0.25">
      <c r="A1071" t="s">
        <v>927</v>
      </c>
      <c r="B1071" s="1">
        <v>45815</v>
      </c>
      <c r="C107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07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107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71" s="2">
        <f>IFERROR(DATE(Transaction[[#This Row],[TransactionDateY]],Transaction[[#This Row],[TransactionDateM]],Transaction[[#This Row],[TransactionDateD]]),"Missing Value")</f>
        <v>45815</v>
      </c>
      <c r="G1071" t="s">
        <v>928</v>
      </c>
      <c r="H1071" t="str">
        <f>IFERROR(VLOOKUP(Transaction[[#This Row],[CustomerID]],Custumer[],1,0),IF(LEN(Transaction[[#This Row],[CustomerID]])=7,LEFT(Transaction[[#This Row],[CustomerID]],6),"Invalid ID"))</f>
        <v>C-1025</v>
      </c>
      <c r="I1071" t="s">
        <v>97</v>
      </c>
      <c r="J1071" t="str">
        <f>TRIM(UPPER(Transaction[[#This Row],[ProductID]]))</f>
        <v>P-SI-001</v>
      </c>
      <c r="K1071" t="str">
        <f>IFERROR(VLOOKUP(Transaction[[#This Row],[ProductID_Clean]],Product[],1,FALSE),"Invalid ID")</f>
        <v>P-SI-001</v>
      </c>
      <c r="L1071" t="str">
        <f>TRIM(SUBSTITUTE(SUBSTITUTE(SUBSTITUTE(SUBSTITUTE(UPPER(Transaction[[#This Row],[Region]]),"EMEA REGION","EMEA"),"APAC REGION","APAC"),"NORTH AMERICA","N. AMERICA"),"N .AMERICA","N.AMERICA"))</f>
        <v>LATIN AMERICA</v>
      </c>
      <c r="M1071" t="s">
        <v>82</v>
      </c>
      <c r="N1071" t="s">
        <v>53</v>
      </c>
      <c r="O107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71" t="s">
        <v>181</v>
      </c>
      <c r="Q1071" t="str">
        <f>IF(TRIM(Transaction[[#This Row],[SalesChannel]])="","Missing Value",TRIM(Transaction[[#This Row],[SalesChannel]]))</f>
        <v>Partner Portal</v>
      </c>
      <c r="R1071" s="4">
        <v>4</v>
      </c>
      <c r="S1071" s="4" t="str">
        <f>IF(Transaction[[#This Row],[Quantity]]&lt;0,"Negative-review","Valid")</f>
        <v>Valid</v>
      </c>
      <c r="T1071">
        <v>401.31</v>
      </c>
      <c r="U107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401.31</v>
      </c>
      <c r="V1071">
        <v>485</v>
      </c>
      <c r="W1071">
        <v>1940</v>
      </c>
      <c r="X107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1940</v>
      </c>
      <c r="Y1071">
        <f>IF(Transaction[[#This Row],[GrossRevenue_Check]]="Invalid",Transaction[[#This Row],[ListPrice]]*Transaction[[#This Row],[Quantity]],Transaction[[#This Row],[GrossRevenue_Clean]])</f>
        <v>1940</v>
      </c>
      <c r="Z1071" t="str">
        <f>IF(Transaction[[#This Row],[GrossRevenue_Clean]]=Transaction[[#This Row],[ListPrice]]*Transaction[[#This Row],[Quantity]],"Valid","Invalid")</f>
        <v>Valid</v>
      </c>
      <c r="AA1071">
        <v>334.76</v>
      </c>
      <c r="AB107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334.76</v>
      </c>
      <c r="AC1071">
        <f>IF(Transaction[[#This Row],[DiscountAmount_Check2]]="Invalid",Transaction[[#This Row],[GrossRevenue_Analytical]]-Transaction[[#This Row],[NetRevenue_Analytical]],Transaction[[#This Row],[DiscountAmount_Clean]])</f>
        <v>334.76</v>
      </c>
      <c r="AD1071">
        <v>1605.24</v>
      </c>
      <c r="AE1071" t="str">
        <f>IF(ROUND(Transaction[[#This Row],[GrossRevenue_Analytical]]-Transaction[[#This Row],[NetRevenue_Analytical]],2)=ROUND(Transaction[[#This Row],[DiscountAmount_Clean]],2),"Valid","Invalid")</f>
        <v>Valid</v>
      </c>
      <c r="AF107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1605.24</v>
      </c>
      <c r="AG1071">
        <f>IF(Transaction[[#This Row],[NetRevenue_Check]]="Invalid",(Transaction[[#This Row],[Quantity]]*Transaction[[#This Row],[UnitPrice_Clean]]),Transaction[[#This Row],[NetRevenue_Clean]])</f>
        <v>1605.24</v>
      </c>
      <c r="AH1071" t="str">
        <f>IF(Transaction[[#This Row],[Quantity]]*Transaction[[#This Row],[UnitPrice_Clean]]=Transaction[[#This Row],[NetRevenue_Clean]],"Valid","Invalid")</f>
        <v>Valid</v>
      </c>
      <c r="AI1071" t="s">
        <v>23</v>
      </c>
      <c r="AJ1071" t="s">
        <v>929</v>
      </c>
      <c r="AK1071" t="str">
        <f>IF(Transaction[[#This Row],[Salesperson]]="","Missing Value",TRIM(PROPER(Transaction[[#This Row],[Salesperson]])))</f>
        <v>Daniels-Na</v>
      </c>
      <c r="AL1071" t="s">
        <v>42</v>
      </c>
      <c r="AM1071" t="str">
        <f>IF(Transaction[[#This Row],[ContractType]]="","Missing Value",Transaction[[#This Row],[ContractType]])</f>
        <v>Standard PO</v>
      </c>
      <c r="AN1071" t="s">
        <v>26</v>
      </c>
    </row>
    <row r="1072" spans="1:40" x14ac:dyDescent="0.25">
      <c r="A1072" t="s">
        <v>343</v>
      </c>
      <c r="B1072" t="s">
        <v>344</v>
      </c>
      <c r="C107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107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107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72" s="2">
        <f>IFERROR(DATE(Transaction[[#This Row],[TransactionDateY]],Transaction[[#This Row],[TransactionDateM]],Transaction[[#This Row],[TransactionDateD]]),"Missing Value")</f>
        <v>45826</v>
      </c>
      <c r="G1072" t="s">
        <v>345</v>
      </c>
      <c r="H1072" t="str">
        <f>IFERROR(VLOOKUP(Transaction[[#This Row],[CustomerID]],Custumer[],1,0),IF(LEN(Transaction[[#This Row],[CustomerID]])=7,LEFT(Transaction[[#This Row],[CustomerID]],6),"Invalid ID"))</f>
        <v>C-1125</v>
      </c>
      <c r="I1072" t="s">
        <v>258</v>
      </c>
      <c r="J1072" t="str">
        <f>TRIM(UPPER(Transaction[[#This Row],[ProductID]]))</f>
        <v>P-SA-003</v>
      </c>
      <c r="K1072" t="str">
        <f>IFERROR(VLOOKUP(Transaction[[#This Row],[ProductID_Clean]],Product[],1,FALSE),"Invalid ID")</f>
        <v>P-SA-003</v>
      </c>
      <c r="L1072" t="str">
        <f>TRIM(SUBSTITUTE(SUBSTITUTE(SUBSTITUTE(SUBSTITUTE(UPPER(Transaction[[#This Row],[Region]]),"EMEA REGION","EMEA"),"APAC REGION","APAC"),"NORTH AMERICA","N. AMERICA"),"N .AMERICA","N.AMERICA"))</f>
        <v>N. AMERICA</v>
      </c>
      <c r="M1072" t="s">
        <v>20</v>
      </c>
      <c r="N1072" t="s">
        <v>31</v>
      </c>
      <c r="O107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72" t="s">
        <v>22</v>
      </c>
      <c r="Q1072" t="str">
        <f>IF(TRIM(Transaction[[#This Row],[SalesChannel]])="","Missing Value",TRIM(Transaction[[#This Row],[SalesChannel]]))</f>
        <v>Direct</v>
      </c>
      <c r="R1072" s="4">
        <v>2</v>
      </c>
      <c r="S1072" s="4" t="str">
        <f>IF(Transaction[[#This Row],[Quantity]]&lt;0,"Negative-review","Valid")</f>
        <v>Valid</v>
      </c>
      <c r="T1072">
        <v>2557.89</v>
      </c>
      <c r="U107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2557.89</v>
      </c>
      <c r="V1072">
        <v>2750</v>
      </c>
      <c r="W1072">
        <v>5500</v>
      </c>
      <c r="X107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5500</v>
      </c>
      <c r="Y1072">
        <f>IF(Transaction[[#This Row],[GrossRevenue_Check]]="Invalid",Transaction[[#This Row],[ListPrice]]*Transaction[[#This Row],[Quantity]],Transaction[[#This Row],[GrossRevenue_Clean]])</f>
        <v>5500</v>
      </c>
      <c r="Z1072" t="str">
        <f>IF(Transaction[[#This Row],[GrossRevenue_Clean]]=Transaction[[#This Row],[ListPrice]]*Transaction[[#This Row],[Quantity]],"Valid","Invalid")</f>
        <v>Valid</v>
      </c>
      <c r="AA1072">
        <v>384.22</v>
      </c>
      <c r="AB107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384.22</v>
      </c>
      <c r="AC1072">
        <f>IF(Transaction[[#This Row],[DiscountAmount_Check2]]="Invalid",Transaction[[#This Row],[GrossRevenue_Analytical]]-Transaction[[#This Row],[NetRevenue_Analytical]],Transaction[[#This Row],[DiscountAmount_Clean]])</f>
        <v>384.22</v>
      </c>
      <c r="AD1072">
        <v>5115.78</v>
      </c>
      <c r="AE1072" t="str">
        <f>IF(ROUND(Transaction[[#This Row],[GrossRevenue_Analytical]]-Transaction[[#This Row],[NetRevenue_Analytical]],2)=ROUND(Transaction[[#This Row],[DiscountAmount_Clean]],2),"Valid","Invalid")</f>
        <v>Valid</v>
      </c>
      <c r="AF1072">
        <f>VALUE(IF(ISNUMBER(Transaction[[#This Row],[NetRevenue]]),Transaction[[#This Row],[NetRevenue]],IFERROR(IF(FIND("$",Transaction[[#This Row],[NetRevenue]])&gt;0,MID(Transaction[[#This Row],[NetRevenue]],2,10)),Transaction[[#This Row],[NetRevenue]])))</f>
        <v>5115.78</v>
      </c>
      <c r="AG1072">
        <f>IF(Transaction[[#This Row],[NetRevenue_Check]]="Invalid",(Transaction[[#This Row],[Quantity]]*Transaction[[#This Row],[UnitPrice_Clean]]),Transaction[[#This Row],[NetRevenue_Clean]])</f>
        <v>5115.78</v>
      </c>
      <c r="AH1072" t="str">
        <f>IF(Transaction[[#This Row],[Quantity]]*Transaction[[#This Row],[UnitPrice_Clean]]=Transaction[[#This Row],[NetRevenue_Clean]],"Valid","Invalid")</f>
        <v>Valid</v>
      </c>
      <c r="AI1072" t="s">
        <v>23</v>
      </c>
      <c r="AJ1072" t="s">
        <v>346</v>
      </c>
      <c r="AK1072" t="str">
        <f>IF(Transaction[[#This Row],[Salesperson]]="","Missing Value",TRIM(PROPER(Transaction[[#This Row],[Salesperson]])))</f>
        <v>Barrett-Na</v>
      </c>
      <c r="AL1072" t="s">
        <v>34</v>
      </c>
      <c r="AM1072" t="str">
        <f>IF(Transaction[[#This Row],[ContractType]]="","Missing Value",Transaction[[#This Row],[ContractType]])</f>
        <v>Annual License</v>
      </c>
      <c r="AN1072" t="s">
        <v>49</v>
      </c>
    </row>
    <row r="1073" spans="1:40" x14ac:dyDescent="0.25">
      <c r="A1073" t="s">
        <v>1296</v>
      </c>
      <c r="B1073" s="1">
        <v>45792</v>
      </c>
      <c r="C107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07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107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73" s="2">
        <f>IFERROR(DATE(Transaction[[#This Row],[TransactionDateY]],Transaction[[#This Row],[TransactionDateM]],Transaction[[#This Row],[TransactionDateD]]),"Missing Value")</f>
        <v>45792</v>
      </c>
      <c r="G1073" t="s">
        <v>916</v>
      </c>
      <c r="H1073" t="str">
        <f>IFERROR(VLOOKUP(Transaction[[#This Row],[CustomerID]],Custumer[],1,0),IF(LEN(Transaction[[#This Row],[CustomerID]])=7,LEFT(Transaction[[#This Row],[CustomerID]],6),"Invalid ID"))</f>
        <v>C-1106</v>
      </c>
      <c r="I1073" t="s">
        <v>258</v>
      </c>
      <c r="J1073" t="str">
        <f>TRIM(UPPER(Transaction[[#This Row],[ProductID]]))</f>
        <v>P-SA-003</v>
      </c>
      <c r="K1073" t="str">
        <f>IFERROR(VLOOKUP(Transaction[[#This Row],[ProductID_Clean]],Product[],1,FALSE),"Invalid ID")</f>
        <v>P-SA-003</v>
      </c>
      <c r="L1073" t="str">
        <f>TRIM(SUBSTITUTE(SUBSTITUTE(SUBSTITUTE(SUBSTITUTE(UPPER(Transaction[[#This Row],[Region]]),"EMEA REGION","EMEA"),"APAC REGION","APAC"),"NORTH AMERICA","N. AMERICA"),"N .AMERICA","N.AMERICA"))</f>
        <v>N. AMERICA</v>
      </c>
      <c r="M1073" t="s">
        <v>20</v>
      </c>
      <c r="N1073" t="s">
        <v>31</v>
      </c>
      <c r="O107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73" t="s">
        <v>181</v>
      </c>
      <c r="Q1073" t="str">
        <f>IF(TRIM(Transaction[[#This Row],[SalesChannel]])="","Missing Value",TRIM(Transaction[[#This Row],[SalesChannel]]))</f>
        <v>Partner Portal</v>
      </c>
      <c r="R1073" s="4">
        <v>1</v>
      </c>
      <c r="S1073" s="4" t="str">
        <f>IF(Transaction[[#This Row],[Quantity]]&lt;0,"Negative-review","Valid")</f>
        <v>Valid</v>
      </c>
      <c r="T1073">
        <v>2532.9499999999998</v>
      </c>
      <c r="U107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2532.9499999999998</v>
      </c>
      <c r="V1073">
        <v>2750</v>
      </c>
      <c r="W1073">
        <v>2750</v>
      </c>
      <c r="X107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1073">
        <f>IF(Transaction[[#This Row],[GrossRevenue_Check]]="Invalid",Transaction[[#This Row],[ListPrice]]*Transaction[[#This Row],[Quantity]],Transaction[[#This Row],[GrossRevenue_Clean]])</f>
        <v>2750</v>
      </c>
      <c r="Z1073" t="str">
        <f>IF(Transaction[[#This Row],[GrossRevenue_Clean]]=Transaction[[#This Row],[ListPrice]]*Transaction[[#This Row],[Quantity]],"Valid","Invalid")</f>
        <v>Valid</v>
      </c>
      <c r="AB107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1073">
        <f>IF(Transaction[[#This Row],[DiscountAmount_Check2]]="Invalid",Transaction[[#This Row],[GrossRevenue_Analytical]]-Transaction[[#This Row],[NetRevenue_Analytical]],Transaction[[#This Row],[DiscountAmount_Clean]])</f>
        <v>217.05000000000018</v>
      </c>
      <c r="AD1073">
        <v>2532.9499999999998</v>
      </c>
      <c r="AE1073" t="str">
        <f>IF(ROUND(Transaction[[#This Row],[GrossRevenue_Analytical]]-Transaction[[#This Row],[NetRevenue_Analytical]],2)=ROUND(Transaction[[#This Row],[DiscountAmount_Clean]],2),"Valid","Invalid")</f>
        <v>Invalid</v>
      </c>
      <c r="AF1073">
        <f>VALUE(IF(ISNUMBER(Transaction[[#This Row],[NetRevenue]]),Transaction[[#This Row],[NetRevenue]],IFERROR(IF(FIND("$",Transaction[[#This Row],[NetRevenue]])&gt;0,MID(Transaction[[#This Row],[NetRevenue]],2,10)),Transaction[[#This Row],[NetRevenue]])))</f>
        <v>2532.9499999999998</v>
      </c>
      <c r="AG1073">
        <f>IF(Transaction[[#This Row],[NetRevenue_Check]]="Invalid",(Transaction[[#This Row],[Quantity]]*Transaction[[#This Row],[UnitPrice_Clean]]),Transaction[[#This Row],[NetRevenue_Clean]])</f>
        <v>2532.9499999999998</v>
      </c>
      <c r="AH1073" t="str">
        <f>IF(Transaction[[#This Row],[Quantity]]*Transaction[[#This Row],[UnitPrice_Clean]]=Transaction[[#This Row],[NetRevenue_Clean]],"Valid","Invalid")</f>
        <v>Valid</v>
      </c>
      <c r="AI1073" t="s">
        <v>128</v>
      </c>
      <c r="AJ1073" t="s">
        <v>1297</v>
      </c>
      <c r="AK1073" t="str">
        <f>IF(Transaction[[#This Row],[Salesperson]]="","Missing Value",TRIM(PROPER(Transaction[[#This Row],[Salesperson]])))</f>
        <v>Rhodes</v>
      </c>
      <c r="AL1073" t="s">
        <v>34</v>
      </c>
      <c r="AM1073" t="str">
        <f>IF(Transaction[[#This Row],[ContractType]]="","Missing Value",Transaction[[#This Row],[ContractType]])</f>
        <v>Annual License</v>
      </c>
      <c r="AN1073" t="s">
        <v>43</v>
      </c>
    </row>
    <row r="1074" spans="1:40" x14ac:dyDescent="0.25">
      <c r="A1074" t="s">
        <v>1058</v>
      </c>
      <c r="B1074" s="1">
        <v>45794</v>
      </c>
      <c r="C107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07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107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74" s="2">
        <f>IFERROR(DATE(Transaction[[#This Row],[TransactionDateY]],Transaction[[#This Row],[TransactionDateM]],Transaction[[#This Row],[TransactionDateD]]),"Missing Value")</f>
        <v>45794</v>
      </c>
      <c r="G1074" t="s">
        <v>51</v>
      </c>
      <c r="H1074" t="str">
        <f>IFERROR(VLOOKUP(Transaction[[#This Row],[CustomerID]],Custumer[],1,0),IF(LEN(Transaction[[#This Row],[CustomerID]])=7,LEFT(Transaction[[#This Row],[CustomerID]],6),"Invalid ID"))</f>
        <v>C-1006</v>
      </c>
      <c r="I1074" t="s">
        <v>117</v>
      </c>
      <c r="J1074" t="str">
        <f>TRIM(UPPER(Transaction[[#This Row],[ProductID]]))</f>
        <v>P-SI-007</v>
      </c>
      <c r="K1074" t="str">
        <f>IFERROR(VLOOKUP(Transaction[[#This Row],[ProductID_Clean]],Product[],1,FALSE),"Invalid ID")</f>
        <v>P-SI-007</v>
      </c>
      <c r="L1074" t="str">
        <f>TRIM(SUBSTITUTE(SUBSTITUTE(SUBSTITUTE(SUBSTITUTE(UPPER(Transaction[[#This Row],[Region]]),"EMEA REGION","EMEA"),"APAC REGION","APAC"),"NORTH AMERICA","N. AMERICA"),"N .AMERICA","N.AMERICA"))</f>
        <v>N. AMERICA</v>
      </c>
      <c r="M1074" t="s">
        <v>20</v>
      </c>
      <c r="N1074" t="s">
        <v>53</v>
      </c>
      <c r="O107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74" t="s">
        <v>181</v>
      </c>
      <c r="Q1074" t="str">
        <f>IF(TRIM(Transaction[[#This Row],[SalesChannel]])="","Missing Value",TRIM(Transaction[[#This Row],[SalesChannel]]))</f>
        <v>Partner Portal</v>
      </c>
      <c r="R1074" s="4">
        <v>3</v>
      </c>
      <c r="S1074" s="4" t="str">
        <f>IF(Transaction[[#This Row],[Quantity]]&lt;0,"Negative-review","Valid")</f>
        <v>Valid</v>
      </c>
      <c r="T1074">
        <v>813.9</v>
      </c>
      <c r="U107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813.9</v>
      </c>
      <c r="V1074">
        <v>980</v>
      </c>
      <c r="W1074">
        <v>2940</v>
      </c>
      <c r="X107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2940</v>
      </c>
      <c r="Y1074">
        <f>IF(Transaction[[#This Row],[GrossRevenue_Check]]="Invalid",Transaction[[#This Row],[ListPrice]]*Transaction[[#This Row],[Quantity]],Transaction[[#This Row],[GrossRevenue_Clean]])</f>
        <v>2940</v>
      </c>
      <c r="Z1074" t="str">
        <f>IF(Transaction[[#This Row],[GrossRevenue_Clean]]=Transaction[[#This Row],[ListPrice]]*Transaction[[#This Row],[Quantity]],"Valid","Invalid")</f>
        <v>Valid</v>
      </c>
      <c r="AA1074">
        <v>498.3</v>
      </c>
      <c r="AB107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498.3</v>
      </c>
      <c r="AC1074">
        <f>IF(Transaction[[#This Row],[DiscountAmount_Check2]]="Invalid",Transaction[[#This Row],[GrossRevenue_Analytical]]-Transaction[[#This Row],[NetRevenue_Analytical]],Transaction[[#This Row],[DiscountAmount_Clean]])</f>
        <v>498.3</v>
      </c>
      <c r="AD1074">
        <v>2441.6999999999998</v>
      </c>
      <c r="AE1074" t="str">
        <f>IF(ROUND(Transaction[[#This Row],[GrossRevenue_Analytical]]-Transaction[[#This Row],[NetRevenue_Analytical]],2)=ROUND(Transaction[[#This Row],[DiscountAmount_Clean]],2),"Valid","Invalid")</f>
        <v>Valid</v>
      </c>
      <c r="AF107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2441.6999999999998</v>
      </c>
      <c r="AG1074">
        <f>IF(Transaction[[#This Row],[NetRevenue_Check]]="Invalid",(Transaction[[#This Row],[Quantity]]*Transaction[[#This Row],[UnitPrice_Clean]]),Transaction[[#This Row],[NetRevenue_Clean]])</f>
        <v>2441.6999999999998</v>
      </c>
      <c r="AH1074" t="str">
        <f>IF(Transaction[[#This Row],[Quantity]]*Transaction[[#This Row],[UnitPrice_Clean]]=Transaction[[#This Row],[NetRevenue_Clean]],"Valid","Invalid")</f>
        <v>Valid</v>
      </c>
      <c r="AI1074" t="s">
        <v>23</v>
      </c>
      <c r="AJ1074" t="s">
        <v>1059</v>
      </c>
      <c r="AK1074" t="str">
        <f>IF(Transaction[[#This Row],[Salesperson]]="","Missing Value",TRIM(PROPER(Transaction[[#This Row],[Salesperson]])))</f>
        <v>Jefferson-Em</v>
      </c>
      <c r="AL1074" t="s">
        <v>42</v>
      </c>
      <c r="AM1074" t="str">
        <f>IF(Transaction[[#This Row],[ContractType]]="","Missing Value",Transaction[[#This Row],[ContractType]])</f>
        <v>Standard PO</v>
      </c>
      <c r="AN1074" t="s">
        <v>26</v>
      </c>
    </row>
    <row r="1075" spans="1:40" x14ac:dyDescent="0.25">
      <c r="A1075" t="s">
        <v>2296</v>
      </c>
      <c r="B1075" s="1">
        <v>45763</v>
      </c>
      <c r="C107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07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107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75" s="2">
        <f>IFERROR(DATE(Transaction[[#This Row],[TransactionDateY]],Transaction[[#This Row],[TransactionDateM]],Transaction[[#This Row],[TransactionDateD]]),"Missing Value")</f>
        <v>45763</v>
      </c>
      <c r="G1075" t="s">
        <v>360</v>
      </c>
      <c r="H1075" t="str">
        <f>IFERROR(VLOOKUP(Transaction[[#This Row],[CustomerID]],Custumer[],1,0),IF(LEN(Transaction[[#This Row],[CustomerID]])=7,LEFT(Transaction[[#This Row],[CustomerID]],6),"Invalid ID"))</f>
        <v>C-1067</v>
      </c>
      <c r="I1075" t="s">
        <v>111</v>
      </c>
      <c r="J1075" t="str">
        <f>TRIM(UPPER(Transaction[[#This Row],[ProductID]]))</f>
        <v>P-SA-004</v>
      </c>
      <c r="K1075" t="str">
        <f>IFERROR(VLOOKUP(Transaction[[#This Row],[ProductID_Clean]],Product[],1,FALSE),"Invalid ID")</f>
        <v>P-SA-004</v>
      </c>
      <c r="L1075" t="str">
        <f>TRIM(SUBSTITUTE(SUBSTITUTE(SUBSTITUTE(SUBSTITUTE(UPPER(Transaction[[#This Row],[Region]]),"EMEA REGION","EMEA"),"APAC REGION","APAC"),"NORTH AMERICA","N. AMERICA"),"N .AMERICA","N.AMERICA"))</f>
        <v>APAC</v>
      </c>
      <c r="M1075" t="s">
        <v>30</v>
      </c>
      <c r="N1075" t="s">
        <v>31</v>
      </c>
      <c r="O107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75" t="s">
        <v>181</v>
      </c>
      <c r="Q1075" t="str">
        <f>IF(TRIM(Transaction[[#This Row],[SalesChannel]])="","Missing Value",TRIM(Transaction[[#This Row],[SalesChannel]]))</f>
        <v>Partner Portal</v>
      </c>
      <c r="R1075" s="4">
        <v>1</v>
      </c>
      <c r="S1075" s="4" t="str">
        <f>IF(Transaction[[#This Row],[Quantity]]&lt;0,"Negative-review","Valid")</f>
        <v>Valid</v>
      </c>
      <c r="T1075">
        <v>1250.8800000000001</v>
      </c>
      <c r="U107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1250.8800000000001</v>
      </c>
      <c r="V1075">
        <v>1650</v>
      </c>
      <c r="W1075">
        <v>1650</v>
      </c>
      <c r="X107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075">
        <f>IF(Transaction[[#This Row],[GrossRevenue_Check]]="Invalid",Transaction[[#This Row],[ListPrice]]*Transaction[[#This Row],[Quantity]],Transaction[[#This Row],[GrossRevenue_Clean]])</f>
        <v>1650</v>
      </c>
      <c r="Z1075" t="str">
        <f>IF(Transaction[[#This Row],[GrossRevenue_Clean]]=Transaction[[#This Row],[ListPrice]]*Transaction[[#This Row],[Quantity]],"Valid","Invalid")</f>
        <v>Valid</v>
      </c>
      <c r="AA1075">
        <v>399.12</v>
      </c>
      <c r="AB107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399.12</v>
      </c>
      <c r="AC1075">
        <f>IF(Transaction[[#This Row],[DiscountAmount_Check2]]="Invalid",Transaction[[#This Row],[GrossRevenue_Analytical]]-Transaction[[#This Row],[NetRevenue_Analytical]],Transaction[[#This Row],[DiscountAmount_Clean]])</f>
        <v>399.12</v>
      </c>
      <c r="AD1075">
        <v>1250.8800000000001</v>
      </c>
      <c r="AE1075" t="str">
        <f>IF(ROUND(Transaction[[#This Row],[GrossRevenue_Analytical]]-Transaction[[#This Row],[NetRevenue_Analytical]],2)=ROUND(Transaction[[#This Row],[DiscountAmount_Clean]],2),"Valid","Invalid")</f>
        <v>Valid</v>
      </c>
      <c r="AF107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1250.8800000000001</v>
      </c>
      <c r="AG1075">
        <f>IF(Transaction[[#This Row],[NetRevenue_Check]]="Invalid",(Transaction[[#This Row],[Quantity]]*Transaction[[#This Row],[UnitPrice_Clean]]),Transaction[[#This Row],[NetRevenue_Clean]])</f>
        <v>1250.8800000000001</v>
      </c>
      <c r="AH1075" t="str">
        <f>IF(Transaction[[#This Row],[Quantity]]*Transaction[[#This Row],[UnitPrice_Clean]]=Transaction[[#This Row],[NetRevenue_Clean]],"Valid","Invalid")</f>
        <v>Valid</v>
      </c>
      <c r="AI1075" t="s">
        <v>23</v>
      </c>
      <c r="AJ1075" t="s">
        <v>465</v>
      </c>
      <c r="AK1075" t="str">
        <f>IF(Transaction[[#This Row],[Salesperson]]="","Missing Value",TRIM(PROPER(Transaction[[#This Row],[Salesperson]])))</f>
        <v>Smith</v>
      </c>
      <c r="AL1075" t="s">
        <v>34</v>
      </c>
      <c r="AM1075" t="str">
        <f>IF(Transaction[[#This Row],[ContractType]]="","Missing Value",Transaction[[#This Row],[ContractType]])</f>
        <v>Annual License</v>
      </c>
      <c r="AN1075" t="s">
        <v>43</v>
      </c>
    </row>
    <row r="1076" spans="1:40" x14ac:dyDescent="0.25">
      <c r="A1076" t="s">
        <v>531</v>
      </c>
      <c r="B1076" s="1">
        <v>45662</v>
      </c>
      <c r="C107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07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107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76" s="2">
        <f>IFERROR(DATE(Transaction[[#This Row],[TransactionDateY]],Transaction[[#This Row],[TransactionDateM]],Transaction[[#This Row],[TransactionDateD]]),"Missing Value")</f>
        <v>45662</v>
      </c>
      <c r="G1076" t="s">
        <v>429</v>
      </c>
      <c r="H1076" t="str">
        <f>IFERROR(VLOOKUP(Transaction[[#This Row],[CustomerID]],Custumer[],1,0),IF(LEN(Transaction[[#This Row],[CustomerID]])=7,LEFT(Transaction[[#This Row],[CustomerID]],6),"Invalid ID"))</f>
        <v>C-1009</v>
      </c>
      <c r="I1076" t="s">
        <v>117</v>
      </c>
      <c r="J1076" t="str">
        <f>TRIM(UPPER(Transaction[[#This Row],[ProductID]]))</f>
        <v>P-SI-007</v>
      </c>
      <c r="K1076" t="str">
        <f>IFERROR(VLOOKUP(Transaction[[#This Row],[ProductID_Clean]],Product[],1,FALSE),"Invalid ID")</f>
        <v>P-SI-007</v>
      </c>
      <c r="L1076" t="str">
        <f>TRIM(SUBSTITUTE(SUBSTITUTE(SUBSTITUTE(SUBSTITUTE(UPPER(Transaction[[#This Row],[Region]]),"EMEA REGION","EMEA"),"APAC REGION","APAC"),"NORTH AMERICA","N. AMERICA"),"N .AMERICA","N.AMERICA"))</f>
        <v>EMEA</v>
      </c>
      <c r="M1076" t="s">
        <v>76</v>
      </c>
      <c r="N1076" t="s">
        <v>53</v>
      </c>
      <c r="O107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76" t="s">
        <v>40</v>
      </c>
      <c r="Q1076" t="str">
        <f>IF(TRIM(Transaction[[#This Row],[SalesChannel]])="","Missing Value",TRIM(Transaction[[#This Row],[SalesChannel]]))</f>
        <v>Distributor</v>
      </c>
      <c r="R1076" s="4">
        <v>2</v>
      </c>
      <c r="S1076" s="4" t="str">
        <f>IF(Transaction[[#This Row],[Quantity]]&lt;0,"Negative-review","Valid")</f>
        <v>Valid</v>
      </c>
      <c r="T1076">
        <v>757.49</v>
      </c>
      <c r="U107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757.49</v>
      </c>
      <c r="V1076">
        <v>980</v>
      </c>
      <c r="W1076">
        <v>1960</v>
      </c>
      <c r="X107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</v>
      </c>
      <c r="Y1076">
        <f>IF(Transaction[[#This Row],[GrossRevenue_Check]]="Invalid",Transaction[[#This Row],[ListPrice]]*Transaction[[#This Row],[Quantity]],Transaction[[#This Row],[GrossRevenue_Clean]])</f>
        <v>1960</v>
      </c>
      <c r="Z1076" t="str">
        <f>IF(Transaction[[#This Row],[GrossRevenue_Clean]]=Transaction[[#This Row],[ListPrice]]*Transaction[[#This Row],[Quantity]],"Valid","Invalid")</f>
        <v>Valid</v>
      </c>
      <c r="AA1076">
        <v>445.02</v>
      </c>
      <c r="AB107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445.02</v>
      </c>
      <c r="AC1076">
        <f>IF(Transaction[[#This Row],[DiscountAmount_Check2]]="Invalid",Transaction[[#This Row],[GrossRevenue_Analytical]]-Transaction[[#This Row],[NetRevenue_Analytical]],Transaction[[#This Row],[DiscountAmount_Clean]])</f>
        <v>445.02</v>
      </c>
      <c r="AD1076">
        <v>1514.98</v>
      </c>
      <c r="AE1076" t="str">
        <f>IF(ROUND(Transaction[[#This Row],[GrossRevenue_Analytical]]-Transaction[[#This Row],[NetRevenue_Analytical]],2)=ROUND(Transaction[[#This Row],[DiscountAmount_Clean]],2),"Valid","Invalid")</f>
        <v>Valid</v>
      </c>
      <c r="AF107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1514.98</v>
      </c>
      <c r="AG1076">
        <f>IF(Transaction[[#This Row],[NetRevenue_Check]]="Invalid",(Transaction[[#This Row],[Quantity]]*Transaction[[#This Row],[UnitPrice_Clean]]),Transaction[[#This Row],[NetRevenue_Clean]])</f>
        <v>1514.98</v>
      </c>
      <c r="AH1076" t="str">
        <f>IF(Transaction[[#This Row],[Quantity]]*Transaction[[#This Row],[UnitPrice_Clean]]=Transaction[[#This Row],[NetRevenue_Clean]],"Valid","Invalid")</f>
        <v>Valid</v>
      </c>
      <c r="AI1076" t="s">
        <v>23</v>
      </c>
      <c r="AJ1076" t="s">
        <v>532</v>
      </c>
      <c r="AK1076" t="str">
        <f>IF(Transaction[[#This Row],[Salesperson]]="","Missing Value",TRIM(PROPER(Transaction[[#This Row],[Salesperson]])))</f>
        <v>Clark-Em</v>
      </c>
      <c r="AL1076" t="s">
        <v>42</v>
      </c>
      <c r="AM1076" t="str">
        <f>IF(Transaction[[#This Row],[ContractType]]="","Missing Value",Transaction[[#This Row],[ContractType]])</f>
        <v>Standard PO</v>
      </c>
      <c r="AN1076" t="s">
        <v>49</v>
      </c>
    </row>
    <row r="1077" spans="1:40" x14ac:dyDescent="0.25">
      <c r="A1077" t="s">
        <v>1620</v>
      </c>
      <c r="B1077" s="1">
        <v>45728</v>
      </c>
      <c r="C107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07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107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77" s="2">
        <f>IFERROR(DATE(Transaction[[#This Row],[TransactionDateY]],Transaction[[#This Row],[TransactionDateM]],Transaction[[#This Row],[TransactionDateD]]),"Missing Value")</f>
        <v>45728</v>
      </c>
      <c r="G1077" t="s">
        <v>351</v>
      </c>
      <c r="H1077" t="str">
        <f>IFERROR(VLOOKUP(Transaction[[#This Row],[CustomerID]],Custumer[],1,0),IF(LEN(Transaction[[#This Row],[CustomerID]])=7,LEFT(Transaction[[#This Row],[CustomerID]],6),"Invalid ID"))</f>
        <v>C-1004</v>
      </c>
      <c r="I1077" t="s">
        <v>19</v>
      </c>
      <c r="J1077" t="str">
        <f>TRIM(UPPER(Transaction[[#This Row],[ProductID]]))</f>
        <v>P-FS-004</v>
      </c>
      <c r="K1077" t="str">
        <f>IFERROR(VLOOKUP(Transaction[[#This Row],[ProductID_Clean]],Product[],1,FALSE),"Invalid ID")</f>
        <v>P-FS-004</v>
      </c>
      <c r="L1077" t="str">
        <f>TRIM(SUBSTITUTE(SUBSTITUTE(SUBSTITUTE(SUBSTITUTE(UPPER(Transaction[[#This Row],[Region]]),"EMEA REGION","EMEA"),"APAC REGION","APAC"),"NORTH AMERICA","N. AMERICA"),"N .AMERICA","N.AMERICA"))</f>
        <v>N. AMERICA</v>
      </c>
      <c r="M1077" t="s">
        <v>168</v>
      </c>
      <c r="N1077" t="s">
        <v>21</v>
      </c>
      <c r="O1077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077" t="s">
        <v>22</v>
      </c>
      <c r="Q1077" t="str">
        <f>IF(TRIM(Transaction[[#This Row],[SalesChannel]])="","Missing Value",TRIM(Transaction[[#This Row],[SalesChannel]]))</f>
        <v>Direct</v>
      </c>
      <c r="R1077" s="4">
        <v>1</v>
      </c>
      <c r="S1077" s="4" t="str">
        <f>IF(Transaction[[#This Row],[Quantity]]&lt;0,"Negative-review","Valid")</f>
        <v>Valid</v>
      </c>
      <c r="T1077">
        <v>3056.38</v>
      </c>
      <c r="U107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3056.38</v>
      </c>
      <c r="V1077">
        <v>3200</v>
      </c>
      <c r="W1077">
        <v>3200</v>
      </c>
      <c r="X107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1077">
        <f>IF(Transaction[[#This Row],[GrossRevenue_Check]]="Invalid",Transaction[[#This Row],[ListPrice]]*Transaction[[#This Row],[Quantity]],Transaction[[#This Row],[GrossRevenue_Clean]])</f>
        <v>3200</v>
      </c>
      <c r="Z1077" t="str">
        <f>IF(Transaction[[#This Row],[GrossRevenue_Clean]]=Transaction[[#This Row],[ListPrice]]*Transaction[[#This Row],[Quantity]],"Valid","Invalid")</f>
        <v>Valid</v>
      </c>
      <c r="AA1077">
        <v>143.62</v>
      </c>
      <c r="AB107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143.62</v>
      </c>
      <c r="AC1077">
        <f>IF(Transaction[[#This Row],[DiscountAmount_Check2]]="Invalid",Transaction[[#This Row],[GrossRevenue_Analytical]]-Transaction[[#This Row],[NetRevenue_Analytical]],Transaction[[#This Row],[DiscountAmount_Clean]])</f>
        <v>143.62</v>
      </c>
      <c r="AD1077">
        <v>3056.38</v>
      </c>
      <c r="AE1077" t="str">
        <f>IF(ROUND(Transaction[[#This Row],[GrossRevenue_Analytical]]-Transaction[[#This Row],[NetRevenue_Analytical]],2)=ROUND(Transaction[[#This Row],[DiscountAmount_Clean]],2),"Valid","Invalid")</f>
        <v>Valid</v>
      </c>
      <c r="AF107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3056.38</v>
      </c>
      <c r="AG1077">
        <f>IF(Transaction[[#This Row],[NetRevenue_Check]]="Invalid",(Transaction[[#This Row],[Quantity]]*Transaction[[#This Row],[UnitPrice_Clean]]),Transaction[[#This Row],[NetRevenue_Clean]])</f>
        <v>3056.38</v>
      </c>
      <c r="AH1077" t="str">
        <f>IF(Transaction[[#This Row],[Quantity]]*Transaction[[#This Row],[UnitPrice_Clean]]=Transaction[[#This Row],[NetRevenue_Clean]],"Valid","Invalid")</f>
        <v>Valid</v>
      </c>
      <c r="AI1077" t="s">
        <v>23</v>
      </c>
      <c r="AJ1077" t="s">
        <v>427</v>
      </c>
      <c r="AK1077" t="str">
        <f>IF(Transaction[[#This Row],[Salesperson]]="","Missing Value",TRIM(PROPER(Transaction[[#This Row],[Salesperson]])))</f>
        <v>Thomas-Em</v>
      </c>
      <c r="AL1077" t="s">
        <v>42</v>
      </c>
      <c r="AM1077" t="str">
        <f>IF(Transaction[[#This Row],[ContractType]]="","Missing Value",Transaction[[#This Row],[ContractType]])</f>
        <v>Standard PO</v>
      </c>
      <c r="AN1077" t="s">
        <v>49</v>
      </c>
    </row>
    <row r="1078" spans="1:40" x14ac:dyDescent="0.25">
      <c r="A1078" t="s">
        <v>2954</v>
      </c>
      <c r="B1078" t="s">
        <v>2158</v>
      </c>
      <c r="C107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107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107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78" s="2">
        <f>IFERROR(DATE(Transaction[[#This Row],[TransactionDateY]],Transaction[[#This Row],[TransactionDateM]],Transaction[[#This Row],[TransactionDateD]]),"Missing Value")</f>
        <v>45731</v>
      </c>
      <c r="G1078" t="s">
        <v>467</v>
      </c>
      <c r="H1078" t="str">
        <f>IFERROR(VLOOKUP(Transaction[[#This Row],[CustomerID]],Custumer[],1,0),IF(LEN(Transaction[[#This Row],[CustomerID]])=7,LEFT(Transaction[[#This Row],[CustomerID]],6),"Invalid ID"))</f>
        <v>C-1111</v>
      </c>
      <c r="I1078" t="s">
        <v>52</v>
      </c>
      <c r="J1078" t="str">
        <f>TRIM(UPPER(Transaction[[#This Row],[ProductID]]))</f>
        <v>P-SI-002</v>
      </c>
      <c r="K1078" t="str">
        <f>IFERROR(VLOOKUP(Transaction[[#This Row],[ProductID_Clean]],Product[],1,FALSE),"Invalid ID")</f>
        <v>P-SI-002</v>
      </c>
      <c r="L1078" t="str">
        <f>TRIM(SUBSTITUTE(SUBSTITUTE(SUBSTITUTE(SUBSTITUTE(UPPER(Transaction[[#This Row],[Region]]),"EMEA REGION","EMEA"),"APAC REGION","APAC"),"NORTH AMERICA","N. AMERICA"),"N .AMERICA","N.AMERICA"))</f>
        <v>APAC</v>
      </c>
      <c r="M1078" t="s">
        <v>63</v>
      </c>
      <c r="N1078" t="s">
        <v>53</v>
      </c>
      <c r="O107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78" t="s">
        <v>22</v>
      </c>
      <c r="Q1078" t="str">
        <f>IF(TRIM(Transaction[[#This Row],[SalesChannel]])="","Missing Value",TRIM(Transaction[[#This Row],[SalesChannel]]))</f>
        <v>Direct</v>
      </c>
      <c r="R1078" s="4">
        <v>3</v>
      </c>
      <c r="S1078" s="4" t="str">
        <f>IF(Transaction[[#This Row],[Quantity]]&lt;0,"Negative-review","Valid")</f>
        <v>Valid</v>
      </c>
      <c r="T1078">
        <v>625.4</v>
      </c>
      <c r="U107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625.4</v>
      </c>
      <c r="V1078">
        <v>725</v>
      </c>
      <c r="W1078">
        <v>2175</v>
      </c>
      <c r="X107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2175</v>
      </c>
      <c r="Y1078">
        <f>IF(Transaction[[#This Row],[GrossRevenue_Check]]="Invalid",Transaction[[#This Row],[ListPrice]]*Transaction[[#This Row],[Quantity]],Transaction[[#This Row],[GrossRevenue_Clean]])</f>
        <v>2175</v>
      </c>
      <c r="Z1078" t="str">
        <f>IF(Transaction[[#This Row],[GrossRevenue_Clean]]=Transaction[[#This Row],[ListPrice]]*Transaction[[#This Row],[Quantity]],"Valid","Invalid")</f>
        <v>Valid</v>
      </c>
      <c r="AA1078">
        <v>298.8</v>
      </c>
      <c r="AB107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298.8</v>
      </c>
      <c r="AC1078">
        <f>IF(Transaction[[#This Row],[DiscountAmount_Check2]]="Invalid",Transaction[[#This Row],[GrossRevenue_Analytical]]-Transaction[[#This Row],[NetRevenue_Analytical]],Transaction[[#This Row],[DiscountAmount_Clean]])</f>
        <v>298.8</v>
      </c>
      <c r="AD1078">
        <v>1876.2</v>
      </c>
      <c r="AE1078" t="str">
        <f>IF(ROUND(Transaction[[#This Row],[GrossRevenue_Analytical]]-Transaction[[#This Row],[NetRevenue_Analytical]],2)=ROUND(Transaction[[#This Row],[DiscountAmount_Clean]],2),"Valid","Invalid")</f>
        <v>Valid</v>
      </c>
      <c r="AF107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1876.2</v>
      </c>
      <c r="AG1078">
        <f>IF(Transaction[[#This Row],[NetRevenue_Check]]="Invalid",(Transaction[[#This Row],[Quantity]]*Transaction[[#This Row],[UnitPrice_Clean]]),Transaction[[#This Row],[NetRevenue_Clean]])</f>
        <v>1876.2</v>
      </c>
      <c r="AH1078" t="str">
        <f>IF(Transaction[[#This Row],[Quantity]]*Transaction[[#This Row],[UnitPrice_Clean]]=Transaction[[#This Row],[NetRevenue_Clean]],"Valid","Invalid")</f>
        <v>Valid</v>
      </c>
      <c r="AI1078" t="s">
        <v>23</v>
      </c>
      <c r="AJ1078" t="s">
        <v>2955</v>
      </c>
      <c r="AK1078" t="str">
        <f>IF(Transaction[[#This Row],[Salesperson]]="","Missing Value",TRIM(PROPER(Transaction[[#This Row],[Salesperson]])))</f>
        <v>Hoover</v>
      </c>
      <c r="AL1078" t="s">
        <v>42</v>
      </c>
      <c r="AM1078" t="str">
        <f>IF(Transaction[[#This Row],[ContractType]]="","Missing Value",Transaction[[#This Row],[ContractType]])</f>
        <v>Standard PO</v>
      </c>
      <c r="AN1078" t="s">
        <v>43</v>
      </c>
    </row>
    <row r="1079" spans="1:40" x14ac:dyDescent="0.25">
      <c r="A1079" t="s">
        <v>2000</v>
      </c>
      <c r="B1079" t="s">
        <v>2001</v>
      </c>
      <c r="C107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107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09</v>
      </c>
      <c r="E107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79" s="2">
        <f>IFERROR(DATE(Transaction[[#This Row],[TransactionDateY]],Transaction[[#This Row],[TransactionDateM]],Transaction[[#This Row],[TransactionDateD]]),"Missing Value")</f>
        <v>45786</v>
      </c>
      <c r="G1079" t="s">
        <v>176</v>
      </c>
      <c r="H1079" t="str">
        <f>IFERROR(VLOOKUP(Transaction[[#This Row],[CustomerID]],Custumer[],1,0),IF(LEN(Transaction[[#This Row],[CustomerID]])=7,LEFT(Transaction[[#This Row],[CustomerID]],6),"Invalid ID"))</f>
        <v>C-1062</v>
      </c>
      <c r="I1079" t="s">
        <v>111</v>
      </c>
      <c r="J1079" t="str">
        <f>TRIM(UPPER(Transaction[[#This Row],[ProductID]]))</f>
        <v>P-SA-004</v>
      </c>
      <c r="K1079" t="str">
        <f>IFERROR(VLOOKUP(Transaction[[#This Row],[ProductID_Clean]],Product[],1,FALSE),"Invalid ID")</f>
        <v>P-SA-004</v>
      </c>
      <c r="L1079" t="str">
        <f>TRIM(SUBSTITUTE(SUBSTITUTE(SUBSTITUTE(SUBSTITUTE(UPPER(Transaction[[#This Row],[Region]]),"EMEA REGION","EMEA"),"APAC REGION","APAC"),"NORTH AMERICA","N. AMERICA"),"N .AMERICA","N.AMERICA"))</f>
        <v>EMEA</v>
      </c>
      <c r="M1079" t="s">
        <v>76</v>
      </c>
      <c r="N1079" t="s">
        <v>205</v>
      </c>
      <c r="O107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79" t="s">
        <v>22</v>
      </c>
      <c r="Q1079" t="str">
        <f>IF(TRIM(Transaction[[#This Row],[SalesChannel]])="","Missing Value",TRIM(Transaction[[#This Row],[SalesChannel]]))</f>
        <v>Direct</v>
      </c>
      <c r="R1079" s="4">
        <v>1</v>
      </c>
      <c r="S1079" s="4" t="str">
        <f>IF(Transaction[[#This Row],[Quantity]]&lt;0,"Negative-review","Valid")</f>
        <v>Valid</v>
      </c>
      <c r="T1079">
        <v>1505.48</v>
      </c>
      <c r="U107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1505.48</v>
      </c>
      <c r="V1079">
        <v>1650</v>
      </c>
      <c r="W1079">
        <v>1650</v>
      </c>
      <c r="X107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079">
        <f>IF(Transaction[[#This Row],[GrossRevenue_Check]]="Invalid",Transaction[[#This Row],[ListPrice]]*Transaction[[#This Row],[Quantity]],Transaction[[#This Row],[GrossRevenue_Clean]])</f>
        <v>1650</v>
      </c>
      <c r="Z1079" t="str">
        <f>IF(Transaction[[#This Row],[GrossRevenue_Clean]]=Transaction[[#This Row],[ListPrice]]*Transaction[[#This Row],[Quantity]],"Valid","Invalid")</f>
        <v>Valid</v>
      </c>
      <c r="AA1079" t="s">
        <v>2002</v>
      </c>
      <c r="AB107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144.52000000000001</v>
      </c>
      <c r="AC1079">
        <f>IF(Transaction[[#This Row],[DiscountAmount_Check2]]="Invalid",Transaction[[#This Row],[GrossRevenue_Analytical]]-Transaction[[#This Row],[NetRevenue_Analytical]],Transaction[[#This Row],[DiscountAmount_Clean]])</f>
        <v>144.52000000000001</v>
      </c>
      <c r="AD1079">
        <v>1505.48</v>
      </c>
      <c r="AE1079" t="str">
        <f>IF(ROUND(Transaction[[#This Row],[GrossRevenue_Analytical]]-Transaction[[#This Row],[NetRevenue_Analytical]],2)=ROUND(Transaction[[#This Row],[DiscountAmount_Clean]],2),"Valid","Invalid")</f>
        <v>Valid</v>
      </c>
      <c r="AF107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1505.48</v>
      </c>
      <c r="AG1079">
        <f>IF(Transaction[[#This Row],[NetRevenue_Check]]="Invalid",(Transaction[[#This Row],[Quantity]]*Transaction[[#This Row],[UnitPrice_Clean]]),Transaction[[#This Row],[NetRevenue_Clean]])</f>
        <v>1505.48</v>
      </c>
      <c r="AH1079" t="str">
        <f>IF(Transaction[[#This Row],[Quantity]]*Transaction[[#This Row],[UnitPrice_Clean]]=Transaction[[#This Row],[NetRevenue_Clean]],"Valid","Invalid")</f>
        <v>Valid</v>
      </c>
      <c r="AI1079" t="s">
        <v>23</v>
      </c>
      <c r="AJ1079" t="s">
        <v>2003</v>
      </c>
      <c r="AK1079" t="str">
        <f>IF(Transaction[[#This Row],[Salesperson]]="","Missing Value",TRIM(PROPER(Transaction[[#This Row],[Salesperson]])))</f>
        <v>Nicholson-Ap</v>
      </c>
      <c r="AL1079" t="s">
        <v>34</v>
      </c>
      <c r="AM1079" t="str">
        <f>IF(Transaction[[#This Row],[ContractType]]="","Missing Value",Transaction[[#This Row],[ContractType]])</f>
        <v>Annual License</v>
      </c>
      <c r="AN1079" t="s">
        <v>65</v>
      </c>
    </row>
    <row r="1080" spans="1:40" x14ac:dyDescent="0.25">
      <c r="A1080" t="s">
        <v>278</v>
      </c>
      <c r="B1080" s="1">
        <v>45830</v>
      </c>
      <c r="C108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08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108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80" s="2">
        <f>IFERROR(DATE(Transaction[[#This Row],[TransactionDateY]],Transaction[[#This Row],[TransactionDateM]],Transaction[[#This Row],[TransactionDateD]]),"Missing Value")</f>
        <v>45830</v>
      </c>
      <c r="G1080" t="s">
        <v>110</v>
      </c>
      <c r="H1080" t="str">
        <f>IFERROR(VLOOKUP(Transaction[[#This Row],[CustomerID]],Custumer[],1,0),IF(LEN(Transaction[[#This Row],[CustomerID]])=7,LEFT(Transaction[[#This Row],[CustomerID]],6),"Invalid ID"))</f>
        <v>C-1100</v>
      </c>
      <c r="I1080" t="s">
        <v>58</v>
      </c>
      <c r="J1080" t="str">
        <f>TRIM(UPPER(Transaction[[#This Row],[ProductID]]))</f>
        <v>P-SI-005</v>
      </c>
      <c r="K1080" t="str">
        <f>IFERROR(VLOOKUP(Transaction[[#This Row],[ProductID_Clean]],Product[],1,FALSE),"Invalid ID")</f>
        <v>P-SI-005</v>
      </c>
      <c r="L1080" t="str">
        <f>TRIM(SUBSTITUTE(SUBSTITUTE(SUBSTITUTE(SUBSTITUTE(UPPER(Transaction[[#This Row],[Region]]),"EMEA REGION","EMEA"),"APAC REGION","APAC"),"NORTH AMERICA","N. AMERICA"),"N .AMERICA","N.AMERICA"))</f>
        <v>EMEA</v>
      </c>
      <c r="M1080" t="s">
        <v>76</v>
      </c>
      <c r="N1080" t="s">
        <v>53</v>
      </c>
      <c r="O108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80" t="s">
        <v>22</v>
      </c>
      <c r="Q1080" t="str">
        <f>IF(TRIM(Transaction[[#This Row],[SalesChannel]])="","Missing Value",TRIM(Transaction[[#This Row],[SalesChannel]]))</f>
        <v>Direct</v>
      </c>
      <c r="R1080" s="4">
        <v>2</v>
      </c>
      <c r="S1080" s="4" t="str">
        <f>IF(Transaction[[#This Row],[Quantity]]&lt;0,"Negative-review","Valid")</f>
        <v>Valid</v>
      </c>
      <c r="T1080">
        <v>933.43</v>
      </c>
      <c r="U108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933.43</v>
      </c>
      <c r="V1080">
        <v>1120</v>
      </c>
      <c r="W1080">
        <v>2240</v>
      </c>
      <c r="X108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2240</v>
      </c>
      <c r="Y1080">
        <f>IF(Transaction[[#This Row],[GrossRevenue_Check]]="Invalid",Transaction[[#This Row],[ListPrice]]*Transaction[[#This Row],[Quantity]],Transaction[[#This Row],[GrossRevenue_Clean]])</f>
        <v>2240</v>
      </c>
      <c r="Z1080" t="str">
        <f>IF(Transaction[[#This Row],[GrossRevenue_Clean]]=Transaction[[#This Row],[ListPrice]]*Transaction[[#This Row],[Quantity]],"Valid","Invalid")</f>
        <v>Valid</v>
      </c>
      <c r="AA1080">
        <v>373.14</v>
      </c>
      <c r="AB108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373.14</v>
      </c>
      <c r="AC1080">
        <f>IF(Transaction[[#This Row],[DiscountAmount_Check2]]="Invalid",Transaction[[#This Row],[GrossRevenue_Analytical]]-Transaction[[#This Row],[NetRevenue_Analytical]],Transaction[[#This Row],[DiscountAmount_Clean]])</f>
        <v>373.14</v>
      </c>
      <c r="AD1080">
        <v>1866.86</v>
      </c>
      <c r="AE1080" t="str">
        <f>IF(ROUND(Transaction[[#This Row],[GrossRevenue_Analytical]]-Transaction[[#This Row],[NetRevenue_Analytical]],2)=ROUND(Transaction[[#This Row],[DiscountAmount_Clean]],2),"Valid","Invalid")</f>
        <v>Valid</v>
      </c>
      <c r="AF108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1866.86</v>
      </c>
      <c r="AG1080">
        <f>IF(Transaction[[#This Row],[NetRevenue_Check]]="Invalid",(Transaction[[#This Row],[Quantity]]*Transaction[[#This Row],[UnitPrice_Clean]]),Transaction[[#This Row],[NetRevenue_Clean]])</f>
        <v>1866.86</v>
      </c>
      <c r="AH1080" t="str">
        <f>IF(Transaction[[#This Row],[Quantity]]*Transaction[[#This Row],[UnitPrice_Clean]]=Transaction[[#This Row],[NetRevenue_Clean]],"Valid","Invalid")</f>
        <v>Valid</v>
      </c>
      <c r="AI1080" t="s">
        <v>23</v>
      </c>
      <c r="AJ1080" t="s">
        <v>279</v>
      </c>
      <c r="AK1080" t="str">
        <f>IF(Transaction[[#This Row],[Salesperson]]="","Missing Value",TRIM(PROPER(Transaction[[#This Row],[Salesperson]])))</f>
        <v>Hickman-Na</v>
      </c>
      <c r="AL1080" t="s">
        <v>42</v>
      </c>
      <c r="AM1080" t="str">
        <f>IF(Transaction[[#This Row],[ContractType]]="","Missing Value",Transaction[[#This Row],[ContractType]])</f>
        <v>Standard PO</v>
      </c>
      <c r="AN1080" t="s">
        <v>43</v>
      </c>
    </row>
    <row r="1081" spans="1:40" x14ac:dyDescent="0.25">
      <c r="A1081" t="s">
        <v>1113</v>
      </c>
      <c r="B1081" t="s">
        <v>1114</v>
      </c>
      <c r="C108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08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108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81" s="2">
        <f>IFERROR(DATE(Transaction[[#This Row],[TransactionDateY]],Transaction[[#This Row],[TransactionDateM]],Transaction[[#This Row],[TransactionDateD]]),"Missing Value")</f>
        <v>45703</v>
      </c>
      <c r="G1081" t="s">
        <v>394</v>
      </c>
      <c r="H1081" t="str">
        <f>IFERROR(VLOOKUP(Transaction[[#This Row],[CustomerID]],Custumer[],1,0),IF(LEN(Transaction[[#This Row],[CustomerID]])=7,LEFT(Transaction[[#This Row],[CustomerID]],6),"Invalid ID"))</f>
        <v>C-1128</v>
      </c>
      <c r="I1081" t="s">
        <v>117</v>
      </c>
      <c r="J1081" t="str">
        <f>TRIM(UPPER(Transaction[[#This Row],[ProductID]]))</f>
        <v>P-SI-007</v>
      </c>
      <c r="K1081" t="str">
        <f>IFERROR(VLOOKUP(Transaction[[#This Row],[ProductID_Clean]],Product[],1,FALSE),"Invalid ID")</f>
        <v>P-SI-007</v>
      </c>
      <c r="L1081" t="str">
        <f>TRIM(SUBSTITUTE(SUBSTITUTE(SUBSTITUTE(SUBSTITUTE(UPPER(Transaction[[#This Row],[Region]]),"EMEA REGION","EMEA"),"APAC REGION","APAC"),"NORTH AMERICA","N. AMERICA"),"N .AMERICA","N.AMERICA"))</f>
        <v>EMEA</v>
      </c>
      <c r="M1081" t="s">
        <v>177</v>
      </c>
      <c r="N1081" t="s">
        <v>53</v>
      </c>
      <c r="O108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81" t="s">
        <v>22</v>
      </c>
      <c r="Q1081" t="str">
        <f>IF(TRIM(Transaction[[#This Row],[SalesChannel]])="","Missing Value",TRIM(Transaction[[#This Row],[SalesChannel]]))</f>
        <v>Direct</v>
      </c>
      <c r="R1081" s="4">
        <v>4</v>
      </c>
      <c r="S1081" s="4" t="str">
        <f>IF(Transaction[[#This Row],[Quantity]]&lt;0,"Negative-review","Valid")</f>
        <v>Valid</v>
      </c>
      <c r="T1081">
        <v>842.44</v>
      </c>
      <c r="U108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842.44</v>
      </c>
      <c r="V1081">
        <v>980</v>
      </c>
      <c r="W1081">
        <v>3920</v>
      </c>
      <c r="X108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3920</v>
      </c>
      <c r="Y1081">
        <f>IF(Transaction[[#This Row],[GrossRevenue_Check]]="Invalid",Transaction[[#This Row],[ListPrice]]*Transaction[[#This Row],[Quantity]],Transaction[[#This Row],[GrossRevenue_Clean]])</f>
        <v>3920</v>
      </c>
      <c r="Z1081" t="str">
        <f>IF(Transaction[[#This Row],[GrossRevenue_Clean]]=Transaction[[#This Row],[ListPrice]]*Transaction[[#This Row],[Quantity]],"Valid","Invalid")</f>
        <v>Valid</v>
      </c>
      <c r="AA1081">
        <v>550.24</v>
      </c>
      <c r="AB108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550.24</v>
      </c>
      <c r="AC1081">
        <f>IF(Transaction[[#This Row],[DiscountAmount_Check2]]="Invalid",Transaction[[#This Row],[GrossRevenue_Analytical]]-Transaction[[#This Row],[NetRevenue_Analytical]],Transaction[[#This Row],[DiscountAmount_Clean]])</f>
        <v>550.24</v>
      </c>
      <c r="AD1081">
        <v>3369.76</v>
      </c>
      <c r="AE1081" t="str">
        <f>IF(ROUND(Transaction[[#This Row],[GrossRevenue_Analytical]]-Transaction[[#This Row],[NetRevenue_Analytical]],2)=ROUND(Transaction[[#This Row],[DiscountAmount_Clean]],2),"Valid","Invalid")</f>
        <v>Valid</v>
      </c>
      <c r="AF1081">
        <f>VALUE(IF(ISNUMBER(Transaction[[#This Row],[NetRevenue]]),Transaction[[#This Row],[NetRevenue]],IFERROR(IF(FIND("$",Transaction[[#This Row],[NetRevenue]])&gt;0,MID(Transaction[[#This Row],[NetRevenue]],2,10)),Transaction[[#This Row],[NetRevenue]])))</f>
        <v>3369.76</v>
      </c>
      <c r="AG1081">
        <f>IF(Transaction[[#This Row],[NetRevenue_Check]]="Invalid",(Transaction[[#This Row],[Quantity]]*Transaction[[#This Row],[UnitPrice_Clean]]),Transaction[[#This Row],[NetRevenue_Clean]])</f>
        <v>3369.76</v>
      </c>
      <c r="AH1081" t="str">
        <f>IF(Transaction[[#This Row],[Quantity]]*Transaction[[#This Row],[UnitPrice_Clean]]=Transaction[[#This Row],[NetRevenue_Clean]],"Valid","Invalid")</f>
        <v>Valid</v>
      </c>
      <c r="AI1081" t="s">
        <v>23</v>
      </c>
      <c r="AJ1081" t="s">
        <v>1115</v>
      </c>
      <c r="AK1081" t="str">
        <f>IF(Transaction[[#This Row],[Salesperson]]="","Missing Value",TRIM(PROPER(Transaction[[#This Row],[Salesperson]])))</f>
        <v>Evans</v>
      </c>
      <c r="AL1081" t="s">
        <v>25</v>
      </c>
      <c r="AM1081" t="str">
        <f>IF(Transaction[[#This Row],[ContractType]]="","Missing Value",Transaction[[#This Row],[ContractType]])</f>
        <v>Frame Agreement</v>
      </c>
      <c r="AN1081" t="s">
        <v>43</v>
      </c>
    </row>
    <row r="1082" spans="1:40" x14ac:dyDescent="0.25">
      <c r="A1082" t="s">
        <v>2078</v>
      </c>
      <c r="B1082" s="1">
        <v>45682</v>
      </c>
      <c r="C108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08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108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82" s="2">
        <f>IFERROR(DATE(Transaction[[#This Row],[TransactionDateY]],Transaction[[#This Row],[TransactionDateM]],Transaction[[#This Row],[TransactionDateD]]),"Missing Value")</f>
        <v>45682</v>
      </c>
      <c r="G1082" t="s">
        <v>1015</v>
      </c>
      <c r="H1082" t="str">
        <f>IFERROR(VLOOKUP(Transaction[[#This Row],[CustomerID]],Custumer[],1,0),IF(LEN(Transaction[[#This Row],[CustomerID]])=7,LEFT(Transaction[[#This Row],[CustomerID]],6),"Invalid ID"))</f>
        <v>C-1012</v>
      </c>
      <c r="I1082" t="s">
        <v>268</v>
      </c>
      <c r="J1082" t="str">
        <f>TRIM(UPPER(Transaction[[#This Row],[ProductID]]))</f>
        <v>P-FS-002</v>
      </c>
      <c r="K1082" t="str">
        <f>IFERROR(VLOOKUP(Transaction[[#This Row],[ProductID_Clean]],Product[],1,FALSE),"Invalid ID")</f>
        <v>P-FS-002</v>
      </c>
      <c r="L1082" t="str">
        <f>TRIM(SUBSTITUTE(SUBSTITUTE(SUBSTITUTE(SUBSTITUTE(UPPER(Transaction[[#This Row],[Region]]),"EMEA REGION","EMEA"),"APAC REGION","APAC"),"NORTH AMERICA","N. AMERICA"),"N .AMERICA","N.AMERICA"))</f>
        <v>N. AMERICA</v>
      </c>
      <c r="M1082" t="s">
        <v>168</v>
      </c>
      <c r="N1082" t="s">
        <v>771</v>
      </c>
      <c r="O1082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082" t="s">
        <v>40</v>
      </c>
      <c r="Q1082" t="str">
        <f>IF(TRIM(Transaction[[#This Row],[SalesChannel]])="","Missing Value",TRIM(Transaction[[#This Row],[SalesChannel]]))</f>
        <v>Distributor</v>
      </c>
      <c r="R1082" s="4">
        <v>1</v>
      </c>
      <c r="S1082" s="4" t="str">
        <f>IF(Transaction[[#This Row],[Quantity]]&lt;0,"Negative-review","Valid")</f>
        <v>Valid</v>
      </c>
      <c r="T1082">
        <v>1787.8</v>
      </c>
      <c r="U108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1787.8</v>
      </c>
      <c r="V1082">
        <v>2400</v>
      </c>
      <c r="W1082">
        <v>2400</v>
      </c>
      <c r="X108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1082">
        <f>IF(Transaction[[#This Row],[GrossRevenue_Check]]="Invalid",Transaction[[#This Row],[ListPrice]]*Transaction[[#This Row],[Quantity]],Transaction[[#This Row],[GrossRevenue_Clean]])</f>
        <v>2400</v>
      </c>
      <c r="Z1082" t="str">
        <f>IF(Transaction[[#This Row],[GrossRevenue_Clean]]=Transaction[[#This Row],[ListPrice]]*Transaction[[#This Row],[Quantity]],"Valid","Invalid")</f>
        <v>Valid</v>
      </c>
      <c r="AA1082">
        <v>612.20000000000005</v>
      </c>
      <c r="AB108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612.20000000000005</v>
      </c>
      <c r="AC1082">
        <f>IF(Transaction[[#This Row],[DiscountAmount_Check2]]="Invalid",Transaction[[#This Row],[GrossRevenue_Analytical]]-Transaction[[#This Row],[NetRevenue_Analytical]],Transaction[[#This Row],[DiscountAmount_Clean]])</f>
        <v>612.20000000000005</v>
      </c>
      <c r="AD1082">
        <v>1787.8</v>
      </c>
      <c r="AE1082" t="str">
        <f>IF(ROUND(Transaction[[#This Row],[GrossRevenue_Analytical]]-Transaction[[#This Row],[NetRevenue_Analytical]],2)=ROUND(Transaction[[#This Row],[DiscountAmount_Clean]],2),"Valid","Invalid")</f>
        <v>Valid</v>
      </c>
      <c r="AF108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1787.8</v>
      </c>
      <c r="AG1082">
        <f>IF(Transaction[[#This Row],[NetRevenue_Check]]="Invalid",(Transaction[[#This Row],[Quantity]]*Transaction[[#This Row],[UnitPrice_Clean]]),Transaction[[#This Row],[NetRevenue_Clean]])</f>
        <v>1787.8</v>
      </c>
      <c r="AH1082" t="str">
        <f>IF(Transaction[[#This Row],[Quantity]]*Transaction[[#This Row],[UnitPrice_Clean]]=Transaction[[#This Row],[NetRevenue_Clean]],"Valid","Invalid")</f>
        <v>Valid</v>
      </c>
      <c r="AI1082" t="s">
        <v>23</v>
      </c>
      <c r="AJ1082" t="s">
        <v>2079</v>
      </c>
      <c r="AK1082" t="str">
        <f>IF(Transaction[[#This Row],[Salesperson]]="","Missing Value",TRIM(PROPER(Transaction[[#This Row],[Salesperson]])))</f>
        <v>Elliott-Em</v>
      </c>
      <c r="AL1082" t="s">
        <v>224</v>
      </c>
      <c r="AM1082" t="str">
        <f>IF(Transaction[[#This Row],[ContractType]]="","Missing Value",Transaction[[#This Row],[ContractType]])</f>
        <v>Annual</v>
      </c>
      <c r="AN1082" t="s">
        <v>65</v>
      </c>
    </row>
    <row r="1083" spans="1:40" x14ac:dyDescent="0.25">
      <c r="A1083" t="s">
        <v>1070</v>
      </c>
      <c r="B1083" t="s">
        <v>1071</v>
      </c>
      <c r="C108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08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108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83" s="2">
        <f>IFERROR(DATE(Transaction[[#This Row],[TransactionDateY]],Transaction[[#This Row],[TransactionDateM]],Transaction[[#This Row],[TransactionDateD]]),"Missing Value")</f>
        <v>45696</v>
      </c>
      <c r="G1083" t="s">
        <v>186</v>
      </c>
      <c r="H1083" t="str">
        <f>IFERROR(VLOOKUP(Transaction[[#This Row],[CustomerID]],Custumer[],1,0),IF(LEN(Transaction[[#This Row],[CustomerID]])=7,LEFT(Transaction[[#This Row],[CustomerID]],6),"Invalid ID"))</f>
        <v>C-1063</v>
      </c>
      <c r="I1083" t="s">
        <v>97</v>
      </c>
      <c r="J1083" t="str">
        <f>TRIM(UPPER(Transaction[[#This Row],[ProductID]]))</f>
        <v>P-SI-001</v>
      </c>
      <c r="K1083" t="str">
        <f>IFERROR(VLOOKUP(Transaction[[#This Row],[ProductID_Clean]],Product[],1,FALSE),"Invalid ID")</f>
        <v>P-SI-001</v>
      </c>
      <c r="L1083" t="str">
        <f>TRIM(SUBSTITUTE(SUBSTITUTE(SUBSTITUTE(SUBSTITUTE(UPPER(Transaction[[#This Row],[Region]]),"EMEA REGION","EMEA"),"APAC REGION","APAC"),"NORTH AMERICA","N. AMERICA"),"N .AMERICA","N.AMERICA"))</f>
        <v>N. AMERICA</v>
      </c>
      <c r="M1083" t="s">
        <v>20</v>
      </c>
      <c r="N1083" t="s">
        <v>53</v>
      </c>
      <c r="O108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83" t="s">
        <v>93</v>
      </c>
      <c r="Q1083" t="str">
        <f>IF(TRIM(Transaction[[#This Row],[SalesChannel]])="","Missing Value",TRIM(Transaction[[#This Row],[SalesChannel]]))</f>
        <v>direct</v>
      </c>
      <c r="R1083" s="4">
        <v>3</v>
      </c>
      <c r="S1083" s="4" t="str">
        <f>IF(Transaction[[#This Row],[Quantity]]&lt;0,"Negative-review","Valid")</f>
        <v>Valid</v>
      </c>
      <c r="T1083">
        <v>415.53</v>
      </c>
      <c r="U108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415.53</v>
      </c>
      <c r="V1083">
        <v>485</v>
      </c>
      <c r="W1083">
        <v>1455</v>
      </c>
      <c r="X108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1083">
        <f>IF(Transaction[[#This Row],[GrossRevenue_Check]]="Invalid",Transaction[[#This Row],[ListPrice]]*Transaction[[#This Row],[Quantity]],Transaction[[#This Row],[GrossRevenue_Clean]])</f>
        <v>1455</v>
      </c>
      <c r="Z1083" t="str">
        <f>IF(Transaction[[#This Row],[GrossRevenue_Clean]]=Transaction[[#This Row],[ListPrice]]*Transaction[[#This Row],[Quantity]],"Valid","Invalid")</f>
        <v>Valid</v>
      </c>
      <c r="AA1083">
        <v>208.41</v>
      </c>
      <c r="AB108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208.41</v>
      </c>
      <c r="AC1083">
        <f>IF(Transaction[[#This Row],[DiscountAmount_Check2]]="Invalid",Transaction[[#This Row],[GrossRevenue_Analytical]]-Transaction[[#This Row],[NetRevenue_Analytical]],Transaction[[#This Row],[DiscountAmount_Clean]])</f>
        <v>208.41</v>
      </c>
      <c r="AD1083">
        <v>1246.5899999999999</v>
      </c>
      <c r="AE1083" t="str">
        <f>IF(ROUND(Transaction[[#This Row],[GrossRevenue_Analytical]]-Transaction[[#This Row],[NetRevenue_Analytical]],2)=ROUND(Transaction[[#This Row],[DiscountAmount_Clean]],2),"Valid","Invalid")</f>
        <v>Valid</v>
      </c>
      <c r="AF108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1246.5899999999999</v>
      </c>
      <c r="AG1083">
        <f>IF(Transaction[[#This Row],[NetRevenue_Check]]="Invalid",(Transaction[[#This Row],[Quantity]]*Transaction[[#This Row],[UnitPrice_Clean]]),Transaction[[#This Row],[NetRevenue_Clean]])</f>
        <v>1246.5899999999999</v>
      </c>
      <c r="AH1083" t="str">
        <f>IF(Transaction[[#This Row],[Quantity]]*Transaction[[#This Row],[UnitPrice_Clean]]=Transaction[[#This Row],[NetRevenue_Clean]],"Valid","Invalid")</f>
        <v>Valid</v>
      </c>
      <c r="AI1083" t="s">
        <v>23</v>
      </c>
      <c r="AJ1083" t="s">
        <v>1072</v>
      </c>
      <c r="AK1083" t="str">
        <f>IF(Transaction[[#This Row],[Salesperson]]="","Missing Value",TRIM(PROPER(Transaction[[#This Row],[Salesperson]])))</f>
        <v>Knight</v>
      </c>
      <c r="AL1083" t="s">
        <v>25</v>
      </c>
      <c r="AM1083" t="str">
        <f>IF(Transaction[[#This Row],[ContractType]]="","Missing Value",Transaction[[#This Row],[ContractType]])</f>
        <v>Frame Agreement</v>
      </c>
      <c r="AN1083" t="s">
        <v>43</v>
      </c>
    </row>
    <row r="1084" spans="1:40" x14ac:dyDescent="0.25">
      <c r="A1084" t="s">
        <v>3039</v>
      </c>
      <c r="B1084" t="s">
        <v>3040</v>
      </c>
      <c r="C108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08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108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84" s="2">
        <f>IFERROR(DATE(Transaction[[#This Row],[TransactionDateY]],Transaction[[#This Row],[TransactionDateM]],Transaction[[#This Row],[TransactionDateD]]),"Missing Value")</f>
        <v>45707</v>
      </c>
      <c r="G1084" t="s">
        <v>116</v>
      </c>
      <c r="H1084" t="str">
        <f>IFERROR(VLOOKUP(Transaction[[#This Row],[CustomerID]],Custumer[],1,0),IF(LEN(Transaction[[#This Row],[CustomerID]])=7,LEFT(Transaction[[#This Row],[CustomerID]],6),"Invalid ID"))</f>
        <v>C-1167</v>
      </c>
      <c r="I1084" t="s">
        <v>946</v>
      </c>
      <c r="J1084" t="str">
        <f>TRIM(UPPER(Transaction[[#This Row],[ProductID]]))</f>
        <v>P-SI-006</v>
      </c>
      <c r="K1084" t="str">
        <f>IFERROR(VLOOKUP(Transaction[[#This Row],[ProductID_Clean]],Product[],1,FALSE),"Invalid ID")</f>
        <v>P-SI-006</v>
      </c>
      <c r="L1084" t="str">
        <f>TRIM(SUBSTITUTE(SUBSTITUTE(SUBSTITUTE(SUBSTITUTE(UPPER(Transaction[[#This Row],[Region]]),"EMEA REGION","EMEA"),"APAC REGION","APAC"),"NORTH AMERICA","N. AMERICA"),"N .AMERICA","N.AMERICA"))</f>
        <v>EMEA</v>
      </c>
      <c r="M1084" t="s">
        <v>683</v>
      </c>
      <c r="N1084" t="s">
        <v>53</v>
      </c>
      <c r="O108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84" t="s">
        <v>22</v>
      </c>
      <c r="Q1084" t="str">
        <f>IF(TRIM(Transaction[[#This Row],[SalesChannel]])="","Missing Value",TRIM(Transaction[[#This Row],[SalesChannel]]))</f>
        <v>Direct</v>
      </c>
      <c r="R1084" s="4">
        <v>12</v>
      </c>
      <c r="S1084" s="4" t="str">
        <f>IF(Transaction[[#This Row],[Quantity]]&lt;0,"Negative-review","Valid")</f>
        <v>Valid</v>
      </c>
      <c r="T1084">
        <v>176.34</v>
      </c>
      <c r="U108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176.34</v>
      </c>
      <c r="V1084">
        <v>215</v>
      </c>
      <c r="W1084">
        <v>2580</v>
      </c>
      <c r="X108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2580</v>
      </c>
      <c r="Y1084">
        <f>IF(Transaction[[#This Row],[GrossRevenue_Check]]="Invalid",Transaction[[#This Row],[ListPrice]]*Transaction[[#This Row],[Quantity]],Transaction[[#This Row],[GrossRevenue_Clean]])</f>
        <v>2580</v>
      </c>
      <c r="Z1084" t="str">
        <f>IF(Transaction[[#This Row],[GrossRevenue_Clean]]=Transaction[[#This Row],[ListPrice]]*Transaction[[#This Row],[Quantity]],"Valid","Invalid")</f>
        <v>Valid</v>
      </c>
      <c r="AA1084">
        <v>463.92</v>
      </c>
      <c r="AB108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463.92</v>
      </c>
      <c r="AC1084">
        <f>IF(Transaction[[#This Row],[DiscountAmount_Check2]]="Invalid",Transaction[[#This Row],[GrossRevenue_Analytical]]-Transaction[[#This Row],[NetRevenue_Analytical]],Transaction[[#This Row],[DiscountAmount_Clean]])</f>
        <v>463.92</v>
      </c>
      <c r="AD1084">
        <v>2116.08</v>
      </c>
      <c r="AE1084" t="str">
        <f>IF(ROUND(Transaction[[#This Row],[GrossRevenue_Analytical]]-Transaction[[#This Row],[NetRevenue_Analytical]],2)=ROUND(Transaction[[#This Row],[DiscountAmount_Clean]],2),"Valid","Invalid")</f>
        <v>Valid</v>
      </c>
      <c r="AF108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2116.08</v>
      </c>
      <c r="AG1084">
        <f>IF(Transaction[[#This Row],[NetRevenue_Check]]="Invalid",(Transaction[[#This Row],[Quantity]]*Transaction[[#This Row],[UnitPrice_Clean]]),Transaction[[#This Row],[NetRevenue_Clean]])</f>
        <v>2116.08</v>
      </c>
      <c r="AH1084" t="str">
        <f>IF(Transaction[[#This Row],[Quantity]]*Transaction[[#This Row],[UnitPrice_Clean]]=Transaction[[#This Row],[NetRevenue_Clean]],"Valid","Invalid")</f>
        <v>Valid</v>
      </c>
      <c r="AI1084" t="s">
        <v>23</v>
      </c>
      <c r="AJ1084" t="s">
        <v>3041</v>
      </c>
      <c r="AK1084" t="str">
        <f>IF(Transaction[[#This Row],[Salesperson]]="","Missing Value",TRIM(PROPER(Transaction[[#This Row],[Salesperson]])))</f>
        <v>Atkinson-Em</v>
      </c>
      <c r="AL1084" t="s">
        <v>42</v>
      </c>
      <c r="AM1084" t="str">
        <f>IF(Transaction[[#This Row],[ContractType]]="","Missing Value",Transaction[[#This Row],[ContractType]])</f>
        <v>Standard PO</v>
      </c>
      <c r="AN1084" t="s">
        <v>49</v>
      </c>
    </row>
    <row r="1085" spans="1:40" x14ac:dyDescent="0.25">
      <c r="A1085" t="s">
        <v>1921</v>
      </c>
      <c r="B1085" t="s">
        <v>1922</v>
      </c>
      <c r="C108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108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108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85" s="2">
        <f>IFERROR(DATE(Transaction[[#This Row],[TransactionDateY]],Transaction[[#This Row],[TransactionDateM]],Transaction[[#This Row],[TransactionDateD]]),"Missing Value")</f>
        <v>45796</v>
      </c>
      <c r="G1085" t="s">
        <v>1000</v>
      </c>
      <c r="H1085" t="str">
        <f>IFERROR(VLOOKUP(Transaction[[#This Row],[CustomerID]],Custumer[],1,0),IF(LEN(Transaction[[#This Row],[CustomerID]])=7,LEFT(Transaction[[#This Row],[CustomerID]],6),"Invalid ID"))</f>
        <v>C-1137</v>
      </c>
      <c r="I1085" t="s">
        <v>52</v>
      </c>
      <c r="J1085" t="str">
        <f>TRIM(UPPER(Transaction[[#This Row],[ProductID]]))</f>
        <v>P-SI-002</v>
      </c>
      <c r="K1085" t="str">
        <f>IFERROR(VLOOKUP(Transaction[[#This Row],[ProductID_Clean]],Product[],1,FALSE),"Invalid ID")</f>
        <v>P-SI-002</v>
      </c>
      <c r="L1085" t="str">
        <f>TRIM(SUBSTITUTE(SUBSTITUTE(SUBSTITUTE(SUBSTITUTE(UPPER(Transaction[[#This Row],[Region]]),"EMEA REGION","EMEA"),"APAC REGION","APAC"),"NORTH AMERICA","N. AMERICA"),"N .AMERICA","N.AMERICA"))</f>
        <v>N. AMERICA</v>
      </c>
      <c r="M1085" t="s">
        <v>204</v>
      </c>
      <c r="N1085" t="s">
        <v>98</v>
      </c>
      <c r="O108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85" t="s">
        <v>22</v>
      </c>
      <c r="Q1085" t="str">
        <f>IF(TRIM(Transaction[[#This Row],[SalesChannel]])="","Missing Value",TRIM(Transaction[[#This Row],[SalesChannel]]))</f>
        <v>Direct</v>
      </c>
      <c r="R1085" s="4">
        <v>1</v>
      </c>
      <c r="S1085" s="4" t="str">
        <f>IF(Transaction[[#This Row],[Quantity]]&lt;0,"Negative-review","Valid")</f>
        <v>Valid</v>
      </c>
      <c r="T1085">
        <v>621.45000000000005</v>
      </c>
      <c r="U108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621.45000000000005</v>
      </c>
      <c r="V1085">
        <v>725</v>
      </c>
      <c r="W1085">
        <v>725</v>
      </c>
      <c r="X108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1085">
        <f>IF(Transaction[[#This Row],[GrossRevenue_Check]]="Invalid",Transaction[[#This Row],[ListPrice]]*Transaction[[#This Row],[Quantity]],Transaction[[#This Row],[GrossRevenue_Clean]])</f>
        <v>725</v>
      </c>
      <c r="Z1085" t="str">
        <f>IF(Transaction[[#This Row],[GrossRevenue_Clean]]=Transaction[[#This Row],[ListPrice]]*Transaction[[#This Row],[Quantity]],"Valid","Invalid")</f>
        <v>Valid</v>
      </c>
      <c r="AB108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1085">
        <f>IF(Transaction[[#This Row],[DiscountAmount_Check2]]="Invalid",Transaction[[#This Row],[GrossRevenue_Analytical]]-Transaction[[#This Row],[NetRevenue_Analytical]],Transaction[[#This Row],[DiscountAmount_Clean]])</f>
        <v>103.54999999999995</v>
      </c>
      <c r="AD1085">
        <v>621.45000000000005</v>
      </c>
      <c r="AE1085" t="str">
        <f>IF(ROUND(Transaction[[#This Row],[GrossRevenue_Analytical]]-Transaction[[#This Row],[NetRevenue_Analytical]],2)=ROUND(Transaction[[#This Row],[DiscountAmount_Clean]],2),"Valid","Invalid")</f>
        <v>Invalid</v>
      </c>
      <c r="AF1085">
        <f>VALUE(IF(ISNUMBER(Transaction[[#This Row],[NetRevenue]]),Transaction[[#This Row],[NetRevenue]],IFERROR(IF(FIND("$",Transaction[[#This Row],[NetRevenue]])&gt;0,MID(Transaction[[#This Row],[NetRevenue]],2,10)),Transaction[[#This Row],[NetRevenue]])))</f>
        <v>621.45000000000005</v>
      </c>
      <c r="AG1085">
        <f>IF(Transaction[[#This Row],[NetRevenue_Check]]="Invalid",(Transaction[[#This Row],[Quantity]]*Transaction[[#This Row],[UnitPrice_Clean]]),Transaction[[#This Row],[NetRevenue_Clean]])</f>
        <v>621.45000000000005</v>
      </c>
      <c r="AH1085" t="str">
        <f>IF(Transaction[[#This Row],[Quantity]]*Transaction[[#This Row],[UnitPrice_Clean]]=Transaction[[#This Row],[NetRevenue_Clean]],"Valid","Invalid")</f>
        <v>Valid</v>
      </c>
      <c r="AI1085" t="s">
        <v>23</v>
      </c>
      <c r="AJ1085" t="s">
        <v>1923</v>
      </c>
      <c r="AK1085" t="str">
        <f>IF(Transaction[[#This Row],[Salesperson]]="","Missing Value",TRIM(PROPER(Transaction[[#This Row],[Salesperson]])))</f>
        <v>Allen</v>
      </c>
      <c r="AL1085" t="s">
        <v>42</v>
      </c>
      <c r="AM1085" t="str">
        <f>IF(Transaction[[#This Row],[ContractType]]="","Missing Value",Transaction[[#This Row],[ContractType]])</f>
        <v>Standard PO</v>
      </c>
      <c r="AN1085" t="s">
        <v>26</v>
      </c>
    </row>
    <row r="1086" spans="1:40" x14ac:dyDescent="0.25">
      <c r="A1086" t="s">
        <v>552</v>
      </c>
      <c r="B1086" s="1">
        <v>45748</v>
      </c>
      <c r="C108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08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108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86" s="2">
        <f>IFERROR(DATE(Transaction[[#This Row],[TransactionDateY]],Transaction[[#This Row],[TransactionDateM]],Transaction[[#This Row],[TransactionDateD]]),"Missing Value")</f>
        <v>45748</v>
      </c>
      <c r="G1086" t="s">
        <v>195</v>
      </c>
      <c r="H1086" t="str">
        <f>IFERROR(VLOOKUP(Transaction[[#This Row],[CustomerID]],Custumer[],1,0),IF(LEN(Transaction[[#This Row],[CustomerID]])=7,LEFT(Transaction[[#This Row],[CustomerID]],6),"Invalid ID"))</f>
        <v>C-1015</v>
      </c>
      <c r="I1086" t="s">
        <v>71</v>
      </c>
      <c r="J1086" t="str">
        <f>TRIM(UPPER(Transaction[[#This Row],[ProductID]]))</f>
        <v>P-SI-003</v>
      </c>
      <c r="K1086" t="str">
        <f>IFERROR(VLOOKUP(Transaction[[#This Row],[ProductID_Clean]],Product[],1,FALSE),"Invalid ID")</f>
        <v>P-SI-003</v>
      </c>
      <c r="L1086" t="str">
        <f>TRIM(SUBSTITUTE(SUBSTITUTE(SUBSTITUTE(SUBSTITUTE(UPPER(Transaction[[#This Row],[Region]]),"EMEA REGION","EMEA"),"APAC REGION","APAC"),"NORTH AMERICA","N. AMERICA"),"N .AMERICA","N.AMERICA"))</f>
        <v>N. AMERICA</v>
      </c>
      <c r="M1086" t="s">
        <v>20</v>
      </c>
      <c r="N1086" t="s">
        <v>53</v>
      </c>
      <c r="O108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86" t="s">
        <v>181</v>
      </c>
      <c r="Q1086" t="str">
        <f>IF(TRIM(Transaction[[#This Row],[SalesChannel]])="","Missing Value",TRIM(Transaction[[#This Row],[SalesChannel]]))</f>
        <v>Partner Portal</v>
      </c>
      <c r="R1086" s="4">
        <v>1</v>
      </c>
      <c r="S1086" s="4" t="str">
        <f>IF(Transaction[[#This Row],[Quantity]]&lt;0,"Negative-review","Valid")</f>
        <v>Valid</v>
      </c>
      <c r="T1086">
        <v>1498.66</v>
      </c>
      <c r="U108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1498.66</v>
      </c>
      <c r="V1086">
        <v>1890</v>
      </c>
      <c r="W1086" t="s">
        <v>461</v>
      </c>
      <c r="X108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1086">
        <f>IF(Transaction[[#This Row],[GrossRevenue_Check]]="Invalid",Transaction[[#This Row],[ListPrice]]*Transaction[[#This Row],[Quantity]],Transaction[[#This Row],[GrossRevenue_Clean]])</f>
        <v>1890</v>
      </c>
      <c r="Z1086" t="str">
        <f>IF(Transaction[[#This Row],[GrossRevenue_Clean]]=Transaction[[#This Row],[ListPrice]]*Transaction[[#This Row],[Quantity]],"Valid","Invalid")</f>
        <v>Valid</v>
      </c>
      <c r="AA1086">
        <v>391.34</v>
      </c>
      <c r="AB108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391.34</v>
      </c>
      <c r="AC1086">
        <f>IF(Transaction[[#This Row],[DiscountAmount_Check2]]="Invalid",Transaction[[#This Row],[GrossRevenue_Analytical]]-Transaction[[#This Row],[NetRevenue_Analytical]],Transaction[[#This Row],[DiscountAmount_Clean]])</f>
        <v>391.34</v>
      </c>
      <c r="AD1086">
        <v>1498.66</v>
      </c>
      <c r="AE1086" t="str">
        <f>IF(ROUND(Transaction[[#This Row],[GrossRevenue_Analytical]]-Transaction[[#This Row],[NetRevenue_Analytical]],2)=ROUND(Transaction[[#This Row],[DiscountAmount_Clean]],2),"Valid","Invalid")</f>
        <v>Valid</v>
      </c>
      <c r="AF108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1498.66</v>
      </c>
      <c r="AG1086">
        <f>IF(Transaction[[#This Row],[NetRevenue_Check]]="Invalid",(Transaction[[#This Row],[Quantity]]*Transaction[[#This Row],[UnitPrice_Clean]]),Transaction[[#This Row],[NetRevenue_Clean]])</f>
        <v>1498.66</v>
      </c>
      <c r="AH1086" t="str">
        <f>IF(Transaction[[#This Row],[Quantity]]*Transaction[[#This Row],[UnitPrice_Clean]]=Transaction[[#This Row],[NetRevenue_Clean]],"Valid","Invalid")</f>
        <v>Valid</v>
      </c>
      <c r="AI1086" t="s">
        <v>23</v>
      </c>
      <c r="AJ1086" t="s">
        <v>553</v>
      </c>
      <c r="AK1086" t="str">
        <f>IF(Transaction[[#This Row],[Salesperson]]="","Missing Value",TRIM(PROPER(Transaction[[#This Row],[Salesperson]])))</f>
        <v>Fernandez</v>
      </c>
      <c r="AL1086" t="s">
        <v>42</v>
      </c>
      <c r="AM1086" t="str">
        <f>IF(Transaction[[#This Row],[ContractType]]="","Missing Value",Transaction[[#This Row],[ContractType]])</f>
        <v>Standard PO</v>
      </c>
      <c r="AN1086" t="s">
        <v>26</v>
      </c>
    </row>
    <row r="1087" spans="1:40" x14ac:dyDescent="0.25">
      <c r="A1087" t="s">
        <v>970</v>
      </c>
      <c r="B1087" s="1">
        <v>45759</v>
      </c>
      <c r="C108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08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108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87" s="2">
        <f>IFERROR(DATE(Transaction[[#This Row],[TransactionDateY]],Transaction[[#This Row],[TransactionDateM]],Transaction[[#This Row],[TransactionDateD]]),"Missing Value")</f>
        <v>45759</v>
      </c>
      <c r="G1087" t="s">
        <v>45</v>
      </c>
      <c r="H1087" t="str">
        <f>IFERROR(VLOOKUP(Transaction[[#This Row],[CustomerID]],Custumer[],1,0),IF(LEN(Transaction[[#This Row],[CustomerID]])=7,LEFT(Transaction[[#This Row],[CustomerID]],6),"Invalid ID"))</f>
        <v>C-1155</v>
      </c>
      <c r="I1087" t="s">
        <v>62</v>
      </c>
      <c r="J1087" t="str">
        <f>TRIM(UPPER(Transaction[[#This Row],[ProductID]]))</f>
        <v>P-SI-004</v>
      </c>
      <c r="K1087" t="str">
        <f>IFERROR(VLOOKUP(Transaction[[#This Row],[ProductID_Clean]],Product[],1,FALSE),"Invalid ID")</f>
        <v>P-SI-004</v>
      </c>
      <c r="L1087" t="str">
        <f>TRIM(SUBSTITUTE(SUBSTITUTE(SUBSTITUTE(SUBSTITUTE(UPPER(Transaction[[#This Row],[Region]]),"EMEA REGION","EMEA"),"APAC REGION","APAC"),"NORTH AMERICA","N. AMERICA"),"N .AMERICA","N.AMERICA"))</f>
        <v>APAC</v>
      </c>
      <c r="M1087" t="s">
        <v>30</v>
      </c>
      <c r="N1087" t="s">
        <v>47</v>
      </c>
      <c r="O108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87" t="s">
        <v>181</v>
      </c>
      <c r="Q1087" t="str">
        <f>IF(TRIM(Transaction[[#This Row],[SalesChannel]])="","Missing Value",TRIM(Transaction[[#This Row],[SalesChannel]]))</f>
        <v>Partner Portal</v>
      </c>
      <c r="R1087" s="4">
        <v>2</v>
      </c>
      <c r="S1087" s="4" t="str">
        <f>IF(Transaction[[#This Row],[Quantity]]&lt;0,"Negative-review","Valid")</f>
        <v>Valid</v>
      </c>
      <c r="T1087">
        <v>1729.19</v>
      </c>
      <c r="U108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1729.19</v>
      </c>
      <c r="V1087">
        <v>2450</v>
      </c>
      <c r="W1087">
        <v>4900</v>
      </c>
      <c r="X108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</v>
      </c>
      <c r="Y1087">
        <f>IF(Transaction[[#This Row],[GrossRevenue_Check]]="Invalid",Transaction[[#This Row],[ListPrice]]*Transaction[[#This Row],[Quantity]],Transaction[[#This Row],[GrossRevenue_Clean]])</f>
        <v>4900</v>
      </c>
      <c r="Z1087" t="str">
        <f>IF(Transaction[[#This Row],[GrossRevenue_Clean]]=Transaction[[#This Row],[ListPrice]]*Transaction[[#This Row],[Quantity]],"Valid","Invalid")</f>
        <v>Valid</v>
      </c>
      <c r="AA1087">
        <v>1441.62</v>
      </c>
      <c r="AB108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1441.62</v>
      </c>
      <c r="AC1087">
        <f>IF(Transaction[[#This Row],[DiscountAmount_Check2]]="Invalid",Transaction[[#This Row],[GrossRevenue_Analytical]]-Transaction[[#This Row],[NetRevenue_Analytical]],Transaction[[#This Row],[DiscountAmount_Clean]])</f>
        <v>1441.62</v>
      </c>
      <c r="AD1087">
        <v>3458.38</v>
      </c>
      <c r="AE1087" t="str">
        <f>IF(ROUND(Transaction[[#This Row],[GrossRevenue_Analytical]]-Transaction[[#This Row],[NetRevenue_Analytical]],2)=ROUND(Transaction[[#This Row],[DiscountAmount_Clean]],2),"Valid","Invalid")</f>
        <v>Valid</v>
      </c>
      <c r="AF108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3458.38</v>
      </c>
      <c r="AG1087">
        <f>IF(Transaction[[#This Row],[NetRevenue_Check]]="Invalid",(Transaction[[#This Row],[Quantity]]*Transaction[[#This Row],[UnitPrice_Clean]]),Transaction[[#This Row],[NetRevenue_Clean]])</f>
        <v>3458.38</v>
      </c>
      <c r="AH1087" t="str">
        <f>IF(Transaction[[#This Row],[Quantity]]*Transaction[[#This Row],[UnitPrice_Clean]]=Transaction[[#This Row],[NetRevenue_Clean]],"Valid","Invalid")</f>
        <v>Valid</v>
      </c>
      <c r="AI1087" t="s">
        <v>23</v>
      </c>
      <c r="AJ1087" t="s">
        <v>971</v>
      </c>
      <c r="AK1087" t="str">
        <f>IF(Transaction[[#This Row],[Salesperson]]="","Missing Value",TRIM(PROPER(Transaction[[#This Row],[Salesperson]])))</f>
        <v>Reyes</v>
      </c>
      <c r="AL1087" t="s">
        <v>25</v>
      </c>
      <c r="AM1087" t="str">
        <f>IF(Transaction[[#This Row],[ContractType]]="","Missing Value",Transaction[[#This Row],[ContractType]])</f>
        <v>Frame Agreement</v>
      </c>
      <c r="AN1087" t="s">
        <v>49</v>
      </c>
    </row>
    <row r="1088" spans="1:40" x14ac:dyDescent="0.25">
      <c r="A1088" t="s">
        <v>2925</v>
      </c>
      <c r="B1088" s="1">
        <v>45753</v>
      </c>
      <c r="C108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08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108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88" s="2">
        <f>IFERROR(DATE(Transaction[[#This Row],[TransactionDateY]],Transaction[[#This Row],[TransactionDateM]],Transaction[[#This Row],[TransactionDateD]]),"Missing Value")</f>
        <v>45753</v>
      </c>
      <c r="G1088" t="s">
        <v>1689</v>
      </c>
      <c r="H1088" t="str">
        <f>IFERROR(VLOOKUP(Transaction[[#This Row],[CustomerID]],Custumer[],1,0),IF(LEN(Transaction[[#This Row],[CustomerID]])=7,LEFT(Transaction[[#This Row],[CustomerID]],6),"Invalid ID"))</f>
        <v>Invalid ID</v>
      </c>
      <c r="I1088" t="s">
        <v>46</v>
      </c>
      <c r="J1088" t="str">
        <f>TRIM(UPPER(Transaction[[#This Row],[ProductID]]))</f>
        <v>P-SI-006</v>
      </c>
      <c r="K1088" t="str">
        <f>IFERROR(VLOOKUP(Transaction[[#This Row],[ProductID_Clean]],Product[],1,FALSE),"Invalid ID")</f>
        <v>P-SI-006</v>
      </c>
      <c r="L1088" t="str">
        <f>TRIM(SUBSTITUTE(SUBSTITUTE(SUBSTITUTE(SUBSTITUTE(UPPER(Transaction[[#This Row],[Region]]),"EMEA REGION","EMEA"),"APAC REGION","APAC"),"NORTH AMERICA","N. AMERICA"),"N .AMERICA","N.AMERICA"))</f>
        <v>APAC</v>
      </c>
      <c r="M1088" t="s">
        <v>30</v>
      </c>
      <c r="N1088" t="s">
        <v>47</v>
      </c>
      <c r="O108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88" t="s">
        <v>22</v>
      </c>
      <c r="Q1088" t="str">
        <f>IF(TRIM(Transaction[[#This Row],[SalesChannel]])="","Missing Value",TRIM(Transaction[[#This Row],[SalesChannel]]))</f>
        <v>Direct</v>
      </c>
      <c r="R1088" s="4">
        <v>3</v>
      </c>
      <c r="S1088" s="4" t="str">
        <f>IF(Transaction[[#This Row],[Quantity]]&lt;0,"Negative-review","Valid")</f>
        <v>Valid</v>
      </c>
      <c r="T1088">
        <v>182.88</v>
      </c>
      <c r="U108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182.88</v>
      </c>
      <c r="V1088">
        <v>215</v>
      </c>
      <c r="W1088">
        <v>645</v>
      </c>
      <c r="X108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1088">
        <f>IF(Transaction[[#This Row],[GrossRevenue_Check]]="Invalid",Transaction[[#This Row],[ListPrice]]*Transaction[[#This Row],[Quantity]],Transaction[[#This Row],[GrossRevenue_Clean]])</f>
        <v>645</v>
      </c>
      <c r="Z1088" t="str">
        <f>IF(Transaction[[#This Row],[GrossRevenue_Clean]]=Transaction[[#This Row],[ListPrice]]*Transaction[[#This Row],[Quantity]],"Valid","Invalid")</f>
        <v>Valid</v>
      </c>
      <c r="AA1088">
        <v>96.36</v>
      </c>
      <c r="AB108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96.36</v>
      </c>
      <c r="AC1088">
        <f>IF(Transaction[[#This Row],[DiscountAmount_Check2]]="Invalid",Transaction[[#This Row],[GrossRevenue_Analytical]]-Transaction[[#This Row],[NetRevenue_Analytical]],Transaction[[#This Row],[DiscountAmount_Clean]])</f>
        <v>96.36</v>
      </c>
      <c r="AD1088">
        <v>548.64</v>
      </c>
      <c r="AE1088" t="str">
        <f>IF(ROUND(Transaction[[#This Row],[GrossRevenue_Analytical]]-Transaction[[#This Row],[NetRevenue_Analytical]],2)=ROUND(Transaction[[#This Row],[DiscountAmount_Clean]],2),"Valid","Invalid")</f>
        <v>Valid</v>
      </c>
      <c r="AF1088">
        <f>VALUE(IF(ISNUMBER(Transaction[[#This Row],[NetRevenue]]),Transaction[[#This Row],[NetRevenue]],IFERROR(IF(FIND("$",Transaction[[#This Row],[NetRevenue]])&gt;0,MID(Transaction[[#This Row],[NetRevenue]],2,10)),Transaction[[#This Row],[NetRevenue]])))</f>
        <v>548.64</v>
      </c>
      <c r="AG1088">
        <f>IF(Transaction[[#This Row],[NetRevenue_Check]]="Invalid",(Transaction[[#This Row],[Quantity]]*Transaction[[#This Row],[UnitPrice_Clean]]),Transaction[[#This Row],[NetRevenue_Clean]])</f>
        <v>548.64</v>
      </c>
      <c r="AH1088" t="str">
        <f>IF(Transaction[[#This Row],[Quantity]]*Transaction[[#This Row],[UnitPrice_Clean]]=Transaction[[#This Row],[NetRevenue_Clean]],"Valid","Invalid")</f>
        <v>Valid</v>
      </c>
      <c r="AI1088" t="s">
        <v>23</v>
      </c>
      <c r="AJ1088" t="s">
        <v>2926</v>
      </c>
      <c r="AK1088" t="str">
        <f>IF(Transaction[[#This Row],[Salesperson]]="","Missing Value",TRIM(PROPER(Transaction[[#This Row],[Salesperson]])))</f>
        <v>Singh-Na</v>
      </c>
      <c r="AL1088" t="s">
        <v>42</v>
      </c>
      <c r="AM1088" t="str">
        <f>IF(Transaction[[#This Row],[ContractType]]="","Missing Value",Transaction[[#This Row],[ContractType]])</f>
        <v>Standard PO</v>
      </c>
      <c r="AN1088" t="s">
        <v>65</v>
      </c>
    </row>
    <row r="1089" spans="1:40" x14ac:dyDescent="0.25">
      <c r="A1089" t="s">
        <v>270</v>
      </c>
      <c r="B1089" s="1">
        <v>45775</v>
      </c>
      <c r="C108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08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108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89" s="2">
        <f>IFERROR(DATE(Transaction[[#This Row],[TransactionDateY]],Transaction[[#This Row],[TransactionDateM]],Transaction[[#This Row],[TransactionDateD]]),"Missing Value")</f>
        <v>45775</v>
      </c>
      <c r="G1089" t="s">
        <v>271</v>
      </c>
      <c r="H1089" t="str">
        <f>IFERROR(VLOOKUP(Transaction[[#This Row],[CustomerID]],Custumer[],1,0),IF(LEN(Transaction[[#This Row],[CustomerID]])=7,LEFT(Transaction[[#This Row],[CustomerID]],6),"Invalid ID"))</f>
        <v>C-1113</v>
      </c>
      <c r="I1089" t="s">
        <v>46</v>
      </c>
      <c r="J1089" t="str">
        <f>TRIM(UPPER(Transaction[[#This Row],[ProductID]]))</f>
        <v>P-SI-006</v>
      </c>
      <c r="K1089" t="str">
        <f>IFERROR(VLOOKUP(Transaction[[#This Row],[ProductID_Clean]],Product[],1,FALSE),"Invalid ID")</f>
        <v>P-SI-006</v>
      </c>
      <c r="L1089" t="str">
        <f>TRIM(SUBSTITUTE(SUBSTITUTE(SUBSTITUTE(SUBSTITUTE(UPPER(Transaction[[#This Row],[Region]]),"EMEA REGION","EMEA"),"APAC REGION","APAC"),"NORTH AMERICA","N. AMERICA"),"N .AMERICA","N.AMERICA"))</f>
        <v>N. AMERICA</v>
      </c>
      <c r="M1089" t="s">
        <v>20</v>
      </c>
      <c r="N1089" t="s">
        <v>272</v>
      </c>
      <c r="O108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89" t="s">
        <v>40</v>
      </c>
      <c r="Q1089" t="str">
        <f>IF(TRIM(Transaction[[#This Row],[SalesChannel]])="","Missing Value",TRIM(Transaction[[#This Row],[SalesChannel]]))</f>
        <v>Distributor</v>
      </c>
      <c r="R1089" s="4">
        <v>2</v>
      </c>
      <c r="S1089" s="4" t="str">
        <f>IF(Transaction[[#This Row],[Quantity]]&lt;0,"Negative-review","Valid")</f>
        <v>Valid</v>
      </c>
      <c r="T1089">
        <v>148.68</v>
      </c>
      <c r="U108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148.68</v>
      </c>
      <c r="V1089">
        <v>215</v>
      </c>
      <c r="W1089">
        <v>430</v>
      </c>
      <c r="X108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1089">
        <f>IF(Transaction[[#This Row],[GrossRevenue_Check]]="Invalid",Transaction[[#This Row],[ListPrice]]*Transaction[[#This Row],[Quantity]],Transaction[[#This Row],[GrossRevenue_Clean]])</f>
        <v>430</v>
      </c>
      <c r="Z1089" t="str">
        <f>IF(Transaction[[#This Row],[GrossRevenue_Clean]]=Transaction[[#This Row],[ListPrice]]*Transaction[[#This Row],[Quantity]],"Valid","Invalid")</f>
        <v>Valid</v>
      </c>
      <c r="AA1089">
        <v>132.63999999999999</v>
      </c>
      <c r="AB108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132.63999999999999</v>
      </c>
      <c r="AC1089">
        <f>IF(Transaction[[#This Row],[DiscountAmount_Check2]]="Invalid",Transaction[[#This Row],[GrossRevenue_Analytical]]-Transaction[[#This Row],[NetRevenue_Analytical]],Transaction[[#This Row],[DiscountAmount_Clean]])</f>
        <v>132.63999999999999</v>
      </c>
      <c r="AD1089">
        <v>297.36</v>
      </c>
      <c r="AE1089" t="str">
        <f>IF(ROUND(Transaction[[#This Row],[GrossRevenue_Analytical]]-Transaction[[#This Row],[NetRevenue_Analytical]],2)=ROUND(Transaction[[#This Row],[DiscountAmount_Clean]],2),"Valid","Invalid")</f>
        <v>Valid</v>
      </c>
      <c r="AF108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297.36</v>
      </c>
      <c r="AG1089">
        <f>IF(Transaction[[#This Row],[NetRevenue_Check]]="Invalid",(Transaction[[#This Row],[Quantity]]*Transaction[[#This Row],[UnitPrice_Clean]]),Transaction[[#This Row],[NetRevenue_Clean]])</f>
        <v>297.36</v>
      </c>
      <c r="AH1089" t="str">
        <f>IF(Transaction[[#This Row],[Quantity]]*Transaction[[#This Row],[UnitPrice_Clean]]=Transaction[[#This Row],[NetRevenue_Clean]],"Valid","Invalid")</f>
        <v>Valid</v>
      </c>
      <c r="AI1089" t="s">
        <v>23</v>
      </c>
      <c r="AJ1089" t="s">
        <v>273</v>
      </c>
      <c r="AK1089" t="str">
        <f>IF(Transaction[[#This Row],[Salesperson]]="","Missing Value",TRIM(PROPER(Transaction[[#This Row],[Salesperson]])))</f>
        <v>Gibbs-Ap</v>
      </c>
      <c r="AL1089" t="s">
        <v>42</v>
      </c>
      <c r="AM1089" t="str">
        <f>IF(Transaction[[#This Row],[ContractType]]="","Missing Value",Transaction[[#This Row],[ContractType]])</f>
        <v>Standard PO</v>
      </c>
      <c r="AN1089" t="s">
        <v>35</v>
      </c>
    </row>
    <row r="1090" spans="1:40" x14ac:dyDescent="0.25">
      <c r="A1090" t="s">
        <v>2276</v>
      </c>
      <c r="B1090" s="1">
        <v>45715</v>
      </c>
      <c r="C109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09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109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90" s="2">
        <f>IFERROR(DATE(Transaction[[#This Row],[TransactionDateY]],Transaction[[#This Row],[TransactionDateM]],Transaction[[#This Row],[TransactionDateD]]),"Missing Value")</f>
        <v>45715</v>
      </c>
      <c r="G1090" t="s">
        <v>1095</v>
      </c>
      <c r="H1090" t="str">
        <f>IFERROR(VLOOKUP(Transaction[[#This Row],[CustomerID]],Custumer[],1,0),IF(LEN(Transaction[[#This Row],[CustomerID]])=7,LEFT(Transaction[[#This Row],[CustomerID]],6),"Invalid ID"))</f>
        <v>C-1036</v>
      </c>
      <c r="I1090" t="s">
        <v>29</v>
      </c>
      <c r="J1090" t="str">
        <f>TRIM(UPPER(Transaction[[#This Row],[ProductID]]))</f>
        <v>P-SA-001</v>
      </c>
      <c r="K1090" t="str">
        <f>IFERROR(VLOOKUP(Transaction[[#This Row],[ProductID_Clean]],Product[],1,FALSE),"Invalid ID")</f>
        <v>P-SA-001</v>
      </c>
      <c r="L1090" t="str">
        <f>TRIM(SUBSTITUTE(SUBSTITUTE(SUBSTITUTE(SUBSTITUTE(UPPER(Transaction[[#This Row],[Region]]),"EMEA REGION","EMEA"),"APAC REGION","APAC"),"NORTH AMERICA","N. AMERICA"),"N .AMERICA","N.AMERICA"))</f>
        <v>EMEA</v>
      </c>
      <c r="M1090" t="s">
        <v>76</v>
      </c>
      <c r="N1090" t="s">
        <v>31</v>
      </c>
      <c r="O1090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090" t="s">
        <v>32</v>
      </c>
      <c r="Q1090" t="str">
        <f>IF(TRIM(Transaction[[#This Row],[SalesChannel]])="","Missing Value",TRIM(Transaction[[#This Row],[SalesChannel]]))</f>
        <v>Direct</v>
      </c>
      <c r="R1090" s="4">
        <v>3</v>
      </c>
      <c r="S1090" s="4" t="str">
        <f>IF(Transaction[[#This Row],[Quantity]]&lt;0,"Negative-review","Valid")</f>
        <v>Valid</v>
      </c>
      <c r="T1090">
        <v>4088.52</v>
      </c>
      <c r="U109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4088.52</v>
      </c>
      <c r="V1090">
        <v>4200</v>
      </c>
      <c r="W1090">
        <v>12600</v>
      </c>
      <c r="X109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12600</v>
      </c>
      <c r="Y1090">
        <f>IF(Transaction[[#This Row],[GrossRevenue_Check]]="Invalid",Transaction[[#This Row],[ListPrice]]*Transaction[[#This Row],[Quantity]],Transaction[[#This Row],[GrossRevenue_Clean]])</f>
        <v>12600</v>
      </c>
      <c r="Z1090" t="str">
        <f>IF(Transaction[[#This Row],[GrossRevenue_Clean]]=Transaction[[#This Row],[ListPrice]]*Transaction[[#This Row],[Quantity]],"Valid","Invalid")</f>
        <v>Valid</v>
      </c>
      <c r="AA1090">
        <v>334.44</v>
      </c>
      <c r="AB109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334.44</v>
      </c>
      <c r="AC1090">
        <f>IF(Transaction[[#This Row],[DiscountAmount_Check2]]="Invalid",Transaction[[#This Row],[GrossRevenue_Analytical]]-Transaction[[#This Row],[NetRevenue_Analytical]],Transaction[[#This Row],[DiscountAmount_Clean]])</f>
        <v>334.44</v>
      </c>
      <c r="AD1090">
        <v>12265.56</v>
      </c>
      <c r="AE1090" t="str">
        <f>IF(ROUND(Transaction[[#This Row],[GrossRevenue_Analytical]]-Transaction[[#This Row],[NetRevenue_Analytical]],2)=ROUND(Transaction[[#This Row],[DiscountAmount_Clean]],2),"Valid","Invalid")</f>
        <v>Valid</v>
      </c>
      <c r="AF109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12265.56</v>
      </c>
      <c r="AG1090">
        <f>IF(Transaction[[#This Row],[NetRevenue_Check]]="Invalid",(Transaction[[#This Row],[Quantity]]*Transaction[[#This Row],[UnitPrice_Clean]]),Transaction[[#This Row],[NetRevenue_Clean]])</f>
        <v>12265.56</v>
      </c>
      <c r="AH1090" t="str">
        <f>IF(Transaction[[#This Row],[Quantity]]*Transaction[[#This Row],[UnitPrice_Clean]]=Transaction[[#This Row],[NetRevenue_Clean]],"Valid","Invalid")</f>
        <v>Valid</v>
      </c>
      <c r="AI1090" t="s">
        <v>23</v>
      </c>
      <c r="AJ1090" t="s">
        <v>2277</v>
      </c>
      <c r="AK1090" t="str">
        <f>IF(Transaction[[#This Row],[Salesperson]]="","Missing Value",TRIM(PROPER(Transaction[[#This Row],[Salesperson]])))</f>
        <v>Norris</v>
      </c>
      <c r="AL1090" t="s">
        <v>113</v>
      </c>
      <c r="AM1090" t="str">
        <f>IF(Transaction[[#This Row],[ContractType]]="","Missing Value",Transaction[[#This Row],[ContractType]])</f>
        <v>Subscription</v>
      </c>
      <c r="AN1090" t="s">
        <v>49</v>
      </c>
    </row>
    <row r="1091" spans="1:40" x14ac:dyDescent="0.25">
      <c r="A1091" t="s">
        <v>991</v>
      </c>
      <c r="B1091" t="s">
        <v>992</v>
      </c>
      <c r="C109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109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109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91" s="2">
        <f>IFERROR(DATE(Transaction[[#This Row],[TransactionDateY]],Transaction[[#This Row],[TransactionDateM]],Transaction[[#This Row],[TransactionDateD]]),"Missing Value")</f>
        <v>45825</v>
      </c>
      <c r="G1091" t="s">
        <v>784</v>
      </c>
      <c r="H1091" t="str">
        <f>IFERROR(VLOOKUP(Transaction[[#This Row],[CustomerID]],Custumer[],1,0),IF(LEN(Transaction[[#This Row],[CustomerID]])=7,LEFT(Transaction[[#This Row],[CustomerID]],6),"Invalid ID"))</f>
        <v>C-1159</v>
      </c>
      <c r="I1091" t="s">
        <v>117</v>
      </c>
      <c r="J1091" t="str">
        <f>TRIM(UPPER(Transaction[[#This Row],[ProductID]]))</f>
        <v>P-SI-007</v>
      </c>
      <c r="K1091" t="str">
        <f>IFERROR(VLOOKUP(Transaction[[#This Row],[ProductID_Clean]],Product[],1,FALSE),"Invalid ID")</f>
        <v>P-SI-007</v>
      </c>
      <c r="L1091" t="str">
        <f>TRIM(SUBSTITUTE(SUBSTITUTE(SUBSTITUTE(SUBSTITUTE(UPPER(Transaction[[#This Row],[Region]]),"EMEA REGION","EMEA"),"APAC REGION","APAC"),"NORTH AMERICA","N. AMERICA"),"N .AMERICA","N.AMERICA"))</f>
        <v>EMEA</v>
      </c>
      <c r="M1091" t="s">
        <v>76</v>
      </c>
      <c r="N1091" t="s">
        <v>53</v>
      </c>
      <c r="O109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91" t="s">
        <v>22</v>
      </c>
      <c r="Q1091" t="str">
        <f>IF(TRIM(Transaction[[#This Row],[SalesChannel]])="","Missing Value",TRIM(Transaction[[#This Row],[SalesChannel]]))</f>
        <v>Direct</v>
      </c>
      <c r="R1091" s="4">
        <v>5</v>
      </c>
      <c r="S1091" s="4" t="str">
        <f>IF(Transaction[[#This Row],[Quantity]]&lt;0,"Negative-review","Valid")</f>
        <v>Valid</v>
      </c>
      <c r="T1091">
        <v>964.74</v>
      </c>
      <c r="U109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964.74</v>
      </c>
      <c r="V1091">
        <v>980</v>
      </c>
      <c r="W1091">
        <v>4900</v>
      </c>
      <c r="X109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</v>
      </c>
      <c r="Y1091">
        <f>IF(Transaction[[#This Row],[GrossRevenue_Check]]="Invalid",Transaction[[#This Row],[ListPrice]]*Transaction[[#This Row],[Quantity]],Transaction[[#This Row],[GrossRevenue_Clean]])</f>
        <v>4900</v>
      </c>
      <c r="Z1091" t="str">
        <f>IF(Transaction[[#This Row],[GrossRevenue_Clean]]=Transaction[[#This Row],[ListPrice]]*Transaction[[#This Row],[Quantity]],"Valid","Invalid")</f>
        <v>Valid</v>
      </c>
      <c r="AA1091">
        <v>76.3</v>
      </c>
      <c r="AB109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76.3</v>
      </c>
      <c r="AC1091">
        <f>IF(Transaction[[#This Row],[DiscountAmount_Check2]]="Invalid",Transaction[[#This Row],[GrossRevenue_Analytical]]-Transaction[[#This Row],[NetRevenue_Analytical]],Transaction[[#This Row],[DiscountAmount_Clean]])</f>
        <v>76.3</v>
      </c>
      <c r="AD1091">
        <v>4823.7</v>
      </c>
      <c r="AE1091" t="str">
        <f>IF(ROUND(Transaction[[#This Row],[GrossRevenue_Analytical]]-Transaction[[#This Row],[NetRevenue_Analytical]],2)=ROUND(Transaction[[#This Row],[DiscountAmount_Clean]],2),"Valid","Invalid")</f>
        <v>Valid</v>
      </c>
      <c r="AF1091">
        <f>VALUE(IF(ISNUMBER(Transaction[[#This Row],[NetRevenue]]),Transaction[[#This Row],[NetRevenue]],IFERROR(IF(FIND("$",Transaction[[#This Row],[NetRevenue]])&gt;0,MID(Transaction[[#This Row],[NetRevenue]],2,10)),Transaction[[#This Row],[NetRevenue]])))</f>
        <v>4823.7</v>
      </c>
      <c r="AG1091">
        <f>IF(Transaction[[#This Row],[NetRevenue_Check]]="Invalid",(Transaction[[#This Row],[Quantity]]*Transaction[[#This Row],[UnitPrice_Clean]]),Transaction[[#This Row],[NetRevenue_Clean]])</f>
        <v>4823.7</v>
      </c>
      <c r="AH1091" t="str">
        <f>IF(Transaction[[#This Row],[Quantity]]*Transaction[[#This Row],[UnitPrice_Clean]]=Transaction[[#This Row],[NetRevenue_Clean]],"Valid","Invalid")</f>
        <v>Valid</v>
      </c>
      <c r="AI1091" t="s">
        <v>99</v>
      </c>
      <c r="AJ1091" t="s">
        <v>993</v>
      </c>
      <c r="AK1091" t="str">
        <f>IF(Transaction[[#This Row],[Salesperson]]="","Missing Value",TRIM(PROPER(Transaction[[#This Row],[Salesperson]])))</f>
        <v>Miller-Ap</v>
      </c>
      <c r="AL1091" t="s">
        <v>42</v>
      </c>
      <c r="AM1091" t="str">
        <f>IF(Transaction[[#This Row],[ContractType]]="","Missing Value",Transaction[[#This Row],[ContractType]])</f>
        <v>Standard PO</v>
      </c>
      <c r="AN1091" t="s">
        <v>49</v>
      </c>
    </row>
    <row r="1092" spans="1:40" x14ac:dyDescent="0.25">
      <c r="A1092" t="s">
        <v>1294</v>
      </c>
      <c r="B1092" s="1">
        <v>45666</v>
      </c>
      <c r="C109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09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109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92" s="2">
        <f>IFERROR(DATE(Transaction[[#This Row],[TransactionDateY]],Transaction[[#This Row],[TransactionDateM]],Transaction[[#This Row],[TransactionDateD]]),"Missing Value")</f>
        <v>45666</v>
      </c>
      <c r="G1092" t="s">
        <v>960</v>
      </c>
      <c r="H1092" t="str">
        <f>IFERROR(VLOOKUP(Transaction[[#This Row],[CustomerID]],Custumer[],1,0),IF(LEN(Transaction[[#This Row],[CustomerID]])=7,LEFT(Transaction[[#This Row],[CustomerID]],6),"Invalid ID"))</f>
        <v>C-1160</v>
      </c>
      <c r="I1092" t="s">
        <v>695</v>
      </c>
      <c r="J1092" t="str">
        <f>TRIM(UPPER(Transaction[[#This Row],[ProductID]]))</f>
        <v>P-SI-002</v>
      </c>
      <c r="K1092" t="str">
        <f>IFERROR(VLOOKUP(Transaction[[#This Row],[ProductID_Clean]],Product[],1,FALSE),"Invalid ID")</f>
        <v>P-SI-002</v>
      </c>
      <c r="L1092" t="str">
        <f>TRIM(SUBSTITUTE(SUBSTITUTE(SUBSTITUTE(SUBSTITUTE(UPPER(Transaction[[#This Row],[Region]]),"EMEA REGION","EMEA"),"APAC REGION","APAC"),"NORTH AMERICA","N. AMERICA"),"N .AMERICA","N.AMERICA"))</f>
        <v>LATIN AMERICA</v>
      </c>
      <c r="M1092" t="s">
        <v>82</v>
      </c>
      <c r="N1092" t="s">
        <v>53</v>
      </c>
      <c r="O109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92" t="s">
        <v>22</v>
      </c>
      <c r="Q1092" t="str">
        <f>IF(TRIM(Transaction[[#This Row],[SalesChannel]])="","Missing Value",TRIM(Transaction[[#This Row],[SalesChannel]]))</f>
        <v>Direct</v>
      </c>
      <c r="R1092" s="4">
        <v>1</v>
      </c>
      <c r="S1092" s="4" t="str">
        <f>IF(Transaction[[#This Row],[Quantity]]&lt;0,"Negative-review","Valid")</f>
        <v>Valid</v>
      </c>
      <c r="T1092">
        <v>673.7</v>
      </c>
      <c r="U109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673.7</v>
      </c>
      <c r="V1092">
        <v>725</v>
      </c>
      <c r="W1092">
        <v>725</v>
      </c>
      <c r="X109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1092">
        <f>IF(Transaction[[#This Row],[GrossRevenue_Check]]="Invalid",Transaction[[#This Row],[ListPrice]]*Transaction[[#This Row],[Quantity]],Transaction[[#This Row],[GrossRevenue_Clean]])</f>
        <v>725</v>
      </c>
      <c r="Z1092" t="str">
        <f>IF(Transaction[[#This Row],[GrossRevenue_Clean]]=Transaction[[#This Row],[ListPrice]]*Transaction[[#This Row],[Quantity]],"Valid","Invalid")</f>
        <v>Valid</v>
      </c>
      <c r="AA1092">
        <v>51.3</v>
      </c>
      <c r="AB109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51.3</v>
      </c>
      <c r="AC1092">
        <f>IF(Transaction[[#This Row],[DiscountAmount_Check2]]="Invalid",Transaction[[#This Row],[GrossRevenue_Analytical]]-Transaction[[#This Row],[NetRevenue_Analytical]],Transaction[[#This Row],[DiscountAmount_Clean]])</f>
        <v>51.3</v>
      </c>
      <c r="AD1092">
        <v>673.7</v>
      </c>
      <c r="AE1092" t="str">
        <f>IF(ROUND(Transaction[[#This Row],[GrossRevenue_Analytical]]-Transaction[[#This Row],[NetRevenue_Analytical]],2)=ROUND(Transaction[[#This Row],[DiscountAmount_Clean]],2),"Valid","Invalid")</f>
        <v>Valid</v>
      </c>
      <c r="AF1092">
        <f>VALUE(IF(ISNUMBER(Transaction[[#This Row],[NetRevenue]]),Transaction[[#This Row],[NetRevenue]],IFERROR(IF(FIND("$",Transaction[[#This Row],[NetRevenue]])&gt;0,MID(Transaction[[#This Row],[NetRevenue]],2,10)),Transaction[[#This Row],[NetRevenue]])))</f>
        <v>673.7</v>
      </c>
      <c r="AG1092">
        <f>IF(Transaction[[#This Row],[NetRevenue_Check]]="Invalid",(Transaction[[#This Row],[Quantity]]*Transaction[[#This Row],[UnitPrice_Clean]]),Transaction[[#This Row],[NetRevenue_Clean]])</f>
        <v>673.7</v>
      </c>
      <c r="AH1092" t="str">
        <f>IF(Transaction[[#This Row],[Quantity]]*Transaction[[#This Row],[UnitPrice_Clean]]=Transaction[[#This Row],[NetRevenue_Clean]],"Valid","Invalid")</f>
        <v>Valid</v>
      </c>
      <c r="AI1092" t="s">
        <v>23</v>
      </c>
      <c r="AJ1092" t="s">
        <v>1295</v>
      </c>
      <c r="AK1092" t="str">
        <f>IF(Transaction[[#This Row],[Salesperson]]="","Missing Value",TRIM(PROPER(Transaction[[#This Row],[Salesperson]])))</f>
        <v>Mcgee</v>
      </c>
      <c r="AL1092" t="s">
        <v>55</v>
      </c>
      <c r="AM1092" t="str">
        <f>IF(Transaction[[#This Row],[ContractType]]="","Missing Value",Transaction[[#This Row],[ContractType]])</f>
        <v>Spot</v>
      </c>
      <c r="AN1092" t="s">
        <v>65</v>
      </c>
    </row>
    <row r="1093" spans="1:40" x14ac:dyDescent="0.25">
      <c r="A1093" t="s">
        <v>512</v>
      </c>
      <c r="B1093" s="1">
        <v>45761</v>
      </c>
      <c r="C109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09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109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93" s="2">
        <f>IFERROR(DATE(Transaction[[#This Row],[TransactionDateY]],Transaction[[#This Row],[TransactionDateM]],Transaction[[#This Row],[TransactionDateD]]),"Missing Value")</f>
        <v>45761</v>
      </c>
      <c r="G1093" t="s">
        <v>460</v>
      </c>
      <c r="H1093" t="str">
        <f>IFERROR(VLOOKUP(Transaction[[#This Row],[CustomerID]],Custumer[],1,0),IF(LEN(Transaction[[#This Row],[CustomerID]])=7,LEFT(Transaction[[#This Row],[CustomerID]],6),"Invalid ID"))</f>
        <v>C-1153</v>
      </c>
      <c r="I1093" t="s">
        <v>117</v>
      </c>
      <c r="J1093" t="str">
        <f>TRIM(UPPER(Transaction[[#This Row],[ProductID]]))</f>
        <v>P-SI-007</v>
      </c>
      <c r="K1093" t="str">
        <f>IFERROR(VLOOKUP(Transaction[[#This Row],[ProductID_Clean]],Product[],1,FALSE),"Invalid ID")</f>
        <v>P-SI-007</v>
      </c>
      <c r="L1093" t="str">
        <f>TRIM(SUBSTITUTE(SUBSTITUTE(SUBSTITUTE(SUBSTITUTE(UPPER(Transaction[[#This Row],[Region]]),"EMEA REGION","EMEA"),"APAC REGION","APAC"),"NORTH AMERICA","N. AMERICA"),"N .AMERICA","N.AMERICA"))</f>
        <v>N. AMERICA</v>
      </c>
      <c r="M1093" t="s">
        <v>20</v>
      </c>
      <c r="N1093" t="s">
        <v>53</v>
      </c>
      <c r="O109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93" t="s">
        <v>77</v>
      </c>
      <c r="Q1093" t="str">
        <f>IF(TRIM(Transaction[[#This Row],[SalesChannel]])="","Missing Value",TRIM(Transaction[[#This Row],[SalesChannel]]))</f>
        <v>distributor</v>
      </c>
      <c r="R1093" s="4">
        <v>1</v>
      </c>
      <c r="S1093" s="4" t="str">
        <f>IF(Transaction[[#This Row],[Quantity]]&lt;0,"Negative-review","Valid")</f>
        <v>Valid</v>
      </c>
      <c r="T1093">
        <v>770.91</v>
      </c>
      <c r="U109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770.91</v>
      </c>
      <c r="V1093">
        <v>980</v>
      </c>
      <c r="W1093">
        <v>980</v>
      </c>
      <c r="X109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1093">
        <f>IF(Transaction[[#This Row],[GrossRevenue_Check]]="Invalid",Transaction[[#This Row],[ListPrice]]*Transaction[[#This Row],[Quantity]],Transaction[[#This Row],[GrossRevenue_Clean]])</f>
        <v>980</v>
      </c>
      <c r="Z1093" t="str">
        <f>IF(Transaction[[#This Row],[GrossRevenue_Clean]]=Transaction[[#This Row],[ListPrice]]*Transaction[[#This Row],[Quantity]],"Valid","Invalid")</f>
        <v>Valid</v>
      </c>
      <c r="AA1093">
        <v>209.09</v>
      </c>
      <c r="AB109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209.09</v>
      </c>
      <c r="AC1093">
        <f>IF(Transaction[[#This Row],[DiscountAmount_Check2]]="Invalid",Transaction[[#This Row],[GrossRevenue_Analytical]]-Transaction[[#This Row],[NetRevenue_Analytical]],Transaction[[#This Row],[DiscountAmount_Clean]])</f>
        <v>209.09</v>
      </c>
      <c r="AD1093">
        <v>770.91</v>
      </c>
      <c r="AE1093" t="str">
        <f>IF(ROUND(Transaction[[#This Row],[GrossRevenue_Analytical]]-Transaction[[#This Row],[NetRevenue_Analytical]],2)=ROUND(Transaction[[#This Row],[DiscountAmount_Clean]],2),"Valid","Invalid")</f>
        <v>Valid</v>
      </c>
      <c r="AF1093">
        <f>VALUE(IF(ISNUMBER(Transaction[[#This Row],[NetRevenue]]),Transaction[[#This Row],[NetRevenue]],IFERROR(IF(FIND("$",Transaction[[#This Row],[NetRevenue]])&gt;0,MID(Transaction[[#This Row],[NetRevenue]],2,10)),Transaction[[#This Row],[NetRevenue]])))</f>
        <v>770.91</v>
      </c>
      <c r="AG1093">
        <f>IF(Transaction[[#This Row],[NetRevenue_Check]]="Invalid",(Transaction[[#This Row],[Quantity]]*Transaction[[#This Row],[UnitPrice_Clean]]),Transaction[[#This Row],[NetRevenue_Clean]])</f>
        <v>770.91</v>
      </c>
      <c r="AH1093" t="str">
        <f>IF(Transaction[[#This Row],[Quantity]]*Transaction[[#This Row],[UnitPrice_Clean]]=Transaction[[#This Row],[NetRevenue_Clean]],"Valid","Invalid")</f>
        <v>Valid</v>
      </c>
      <c r="AI1093" t="s">
        <v>23</v>
      </c>
      <c r="AJ1093" t="s">
        <v>513</v>
      </c>
      <c r="AK1093" t="str">
        <f>IF(Transaction[[#This Row],[Salesperson]]="","Missing Value",TRIM(PROPER(Transaction[[#This Row],[Salesperson]])))</f>
        <v>Reed-Na</v>
      </c>
      <c r="AL1093" t="s">
        <v>42</v>
      </c>
      <c r="AM1093" t="str">
        <f>IF(Transaction[[#This Row],[ContractType]]="","Missing Value",Transaction[[#This Row],[ContractType]])</f>
        <v>Standard PO</v>
      </c>
      <c r="AN1093" t="s">
        <v>49</v>
      </c>
    </row>
    <row r="1094" spans="1:40" x14ac:dyDescent="0.25">
      <c r="A1094" t="s">
        <v>2450</v>
      </c>
      <c r="B1094" s="1">
        <v>45754</v>
      </c>
      <c r="C109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09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109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94" s="2">
        <f>IFERROR(DATE(Transaction[[#This Row],[TransactionDateY]],Transaction[[#This Row],[TransactionDateM]],Transaction[[#This Row],[TransactionDateD]]),"Missing Value")</f>
        <v>45754</v>
      </c>
      <c r="G1094" t="s">
        <v>86</v>
      </c>
      <c r="H1094" t="str">
        <f>IFERROR(VLOOKUP(Transaction[[#This Row],[CustomerID]],Custumer[],1,0),IF(LEN(Transaction[[#This Row],[CustomerID]])=7,LEFT(Transaction[[#This Row],[CustomerID]],6),"Invalid ID"))</f>
        <v>C-1177</v>
      </c>
      <c r="I1094" t="s">
        <v>46</v>
      </c>
      <c r="J1094" t="str">
        <f>TRIM(UPPER(Transaction[[#This Row],[ProductID]]))</f>
        <v>P-SI-006</v>
      </c>
      <c r="K1094" t="str">
        <f>IFERROR(VLOOKUP(Transaction[[#This Row],[ProductID_Clean]],Product[],1,FALSE),"Invalid ID")</f>
        <v>P-SI-006</v>
      </c>
      <c r="L1094" t="str">
        <f>TRIM(SUBSTITUTE(SUBSTITUTE(SUBSTITUTE(SUBSTITUTE(UPPER(Transaction[[#This Row],[Region]]),"EMEA REGION","EMEA"),"APAC REGION","APAC"),"NORTH AMERICA","N. AMERICA"),"N .AMERICA","N.AMERICA"))</f>
        <v>EMEA</v>
      </c>
      <c r="M1094" t="s">
        <v>76</v>
      </c>
      <c r="N1094" t="s">
        <v>47</v>
      </c>
      <c r="O109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Q1094" t="str">
        <f>IF(TRIM(Transaction[[#This Row],[SalesChannel]])="","Missing Value",TRIM(Transaction[[#This Row],[SalesChannel]]))</f>
        <v>Missing Value</v>
      </c>
      <c r="R1094" s="4">
        <v>5</v>
      </c>
      <c r="S1094" s="4" t="str">
        <f>IF(Transaction[[#This Row],[Quantity]]&lt;0,"Negative-review","Valid")</f>
        <v>Valid</v>
      </c>
      <c r="T1094">
        <v>162.66999999999999</v>
      </c>
      <c r="U109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162.66999999999999</v>
      </c>
      <c r="V1094">
        <v>215</v>
      </c>
      <c r="W1094">
        <v>1075</v>
      </c>
      <c r="X109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1075</v>
      </c>
      <c r="Y1094">
        <f>IF(Transaction[[#This Row],[GrossRevenue_Check]]="Invalid",Transaction[[#This Row],[ListPrice]]*Transaction[[#This Row],[Quantity]],Transaction[[#This Row],[GrossRevenue_Clean]])</f>
        <v>1075</v>
      </c>
      <c r="Z1094" t="str">
        <f>IF(Transaction[[#This Row],[GrossRevenue_Clean]]=Transaction[[#This Row],[ListPrice]]*Transaction[[#This Row],[Quantity]],"Valid","Invalid")</f>
        <v>Valid</v>
      </c>
      <c r="AA1094">
        <v>261.64999999999998</v>
      </c>
      <c r="AB109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261.64999999999998</v>
      </c>
      <c r="AC1094">
        <f>IF(Transaction[[#This Row],[DiscountAmount_Check2]]="Invalid",Transaction[[#This Row],[GrossRevenue_Analytical]]-Transaction[[#This Row],[NetRevenue_Analytical]],Transaction[[#This Row],[DiscountAmount_Clean]])</f>
        <v>261.64999999999998</v>
      </c>
      <c r="AD1094">
        <v>813.35</v>
      </c>
      <c r="AE1094" t="str">
        <f>IF(ROUND(Transaction[[#This Row],[GrossRevenue_Analytical]]-Transaction[[#This Row],[NetRevenue_Analytical]],2)=ROUND(Transaction[[#This Row],[DiscountAmount_Clean]],2),"Valid","Invalid")</f>
        <v>Valid</v>
      </c>
      <c r="AF1094">
        <f>VALUE(IF(ISNUMBER(Transaction[[#This Row],[NetRevenue]]),Transaction[[#This Row],[NetRevenue]],IFERROR(IF(FIND("$",Transaction[[#This Row],[NetRevenue]])&gt;0,MID(Transaction[[#This Row],[NetRevenue]],2,10)),Transaction[[#This Row],[NetRevenue]])))</f>
        <v>813.35</v>
      </c>
      <c r="AG1094">
        <f>IF(Transaction[[#This Row],[NetRevenue_Check]]="Invalid",(Transaction[[#This Row],[Quantity]]*Transaction[[#This Row],[UnitPrice_Clean]]),Transaction[[#This Row],[NetRevenue_Clean]])</f>
        <v>813.35</v>
      </c>
      <c r="AH1094" t="str">
        <f>IF(Transaction[[#This Row],[Quantity]]*Transaction[[#This Row],[UnitPrice_Clean]]=Transaction[[#This Row],[NetRevenue_Clean]],"Valid","Invalid")</f>
        <v>Valid</v>
      </c>
      <c r="AI1094" t="s">
        <v>128</v>
      </c>
      <c r="AJ1094" t="s">
        <v>2451</v>
      </c>
      <c r="AK1094" t="str">
        <f>IF(Transaction[[#This Row],[Salesperson]]="","Missing Value",TRIM(PROPER(Transaction[[#This Row],[Salesperson]])))</f>
        <v>Davis-Em</v>
      </c>
      <c r="AL1094" t="s">
        <v>42</v>
      </c>
      <c r="AM1094" t="str">
        <f>IF(Transaction[[#This Row],[ContractType]]="","Missing Value",Transaction[[#This Row],[ContractType]])</f>
        <v>Standard PO</v>
      </c>
      <c r="AN1094" t="s">
        <v>49</v>
      </c>
    </row>
    <row r="1095" spans="1:40" x14ac:dyDescent="0.25">
      <c r="A1095" t="s">
        <v>1240</v>
      </c>
      <c r="B1095" s="1">
        <v>45779</v>
      </c>
      <c r="C109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09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109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95" s="2">
        <f>IFERROR(DATE(Transaction[[#This Row],[TransactionDateY]],Transaction[[#This Row],[TransactionDateM]],Transaction[[#This Row],[TransactionDateD]]),"Missing Value")</f>
        <v>45779</v>
      </c>
      <c r="G1095" t="s">
        <v>28</v>
      </c>
      <c r="H1095" t="str">
        <f>IFERROR(VLOOKUP(Transaction[[#This Row],[CustomerID]],Custumer[],1,0),IF(LEN(Transaction[[#This Row],[CustomerID]])=7,LEFT(Transaction[[#This Row],[CustomerID]],6),"Invalid ID"))</f>
        <v>C-1038</v>
      </c>
      <c r="I1095" t="s">
        <v>97</v>
      </c>
      <c r="J1095" t="str">
        <f>TRIM(UPPER(Transaction[[#This Row],[ProductID]]))</f>
        <v>P-SI-001</v>
      </c>
      <c r="K1095" t="str">
        <f>IFERROR(VLOOKUP(Transaction[[#This Row],[ProductID_Clean]],Product[],1,FALSE),"Invalid ID")</f>
        <v>P-SI-001</v>
      </c>
      <c r="L1095" t="str">
        <f>TRIM(SUBSTITUTE(SUBSTITUTE(SUBSTITUTE(SUBSTITUTE(UPPER(Transaction[[#This Row],[Region]]),"EMEA REGION","EMEA"),"APAC REGION","APAC"),"NORTH AMERICA","N. AMERICA"),"N .AMERICA","N.AMERICA"))</f>
        <v>APAC</v>
      </c>
      <c r="M1095" t="s">
        <v>122</v>
      </c>
      <c r="N1095" t="s">
        <v>53</v>
      </c>
      <c r="O109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95" t="s">
        <v>181</v>
      </c>
      <c r="Q1095" t="str">
        <f>IF(TRIM(Transaction[[#This Row],[SalesChannel]])="","Missing Value",TRIM(Transaction[[#This Row],[SalesChannel]]))</f>
        <v>Partner Portal</v>
      </c>
      <c r="R1095" s="4">
        <v>10</v>
      </c>
      <c r="S1095" s="4" t="str">
        <f>IF(Transaction[[#This Row],[Quantity]]&lt;0,"Negative-review","Valid")</f>
        <v>Valid</v>
      </c>
      <c r="T1095">
        <v>394.06</v>
      </c>
      <c r="U109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394.06</v>
      </c>
      <c r="V1095">
        <v>485</v>
      </c>
      <c r="W1095">
        <v>4850</v>
      </c>
      <c r="X109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4850</v>
      </c>
      <c r="Y1095">
        <f>IF(Transaction[[#This Row],[GrossRevenue_Check]]="Invalid",Transaction[[#This Row],[ListPrice]]*Transaction[[#This Row],[Quantity]],Transaction[[#This Row],[GrossRevenue_Clean]])</f>
        <v>4850</v>
      </c>
      <c r="Z1095" t="str">
        <f>IF(Transaction[[#This Row],[GrossRevenue_Clean]]=Transaction[[#This Row],[ListPrice]]*Transaction[[#This Row],[Quantity]],"Valid","Invalid")</f>
        <v>Valid</v>
      </c>
      <c r="AA1095">
        <v>909.4</v>
      </c>
      <c r="AB109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909.4</v>
      </c>
      <c r="AC1095">
        <f>IF(Transaction[[#This Row],[DiscountAmount_Check2]]="Invalid",Transaction[[#This Row],[GrossRevenue_Analytical]]-Transaction[[#This Row],[NetRevenue_Analytical]],Transaction[[#This Row],[DiscountAmount_Clean]])</f>
        <v>909.4</v>
      </c>
      <c r="AD1095">
        <v>3940.6</v>
      </c>
      <c r="AE1095" t="str">
        <f>IF(ROUND(Transaction[[#This Row],[GrossRevenue_Analytical]]-Transaction[[#This Row],[NetRevenue_Analytical]],2)=ROUND(Transaction[[#This Row],[DiscountAmount_Clean]],2),"Valid","Invalid")</f>
        <v>Valid</v>
      </c>
      <c r="AF109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3940.6</v>
      </c>
      <c r="AG1095">
        <f>IF(Transaction[[#This Row],[NetRevenue_Check]]="Invalid",(Transaction[[#This Row],[Quantity]]*Transaction[[#This Row],[UnitPrice_Clean]]),Transaction[[#This Row],[NetRevenue_Clean]])</f>
        <v>3940.6</v>
      </c>
      <c r="AH1095" t="str">
        <f>IF(Transaction[[#This Row],[Quantity]]*Transaction[[#This Row],[UnitPrice_Clean]]=Transaction[[#This Row],[NetRevenue_Clean]],"Valid","Invalid")</f>
        <v>Valid</v>
      </c>
      <c r="AI1095" t="s">
        <v>23</v>
      </c>
      <c r="AJ1095" t="s">
        <v>607</v>
      </c>
      <c r="AK1095" t="str">
        <f>IF(Transaction[[#This Row],[Salesperson]]="","Missing Value",TRIM(PROPER(Transaction[[#This Row],[Salesperson]])))</f>
        <v>Hall</v>
      </c>
      <c r="AL1095" t="s">
        <v>25</v>
      </c>
      <c r="AM1095" t="str">
        <f>IF(Transaction[[#This Row],[ContractType]]="","Missing Value",Transaction[[#This Row],[ContractType]])</f>
        <v>Frame Agreement</v>
      </c>
      <c r="AN1095" t="s">
        <v>35</v>
      </c>
    </row>
    <row r="1096" spans="1:40" x14ac:dyDescent="0.25">
      <c r="A1096" t="s">
        <v>1181</v>
      </c>
      <c r="B1096" s="1">
        <v>45821</v>
      </c>
      <c r="C109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09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109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96" s="2">
        <f>IFERROR(DATE(Transaction[[#This Row],[TransactionDateY]],Transaction[[#This Row],[TransactionDateM]],Transaction[[#This Row],[TransactionDateD]]),"Missing Value")</f>
        <v>45821</v>
      </c>
      <c r="G1096" t="s">
        <v>200</v>
      </c>
      <c r="H1096" t="str">
        <f>IFERROR(VLOOKUP(Transaction[[#This Row],[CustomerID]],Custumer[],1,0),IF(LEN(Transaction[[#This Row],[CustomerID]])=7,LEFT(Transaction[[#This Row],[CustomerID]],6),"Invalid ID"))</f>
        <v>C-1070</v>
      </c>
      <c r="I1096" t="s">
        <v>19</v>
      </c>
      <c r="J1096" t="str">
        <f>TRIM(UPPER(Transaction[[#This Row],[ProductID]]))</f>
        <v>P-FS-004</v>
      </c>
      <c r="K1096" t="str">
        <f>IFERROR(VLOOKUP(Transaction[[#This Row],[ProductID_Clean]],Product[],1,FALSE),"Invalid ID")</f>
        <v>P-FS-004</v>
      </c>
      <c r="L1096" t="str">
        <f>TRIM(SUBSTITUTE(SUBSTITUTE(SUBSTITUTE(SUBSTITUTE(UPPER(Transaction[[#This Row],[Region]]),"EMEA REGION","EMEA"),"APAC REGION","APAC"),"NORTH AMERICA","N. AMERICA"),"N .AMERICA","N.AMERICA"))</f>
        <v>EMEA</v>
      </c>
      <c r="M1096" t="s">
        <v>87</v>
      </c>
      <c r="N1096" t="s">
        <v>21</v>
      </c>
      <c r="O109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096" t="s">
        <v>22</v>
      </c>
      <c r="Q1096" t="str">
        <f>IF(TRIM(Transaction[[#This Row],[SalesChannel]])="","Missing Value",TRIM(Transaction[[#This Row],[SalesChannel]]))</f>
        <v>Direct</v>
      </c>
      <c r="R1096" s="4">
        <v>1</v>
      </c>
      <c r="S1096" s="4" t="str">
        <f>IF(Transaction[[#This Row],[Quantity]]&lt;0,"Negative-review","Valid")</f>
        <v>Valid</v>
      </c>
      <c r="T1096">
        <v>2709.62</v>
      </c>
      <c r="U109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2709.62</v>
      </c>
      <c r="V1096">
        <v>3200</v>
      </c>
      <c r="W1096">
        <v>3200</v>
      </c>
      <c r="X109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1096">
        <f>IF(Transaction[[#This Row],[GrossRevenue_Check]]="Invalid",Transaction[[#This Row],[ListPrice]]*Transaction[[#This Row],[Quantity]],Transaction[[#This Row],[GrossRevenue_Clean]])</f>
        <v>3200</v>
      </c>
      <c r="Z1096" t="str">
        <f>IF(Transaction[[#This Row],[GrossRevenue_Clean]]=Transaction[[#This Row],[ListPrice]]*Transaction[[#This Row],[Quantity]],"Valid","Invalid")</f>
        <v>Valid</v>
      </c>
      <c r="AA1096">
        <v>490.38</v>
      </c>
      <c r="AB109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490.38</v>
      </c>
      <c r="AC1096">
        <f>IF(Transaction[[#This Row],[DiscountAmount_Check2]]="Invalid",Transaction[[#This Row],[GrossRevenue_Analytical]]-Transaction[[#This Row],[NetRevenue_Analytical]],Transaction[[#This Row],[DiscountAmount_Clean]])</f>
        <v>490.38</v>
      </c>
      <c r="AD1096" t="s">
        <v>1182</v>
      </c>
      <c r="AE1096" t="str">
        <f>IF(ROUND(Transaction[[#This Row],[GrossRevenue_Analytical]]-Transaction[[#This Row],[NetRevenue_Analytical]],2)=ROUND(Transaction[[#This Row],[DiscountAmount_Clean]],2),"Valid","Invalid")</f>
        <v>Valid</v>
      </c>
      <c r="AF1096">
        <f>VALUE(IF(ISNUMBER(Transaction[[#This Row],[NetRevenue]]),Transaction[[#This Row],[NetRevenue]],IFERROR(IF(FIND("$",Transaction[[#This Row],[NetRevenue]])&gt;0,MID(Transaction[[#This Row],[NetRevenue]],2,10)),Transaction[[#This Row],[NetRevenue]])))</f>
        <v>2709.62</v>
      </c>
      <c r="AG1096">
        <f>IF(Transaction[[#This Row],[NetRevenue_Check]]="Invalid",(Transaction[[#This Row],[Quantity]]*Transaction[[#This Row],[UnitPrice_Clean]]),Transaction[[#This Row],[NetRevenue_Clean]])</f>
        <v>2709.62</v>
      </c>
      <c r="AH1096" t="str">
        <f>IF(Transaction[[#This Row],[Quantity]]*Transaction[[#This Row],[UnitPrice_Clean]]=Transaction[[#This Row],[NetRevenue_Clean]],"Valid","Invalid")</f>
        <v>Valid</v>
      </c>
      <c r="AI1096" t="s">
        <v>23</v>
      </c>
      <c r="AJ1096" t="s">
        <v>655</v>
      </c>
      <c r="AK1096" t="str">
        <f>IF(Transaction[[#This Row],[Salesperson]]="","Missing Value",TRIM(PROPER(Transaction[[#This Row],[Salesperson]])))</f>
        <v>Jones</v>
      </c>
      <c r="AL1096" t="s">
        <v>42</v>
      </c>
      <c r="AM1096" t="str">
        <f>IF(Transaction[[#This Row],[ContractType]]="","Missing Value",Transaction[[#This Row],[ContractType]])</f>
        <v>Standard PO</v>
      </c>
      <c r="AN1096" t="s">
        <v>35</v>
      </c>
    </row>
    <row r="1097" spans="1:40" x14ac:dyDescent="0.25">
      <c r="A1097" t="s">
        <v>2951</v>
      </c>
      <c r="B1097" s="1">
        <v>45798</v>
      </c>
      <c r="C109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09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109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97" s="2">
        <f>IFERROR(DATE(Transaction[[#This Row],[TransactionDateY]],Transaction[[#This Row],[TransactionDateM]],Transaction[[#This Row],[TransactionDateD]]),"Missing Value")</f>
        <v>45798</v>
      </c>
      <c r="G1097" t="s">
        <v>935</v>
      </c>
      <c r="H1097" t="str">
        <f>IFERROR(VLOOKUP(Transaction[[#This Row],[CustomerID]],Custumer[],1,0),IF(LEN(Transaction[[#This Row],[CustomerID]])=7,LEFT(Transaction[[#This Row],[CustomerID]],6),"Invalid ID"))</f>
        <v>C-1052</v>
      </c>
      <c r="I1097" t="s">
        <v>103</v>
      </c>
      <c r="J1097" t="str">
        <f>TRIM(UPPER(Transaction[[#This Row],[ProductID]]))</f>
        <v>P-FS-005</v>
      </c>
      <c r="K1097" t="str">
        <f>IFERROR(VLOOKUP(Transaction[[#This Row],[ProductID_Clean]],Product[],1,FALSE),"Invalid ID")</f>
        <v>P-FS-005</v>
      </c>
      <c r="L1097" t="str">
        <f>TRIM(SUBSTITUTE(SUBSTITUTE(SUBSTITUTE(SUBSTITUTE(UPPER(Transaction[[#This Row],[Region]]),"EMEA REGION","EMEA"),"APAC REGION","APAC"),"NORTH AMERICA","N. AMERICA"),"N .AMERICA","N.AMERICA"))</f>
        <v>LATIN AMERICA</v>
      </c>
      <c r="M1097" t="s">
        <v>82</v>
      </c>
      <c r="N1097" t="s">
        <v>21</v>
      </c>
      <c r="O1097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097" t="s">
        <v>22</v>
      </c>
      <c r="Q1097" t="str">
        <f>IF(TRIM(Transaction[[#This Row],[SalesChannel]])="","Missing Value",TRIM(Transaction[[#This Row],[SalesChannel]]))</f>
        <v>Direct</v>
      </c>
      <c r="R1097" s="4">
        <v>1</v>
      </c>
      <c r="S1097" s="4" t="str">
        <f>IF(Transaction[[#This Row],[Quantity]]&lt;0,"Negative-review","Valid")</f>
        <v>Valid</v>
      </c>
      <c r="T1097">
        <v>775.71</v>
      </c>
      <c r="U109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775.71</v>
      </c>
      <c r="V1097">
        <v>950</v>
      </c>
      <c r="W1097">
        <v>950</v>
      </c>
      <c r="X109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1097">
        <f>IF(Transaction[[#This Row],[GrossRevenue_Check]]="Invalid",Transaction[[#This Row],[ListPrice]]*Transaction[[#This Row],[Quantity]],Transaction[[#This Row],[GrossRevenue_Clean]])</f>
        <v>950</v>
      </c>
      <c r="Z1097" t="str">
        <f>IF(Transaction[[#This Row],[GrossRevenue_Clean]]=Transaction[[#This Row],[ListPrice]]*Transaction[[#This Row],[Quantity]],"Valid","Invalid")</f>
        <v>Valid</v>
      </c>
      <c r="AB109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1097">
        <f>IF(Transaction[[#This Row],[DiscountAmount_Check2]]="Invalid",Transaction[[#This Row],[GrossRevenue_Analytical]]-Transaction[[#This Row],[NetRevenue_Analytical]],Transaction[[#This Row],[DiscountAmount_Clean]])</f>
        <v>174.28999999999996</v>
      </c>
      <c r="AD1097" t="s">
        <v>2952</v>
      </c>
      <c r="AE1097" t="str">
        <f>IF(ROUND(Transaction[[#This Row],[GrossRevenue_Analytical]]-Transaction[[#This Row],[NetRevenue_Analytical]],2)=ROUND(Transaction[[#This Row],[DiscountAmount_Clean]],2),"Valid","Invalid")</f>
        <v>Invalid</v>
      </c>
      <c r="AF1097">
        <f>VALUE(IF(ISNUMBER(Transaction[[#This Row],[NetRevenue]]),Transaction[[#This Row],[NetRevenue]],IFERROR(IF(FIND("$",Transaction[[#This Row],[NetRevenue]])&gt;0,MID(Transaction[[#This Row],[NetRevenue]],2,10)),Transaction[[#This Row],[NetRevenue]])))</f>
        <v>775.71</v>
      </c>
      <c r="AG1097">
        <f>IF(Transaction[[#This Row],[NetRevenue_Check]]="Invalid",(Transaction[[#This Row],[Quantity]]*Transaction[[#This Row],[UnitPrice_Clean]]),Transaction[[#This Row],[NetRevenue_Clean]])</f>
        <v>775.71</v>
      </c>
      <c r="AH1097" t="str">
        <f>IF(Transaction[[#This Row],[Quantity]]*Transaction[[#This Row],[UnitPrice_Clean]]=Transaction[[#This Row],[NetRevenue_Clean]],"Valid","Invalid")</f>
        <v>Valid</v>
      </c>
      <c r="AI1097" t="s">
        <v>23</v>
      </c>
      <c r="AJ1097" t="s">
        <v>2953</v>
      </c>
      <c r="AK1097" t="str">
        <f>IF(Transaction[[#This Row],[Salesperson]]="","Missing Value",TRIM(PROPER(Transaction[[#This Row],[Salesperson]])))</f>
        <v>Zhang</v>
      </c>
      <c r="AL1097" t="s">
        <v>25</v>
      </c>
      <c r="AM1097" t="str">
        <f>IF(Transaction[[#This Row],[ContractType]]="","Missing Value",Transaction[[#This Row],[ContractType]])</f>
        <v>Frame Agreement</v>
      </c>
      <c r="AN1097" t="s">
        <v>35</v>
      </c>
    </row>
    <row r="1098" spans="1:40" x14ac:dyDescent="0.25">
      <c r="A1098" t="s">
        <v>2649</v>
      </c>
      <c r="B1098" s="1">
        <v>45769</v>
      </c>
      <c r="C109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09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109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98" s="2">
        <f>IFERROR(DATE(Transaction[[#This Row],[TransactionDateY]],Transaction[[#This Row],[TransactionDateM]],Transaction[[#This Row],[TransactionDateD]]),"Missing Value")</f>
        <v>45769</v>
      </c>
      <c r="G1098" t="s">
        <v>2650</v>
      </c>
      <c r="H1098" t="str">
        <f>IFERROR(VLOOKUP(Transaction[[#This Row],[CustomerID]],Custumer[],1,0),IF(LEN(Transaction[[#This Row],[CustomerID]])=7,LEFT(Transaction[[#This Row],[CustomerID]],6),"Invalid ID"))</f>
        <v>C-1035</v>
      </c>
      <c r="I1098" t="s">
        <v>52</v>
      </c>
      <c r="J1098" t="str">
        <f>TRIM(UPPER(Transaction[[#This Row],[ProductID]]))</f>
        <v>P-SI-002</v>
      </c>
      <c r="K1098" t="str">
        <f>IFERROR(VLOOKUP(Transaction[[#This Row],[ProductID_Clean]],Product[],1,FALSE),"Invalid ID")</f>
        <v>P-SI-002</v>
      </c>
      <c r="L1098" t="str">
        <f>TRIM(SUBSTITUTE(SUBSTITUTE(SUBSTITUTE(SUBSTITUTE(UPPER(Transaction[[#This Row],[Region]]),"EMEA REGION","EMEA"),"APAC REGION","APAC"),"NORTH AMERICA","N. AMERICA"),"N .AMERICA","N.AMERICA"))</f>
        <v>N. AMERICA</v>
      </c>
      <c r="M1098" t="s">
        <v>204</v>
      </c>
      <c r="N1098" t="s">
        <v>53</v>
      </c>
      <c r="O109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98" t="s">
        <v>181</v>
      </c>
      <c r="Q1098" t="str">
        <f>IF(TRIM(Transaction[[#This Row],[SalesChannel]])="","Missing Value",TRIM(Transaction[[#This Row],[SalesChannel]]))</f>
        <v>Partner Portal</v>
      </c>
      <c r="R1098" s="4">
        <v>1</v>
      </c>
      <c r="S1098" s="4" t="str">
        <f>IF(Transaction[[#This Row],[Quantity]]&lt;0,"Negative-review","Valid")</f>
        <v>Valid</v>
      </c>
      <c r="T1098">
        <v>635.45000000000005</v>
      </c>
      <c r="U109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635.45000000000005</v>
      </c>
      <c r="V1098">
        <v>725</v>
      </c>
      <c r="W1098">
        <v>725</v>
      </c>
      <c r="X109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1098">
        <f>IF(Transaction[[#This Row],[GrossRevenue_Check]]="Invalid",Transaction[[#This Row],[ListPrice]]*Transaction[[#This Row],[Quantity]],Transaction[[#This Row],[GrossRevenue_Clean]])</f>
        <v>725</v>
      </c>
      <c r="Z1098" t="str">
        <f>IF(Transaction[[#This Row],[GrossRevenue_Clean]]=Transaction[[#This Row],[ListPrice]]*Transaction[[#This Row],[Quantity]],"Valid","Invalid")</f>
        <v>Valid</v>
      </c>
      <c r="AA1098">
        <v>89.55</v>
      </c>
      <c r="AB109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89.55</v>
      </c>
      <c r="AC1098">
        <f>IF(Transaction[[#This Row],[DiscountAmount_Check2]]="Invalid",Transaction[[#This Row],[GrossRevenue_Analytical]]-Transaction[[#This Row],[NetRevenue_Analytical]],Transaction[[#This Row],[DiscountAmount_Clean]])</f>
        <v>89.55</v>
      </c>
      <c r="AD1098">
        <v>635.45000000000005</v>
      </c>
      <c r="AE1098" t="str">
        <f>IF(ROUND(Transaction[[#This Row],[GrossRevenue_Analytical]]-Transaction[[#This Row],[NetRevenue_Analytical]],2)=ROUND(Transaction[[#This Row],[DiscountAmount_Clean]],2),"Valid","Invalid")</f>
        <v>Valid</v>
      </c>
      <c r="AF1098">
        <f>VALUE(IF(ISNUMBER(Transaction[[#This Row],[NetRevenue]]),Transaction[[#This Row],[NetRevenue]],IFERROR(IF(FIND("$",Transaction[[#This Row],[NetRevenue]])&gt;0,MID(Transaction[[#This Row],[NetRevenue]],2,10)),Transaction[[#This Row],[NetRevenue]])))</f>
        <v>635.45000000000005</v>
      </c>
      <c r="AG1098">
        <f>IF(Transaction[[#This Row],[NetRevenue_Check]]="Invalid",(Transaction[[#This Row],[Quantity]]*Transaction[[#This Row],[UnitPrice_Clean]]),Transaction[[#This Row],[NetRevenue_Clean]])</f>
        <v>635.45000000000005</v>
      </c>
      <c r="AH1098" t="str">
        <f>IF(Transaction[[#This Row],[Quantity]]*Transaction[[#This Row],[UnitPrice_Clean]]=Transaction[[#This Row],[NetRevenue_Clean]],"Valid","Invalid")</f>
        <v>Valid</v>
      </c>
      <c r="AI1098" t="s">
        <v>23</v>
      </c>
      <c r="AJ1098" t="s">
        <v>2651</v>
      </c>
      <c r="AK1098" t="str">
        <f>IF(Transaction[[#This Row],[Salesperson]]="","Missing Value",TRIM(PROPER(Transaction[[#This Row],[Salesperson]])))</f>
        <v>Austin-Ap</v>
      </c>
      <c r="AL1098" t="s">
        <v>42</v>
      </c>
      <c r="AM1098" t="str">
        <f>IF(Transaction[[#This Row],[ContractType]]="","Missing Value",Transaction[[#This Row],[ContractType]])</f>
        <v>Standard PO</v>
      </c>
      <c r="AN1098" t="s">
        <v>35</v>
      </c>
    </row>
    <row r="1099" spans="1:40" x14ac:dyDescent="0.25">
      <c r="A1099" t="s">
        <v>1980</v>
      </c>
      <c r="B1099" s="1">
        <v>45742</v>
      </c>
      <c r="C109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09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109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099" s="2">
        <f>IFERROR(DATE(Transaction[[#This Row],[TransactionDateY]],Transaction[[#This Row],[TransactionDateM]],Transaction[[#This Row],[TransactionDateD]]),"Missing Value")</f>
        <v>45742</v>
      </c>
      <c r="G1099" t="s">
        <v>498</v>
      </c>
      <c r="H1099" t="str">
        <f>IFERROR(VLOOKUP(Transaction[[#This Row],[CustomerID]],Custumer[],1,0),IF(LEN(Transaction[[#This Row],[CustomerID]])=7,LEFT(Transaction[[#This Row],[CustomerID]],6),"Invalid ID"))</f>
        <v>C-1176</v>
      </c>
      <c r="I1099" t="s">
        <v>71</v>
      </c>
      <c r="J1099" t="str">
        <f>TRIM(UPPER(Transaction[[#This Row],[ProductID]]))</f>
        <v>P-SI-003</v>
      </c>
      <c r="K1099" t="str">
        <f>IFERROR(VLOOKUP(Transaction[[#This Row],[ProductID_Clean]],Product[],1,FALSE),"Invalid ID")</f>
        <v>P-SI-003</v>
      </c>
      <c r="L1099" t="str">
        <f>TRIM(SUBSTITUTE(SUBSTITUTE(SUBSTITUTE(SUBSTITUTE(UPPER(Transaction[[#This Row],[Region]]),"EMEA REGION","EMEA"),"APAC REGION","APAC"),"NORTH AMERICA","N. AMERICA"),"N .AMERICA","N.AMERICA"))</f>
        <v>APAC</v>
      </c>
      <c r="M1099" t="s">
        <v>122</v>
      </c>
      <c r="N1099" t="s">
        <v>272</v>
      </c>
      <c r="O109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099" t="s">
        <v>22</v>
      </c>
      <c r="Q1099" t="str">
        <f>IF(TRIM(Transaction[[#This Row],[SalesChannel]])="","Missing Value",TRIM(Transaction[[#This Row],[SalesChannel]]))</f>
        <v>Direct</v>
      </c>
      <c r="R1099" s="4">
        <v>5</v>
      </c>
      <c r="S1099" s="4" t="str">
        <f>IF(Transaction[[#This Row],[Quantity]]&lt;0,"Negative-review","Valid")</f>
        <v>Valid</v>
      </c>
      <c r="T1099">
        <v>1704.31</v>
      </c>
      <c r="U109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1704.31</v>
      </c>
      <c r="V1099">
        <v>1890</v>
      </c>
      <c r="W1099">
        <v>9450</v>
      </c>
      <c r="X109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9450</v>
      </c>
      <c r="Y1099">
        <f>IF(Transaction[[#This Row],[GrossRevenue_Check]]="Invalid",Transaction[[#This Row],[ListPrice]]*Transaction[[#This Row],[Quantity]],Transaction[[#This Row],[GrossRevenue_Clean]])</f>
        <v>9450</v>
      </c>
      <c r="Z1099" t="str">
        <f>IF(Transaction[[#This Row],[GrossRevenue_Clean]]=Transaction[[#This Row],[ListPrice]]*Transaction[[#This Row],[Quantity]],"Valid","Invalid")</f>
        <v>Valid</v>
      </c>
      <c r="AA1099">
        <v>928.45</v>
      </c>
      <c r="AB109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928.45</v>
      </c>
      <c r="AC1099">
        <f>IF(Transaction[[#This Row],[DiscountAmount_Check2]]="Invalid",Transaction[[#This Row],[GrossRevenue_Analytical]]-Transaction[[#This Row],[NetRevenue_Analytical]],Transaction[[#This Row],[DiscountAmount_Clean]])</f>
        <v>928.45</v>
      </c>
      <c r="AD1099">
        <v>8521.5499999999993</v>
      </c>
      <c r="AE1099" t="str">
        <f>IF(ROUND(Transaction[[#This Row],[GrossRevenue_Analytical]]-Transaction[[#This Row],[NetRevenue_Analytical]],2)=ROUND(Transaction[[#This Row],[DiscountAmount_Clean]],2),"Valid","Invalid")</f>
        <v>Valid</v>
      </c>
      <c r="AF1099">
        <f>VALUE(IF(ISNUMBER(Transaction[[#This Row],[NetRevenue]]),Transaction[[#This Row],[NetRevenue]],IFERROR(IF(FIND("$",Transaction[[#This Row],[NetRevenue]])&gt;0,MID(Transaction[[#This Row],[NetRevenue]],2,10)),Transaction[[#This Row],[NetRevenue]])))</f>
        <v>8521.5499999999993</v>
      </c>
      <c r="AG1099">
        <f>IF(Transaction[[#This Row],[NetRevenue_Check]]="Invalid",(Transaction[[#This Row],[Quantity]]*Transaction[[#This Row],[UnitPrice_Clean]]),Transaction[[#This Row],[NetRevenue_Clean]])</f>
        <v>8521.5499999999993</v>
      </c>
      <c r="AH1099" t="str">
        <f>IF(Transaction[[#This Row],[Quantity]]*Transaction[[#This Row],[UnitPrice_Clean]]=Transaction[[#This Row],[NetRevenue_Clean]],"Valid","Invalid")</f>
        <v>Valid</v>
      </c>
      <c r="AI1099" t="s">
        <v>23</v>
      </c>
      <c r="AJ1099" t="s">
        <v>1981</v>
      </c>
      <c r="AK1099" t="str">
        <f>IF(Transaction[[#This Row],[Salesperson]]="","Missing Value",TRIM(PROPER(Transaction[[#This Row],[Salesperson]])))</f>
        <v>Larson</v>
      </c>
      <c r="AL1099" t="s">
        <v>25</v>
      </c>
      <c r="AM1099" t="str">
        <f>IF(Transaction[[#This Row],[ContractType]]="","Missing Value",Transaction[[#This Row],[ContractType]])</f>
        <v>Frame Agreement</v>
      </c>
      <c r="AN1099" t="s">
        <v>49</v>
      </c>
    </row>
    <row r="1100" spans="1:40" x14ac:dyDescent="0.25">
      <c r="A1100" t="s">
        <v>1788</v>
      </c>
      <c r="B1100" s="1">
        <v>45793</v>
      </c>
      <c r="C110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10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110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00" s="2">
        <f>IFERROR(DATE(Transaction[[#This Row],[TransactionDateY]],Transaction[[#This Row],[TransactionDateM]],Transaction[[#This Row],[TransactionDateD]]),"Missing Value")</f>
        <v>45793</v>
      </c>
      <c r="G1100" t="s">
        <v>687</v>
      </c>
      <c r="H1100" t="str">
        <f>IFERROR(VLOOKUP(Transaction[[#This Row],[CustomerID]],Custumer[],1,0),IF(LEN(Transaction[[#This Row],[CustomerID]])=7,LEFT(Transaction[[#This Row],[CustomerID]],6),"Invalid ID"))</f>
        <v>C-1131</v>
      </c>
      <c r="I1100" t="s">
        <v>97</v>
      </c>
      <c r="J1100" t="str">
        <f>TRIM(UPPER(Transaction[[#This Row],[ProductID]]))</f>
        <v>P-SI-001</v>
      </c>
      <c r="K1100" t="str">
        <f>IFERROR(VLOOKUP(Transaction[[#This Row],[ProductID_Clean]],Product[],1,FALSE),"Invalid ID")</f>
        <v>P-SI-001</v>
      </c>
      <c r="L1100" t="str">
        <f>TRIM(SUBSTITUTE(SUBSTITUTE(SUBSTITUTE(SUBSTITUTE(UPPER(Transaction[[#This Row],[Region]]),"EMEA REGION","EMEA"),"APAC REGION","APAC"),"NORTH AMERICA","N. AMERICA"),"N .AMERICA","N.AMERICA"))</f>
        <v>EMEA</v>
      </c>
      <c r="M1100" t="s">
        <v>76</v>
      </c>
      <c r="N1100" t="s">
        <v>53</v>
      </c>
      <c r="O110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00" t="s">
        <v>181</v>
      </c>
      <c r="Q1100" t="str">
        <f>IF(TRIM(Transaction[[#This Row],[SalesChannel]])="","Missing Value",TRIM(Transaction[[#This Row],[SalesChannel]]))</f>
        <v>Partner Portal</v>
      </c>
      <c r="R1100" s="4">
        <v>12</v>
      </c>
      <c r="S1100" s="4" t="str">
        <f>IF(Transaction[[#This Row],[Quantity]]&lt;0,"Negative-review","Valid")</f>
        <v>Valid</v>
      </c>
      <c r="T1100">
        <v>456.57</v>
      </c>
      <c r="U110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456.57</v>
      </c>
      <c r="V1100">
        <v>485</v>
      </c>
      <c r="W1100">
        <v>5820</v>
      </c>
      <c r="X110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5820</v>
      </c>
      <c r="Y1100">
        <f>IF(Transaction[[#This Row],[GrossRevenue_Check]]="Invalid",Transaction[[#This Row],[ListPrice]]*Transaction[[#This Row],[Quantity]],Transaction[[#This Row],[GrossRevenue_Clean]])</f>
        <v>5820</v>
      </c>
      <c r="Z1100" t="str">
        <f>IF(Transaction[[#This Row],[GrossRevenue_Clean]]=Transaction[[#This Row],[ListPrice]]*Transaction[[#This Row],[Quantity]],"Valid","Invalid")</f>
        <v>Valid</v>
      </c>
      <c r="AA1100">
        <v>341.16</v>
      </c>
      <c r="AB110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341.16</v>
      </c>
      <c r="AC1100">
        <f>IF(Transaction[[#This Row],[DiscountAmount_Check2]]="Invalid",Transaction[[#This Row],[GrossRevenue_Analytical]]-Transaction[[#This Row],[NetRevenue_Analytical]],Transaction[[#This Row],[DiscountAmount_Clean]])</f>
        <v>341.16</v>
      </c>
      <c r="AD1100">
        <v>5478.84</v>
      </c>
      <c r="AE1100" t="str">
        <f>IF(ROUND(Transaction[[#This Row],[GrossRevenue_Analytical]]-Transaction[[#This Row],[NetRevenue_Analytical]],2)=ROUND(Transaction[[#This Row],[DiscountAmount_Clean]],2),"Valid","Invalid")</f>
        <v>Valid</v>
      </c>
      <c r="AF1100">
        <f>VALUE(IF(ISNUMBER(Transaction[[#This Row],[NetRevenue]]),Transaction[[#This Row],[NetRevenue]],IFERROR(IF(FIND("$",Transaction[[#This Row],[NetRevenue]])&gt;0,MID(Transaction[[#This Row],[NetRevenue]],2,10)),Transaction[[#This Row],[NetRevenue]])))</f>
        <v>5478.84</v>
      </c>
      <c r="AG1100">
        <f>IF(Transaction[[#This Row],[NetRevenue_Check]]="Invalid",(Transaction[[#This Row],[Quantity]]*Transaction[[#This Row],[UnitPrice_Clean]]),Transaction[[#This Row],[NetRevenue_Clean]])</f>
        <v>5478.84</v>
      </c>
      <c r="AH1100" t="str">
        <f>IF(Transaction[[#This Row],[Quantity]]*Transaction[[#This Row],[UnitPrice_Clean]]=Transaction[[#This Row],[NetRevenue_Clean]],"Valid","Invalid")</f>
        <v>Valid</v>
      </c>
      <c r="AI1100" t="s">
        <v>23</v>
      </c>
      <c r="AJ1100" t="s">
        <v>1789</v>
      </c>
      <c r="AK1100" t="str">
        <f>IF(Transaction[[#This Row],[Salesperson]]="","Missing Value",TRIM(PROPER(Transaction[[#This Row],[Salesperson]])))</f>
        <v>Novak</v>
      </c>
      <c r="AL1100" t="s">
        <v>42</v>
      </c>
      <c r="AM1100" t="str">
        <f>IF(Transaction[[#This Row],[ContractType]]="","Missing Value",Transaction[[#This Row],[ContractType]])</f>
        <v>Standard PO</v>
      </c>
      <c r="AN1100" t="s">
        <v>49</v>
      </c>
    </row>
    <row r="1101" spans="1:40" x14ac:dyDescent="0.25">
      <c r="A1101" t="s">
        <v>1924</v>
      </c>
      <c r="B1101" s="1">
        <v>45716</v>
      </c>
      <c r="C110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10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110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01" s="2">
        <f>IFERROR(DATE(Transaction[[#This Row],[TransactionDateY]],Transaction[[#This Row],[TransactionDateM]],Transaction[[#This Row],[TransactionDateD]]),"Missing Value")</f>
        <v>45716</v>
      </c>
      <c r="G1101" t="s">
        <v>1367</v>
      </c>
      <c r="H1101" t="str">
        <f>IFERROR(VLOOKUP(Transaction[[#This Row],[CustomerID]],Custumer[],1,0),IF(LEN(Transaction[[#This Row],[CustomerID]])=7,LEFT(Transaction[[#This Row],[CustomerID]],6),"Invalid ID"))</f>
        <v>C-1069</v>
      </c>
      <c r="I1101" t="s">
        <v>52</v>
      </c>
      <c r="J1101" t="str">
        <f>TRIM(UPPER(Transaction[[#This Row],[ProductID]]))</f>
        <v>P-SI-002</v>
      </c>
      <c r="K1101" t="str">
        <f>IFERROR(VLOOKUP(Transaction[[#This Row],[ProductID_Clean]],Product[],1,FALSE),"Invalid ID")</f>
        <v>P-SI-002</v>
      </c>
      <c r="L1101" t="str">
        <f>TRIM(SUBSTITUTE(SUBSTITUTE(SUBSTITUTE(SUBSTITUTE(UPPER(Transaction[[#This Row],[Region]]),"EMEA REGION","EMEA"),"APAC REGION","APAC"),"NORTH AMERICA","N. AMERICA"),"N .AMERICA","N.AMERICA"))</f>
        <v>EMEA</v>
      </c>
      <c r="M1101" t="s">
        <v>76</v>
      </c>
      <c r="N1101" t="s">
        <v>53</v>
      </c>
      <c r="O110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01" t="s">
        <v>181</v>
      </c>
      <c r="Q1101" t="str">
        <f>IF(TRIM(Transaction[[#This Row],[SalesChannel]])="","Missing Value",TRIM(Transaction[[#This Row],[SalesChannel]]))</f>
        <v>Partner Portal</v>
      </c>
      <c r="R1101" s="4">
        <v>2</v>
      </c>
      <c r="S1101" s="4" t="str">
        <f>IF(Transaction[[#This Row],[Quantity]]&lt;0,"Negative-review","Valid")</f>
        <v>Valid</v>
      </c>
      <c r="T1101">
        <v>661.09</v>
      </c>
      <c r="U110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661.09</v>
      </c>
      <c r="V1101">
        <v>725</v>
      </c>
      <c r="W1101">
        <v>1450</v>
      </c>
      <c r="X110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1101">
        <f>IF(Transaction[[#This Row],[GrossRevenue_Check]]="Invalid",Transaction[[#This Row],[ListPrice]]*Transaction[[#This Row],[Quantity]],Transaction[[#This Row],[GrossRevenue_Clean]])</f>
        <v>1450</v>
      </c>
      <c r="Z1101" t="str">
        <f>IF(Transaction[[#This Row],[GrossRevenue_Clean]]=Transaction[[#This Row],[ListPrice]]*Transaction[[#This Row],[Quantity]],"Valid","Invalid")</f>
        <v>Valid</v>
      </c>
      <c r="AA1101">
        <v>127.82</v>
      </c>
      <c r="AB110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127.82</v>
      </c>
      <c r="AC1101">
        <f>IF(Transaction[[#This Row],[DiscountAmount_Check2]]="Invalid",Transaction[[#This Row],[GrossRevenue_Analytical]]-Transaction[[#This Row],[NetRevenue_Analytical]],Transaction[[#This Row],[DiscountAmount_Clean]])</f>
        <v>127.82</v>
      </c>
      <c r="AD1101">
        <v>1322.18</v>
      </c>
      <c r="AE1101" t="str">
        <f>IF(ROUND(Transaction[[#This Row],[GrossRevenue_Analytical]]-Transaction[[#This Row],[NetRevenue_Analytical]],2)=ROUND(Transaction[[#This Row],[DiscountAmount_Clean]],2),"Valid","Invalid")</f>
        <v>Valid</v>
      </c>
      <c r="AF110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1322.18</v>
      </c>
      <c r="AG1101">
        <f>IF(Transaction[[#This Row],[NetRevenue_Check]]="Invalid",(Transaction[[#This Row],[Quantity]]*Transaction[[#This Row],[UnitPrice_Clean]]),Transaction[[#This Row],[NetRevenue_Clean]])</f>
        <v>1322.18</v>
      </c>
      <c r="AH1101" t="str">
        <f>IF(Transaction[[#This Row],[Quantity]]*Transaction[[#This Row],[UnitPrice_Clean]]=Transaction[[#This Row],[NetRevenue_Clean]],"Valid","Invalid")</f>
        <v>Valid</v>
      </c>
      <c r="AI1101" t="s">
        <v>23</v>
      </c>
      <c r="AJ1101" t="s">
        <v>1925</v>
      </c>
      <c r="AK1101" t="str">
        <f>IF(Transaction[[#This Row],[Salesperson]]="","Missing Value",TRIM(PROPER(Transaction[[#This Row],[Salesperson]])))</f>
        <v>Nguyen-Ap</v>
      </c>
      <c r="AL1101" t="s">
        <v>25</v>
      </c>
      <c r="AM1101" t="str">
        <f>IF(Transaction[[#This Row],[ContractType]]="","Missing Value",Transaction[[#This Row],[ContractType]])</f>
        <v>Frame Agreement</v>
      </c>
      <c r="AN1101" t="s">
        <v>43</v>
      </c>
    </row>
    <row r="1102" spans="1:40" x14ac:dyDescent="0.25">
      <c r="A1102" t="s">
        <v>2607</v>
      </c>
      <c r="B1102" t="s">
        <v>2608</v>
      </c>
      <c r="C110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110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110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02" s="2">
        <f>IFERROR(DATE(Transaction[[#This Row],[TransactionDateY]],Transaction[[#This Row],[TransactionDateM]],Transaction[[#This Row],[TransactionDateD]]),"Missing Value")</f>
        <v>45803</v>
      </c>
      <c r="G1102" t="s">
        <v>102</v>
      </c>
      <c r="H1102" t="str">
        <f>IFERROR(VLOOKUP(Transaction[[#This Row],[CustomerID]],Custumer[],1,0),IF(LEN(Transaction[[#This Row],[CustomerID]])=7,LEFT(Transaction[[#This Row],[CustomerID]],6),"Invalid ID"))</f>
        <v>C-1120</v>
      </c>
      <c r="I1102" t="s">
        <v>52</v>
      </c>
      <c r="J1102" t="str">
        <f>TRIM(UPPER(Transaction[[#This Row],[ProductID]]))</f>
        <v>P-SI-002</v>
      </c>
      <c r="K1102" t="str">
        <f>IFERROR(VLOOKUP(Transaction[[#This Row],[ProductID_Clean]],Product[],1,FALSE),"Invalid ID")</f>
        <v>P-SI-002</v>
      </c>
      <c r="L1102" t="str">
        <f>TRIM(SUBSTITUTE(SUBSTITUTE(SUBSTITUTE(SUBSTITUTE(UPPER(Transaction[[#This Row],[Region]]),"EMEA REGION","EMEA"),"APAC REGION","APAC"),"NORTH AMERICA","N. AMERICA"),"N .AMERICA","N.AMERICA"))</f>
        <v>EMEA</v>
      </c>
      <c r="M1102" t="s">
        <v>87</v>
      </c>
      <c r="N1102" t="s">
        <v>53</v>
      </c>
      <c r="O110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02" t="s">
        <v>181</v>
      </c>
      <c r="Q1102" t="str">
        <f>IF(TRIM(Transaction[[#This Row],[SalesChannel]])="","Missing Value",TRIM(Transaction[[#This Row],[SalesChannel]]))</f>
        <v>Partner Portal</v>
      </c>
      <c r="R1102" s="4">
        <v>3</v>
      </c>
      <c r="S1102" s="4" t="str">
        <f>IF(Transaction[[#This Row],[Quantity]]&lt;0,"Negative-review","Valid")</f>
        <v>Valid</v>
      </c>
      <c r="T1102">
        <v>637.63</v>
      </c>
      <c r="U110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637.63</v>
      </c>
      <c r="V1102">
        <v>725</v>
      </c>
      <c r="W1102">
        <v>2175</v>
      </c>
      <c r="X110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2175</v>
      </c>
      <c r="Y1102">
        <f>IF(Transaction[[#This Row],[GrossRevenue_Check]]="Invalid",Transaction[[#This Row],[ListPrice]]*Transaction[[#This Row],[Quantity]],Transaction[[#This Row],[GrossRevenue_Clean]])</f>
        <v>2175</v>
      </c>
      <c r="Z1102" t="str">
        <f>IF(Transaction[[#This Row],[GrossRevenue_Clean]]=Transaction[[#This Row],[ListPrice]]*Transaction[[#This Row],[Quantity]],"Valid","Invalid")</f>
        <v>Valid</v>
      </c>
      <c r="AA1102" t="s">
        <v>2609</v>
      </c>
      <c r="AB110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262.11</v>
      </c>
      <c r="AC1102">
        <f>IF(Transaction[[#This Row],[DiscountAmount_Check2]]="Invalid",Transaction[[#This Row],[GrossRevenue_Analytical]]-Transaction[[#This Row],[NetRevenue_Analytical]],Transaction[[#This Row],[DiscountAmount_Clean]])</f>
        <v>262.11</v>
      </c>
      <c r="AD1102">
        <v>1912.89</v>
      </c>
      <c r="AE1102" t="str">
        <f>IF(ROUND(Transaction[[#This Row],[GrossRevenue_Analytical]]-Transaction[[#This Row],[NetRevenue_Analytical]],2)=ROUND(Transaction[[#This Row],[DiscountAmount_Clean]],2),"Valid","Invalid")</f>
        <v>Valid</v>
      </c>
      <c r="AF110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1912.89</v>
      </c>
      <c r="AG1102">
        <f>IF(Transaction[[#This Row],[NetRevenue_Check]]="Invalid",(Transaction[[#This Row],[Quantity]]*Transaction[[#This Row],[UnitPrice_Clean]]),Transaction[[#This Row],[NetRevenue_Clean]])</f>
        <v>1912.89</v>
      </c>
      <c r="AH1102" t="str">
        <f>IF(Transaction[[#This Row],[Quantity]]*Transaction[[#This Row],[UnitPrice_Clean]]=Transaction[[#This Row],[NetRevenue_Clean]],"Valid","Invalid")</f>
        <v>Valid</v>
      </c>
      <c r="AI1102" t="s">
        <v>23</v>
      </c>
      <c r="AJ1102" t="s">
        <v>2610</v>
      </c>
      <c r="AK1102" t="str">
        <f>IF(Transaction[[#This Row],[Salesperson]]="","Missing Value",TRIM(PROPER(Transaction[[#This Row],[Salesperson]])))</f>
        <v>Walters</v>
      </c>
      <c r="AL1102" t="s">
        <v>42</v>
      </c>
      <c r="AM1102" t="str">
        <f>IF(Transaction[[#This Row],[ContractType]]="","Missing Value",Transaction[[#This Row],[ContractType]])</f>
        <v>Standard PO</v>
      </c>
      <c r="AN1102" t="s">
        <v>43</v>
      </c>
    </row>
    <row r="1103" spans="1:40" x14ac:dyDescent="0.25">
      <c r="A1103" t="s">
        <v>2673</v>
      </c>
      <c r="B1103" s="1">
        <v>45677</v>
      </c>
      <c r="C110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10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110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03" s="2">
        <f>IFERROR(DATE(Transaction[[#This Row],[TransactionDateY]],Transaction[[#This Row],[TransactionDateM]],Transaction[[#This Row],[TransactionDateD]]),"Missing Value")</f>
        <v>45677</v>
      </c>
      <c r="G1103" t="s">
        <v>131</v>
      </c>
      <c r="H1103" t="str">
        <f>IFERROR(VLOOKUP(Transaction[[#This Row],[CustomerID]],Custumer[],1,0),IF(LEN(Transaction[[#This Row],[CustomerID]])=7,LEFT(Transaction[[#This Row],[CustomerID]],6),"Invalid ID"))</f>
        <v>C-1034</v>
      </c>
      <c r="I1103" t="s">
        <v>97</v>
      </c>
      <c r="J1103" t="str">
        <f>TRIM(UPPER(Transaction[[#This Row],[ProductID]]))</f>
        <v>P-SI-001</v>
      </c>
      <c r="K1103" t="str">
        <f>IFERROR(VLOOKUP(Transaction[[#This Row],[ProductID_Clean]],Product[],1,FALSE),"Invalid ID")</f>
        <v>P-SI-001</v>
      </c>
      <c r="L1103" t="str">
        <f>TRIM(SUBSTITUTE(SUBSTITUTE(SUBSTITUTE(SUBSTITUTE(UPPER(Transaction[[#This Row],[Region]]),"EMEA REGION","EMEA"),"APAC REGION","APAC"),"NORTH AMERICA","N. AMERICA"),"N .AMERICA","N.AMERICA"))</f>
        <v>N. AMERICA</v>
      </c>
      <c r="M1103" t="s">
        <v>20</v>
      </c>
      <c r="N1103" t="s">
        <v>53</v>
      </c>
      <c r="O110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03" t="s">
        <v>22</v>
      </c>
      <c r="Q1103" t="str">
        <f>IF(TRIM(Transaction[[#This Row],[SalesChannel]])="","Missing Value",TRIM(Transaction[[#This Row],[SalesChannel]]))</f>
        <v>Direct</v>
      </c>
      <c r="R1103" s="4">
        <v>1</v>
      </c>
      <c r="S1103" s="4" t="str">
        <f>IF(Transaction[[#This Row],[Quantity]]&lt;0,"Negative-review","Valid")</f>
        <v>Valid</v>
      </c>
      <c r="T1103">
        <v>427.98</v>
      </c>
      <c r="U110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427.98</v>
      </c>
      <c r="V1103">
        <v>485</v>
      </c>
      <c r="W1103">
        <v>485</v>
      </c>
      <c r="X110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1103">
        <f>IF(Transaction[[#This Row],[GrossRevenue_Check]]="Invalid",Transaction[[#This Row],[ListPrice]]*Transaction[[#This Row],[Quantity]],Transaction[[#This Row],[GrossRevenue_Clean]])</f>
        <v>485</v>
      </c>
      <c r="Z1103" t="str">
        <f>IF(Transaction[[#This Row],[GrossRevenue_Clean]]=Transaction[[#This Row],[ListPrice]]*Transaction[[#This Row],[Quantity]],"Valid","Invalid")</f>
        <v>Valid</v>
      </c>
      <c r="AA1103">
        <v>57.02</v>
      </c>
      <c r="AB110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57.02</v>
      </c>
      <c r="AC1103">
        <f>IF(Transaction[[#This Row],[DiscountAmount_Check2]]="Invalid",Transaction[[#This Row],[GrossRevenue_Analytical]]-Transaction[[#This Row],[NetRevenue_Analytical]],Transaction[[#This Row],[DiscountAmount_Clean]])</f>
        <v>57.02</v>
      </c>
      <c r="AD1103">
        <v>427.98</v>
      </c>
      <c r="AE1103" t="str">
        <f>IF(ROUND(Transaction[[#This Row],[GrossRevenue_Analytical]]-Transaction[[#This Row],[NetRevenue_Analytical]],2)=ROUND(Transaction[[#This Row],[DiscountAmount_Clean]],2),"Valid","Invalid")</f>
        <v>Valid</v>
      </c>
      <c r="AF1103">
        <f>VALUE(IF(ISNUMBER(Transaction[[#This Row],[NetRevenue]]),Transaction[[#This Row],[NetRevenue]],IFERROR(IF(FIND("$",Transaction[[#This Row],[NetRevenue]])&gt;0,MID(Transaction[[#This Row],[NetRevenue]],2,10)),Transaction[[#This Row],[NetRevenue]])))</f>
        <v>427.98</v>
      </c>
      <c r="AG1103">
        <f>IF(Transaction[[#This Row],[NetRevenue_Check]]="Invalid",(Transaction[[#This Row],[Quantity]]*Transaction[[#This Row],[UnitPrice_Clean]]),Transaction[[#This Row],[NetRevenue_Clean]])</f>
        <v>427.98</v>
      </c>
      <c r="AH1103" t="str">
        <f>IF(Transaction[[#This Row],[Quantity]]*Transaction[[#This Row],[UnitPrice_Clean]]=Transaction[[#This Row],[NetRevenue_Clean]],"Valid","Invalid")</f>
        <v>Valid</v>
      </c>
      <c r="AI1103" t="s">
        <v>23</v>
      </c>
      <c r="AJ1103" t="s">
        <v>2674</v>
      </c>
      <c r="AK1103" t="str">
        <f>IF(Transaction[[#This Row],[Salesperson]]="","Missing Value",TRIM(PROPER(Transaction[[#This Row],[Salesperson]])))</f>
        <v>Bowers-Ap</v>
      </c>
      <c r="AL1103" t="s">
        <v>55</v>
      </c>
      <c r="AM1103" t="str">
        <f>IF(Transaction[[#This Row],[ContractType]]="","Missing Value",Transaction[[#This Row],[ContractType]])</f>
        <v>Spot</v>
      </c>
      <c r="AN1103" t="s">
        <v>26</v>
      </c>
    </row>
    <row r="1104" spans="1:40" x14ac:dyDescent="0.25">
      <c r="A1104" t="s">
        <v>2341</v>
      </c>
      <c r="C110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110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110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1104" s="2" t="str">
        <f>IFERROR(DATE(Transaction[[#This Row],[TransactionDateY]],Transaction[[#This Row],[TransactionDateM]],Transaction[[#This Row],[TransactionDateD]]),"Missing Value")</f>
        <v>Missing Value</v>
      </c>
      <c r="G1104" t="s">
        <v>956</v>
      </c>
      <c r="H1104" t="str">
        <f>IFERROR(VLOOKUP(Transaction[[#This Row],[CustomerID]],Custumer[],1,0),IF(LEN(Transaction[[#This Row],[CustomerID]])=7,LEFT(Transaction[[#This Row],[CustomerID]],6),"Invalid ID"))</f>
        <v>C-1072</v>
      </c>
      <c r="I1104" t="s">
        <v>46</v>
      </c>
      <c r="J1104" t="str">
        <f>TRIM(UPPER(Transaction[[#This Row],[ProductID]]))</f>
        <v>P-SI-006</v>
      </c>
      <c r="K1104" t="str">
        <f>IFERROR(VLOOKUP(Transaction[[#This Row],[ProductID_Clean]],Product[],1,FALSE),"Invalid ID")</f>
        <v>P-SI-006</v>
      </c>
      <c r="L1104" t="str">
        <f>TRIM(SUBSTITUTE(SUBSTITUTE(SUBSTITUTE(SUBSTITUTE(UPPER(Transaction[[#This Row],[Region]]),"EMEA REGION","EMEA"),"APAC REGION","APAC"),"NORTH AMERICA","N. AMERICA"),"N .AMERICA","N.AMERICA"))</f>
        <v>N. AMERICA</v>
      </c>
      <c r="M1104" t="s">
        <v>204</v>
      </c>
      <c r="N1104" t="s">
        <v>53</v>
      </c>
      <c r="O110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04" t="s">
        <v>40</v>
      </c>
      <c r="Q1104" t="str">
        <f>IF(TRIM(Transaction[[#This Row],[SalesChannel]])="","Missing Value",TRIM(Transaction[[#This Row],[SalesChannel]]))</f>
        <v>Distributor</v>
      </c>
      <c r="R1104" s="4">
        <v>3</v>
      </c>
      <c r="S1104" s="4" t="str">
        <f>IF(Transaction[[#This Row],[Quantity]]&lt;0,"Negative-review","Valid")</f>
        <v>Valid</v>
      </c>
      <c r="T1104">
        <v>178.26</v>
      </c>
      <c r="U110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178.26</v>
      </c>
      <c r="V1104">
        <v>215</v>
      </c>
      <c r="W1104">
        <v>645</v>
      </c>
      <c r="X110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1104">
        <f>IF(Transaction[[#This Row],[GrossRevenue_Check]]="Invalid",Transaction[[#This Row],[ListPrice]]*Transaction[[#This Row],[Quantity]],Transaction[[#This Row],[GrossRevenue_Clean]])</f>
        <v>645</v>
      </c>
      <c r="Z1104" t="str">
        <f>IF(Transaction[[#This Row],[GrossRevenue_Clean]]=Transaction[[#This Row],[ListPrice]]*Transaction[[#This Row],[Quantity]],"Valid","Invalid")</f>
        <v>Valid</v>
      </c>
      <c r="AA1104">
        <v>110.22</v>
      </c>
      <c r="AB110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110.22</v>
      </c>
      <c r="AC1104">
        <f>IF(Transaction[[#This Row],[DiscountAmount_Check2]]="Invalid",Transaction[[#This Row],[GrossRevenue_Analytical]]-Transaction[[#This Row],[NetRevenue_Analytical]],Transaction[[#This Row],[DiscountAmount_Clean]])</f>
        <v>110.22</v>
      </c>
      <c r="AD1104">
        <v>534.78</v>
      </c>
      <c r="AE1104" t="str">
        <f>IF(ROUND(Transaction[[#This Row],[GrossRevenue_Analytical]]-Transaction[[#This Row],[NetRevenue_Analytical]],2)=ROUND(Transaction[[#This Row],[DiscountAmount_Clean]],2),"Valid","Invalid")</f>
        <v>Valid</v>
      </c>
      <c r="AF1104">
        <f>VALUE(IF(ISNUMBER(Transaction[[#This Row],[NetRevenue]]),Transaction[[#This Row],[NetRevenue]],IFERROR(IF(FIND("$",Transaction[[#This Row],[NetRevenue]])&gt;0,MID(Transaction[[#This Row],[NetRevenue]],2,10)),Transaction[[#This Row],[NetRevenue]])))</f>
        <v>534.78</v>
      </c>
      <c r="AG1104">
        <f>IF(Transaction[[#This Row],[NetRevenue_Check]]="Invalid",(Transaction[[#This Row],[Quantity]]*Transaction[[#This Row],[UnitPrice_Clean]]),Transaction[[#This Row],[NetRevenue_Clean]])</f>
        <v>534.78</v>
      </c>
      <c r="AH1104" t="str">
        <f>IF(Transaction[[#This Row],[Quantity]]*Transaction[[#This Row],[UnitPrice_Clean]]=Transaction[[#This Row],[NetRevenue_Clean]],"Valid","Invalid")</f>
        <v>Valid</v>
      </c>
      <c r="AI1104" t="s">
        <v>23</v>
      </c>
      <c r="AK1104" t="str">
        <f>IF(Transaction[[#This Row],[Salesperson]]="","Missing Value",TRIM(PROPER(Transaction[[#This Row],[Salesperson]])))</f>
        <v>Missing Value</v>
      </c>
      <c r="AL1104" t="s">
        <v>25</v>
      </c>
      <c r="AM1104" t="str">
        <f>IF(Transaction[[#This Row],[ContractType]]="","Missing Value",Transaction[[#This Row],[ContractType]])</f>
        <v>Frame Agreement</v>
      </c>
      <c r="AN1104" t="s">
        <v>35</v>
      </c>
    </row>
    <row r="1105" spans="1:40" x14ac:dyDescent="0.25">
      <c r="A1105" t="s">
        <v>352</v>
      </c>
      <c r="B1105" t="s">
        <v>353</v>
      </c>
      <c r="C110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110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110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05" s="2">
        <f>IFERROR(DATE(Transaction[[#This Row],[TransactionDateY]],Transaction[[#This Row],[TransactionDateM]],Transaction[[#This Row],[TransactionDateD]]),"Missing Value")</f>
        <v>45802</v>
      </c>
      <c r="G1105" t="s">
        <v>354</v>
      </c>
      <c r="H1105" t="str">
        <f>IFERROR(VLOOKUP(Transaction[[#This Row],[CustomerID]],Custumer[],1,0),IF(LEN(Transaction[[#This Row],[CustomerID]])=7,LEFT(Transaction[[#This Row],[CustomerID]],6),"Invalid ID"))</f>
        <v>C-1037</v>
      </c>
      <c r="I1105" t="s">
        <v>111</v>
      </c>
      <c r="J1105" t="str">
        <f>TRIM(UPPER(Transaction[[#This Row],[ProductID]]))</f>
        <v>P-SA-004</v>
      </c>
      <c r="K1105" t="str">
        <f>IFERROR(VLOOKUP(Transaction[[#This Row],[ProductID_Clean]],Product[],1,FALSE),"Invalid ID")</f>
        <v>P-SA-004</v>
      </c>
      <c r="L1105" t="str">
        <f>TRIM(SUBSTITUTE(SUBSTITUTE(SUBSTITUTE(SUBSTITUTE(UPPER(Transaction[[#This Row],[Region]]),"EMEA REGION","EMEA"),"APAC REGION","APAC"),"NORTH AMERICA","N. AMERICA"),"N .AMERICA","N.AMERICA"))</f>
        <v>N. AMERICA</v>
      </c>
      <c r="M1105" t="s">
        <v>20</v>
      </c>
      <c r="N1105" t="s">
        <v>31</v>
      </c>
      <c r="O110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05" t="s">
        <v>22</v>
      </c>
      <c r="Q1105" t="str">
        <f>IF(TRIM(Transaction[[#This Row],[SalesChannel]])="","Missing Value",TRIM(Transaction[[#This Row],[SalesChannel]]))</f>
        <v>Direct</v>
      </c>
      <c r="R1105" s="4">
        <v>1</v>
      </c>
      <c r="S1105" s="4" t="str">
        <f>IF(Transaction[[#This Row],[Quantity]]&lt;0,"Negative-review","Valid")</f>
        <v>Valid</v>
      </c>
      <c r="T1105">
        <v>1526.21</v>
      </c>
      <c r="U110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1526.21</v>
      </c>
      <c r="V1105">
        <v>1650</v>
      </c>
      <c r="W1105" t="s">
        <v>355</v>
      </c>
      <c r="X110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105">
        <f>IF(Transaction[[#This Row],[GrossRevenue_Check]]="Invalid",Transaction[[#This Row],[ListPrice]]*Transaction[[#This Row],[Quantity]],Transaction[[#This Row],[GrossRevenue_Clean]])</f>
        <v>1650</v>
      </c>
      <c r="Z1105" t="str">
        <f>IF(Transaction[[#This Row],[GrossRevenue_Clean]]=Transaction[[#This Row],[ListPrice]]*Transaction[[#This Row],[Quantity]],"Valid","Invalid")</f>
        <v>Valid</v>
      </c>
      <c r="AA1105">
        <v>123.79</v>
      </c>
      <c r="AB110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123.79</v>
      </c>
      <c r="AC1105">
        <f>IF(Transaction[[#This Row],[DiscountAmount_Check2]]="Invalid",Transaction[[#This Row],[GrossRevenue_Analytical]]-Transaction[[#This Row],[NetRevenue_Analytical]],Transaction[[#This Row],[DiscountAmount_Clean]])</f>
        <v>123.79</v>
      </c>
      <c r="AD1105">
        <v>1526.21</v>
      </c>
      <c r="AE1105" t="str">
        <f>IF(ROUND(Transaction[[#This Row],[GrossRevenue_Analytical]]-Transaction[[#This Row],[NetRevenue_Analytical]],2)=ROUND(Transaction[[#This Row],[DiscountAmount_Clean]],2),"Valid","Invalid")</f>
        <v>Valid</v>
      </c>
      <c r="AF110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1526.21</v>
      </c>
      <c r="AG1105">
        <f>IF(Transaction[[#This Row],[NetRevenue_Check]]="Invalid",(Transaction[[#This Row],[Quantity]]*Transaction[[#This Row],[UnitPrice_Clean]]),Transaction[[#This Row],[NetRevenue_Clean]])</f>
        <v>1526.21</v>
      </c>
      <c r="AH1105" t="str">
        <f>IF(Transaction[[#This Row],[Quantity]]*Transaction[[#This Row],[UnitPrice_Clean]]=Transaction[[#This Row],[NetRevenue_Clean]],"Valid","Invalid")</f>
        <v>Valid</v>
      </c>
      <c r="AI1105" t="s">
        <v>23</v>
      </c>
      <c r="AK1105" t="str">
        <f>IF(Transaction[[#This Row],[Salesperson]]="","Missing Value",TRIM(PROPER(Transaction[[#This Row],[Salesperson]])))</f>
        <v>Missing Value</v>
      </c>
      <c r="AL1105" t="s">
        <v>113</v>
      </c>
      <c r="AM1105" t="str">
        <f>IF(Transaction[[#This Row],[ContractType]]="","Missing Value",Transaction[[#This Row],[ContractType]])</f>
        <v>Subscription</v>
      </c>
      <c r="AN1105" t="s">
        <v>43</v>
      </c>
    </row>
    <row r="1106" spans="1:40" x14ac:dyDescent="0.25">
      <c r="A1106" t="s">
        <v>2990</v>
      </c>
      <c r="B1106" s="1">
        <v>45666</v>
      </c>
      <c r="C110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10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110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06" s="2">
        <f>IFERROR(DATE(Transaction[[#This Row],[TransactionDateY]],Transaction[[#This Row],[TransactionDateM]],Transaction[[#This Row],[TransactionDateD]]),"Missing Value")</f>
        <v>45666</v>
      </c>
      <c r="G1106" t="s">
        <v>1871</v>
      </c>
      <c r="H1106" t="str">
        <f>IFERROR(VLOOKUP(Transaction[[#This Row],[CustomerID]],Custumer[],1,0),IF(LEN(Transaction[[#This Row],[CustomerID]])=7,LEFT(Transaction[[#This Row],[CustomerID]],6),"Invalid ID"))</f>
        <v>C-1096</v>
      </c>
      <c r="I1106" t="s">
        <v>46</v>
      </c>
      <c r="J1106" t="str">
        <f>TRIM(UPPER(Transaction[[#This Row],[ProductID]]))</f>
        <v>P-SI-006</v>
      </c>
      <c r="K1106" t="str">
        <f>IFERROR(VLOOKUP(Transaction[[#This Row],[ProductID_Clean]],Product[],1,FALSE),"Invalid ID")</f>
        <v>P-SI-006</v>
      </c>
      <c r="L1106" t="str">
        <f>TRIM(SUBSTITUTE(SUBSTITUTE(SUBSTITUTE(SUBSTITUTE(UPPER(Transaction[[#This Row],[Region]]),"EMEA REGION","EMEA"),"APAC REGION","APAC"),"NORTH AMERICA","N. AMERICA"),"N .AMERICA","N.AMERICA"))</f>
        <v>N. AMERICA</v>
      </c>
      <c r="M1106" t="s">
        <v>20</v>
      </c>
      <c r="N1106" t="s">
        <v>53</v>
      </c>
      <c r="O110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06" t="s">
        <v>181</v>
      </c>
      <c r="Q1106" t="str">
        <f>IF(TRIM(Transaction[[#This Row],[SalesChannel]])="","Missing Value",TRIM(Transaction[[#This Row],[SalesChannel]]))</f>
        <v>Partner Portal</v>
      </c>
      <c r="R1106" s="4">
        <v>3</v>
      </c>
      <c r="S1106" s="4" t="str">
        <f>IF(Transaction[[#This Row],[Quantity]]&lt;0,"Negative-review","Valid")</f>
        <v>Valid</v>
      </c>
      <c r="T1106">
        <v>183.54</v>
      </c>
      <c r="U110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183.54</v>
      </c>
      <c r="V1106">
        <v>215</v>
      </c>
      <c r="W1106">
        <v>645</v>
      </c>
      <c r="X110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1106">
        <f>IF(Transaction[[#This Row],[GrossRevenue_Check]]="Invalid",Transaction[[#This Row],[ListPrice]]*Transaction[[#This Row],[Quantity]],Transaction[[#This Row],[GrossRevenue_Clean]])</f>
        <v>645</v>
      </c>
      <c r="Z1106" t="str">
        <f>IF(Transaction[[#This Row],[GrossRevenue_Clean]]=Transaction[[#This Row],[ListPrice]]*Transaction[[#This Row],[Quantity]],"Valid","Invalid")</f>
        <v>Valid</v>
      </c>
      <c r="AA1106">
        <v>94.38</v>
      </c>
      <c r="AB110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94.38</v>
      </c>
      <c r="AC1106">
        <f>IF(Transaction[[#This Row],[DiscountAmount_Check2]]="Invalid",Transaction[[#This Row],[GrossRevenue_Analytical]]-Transaction[[#This Row],[NetRevenue_Analytical]],Transaction[[#This Row],[DiscountAmount_Clean]])</f>
        <v>94.38</v>
      </c>
      <c r="AD1106">
        <v>550.62</v>
      </c>
      <c r="AE1106" t="str">
        <f>IF(ROUND(Transaction[[#This Row],[GrossRevenue_Analytical]]-Transaction[[#This Row],[NetRevenue_Analytical]],2)=ROUND(Transaction[[#This Row],[DiscountAmount_Clean]],2),"Valid","Invalid")</f>
        <v>Valid</v>
      </c>
      <c r="AF1106">
        <f>VALUE(IF(ISNUMBER(Transaction[[#This Row],[NetRevenue]]),Transaction[[#This Row],[NetRevenue]],IFERROR(IF(FIND("$",Transaction[[#This Row],[NetRevenue]])&gt;0,MID(Transaction[[#This Row],[NetRevenue]],2,10)),Transaction[[#This Row],[NetRevenue]])))</f>
        <v>550.62</v>
      </c>
      <c r="AG1106">
        <f>IF(Transaction[[#This Row],[NetRevenue_Check]]="Invalid",(Transaction[[#This Row],[Quantity]]*Transaction[[#This Row],[UnitPrice_Clean]]),Transaction[[#This Row],[NetRevenue_Clean]])</f>
        <v>550.62</v>
      </c>
      <c r="AH1106" t="str">
        <f>IF(Transaction[[#This Row],[Quantity]]*Transaction[[#This Row],[UnitPrice_Clean]]=Transaction[[#This Row],[NetRevenue_Clean]],"Valid","Invalid")</f>
        <v>Valid</v>
      </c>
      <c r="AI1106" t="s">
        <v>23</v>
      </c>
      <c r="AJ1106" t="s">
        <v>2991</v>
      </c>
      <c r="AK1106" t="str">
        <f>IF(Transaction[[#This Row],[Salesperson]]="","Missing Value",TRIM(PROPER(Transaction[[#This Row],[Salesperson]])))</f>
        <v>Tran</v>
      </c>
      <c r="AL1106" t="s">
        <v>25</v>
      </c>
      <c r="AM1106" t="str">
        <f>IF(Transaction[[#This Row],[ContractType]]="","Missing Value",Transaction[[#This Row],[ContractType]])</f>
        <v>Frame Agreement</v>
      </c>
      <c r="AN1106" t="s">
        <v>65</v>
      </c>
    </row>
    <row r="1107" spans="1:40" x14ac:dyDescent="0.25">
      <c r="A1107" t="s">
        <v>1292</v>
      </c>
      <c r="B1107" s="1">
        <v>45738</v>
      </c>
      <c r="C110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10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110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07" s="2">
        <f>IFERROR(DATE(Transaction[[#This Row],[TransactionDateY]],Transaction[[#This Row],[TransactionDateM]],Transaction[[#This Row],[TransactionDateD]]),"Missing Value")</f>
        <v>45738</v>
      </c>
      <c r="G1107" t="s">
        <v>795</v>
      </c>
      <c r="H1107" t="str">
        <f>IFERROR(VLOOKUP(Transaction[[#This Row],[CustomerID]],Custumer[],1,0),IF(LEN(Transaction[[#This Row],[CustomerID]])=7,LEFT(Transaction[[#This Row],[CustomerID]],6),"Invalid ID"))</f>
        <v>C-1118</v>
      </c>
      <c r="I1107" t="s">
        <v>52</v>
      </c>
      <c r="J1107" t="str">
        <f>TRIM(UPPER(Transaction[[#This Row],[ProductID]]))</f>
        <v>P-SI-002</v>
      </c>
      <c r="K1107" t="str">
        <f>IFERROR(VLOOKUP(Transaction[[#This Row],[ProductID_Clean]],Product[],1,FALSE),"Invalid ID")</f>
        <v>P-SI-002</v>
      </c>
      <c r="L1107" t="str">
        <f>TRIM(SUBSTITUTE(SUBSTITUTE(SUBSTITUTE(SUBSTITUTE(UPPER(Transaction[[#This Row],[Region]]),"EMEA REGION","EMEA"),"APAC REGION","APAC"),"NORTH AMERICA","N. AMERICA"),"N .AMERICA","N.AMERICA"))</f>
        <v>N. AMERICA</v>
      </c>
      <c r="M1107" t="s">
        <v>204</v>
      </c>
      <c r="N1107" t="s">
        <v>53</v>
      </c>
      <c r="O110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07" t="s">
        <v>40</v>
      </c>
      <c r="Q1107" t="str">
        <f>IF(TRIM(Transaction[[#This Row],[SalesChannel]])="","Missing Value",TRIM(Transaction[[#This Row],[SalesChannel]]))</f>
        <v>Distributor</v>
      </c>
      <c r="R1107" s="4">
        <v>4</v>
      </c>
      <c r="S1107" s="4" t="str">
        <f>IF(Transaction[[#This Row],[Quantity]]&lt;0,"Negative-review","Valid")</f>
        <v>Valid</v>
      </c>
      <c r="T1107">
        <v>627.27</v>
      </c>
      <c r="U110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627.27</v>
      </c>
      <c r="V1107">
        <v>725</v>
      </c>
      <c r="W1107">
        <v>2900</v>
      </c>
      <c r="X110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2900</v>
      </c>
      <c r="Y1107">
        <f>IF(Transaction[[#This Row],[GrossRevenue_Check]]="Invalid",Transaction[[#This Row],[ListPrice]]*Transaction[[#This Row],[Quantity]],Transaction[[#This Row],[GrossRevenue_Clean]])</f>
        <v>2900</v>
      </c>
      <c r="Z1107" t="str">
        <f>IF(Transaction[[#This Row],[GrossRevenue_Clean]]=Transaction[[#This Row],[ListPrice]]*Transaction[[#This Row],[Quantity]],"Valid","Invalid")</f>
        <v>Valid</v>
      </c>
      <c r="AA1107">
        <v>390.92</v>
      </c>
      <c r="AB110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390.92</v>
      </c>
      <c r="AC1107">
        <f>IF(Transaction[[#This Row],[DiscountAmount_Check2]]="Invalid",Transaction[[#This Row],[GrossRevenue_Analytical]]-Transaction[[#This Row],[NetRevenue_Analytical]],Transaction[[#This Row],[DiscountAmount_Clean]])</f>
        <v>390.92</v>
      </c>
      <c r="AD1107">
        <v>2509.08</v>
      </c>
      <c r="AE1107" t="str">
        <f>IF(ROUND(Transaction[[#This Row],[GrossRevenue_Analytical]]-Transaction[[#This Row],[NetRevenue_Analytical]],2)=ROUND(Transaction[[#This Row],[DiscountAmount_Clean]],2),"Valid","Invalid")</f>
        <v>Valid</v>
      </c>
      <c r="AF1107">
        <f>VALUE(IF(ISNUMBER(Transaction[[#This Row],[NetRevenue]]),Transaction[[#This Row],[NetRevenue]],IFERROR(IF(FIND("$",Transaction[[#This Row],[NetRevenue]])&gt;0,MID(Transaction[[#This Row],[NetRevenue]],2,10)),Transaction[[#This Row],[NetRevenue]])))</f>
        <v>2509.08</v>
      </c>
      <c r="AG1107">
        <f>IF(Transaction[[#This Row],[NetRevenue_Check]]="Invalid",(Transaction[[#This Row],[Quantity]]*Transaction[[#This Row],[UnitPrice_Clean]]),Transaction[[#This Row],[NetRevenue_Clean]])</f>
        <v>2509.08</v>
      </c>
      <c r="AH1107" t="str">
        <f>IF(Transaction[[#This Row],[Quantity]]*Transaction[[#This Row],[UnitPrice_Clean]]=Transaction[[#This Row],[NetRevenue_Clean]],"Valid","Invalid")</f>
        <v>Valid</v>
      </c>
      <c r="AI1107" t="s">
        <v>23</v>
      </c>
      <c r="AJ1107" t="s">
        <v>653</v>
      </c>
      <c r="AK1107" t="str">
        <f>IF(Transaction[[#This Row],[Salesperson]]="","Missing Value",TRIM(PROPER(Transaction[[#This Row],[Salesperson]])))</f>
        <v>Bennett</v>
      </c>
      <c r="AL1107" t="s">
        <v>42</v>
      </c>
      <c r="AM1107" t="str">
        <f>IF(Transaction[[#This Row],[ContractType]]="","Missing Value",Transaction[[#This Row],[ContractType]])</f>
        <v>Standard PO</v>
      </c>
      <c r="AN1107" t="s">
        <v>49</v>
      </c>
    </row>
    <row r="1108" spans="1:40" x14ac:dyDescent="0.25">
      <c r="A1108" t="s">
        <v>975</v>
      </c>
      <c r="B1108" s="1">
        <v>45711</v>
      </c>
      <c r="C110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10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110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08" s="2">
        <f>IFERROR(DATE(Transaction[[#This Row],[TransactionDateY]],Transaction[[#This Row],[TransactionDateM]],Transaction[[#This Row],[TransactionDateD]]),"Missing Value")</f>
        <v>45711</v>
      </c>
      <c r="G1108" t="s">
        <v>394</v>
      </c>
      <c r="H1108" t="str">
        <f>IFERROR(VLOOKUP(Transaction[[#This Row],[CustomerID]],Custumer[],1,0),IF(LEN(Transaction[[#This Row],[CustomerID]])=7,LEFT(Transaction[[#This Row],[CustomerID]],6),"Invalid ID"))</f>
        <v>C-1128</v>
      </c>
      <c r="I1108" t="s">
        <v>71</v>
      </c>
      <c r="J1108" t="str">
        <f>TRIM(UPPER(Transaction[[#This Row],[ProductID]]))</f>
        <v>P-SI-003</v>
      </c>
      <c r="K1108" t="str">
        <f>IFERROR(VLOOKUP(Transaction[[#This Row],[ProductID_Clean]],Product[],1,FALSE),"Invalid ID")</f>
        <v>P-SI-003</v>
      </c>
      <c r="L1108" t="str">
        <f>TRIM(SUBSTITUTE(SUBSTITUTE(SUBSTITUTE(SUBSTITUTE(UPPER(Transaction[[#This Row],[Region]]),"EMEA REGION","EMEA"),"APAC REGION","APAC"),"NORTH AMERICA","N. AMERICA"),"N .AMERICA","N.AMERICA"))</f>
        <v>EMEA</v>
      </c>
      <c r="M1108" t="s">
        <v>76</v>
      </c>
      <c r="N1108" t="s">
        <v>53</v>
      </c>
      <c r="O110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08" t="s">
        <v>40</v>
      </c>
      <c r="Q1108" t="str">
        <f>IF(TRIM(Transaction[[#This Row],[SalesChannel]])="","Missing Value",TRIM(Transaction[[#This Row],[SalesChannel]]))</f>
        <v>Distributor</v>
      </c>
      <c r="R1108" s="4">
        <v>5</v>
      </c>
      <c r="S1108" s="4" t="str">
        <f>IF(Transaction[[#This Row],[Quantity]]&lt;0,"Negative-review","Valid")</f>
        <v>Valid</v>
      </c>
      <c r="T1108">
        <v>1533.93</v>
      </c>
      <c r="U110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1533.93</v>
      </c>
      <c r="V1108">
        <v>1890</v>
      </c>
      <c r="W1108">
        <v>9450</v>
      </c>
      <c r="X110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9450</v>
      </c>
      <c r="Y1108">
        <f>IF(Transaction[[#This Row],[GrossRevenue_Check]]="Invalid",Transaction[[#This Row],[ListPrice]]*Transaction[[#This Row],[Quantity]],Transaction[[#This Row],[GrossRevenue_Clean]])</f>
        <v>9450</v>
      </c>
      <c r="Z1108" t="str">
        <f>IF(Transaction[[#This Row],[GrossRevenue_Clean]]=Transaction[[#This Row],[ListPrice]]*Transaction[[#This Row],[Quantity]],"Valid","Invalid")</f>
        <v>Valid</v>
      </c>
      <c r="AA1108">
        <v>1780.35</v>
      </c>
      <c r="AB110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1780.35</v>
      </c>
      <c r="AC1108">
        <f>IF(Transaction[[#This Row],[DiscountAmount_Check2]]="Invalid",Transaction[[#This Row],[GrossRevenue_Analytical]]-Transaction[[#This Row],[NetRevenue_Analytical]],Transaction[[#This Row],[DiscountAmount_Clean]])</f>
        <v>1780.35</v>
      </c>
      <c r="AD1108">
        <v>7669.65</v>
      </c>
      <c r="AE1108" t="str">
        <f>IF(ROUND(Transaction[[#This Row],[GrossRevenue_Analytical]]-Transaction[[#This Row],[NetRevenue_Analytical]],2)=ROUND(Transaction[[#This Row],[DiscountAmount_Clean]],2),"Valid","Invalid")</f>
        <v>Valid</v>
      </c>
      <c r="AF1108">
        <f>VALUE(IF(ISNUMBER(Transaction[[#This Row],[NetRevenue]]),Transaction[[#This Row],[NetRevenue]],IFERROR(IF(FIND("$",Transaction[[#This Row],[NetRevenue]])&gt;0,MID(Transaction[[#This Row],[NetRevenue]],2,10)),Transaction[[#This Row],[NetRevenue]])))</f>
        <v>7669.65</v>
      </c>
      <c r="AG1108">
        <f>IF(Transaction[[#This Row],[NetRevenue_Check]]="Invalid",(Transaction[[#This Row],[Quantity]]*Transaction[[#This Row],[UnitPrice_Clean]]),Transaction[[#This Row],[NetRevenue_Clean]])</f>
        <v>7669.65</v>
      </c>
      <c r="AH1108" t="str">
        <f>IF(Transaction[[#This Row],[Quantity]]*Transaction[[#This Row],[UnitPrice_Clean]]=Transaction[[#This Row],[NetRevenue_Clean]],"Valid","Invalid")</f>
        <v>Valid</v>
      </c>
      <c r="AI1108" t="s">
        <v>23</v>
      </c>
      <c r="AJ1108" t="s">
        <v>976</v>
      </c>
      <c r="AK1108" t="str">
        <f>IF(Transaction[[#This Row],[Salesperson]]="","Missing Value",TRIM(PROPER(Transaction[[#This Row],[Salesperson]])))</f>
        <v>Lopez-Em</v>
      </c>
      <c r="AM1108" t="str">
        <f>IF(Transaction[[#This Row],[ContractType]]="","Missing Value",Transaction[[#This Row],[ContractType]])</f>
        <v>Missing Value</v>
      </c>
      <c r="AN1108" t="s">
        <v>43</v>
      </c>
    </row>
    <row r="1109" spans="1:40" x14ac:dyDescent="0.25">
      <c r="A1109" t="s">
        <v>2389</v>
      </c>
      <c r="B1109" t="s">
        <v>2390</v>
      </c>
      <c r="C110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110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06</v>
      </c>
      <c r="E110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09" s="2">
        <f>IFERROR(DATE(Transaction[[#This Row],[TransactionDateY]],Transaction[[#This Row],[TransactionDateM]],Transaction[[#This Row],[TransactionDateD]]),"Missing Value")</f>
        <v>45694</v>
      </c>
      <c r="G1109" t="s">
        <v>412</v>
      </c>
      <c r="H1109" t="str">
        <f>IFERROR(VLOOKUP(Transaction[[#This Row],[CustomerID]],Custumer[],1,0),IF(LEN(Transaction[[#This Row],[CustomerID]])=7,LEFT(Transaction[[#This Row],[CustomerID]],6),"Invalid ID"))</f>
        <v>C-1126</v>
      </c>
      <c r="I1109" t="s">
        <v>946</v>
      </c>
      <c r="J1109" t="str">
        <f>TRIM(UPPER(Transaction[[#This Row],[ProductID]]))</f>
        <v>P-SI-006</v>
      </c>
      <c r="K1109" t="str">
        <f>IFERROR(VLOOKUP(Transaction[[#This Row],[ProductID_Clean]],Product[],1,FALSE),"Invalid ID")</f>
        <v>P-SI-006</v>
      </c>
      <c r="L1109" t="str">
        <f>TRIM(SUBSTITUTE(SUBSTITUTE(SUBSTITUTE(SUBSTITUTE(UPPER(Transaction[[#This Row],[Region]]),"EMEA REGION","EMEA"),"APAC REGION","APAC"),"NORTH AMERICA","N. AMERICA"),"N .AMERICA","N.AMERICA"))</f>
        <v>EMEA</v>
      </c>
      <c r="M1109" t="s">
        <v>76</v>
      </c>
      <c r="N1109" t="s">
        <v>53</v>
      </c>
      <c r="O110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09" t="s">
        <v>22</v>
      </c>
      <c r="Q1109" t="str">
        <f>IF(TRIM(Transaction[[#This Row],[SalesChannel]])="","Missing Value",TRIM(Transaction[[#This Row],[SalesChannel]]))</f>
        <v>Direct</v>
      </c>
      <c r="R1109" s="4">
        <v>1</v>
      </c>
      <c r="S1109" s="4" t="str">
        <f>IF(Transaction[[#This Row],[Quantity]]&lt;0,"Negative-review","Valid")</f>
        <v>Valid</v>
      </c>
      <c r="T1109">
        <v>192.72</v>
      </c>
      <c r="U110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192.72</v>
      </c>
      <c r="V1109">
        <v>215</v>
      </c>
      <c r="W1109">
        <v>215</v>
      </c>
      <c r="X110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1109">
        <f>IF(Transaction[[#This Row],[GrossRevenue_Check]]="Invalid",Transaction[[#This Row],[ListPrice]]*Transaction[[#This Row],[Quantity]],Transaction[[#This Row],[GrossRevenue_Clean]])</f>
        <v>215</v>
      </c>
      <c r="Z1109" t="str">
        <f>IF(Transaction[[#This Row],[GrossRevenue_Clean]]=Transaction[[#This Row],[ListPrice]]*Transaction[[#This Row],[Quantity]],"Valid","Invalid")</f>
        <v>Valid</v>
      </c>
      <c r="AA1109" t="s">
        <v>2391</v>
      </c>
      <c r="AB110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22.28</v>
      </c>
      <c r="AC1109">
        <f>IF(Transaction[[#This Row],[DiscountAmount_Check2]]="Invalid",Transaction[[#This Row],[GrossRevenue_Analytical]]-Transaction[[#This Row],[NetRevenue_Analytical]],Transaction[[#This Row],[DiscountAmount_Clean]])</f>
        <v>22.28</v>
      </c>
      <c r="AD1109">
        <v>192.72</v>
      </c>
      <c r="AE1109" t="str">
        <f>IF(ROUND(Transaction[[#This Row],[GrossRevenue_Analytical]]-Transaction[[#This Row],[NetRevenue_Analytical]],2)=ROUND(Transaction[[#This Row],[DiscountAmount_Clean]],2),"Valid","Invalid")</f>
        <v>Valid</v>
      </c>
      <c r="AF110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192.72</v>
      </c>
      <c r="AG1109">
        <f>IF(Transaction[[#This Row],[NetRevenue_Check]]="Invalid",(Transaction[[#This Row],[Quantity]]*Transaction[[#This Row],[UnitPrice_Clean]]),Transaction[[#This Row],[NetRevenue_Clean]])</f>
        <v>192.72</v>
      </c>
      <c r="AH1109" t="str">
        <f>IF(Transaction[[#This Row],[Quantity]]*Transaction[[#This Row],[UnitPrice_Clean]]=Transaction[[#This Row],[NetRevenue_Clean]],"Valid","Invalid")</f>
        <v>Valid</v>
      </c>
      <c r="AI1109" t="s">
        <v>23</v>
      </c>
      <c r="AJ1109" t="s">
        <v>2392</v>
      </c>
      <c r="AK1109" t="str">
        <f>IF(Transaction[[#This Row],[Salesperson]]="","Missing Value",TRIM(PROPER(Transaction[[#This Row],[Salesperson]])))</f>
        <v>Willis-Ap</v>
      </c>
      <c r="AL1109" t="s">
        <v>25</v>
      </c>
      <c r="AM1109" t="str">
        <f>IF(Transaction[[#This Row],[ContractType]]="","Missing Value",Transaction[[#This Row],[ContractType]])</f>
        <v>Frame Agreement</v>
      </c>
      <c r="AN1109" t="s">
        <v>43</v>
      </c>
    </row>
    <row r="1110" spans="1:40" x14ac:dyDescent="0.25">
      <c r="A1110" t="s">
        <v>2036</v>
      </c>
      <c r="B1110" s="1">
        <v>45759</v>
      </c>
      <c r="C111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11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111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10" s="2">
        <f>IFERROR(DATE(Transaction[[#This Row],[TransactionDateY]],Transaction[[#This Row],[TransactionDateM]],Transaction[[#This Row],[TransactionDateD]]),"Missing Value")</f>
        <v>45759</v>
      </c>
      <c r="G1110" t="s">
        <v>86</v>
      </c>
      <c r="H1110" t="str">
        <f>IFERROR(VLOOKUP(Transaction[[#This Row],[CustomerID]],Custumer[],1,0),IF(LEN(Transaction[[#This Row],[CustomerID]])=7,LEFT(Transaction[[#This Row],[CustomerID]],6),"Invalid ID"))</f>
        <v>C-1177</v>
      </c>
      <c r="I1110" t="s">
        <v>117</v>
      </c>
      <c r="J1110" t="str">
        <f>TRIM(UPPER(Transaction[[#This Row],[ProductID]]))</f>
        <v>P-SI-007</v>
      </c>
      <c r="K1110" t="str">
        <f>IFERROR(VLOOKUP(Transaction[[#This Row],[ProductID_Clean]],Product[],1,FALSE),"Invalid ID")</f>
        <v>P-SI-007</v>
      </c>
      <c r="L1110" t="str">
        <f>TRIM(SUBSTITUTE(SUBSTITUTE(SUBSTITUTE(SUBSTITUTE(UPPER(Transaction[[#This Row],[Region]]),"EMEA REGION","EMEA"),"APAC REGION","APAC"),"NORTH AMERICA","N. AMERICA"),"N .AMERICA","N.AMERICA"))</f>
        <v>EMEA</v>
      </c>
      <c r="M1110" t="s">
        <v>76</v>
      </c>
      <c r="N1110" t="s">
        <v>53</v>
      </c>
      <c r="O111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10" t="s">
        <v>40</v>
      </c>
      <c r="Q1110" t="str">
        <f>IF(TRIM(Transaction[[#This Row],[SalesChannel]])="","Missing Value",TRIM(Transaction[[#This Row],[SalesChannel]]))</f>
        <v>Distributor</v>
      </c>
      <c r="R1110" s="4">
        <v>10</v>
      </c>
      <c r="S1110" s="4" t="str">
        <f>IF(Transaction[[#This Row],[Quantity]]&lt;0,"Negative-review","Valid")</f>
        <v>Valid</v>
      </c>
      <c r="T1110">
        <v>741.4</v>
      </c>
      <c r="U111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741.4</v>
      </c>
      <c r="V1110">
        <v>980</v>
      </c>
      <c r="W1110">
        <v>9800</v>
      </c>
      <c r="X111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1110">
        <f>IF(Transaction[[#This Row],[GrossRevenue_Check]]="Invalid",Transaction[[#This Row],[ListPrice]]*Transaction[[#This Row],[Quantity]],Transaction[[#This Row],[GrossRevenue_Clean]])</f>
        <v>9800</v>
      </c>
      <c r="Z1110" t="str">
        <f>IF(Transaction[[#This Row],[GrossRevenue_Clean]]=Transaction[[#This Row],[ListPrice]]*Transaction[[#This Row],[Quantity]],"Valid","Invalid")</f>
        <v>Valid</v>
      </c>
      <c r="AA1110">
        <v>2386</v>
      </c>
      <c r="AB111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2386</v>
      </c>
      <c r="AC1110">
        <f>IF(Transaction[[#This Row],[DiscountAmount_Check2]]="Invalid",Transaction[[#This Row],[GrossRevenue_Analytical]]-Transaction[[#This Row],[NetRevenue_Analytical]],Transaction[[#This Row],[DiscountAmount_Clean]])</f>
        <v>2386</v>
      </c>
      <c r="AD1110">
        <v>7414</v>
      </c>
      <c r="AE1110" t="str">
        <f>IF(ROUND(Transaction[[#This Row],[GrossRevenue_Analytical]]-Transaction[[#This Row],[NetRevenue_Analytical]],2)=ROUND(Transaction[[#This Row],[DiscountAmount_Clean]],2),"Valid","Invalid")</f>
        <v>Valid</v>
      </c>
      <c r="AF1110">
        <f>VALUE(IF(ISNUMBER(Transaction[[#This Row],[NetRevenue]]),Transaction[[#This Row],[NetRevenue]],IFERROR(IF(FIND("$",Transaction[[#This Row],[NetRevenue]])&gt;0,MID(Transaction[[#This Row],[NetRevenue]],2,10)),Transaction[[#This Row],[NetRevenue]])))</f>
        <v>7414</v>
      </c>
      <c r="AG1110">
        <f>IF(Transaction[[#This Row],[NetRevenue_Check]]="Invalid",(Transaction[[#This Row],[Quantity]]*Transaction[[#This Row],[UnitPrice_Clean]]),Transaction[[#This Row],[NetRevenue_Clean]])</f>
        <v>7414</v>
      </c>
      <c r="AH1110" t="str">
        <f>IF(Transaction[[#This Row],[Quantity]]*Transaction[[#This Row],[UnitPrice_Clean]]=Transaction[[#This Row],[NetRevenue_Clean]],"Valid","Invalid")</f>
        <v>Valid</v>
      </c>
      <c r="AI1110" t="s">
        <v>23</v>
      </c>
      <c r="AJ1110" t="s">
        <v>2037</v>
      </c>
      <c r="AK1110" t="str">
        <f>IF(Transaction[[#This Row],[Salesperson]]="","Missing Value",TRIM(PROPER(Transaction[[#This Row],[Salesperson]])))</f>
        <v>James</v>
      </c>
      <c r="AL1110" t="s">
        <v>42</v>
      </c>
      <c r="AM1110" t="str">
        <f>IF(Transaction[[#This Row],[ContractType]]="","Missing Value",Transaction[[#This Row],[ContractType]])</f>
        <v>Standard PO</v>
      </c>
      <c r="AN1110" t="s">
        <v>49</v>
      </c>
    </row>
    <row r="1111" spans="1:40" x14ac:dyDescent="0.25">
      <c r="A1111" t="s">
        <v>2832</v>
      </c>
      <c r="B1111" s="1">
        <v>45734</v>
      </c>
      <c r="C111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11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111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11" s="2">
        <f>IFERROR(DATE(Transaction[[#This Row],[TransactionDateY]],Transaction[[#This Row],[TransactionDateM]],Transaction[[#This Row],[TransactionDateD]]),"Missing Value")</f>
        <v>45734</v>
      </c>
      <c r="G1111" t="s">
        <v>621</v>
      </c>
      <c r="H1111" t="str">
        <f>IFERROR(VLOOKUP(Transaction[[#This Row],[CustomerID]],Custumer[],1,0),IF(LEN(Transaction[[#This Row],[CustomerID]])=7,LEFT(Transaction[[#This Row],[CustomerID]],6),"Invalid ID"))</f>
        <v>C-1064</v>
      </c>
      <c r="I1111" t="s">
        <v>111</v>
      </c>
      <c r="J1111" t="str">
        <f>TRIM(UPPER(Transaction[[#This Row],[ProductID]]))</f>
        <v>P-SA-004</v>
      </c>
      <c r="K1111" t="str">
        <f>IFERROR(VLOOKUP(Transaction[[#This Row],[ProductID_Clean]],Product[],1,FALSE),"Invalid ID")</f>
        <v>P-SA-004</v>
      </c>
      <c r="L1111" t="str">
        <f>TRIM(SUBSTITUTE(SUBSTITUTE(SUBSTITUTE(SUBSTITUTE(UPPER(Transaction[[#This Row],[Region]]),"EMEA REGION","EMEA"),"APAC REGION","APAC"),"NORTH AMERICA","N. AMERICA"),"N .AMERICA","N.AMERICA"))</f>
        <v>N. AMERICA</v>
      </c>
      <c r="M1111" t="s">
        <v>204</v>
      </c>
      <c r="N1111" t="s">
        <v>31</v>
      </c>
      <c r="O111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11" t="s">
        <v>22</v>
      </c>
      <c r="Q1111" t="str">
        <f>IF(TRIM(Transaction[[#This Row],[SalesChannel]])="","Missing Value",TRIM(Transaction[[#This Row],[SalesChannel]]))</f>
        <v>Direct</v>
      </c>
      <c r="R1111" s="4">
        <v>1</v>
      </c>
      <c r="S1111" s="4" t="str">
        <f>IF(Transaction[[#This Row],[Quantity]]&lt;0,"Negative-review","Valid")</f>
        <v>Valid</v>
      </c>
      <c r="T1111">
        <v>1413.6</v>
      </c>
      <c r="U111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1413.6</v>
      </c>
      <c r="V1111">
        <v>1650</v>
      </c>
      <c r="W1111">
        <v>1650</v>
      </c>
      <c r="X111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111">
        <f>IF(Transaction[[#This Row],[GrossRevenue_Check]]="Invalid",Transaction[[#This Row],[ListPrice]]*Transaction[[#This Row],[Quantity]],Transaction[[#This Row],[GrossRevenue_Clean]])</f>
        <v>1650</v>
      </c>
      <c r="Z1111" t="str">
        <f>IF(Transaction[[#This Row],[GrossRevenue_Clean]]=Transaction[[#This Row],[ListPrice]]*Transaction[[#This Row],[Quantity]],"Valid","Invalid")</f>
        <v>Valid</v>
      </c>
      <c r="AA1111">
        <v>236.4</v>
      </c>
      <c r="AB111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236.4</v>
      </c>
      <c r="AC1111">
        <f>IF(Transaction[[#This Row],[DiscountAmount_Check2]]="Invalid",Transaction[[#This Row],[GrossRevenue_Analytical]]-Transaction[[#This Row],[NetRevenue_Analytical]],Transaction[[#This Row],[DiscountAmount_Clean]])</f>
        <v>236.4</v>
      </c>
      <c r="AD1111">
        <v>1413.6</v>
      </c>
      <c r="AE1111" t="str">
        <f>IF(ROUND(Transaction[[#This Row],[GrossRevenue_Analytical]]-Transaction[[#This Row],[NetRevenue_Analytical]],2)=ROUND(Transaction[[#This Row],[DiscountAmount_Clean]],2),"Valid","Invalid")</f>
        <v>Valid</v>
      </c>
      <c r="AF111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1413.6</v>
      </c>
      <c r="AG1111">
        <f>IF(Transaction[[#This Row],[NetRevenue_Check]]="Invalid",(Transaction[[#This Row],[Quantity]]*Transaction[[#This Row],[UnitPrice_Clean]]),Transaction[[#This Row],[NetRevenue_Clean]])</f>
        <v>1413.6</v>
      </c>
      <c r="AH1111" t="str">
        <f>IF(Transaction[[#This Row],[Quantity]]*Transaction[[#This Row],[UnitPrice_Clean]]=Transaction[[#This Row],[NetRevenue_Clean]],"Valid","Invalid")</f>
        <v>Valid</v>
      </c>
      <c r="AI1111" t="s">
        <v>23</v>
      </c>
      <c r="AJ1111" t="s">
        <v>1433</v>
      </c>
      <c r="AK1111" t="str">
        <f>IF(Transaction[[#This Row],[Salesperson]]="","Missing Value",TRIM(PROPER(Transaction[[#This Row],[Salesperson]])))</f>
        <v>Barton</v>
      </c>
      <c r="AL1111" t="s">
        <v>34</v>
      </c>
      <c r="AM1111" t="str">
        <f>IF(Transaction[[#This Row],[ContractType]]="","Missing Value",Transaction[[#This Row],[ContractType]])</f>
        <v>Annual License</v>
      </c>
      <c r="AN1111" t="s">
        <v>35</v>
      </c>
    </row>
    <row r="1112" spans="1:40" x14ac:dyDescent="0.25">
      <c r="A1112" t="s">
        <v>2016</v>
      </c>
      <c r="B1112" s="1">
        <v>45802</v>
      </c>
      <c r="C111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11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111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12" s="2">
        <f>IFERROR(DATE(Transaction[[#This Row],[TransactionDateY]],Transaction[[#This Row],[TransactionDateM]],Transaction[[#This Row],[TransactionDateD]]),"Missing Value")</f>
        <v>45802</v>
      </c>
      <c r="G1112" t="s">
        <v>292</v>
      </c>
      <c r="H1112" t="str">
        <f>IFERROR(VLOOKUP(Transaction[[#This Row],[CustomerID]],Custumer[],1,0),IF(LEN(Transaction[[#This Row],[CustomerID]])=7,LEFT(Transaction[[#This Row],[CustomerID]],6),"Invalid ID"))</f>
        <v>C-1065</v>
      </c>
      <c r="I1112" t="s">
        <v>111</v>
      </c>
      <c r="J1112" t="str">
        <f>TRIM(UPPER(Transaction[[#This Row],[ProductID]]))</f>
        <v>P-SA-004</v>
      </c>
      <c r="K1112" t="str">
        <f>IFERROR(VLOOKUP(Transaction[[#This Row],[ProductID_Clean]],Product[],1,FALSE),"Invalid ID")</f>
        <v>P-SA-004</v>
      </c>
      <c r="L1112" t="str">
        <f>TRIM(SUBSTITUTE(SUBSTITUTE(SUBSTITUTE(SUBSTITUTE(UPPER(Transaction[[#This Row],[Region]]),"EMEA REGION","EMEA"),"APAC REGION","APAC"),"NORTH AMERICA","N. AMERICA"),"N .AMERICA","N.AMERICA"))</f>
        <v>APAC</v>
      </c>
      <c r="M1112" t="s">
        <v>30</v>
      </c>
      <c r="N1112" t="s">
        <v>31</v>
      </c>
      <c r="O111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12" t="s">
        <v>77</v>
      </c>
      <c r="Q1112" t="str">
        <f>IF(TRIM(Transaction[[#This Row],[SalesChannel]])="","Missing Value",TRIM(Transaction[[#This Row],[SalesChannel]]))</f>
        <v>distributor</v>
      </c>
      <c r="R1112" s="4">
        <v>1</v>
      </c>
      <c r="S1112" s="4" t="str">
        <f>IF(Transaction[[#This Row],[Quantity]]&lt;0,"Negative-review","Valid")</f>
        <v>Valid</v>
      </c>
      <c r="T1112">
        <v>1414.12</v>
      </c>
      <c r="U111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1414.12</v>
      </c>
      <c r="V1112">
        <v>1650</v>
      </c>
      <c r="W1112">
        <v>1650</v>
      </c>
      <c r="X111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112">
        <f>IF(Transaction[[#This Row],[GrossRevenue_Check]]="Invalid",Transaction[[#This Row],[ListPrice]]*Transaction[[#This Row],[Quantity]],Transaction[[#This Row],[GrossRevenue_Clean]])</f>
        <v>1650</v>
      </c>
      <c r="Z1112" t="str">
        <f>IF(Transaction[[#This Row],[GrossRevenue_Clean]]=Transaction[[#This Row],[ListPrice]]*Transaction[[#This Row],[Quantity]],"Valid","Invalid")</f>
        <v>Valid</v>
      </c>
      <c r="AA1112">
        <v>235.88</v>
      </c>
      <c r="AB111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235.88</v>
      </c>
      <c r="AC1112">
        <f>IF(Transaction[[#This Row],[DiscountAmount_Check2]]="Invalid",Transaction[[#This Row],[GrossRevenue_Analytical]]-Transaction[[#This Row],[NetRevenue_Analytical]],Transaction[[#This Row],[DiscountAmount_Clean]])</f>
        <v>235.88</v>
      </c>
      <c r="AD1112">
        <v>1414.12</v>
      </c>
      <c r="AE1112" t="str">
        <f>IF(ROUND(Transaction[[#This Row],[GrossRevenue_Analytical]]-Transaction[[#This Row],[NetRevenue_Analytical]],2)=ROUND(Transaction[[#This Row],[DiscountAmount_Clean]],2),"Valid","Invalid")</f>
        <v>Valid</v>
      </c>
      <c r="AF111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1414.12</v>
      </c>
      <c r="AG1112">
        <f>IF(Transaction[[#This Row],[NetRevenue_Check]]="Invalid",(Transaction[[#This Row],[Quantity]]*Transaction[[#This Row],[UnitPrice_Clean]]),Transaction[[#This Row],[NetRevenue_Clean]])</f>
        <v>1414.12</v>
      </c>
      <c r="AH1112" t="str">
        <f>IF(Transaction[[#This Row],[Quantity]]*Transaction[[#This Row],[UnitPrice_Clean]]=Transaction[[#This Row],[NetRevenue_Clean]],"Valid","Invalid")</f>
        <v>Valid</v>
      </c>
      <c r="AI1112" t="s">
        <v>23</v>
      </c>
      <c r="AJ1112" t="s">
        <v>2017</v>
      </c>
      <c r="AK1112" t="str">
        <f>IF(Transaction[[#This Row],[Salesperson]]="","Missing Value",TRIM(PROPER(Transaction[[#This Row],[Salesperson]])))</f>
        <v>Phillips</v>
      </c>
      <c r="AL1112" t="s">
        <v>34</v>
      </c>
      <c r="AM1112" t="str">
        <f>IF(Transaction[[#This Row],[ContractType]]="","Missing Value",Transaction[[#This Row],[ContractType]])</f>
        <v>Annual License</v>
      </c>
      <c r="AN1112" t="s">
        <v>35</v>
      </c>
    </row>
    <row r="1113" spans="1:40" x14ac:dyDescent="0.25">
      <c r="A1113" t="s">
        <v>1366</v>
      </c>
      <c r="B1113" s="1">
        <v>45803</v>
      </c>
      <c r="C111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11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111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13" s="2">
        <f>IFERROR(DATE(Transaction[[#This Row],[TransactionDateY]],Transaction[[#This Row],[TransactionDateM]],Transaction[[#This Row],[TransactionDateD]]),"Missing Value")</f>
        <v>45803</v>
      </c>
      <c r="G1113" t="s">
        <v>1367</v>
      </c>
      <c r="H1113" t="str">
        <f>IFERROR(VLOOKUP(Transaction[[#This Row],[CustomerID]],Custumer[],1,0),IF(LEN(Transaction[[#This Row],[CustomerID]])=7,LEFT(Transaction[[#This Row],[CustomerID]],6),"Invalid ID"))</f>
        <v>C-1069</v>
      </c>
      <c r="I1113" t="s">
        <v>111</v>
      </c>
      <c r="J1113" t="str">
        <f>TRIM(UPPER(Transaction[[#This Row],[ProductID]]))</f>
        <v>P-SA-004</v>
      </c>
      <c r="K1113" t="str">
        <f>IFERROR(VLOOKUP(Transaction[[#This Row],[ProductID_Clean]],Product[],1,FALSE),"Invalid ID")</f>
        <v>P-SA-004</v>
      </c>
      <c r="L1113" t="str">
        <f>TRIM(SUBSTITUTE(SUBSTITUTE(SUBSTITUTE(SUBSTITUTE(UPPER(Transaction[[#This Row],[Region]]),"EMEA REGION","EMEA"),"APAC REGION","APAC"),"NORTH AMERICA","N. AMERICA"),"N .AMERICA","N.AMERICA"))</f>
        <v>EMEA</v>
      </c>
      <c r="M1113" t="s">
        <v>76</v>
      </c>
      <c r="N1113" t="s">
        <v>205</v>
      </c>
      <c r="O111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13" t="s">
        <v>40</v>
      </c>
      <c r="Q1113" t="str">
        <f>IF(TRIM(Transaction[[#This Row],[SalesChannel]])="","Missing Value",TRIM(Transaction[[#This Row],[SalesChannel]]))</f>
        <v>Distributor</v>
      </c>
      <c r="R1113" s="4">
        <v>1</v>
      </c>
      <c r="S1113" s="4" t="str">
        <f>IF(Transaction[[#This Row],[Quantity]]&lt;0,"Negative-review","Valid")</f>
        <v>Valid</v>
      </c>
      <c r="T1113">
        <v>1383.25</v>
      </c>
      <c r="U111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1383.25</v>
      </c>
      <c r="V1113">
        <v>1650</v>
      </c>
      <c r="W1113">
        <v>1650</v>
      </c>
      <c r="X111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113">
        <f>IF(Transaction[[#This Row],[GrossRevenue_Check]]="Invalid",Transaction[[#This Row],[ListPrice]]*Transaction[[#This Row],[Quantity]],Transaction[[#This Row],[GrossRevenue_Clean]])</f>
        <v>1650</v>
      </c>
      <c r="Z1113" t="str">
        <f>IF(Transaction[[#This Row],[GrossRevenue_Clean]]=Transaction[[#This Row],[ListPrice]]*Transaction[[#This Row],[Quantity]],"Valid","Invalid")</f>
        <v>Valid</v>
      </c>
      <c r="AA1113">
        <v>266.75</v>
      </c>
      <c r="AB111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266.75</v>
      </c>
      <c r="AC1113">
        <f>IF(Transaction[[#This Row],[DiscountAmount_Check2]]="Invalid",Transaction[[#This Row],[GrossRevenue_Analytical]]-Transaction[[#This Row],[NetRevenue_Analytical]],Transaction[[#This Row],[DiscountAmount_Clean]])</f>
        <v>266.75</v>
      </c>
      <c r="AD1113">
        <v>1383.25</v>
      </c>
      <c r="AE1113" t="str">
        <f>IF(ROUND(Transaction[[#This Row],[GrossRevenue_Analytical]]-Transaction[[#This Row],[NetRevenue_Analytical]],2)=ROUND(Transaction[[#This Row],[DiscountAmount_Clean]],2),"Valid","Invalid")</f>
        <v>Valid</v>
      </c>
      <c r="AF111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1383.25</v>
      </c>
      <c r="AG1113">
        <f>IF(Transaction[[#This Row],[NetRevenue_Check]]="Invalid",(Transaction[[#This Row],[Quantity]]*Transaction[[#This Row],[UnitPrice_Clean]]),Transaction[[#This Row],[NetRevenue_Clean]])</f>
        <v>1383.25</v>
      </c>
      <c r="AH1113" t="str">
        <f>IF(Transaction[[#This Row],[Quantity]]*Transaction[[#This Row],[UnitPrice_Clean]]=Transaction[[#This Row],[NetRevenue_Clean]],"Valid","Invalid")</f>
        <v>Valid</v>
      </c>
      <c r="AI1113" t="s">
        <v>23</v>
      </c>
      <c r="AJ1113" t="s">
        <v>1368</v>
      </c>
      <c r="AK1113" t="str">
        <f>IF(Transaction[[#This Row],[Salesperson]]="","Missing Value",TRIM(PROPER(Transaction[[#This Row],[Salesperson]])))</f>
        <v>Wright-Na</v>
      </c>
      <c r="AL1113" t="s">
        <v>113</v>
      </c>
      <c r="AM1113" t="str">
        <f>IF(Transaction[[#This Row],[ContractType]]="","Missing Value",Transaction[[#This Row],[ContractType]])</f>
        <v>Subscription</v>
      </c>
      <c r="AN1113" t="s">
        <v>43</v>
      </c>
    </row>
    <row r="1114" spans="1:40" x14ac:dyDescent="0.25">
      <c r="A1114" t="s">
        <v>2369</v>
      </c>
      <c r="B1114" s="1">
        <v>45831</v>
      </c>
      <c r="C111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11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111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14" s="2">
        <f>IFERROR(DATE(Transaction[[#This Row],[TransactionDateY]],Transaction[[#This Row],[TransactionDateM]],Transaction[[#This Row],[TransactionDateD]]),"Missing Value")</f>
        <v>45831</v>
      </c>
      <c r="G1114" t="s">
        <v>163</v>
      </c>
      <c r="H1114" t="str">
        <f>IFERROR(VLOOKUP(Transaction[[#This Row],[CustomerID]],Custumer[],1,0),IF(LEN(Transaction[[#This Row],[CustomerID]])=7,LEFT(Transaction[[#This Row],[CustomerID]],6),"Invalid ID"))</f>
        <v>C-1164</v>
      </c>
      <c r="I1114" t="s">
        <v>226</v>
      </c>
      <c r="J1114" t="str">
        <f>TRIM(UPPER(Transaction[[#This Row],[ProductID]]))</f>
        <v>P-SA-002</v>
      </c>
      <c r="K1114" t="str">
        <f>IFERROR(VLOOKUP(Transaction[[#This Row],[ProductID_Clean]],Product[],1,FALSE),"Invalid ID")</f>
        <v>P-SA-002</v>
      </c>
      <c r="L1114" t="str">
        <f>TRIM(SUBSTITUTE(SUBSTITUTE(SUBSTITUTE(SUBSTITUTE(UPPER(Transaction[[#This Row],[Region]]),"EMEA REGION","EMEA"),"APAC REGION","APAC"),"NORTH AMERICA","N. AMERICA"),"N .AMERICA","N.AMERICA"))</f>
        <v>EMEA</v>
      </c>
      <c r="M1114" t="s">
        <v>76</v>
      </c>
      <c r="N1114" t="s">
        <v>31</v>
      </c>
      <c r="O111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14" t="s">
        <v>22</v>
      </c>
      <c r="Q1114" t="str">
        <f>IF(TRIM(Transaction[[#This Row],[SalesChannel]])="","Missing Value",TRIM(Transaction[[#This Row],[SalesChannel]]))</f>
        <v>Direct</v>
      </c>
      <c r="R1114" s="4">
        <v>1</v>
      </c>
      <c r="S1114" s="4" t="str">
        <f>IF(Transaction[[#This Row],[Quantity]]&lt;0,"Negative-review","Valid")</f>
        <v>Valid</v>
      </c>
      <c r="T1114">
        <v>8826.9599999999991</v>
      </c>
      <c r="U111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8826.9599999999991</v>
      </c>
      <c r="V1114">
        <v>9800</v>
      </c>
      <c r="W1114">
        <v>9800</v>
      </c>
      <c r="X111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1114">
        <f>IF(Transaction[[#This Row],[GrossRevenue_Check]]="Invalid",Transaction[[#This Row],[ListPrice]]*Transaction[[#This Row],[Quantity]],Transaction[[#This Row],[GrossRevenue_Clean]])</f>
        <v>9800</v>
      </c>
      <c r="Z1114" t="str">
        <f>IF(Transaction[[#This Row],[GrossRevenue_Clean]]=Transaction[[#This Row],[ListPrice]]*Transaction[[#This Row],[Quantity]],"Valid","Invalid")</f>
        <v>Valid</v>
      </c>
      <c r="AA1114">
        <v>973.04</v>
      </c>
      <c r="AB111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973.04</v>
      </c>
      <c r="AC1114">
        <f>IF(Transaction[[#This Row],[DiscountAmount_Check2]]="Invalid",Transaction[[#This Row],[GrossRevenue_Analytical]]-Transaction[[#This Row],[NetRevenue_Analytical]],Transaction[[#This Row],[DiscountAmount_Clean]])</f>
        <v>973.04</v>
      </c>
      <c r="AD1114" t="s">
        <v>2370</v>
      </c>
      <c r="AE1114" t="str">
        <f>IF(ROUND(Transaction[[#This Row],[GrossRevenue_Analytical]]-Transaction[[#This Row],[NetRevenue_Analytical]],2)=ROUND(Transaction[[#This Row],[DiscountAmount_Clean]],2),"Valid","Invalid")</f>
        <v>Valid</v>
      </c>
      <c r="AF1114">
        <f>VALUE(IF(ISNUMBER(Transaction[[#This Row],[NetRevenue]]),Transaction[[#This Row],[NetRevenue]],IFERROR(IF(FIND("$",Transaction[[#This Row],[NetRevenue]])&gt;0,MID(Transaction[[#This Row],[NetRevenue]],2,10)),Transaction[[#This Row],[NetRevenue]])))</f>
        <v>8826.9599999999991</v>
      </c>
      <c r="AG1114">
        <f>IF(Transaction[[#This Row],[NetRevenue_Check]]="Invalid",(Transaction[[#This Row],[Quantity]]*Transaction[[#This Row],[UnitPrice_Clean]]),Transaction[[#This Row],[NetRevenue_Clean]])</f>
        <v>8826.9599999999991</v>
      </c>
      <c r="AH1114" t="str">
        <f>IF(Transaction[[#This Row],[Quantity]]*Transaction[[#This Row],[UnitPrice_Clean]]=Transaction[[#This Row],[NetRevenue_Clean]],"Valid","Invalid")</f>
        <v>Valid</v>
      </c>
      <c r="AI1114" t="s">
        <v>23</v>
      </c>
      <c r="AJ1114" t="s">
        <v>2371</v>
      </c>
      <c r="AK1114" t="str">
        <f>IF(Transaction[[#This Row],[Salesperson]]="","Missing Value",TRIM(PROPER(Transaction[[#This Row],[Salesperson]])))</f>
        <v>Jones-Em</v>
      </c>
      <c r="AL1114" t="s">
        <v>113</v>
      </c>
      <c r="AM1114" t="str">
        <f>IF(Transaction[[#This Row],[ContractType]]="","Missing Value",Transaction[[#This Row],[ContractType]])</f>
        <v>Subscription</v>
      </c>
      <c r="AN1114" t="s">
        <v>43</v>
      </c>
    </row>
    <row r="1115" spans="1:40" x14ac:dyDescent="0.25">
      <c r="A1115" t="s">
        <v>768</v>
      </c>
      <c r="B1115" s="1">
        <v>45742</v>
      </c>
      <c r="C111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11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111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15" s="2">
        <f>IFERROR(DATE(Transaction[[#This Row],[TransactionDateY]],Transaction[[#This Row],[TransactionDateM]],Transaction[[#This Row],[TransactionDateD]]),"Missing Value")</f>
        <v>45742</v>
      </c>
      <c r="G1115" t="s">
        <v>412</v>
      </c>
      <c r="H1115" t="str">
        <f>IFERROR(VLOOKUP(Transaction[[#This Row],[CustomerID]],Custumer[],1,0),IF(LEN(Transaction[[#This Row],[CustomerID]])=7,LEFT(Transaction[[#This Row],[CustomerID]],6),"Invalid ID"))</f>
        <v>C-1126</v>
      </c>
      <c r="I1115" t="s">
        <v>117</v>
      </c>
      <c r="J1115" t="str">
        <f>TRIM(UPPER(Transaction[[#This Row],[ProductID]]))</f>
        <v>P-SI-007</v>
      </c>
      <c r="K1115" t="str">
        <f>IFERROR(VLOOKUP(Transaction[[#This Row],[ProductID_Clean]],Product[],1,FALSE),"Invalid ID")</f>
        <v>P-SI-007</v>
      </c>
      <c r="L1115" t="str">
        <f>TRIM(SUBSTITUTE(SUBSTITUTE(SUBSTITUTE(SUBSTITUTE(UPPER(Transaction[[#This Row],[Region]]),"EMEA REGION","EMEA"),"APAC REGION","APAC"),"NORTH AMERICA","N. AMERICA"),"N .AMERICA","N.AMERICA"))</f>
        <v>EMEA</v>
      </c>
      <c r="M1115" t="s">
        <v>76</v>
      </c>
      <c r="N1115" t="s">
        <v>47</v>
      </c>
      <c r="O111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15" t="s">
        <v>181</v>
      </c>
      <c r="Q1115" t="str">
        <f>IF(TRIM(Transaction[[#This Row],[SalesChannel]])="","Missing Value",TRIM(Transaction[[#This Row],[SalesChannel]]))</f>
        <v>Partner Portal</v>
      </c>
      <c r="R1115" s="4">
        <v>1</v>
      </c>
      <c r="S1115" s="4" t="str">
        <f>IF(Transaction[[#This Row],[Quantity]]&lt;0,"Negative-review","Valid")</f>
        <v>Valid</v>
      </c>
      <c r="T1115">
        <v>796.16</v>
      </c>
      <c r="U111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796.16</v>
      </c>
      <c r="V1115">
        <v>980</v>
      </c>
      <c r="W1115">
        <v>980</v>
      </c>
      <c r="X111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1115">
        <f>IF(Transaction[[#This Row],[GrossRevenue_Check]]="Invalid",Transaction[[#This Row],[ListPrice]]*Transaction[[#This Row],[Quantity]],Transaction[[#This Row],[GrossRevenue_Clean]])</f>
        <v>980</v>
      </c>
      <c r="Z1115" t="str">
        <f>IF(Transaction[[#This Row],[GrossRevenue_Clean]]=Transaction[[#This Row],[ListPrice]]*Transaction[[#This Row],[Quantity]],"Valid","Invalid")</f>
        <v>Valid</v>
      </c>
      <c r="AA1115">
        <v>183.84</v>
      </c>
      <c r="AB111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183.84</v>
      </c>
      <c r="AC1115">
        <f>IF(Transaction[[#This Row],[DiscountAmount_Check2]]="Invalid",Transaction[[#This Row],[GrossRevenue_Analytical]]-Transaction[[#This Row],[NetRevenue_Analytical]],Transaction[[#This Row],[DiscountAmount_Clean]])</f>
        <v>183.84</v>
      </c>
      <c r="AD1115">
        <v>796.16</v>
      </c>
      <c r="AE1115" t="str">
        <f>IF(ROUND(Transaction[[#This Row],[GrossRevenue_Analytical]]-Transaction[[#This Row],[NetRevenue_Analytical]],2)=ROUND(Transaction[[#This Row],[DiscountAmount_Clean]],2),"Valid","Invalid")</f>
        <v>Valid</v>
      </c>
      <c r="AF1115">
        <f>VALUE(IF(ISNUMBER(Transaction[[#This Row],[NetRevenue]]),Transaction[[#This Row],[NetRevenue]],IFERROR(IF(FIND("$",Transaction[[#This Row],[NetRevenue]])&gt;0,MID(Transaction[[#This Row],[NetRevenue]],2,10)),Transaction[[#This Row],[NetRevenue]])))</f>
        <v>796.16</v>
      </c>
      <c r="AG1115">
        <f>IF(Transaction[[#This Row],[NetRevenue_Check]]="Invalid",(Transaction[[#This Row],[Quantity]]*Transaction[[#This Row],[UnitPrice_Clean]]),Transaction[[#This Row],[NetRevenue_Clean]])</f>
        <v>796.16</v>
      </c>
      <c r="AH1115" t="str">
        <f>IF(Transaction[[#This Row],[Quantity]]*Transaction[[#This Row],[UnitPrice_Clean]]=Transaction[[#This Row],[NetRevenue_Clean]],"Valid","Invalid")</f>
        <v>Valid</v>
      </c>
      <c r="AI1115" t="s">
        <v>23</v>
      </c>
      <c r="AJ1115" t="s">
        <v>769</v>
      </c>
      <c r="AK1115" t="str">
        <f>IF(Transaction[[#This Row],[Salesperson]]="","Missing Value",TRIM(PROPER(Transaction[[#This Row],[Salesperson]])))</f>
        <v>Adams-Ap</v>
      </c>
      <c r="AL1115" t="s">
        <v>42</v>
      </c>
      <c r="AM1115" t="str">
        <f>IF(Transaction[[#This Row],[ContractType]]="","Missing Value",Transaction[[#This Row],[ContractType]])</f>
        <v>Standard PO</v>
      </c>
      <c r="AN1115" t="s">
        <v>43</v>
      </c>
    </row>
    <row r="1116" spans="1:40" x14ac:dyDescent="0.25">
      <c r="A1116" t="s">
        <v>589</v>
      </c>
      <c r="B1116" s="1">
        <v>45801</v>
      </c>
      <c r="C111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11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111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16" s="2">
        <f>IFERROR(DATE(Transaction[[#This Row],[TransactionDateY]],Transaction[[#This Row],[TransactionDateM]],Transaction[[#This Row],[TransactionDateD]]),"Missing Value")</f>
        <v>45801</v>
      </c>
      <c r="G1116" t="s">
        <v>590</v>
      </c>
      <c r="H1116" t="str">
        <f>IFERROR(VLOOKUP(Transaction[[#This Row],[CustomerID]],Custumer[],1,0),IF(LEN(Transaction[[#This Row],[CustomerID]])=7,LEFT(Transaction[[#This Row],[CustomerID]],6),"Invalid ID"))</f>
        <v>C-1067</v>
      </c>
      <c r="I1116" t="s">
        <v>591</v>
      </c>
      <c r="J1116" t="str">
        <f>TRIM(UPPER(Transaction[[#This Row],[ProductID]]))</f>
        <v>P-SI-004</v>
      </c>
      <c r="K1116" t="str">
        <f>IFERROR(VLOOKUP(Transaction[[#This Row],[ProductID_Clean]],Product[],1,FALSE),"Invalid ID")</f>
        <v>P-SI-004</v>
      </c>
      <c r="L1116" t="str">
        <f>TRIM(SUBSTITUTE(SUBSTITUTE(SUBSTITUTE(SUBSTITUTE(UPPER(Transaction[[#This Row],[Region]]),"EMEA REGION","EMEA"),"APAC REGION","APAC"),"NORTH AMERICA","N. AMERICA"),"N .AMERICA","N.AMERICA"))</f>
        <v>APAC</v>
      </c>
      <c r="M1116" t="s">
        <v>30</v>
      </c>
      <c r="N1116" t="s">
        <v>53</v>
      </c>
      <c r="O111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16" t="s">
        <v>181</v>
      </c>
      <c r="Q1116" t="str">
        <f>IF(TRIM(Transaction[[#This Row],[SalesChannel]])="","Missing Value",TRIM(Transaction[[#This Row],[SalesChannel]]))</f>
        <v>Partner Portal</v>
      </c>
      <c r="R1116" s="4">
        <v>-4</v>
      </c>
      <c r="S1116" s="4" t="str">
        <f>IF(Transaction[[#This Row],[Quantity]]&lt;0,"Negative-review","Valid")</f>
        <v>Negative-review</v>
      </c>
      <c r="T1116">
        <v>1767.6</v>
      </c>
      <c r="U111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1767.6</v>
      </c>
      <c r="V1116">
        <v>2450</v>
      </c>
      <c r="W1116">
        <v>9800</v>
      </c>
      <c r="X111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1116">
        <f>IF(Transaction[[#This Row],[GrossRevenue_Check]]="Invalid",Transaction[[#This Row],[ListPrice]]*Transaction[[#This Row],[Quantity]],Transaction[[#This Row],[GrossRevenue_Clean]])</f>
        <v>-9800</v>
      </c>
      <c r="Z1116" t="str">
        <f>IF(Transaction[[#This Row],[GrossRevenue_Clean]]=Transaction[[#This Row],[ListPrice]]*Transaction[[#This Row],[Quantity]],"Valid","Invalid")</f>
        <v>Invalid</v>
      </c>
      <c r="AA1116">
        <v>2729.6</v>
      </c>
      <c r="AB111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2729.6</v>
      </c>
      <c r="AC1116">
        <f>IF(Transaction[[#This Row],[DiscountAmount_Check2]]="Invalid",Transaction[[#This Row],[GrossRevenue_Analytical]]-Transaction[[#This Row],[NetRevenue_Analytical]],Transaction[[#This Row],[DiscountAmount_Clean]])</f>
        <v>-2729.6000000000004</v>
      </c>
      <c r="AD1116">
        <v>7070.4</v>
      </c>
      <c r="AE1116" t="str">
        <f>IF(ROUND(Transaction[[#This Row],[GrossRevenue_Analytical]]-Transaction[[#This Row],[NetRevenue_Analytical]],2)=ROUND(Transaction[[#This Row],[DiscountAmount_Clean]],2),"Valid","Invalid")</f>
        <v>Invalid</v>
      </c>
      <c r="AF1116">
        <f>VALUE(IF(ISNUMBER(Transaction[[#This Row],[NetRevenue]]),Transaction[[#This Row],[NetRevenue]],IFERROR(IF(FIND("$",Transaction[[#This Row],[NetRevenue]])&gt;0,MID(Transaction[[#This Row],[NetRevenue]],2,10)),Transaction[[#This Row],[NetRevenue]])))</f>
        <v>7070.4</v>
      </c>
      <c r="AG1116">
        <f>IF(Transaction[[#This Row],[NetRevenue_Check]]="Invalid",(Transaction[[#This Row],[Quantity]]*Transaction[[#This Row],[UnitPrice_Clean]]),Transaction[[#This Row],[NetRevenue_Clean]])</f>
        <v>-7070.4</v>
      </c>
      <c r="AH1116" t="str">
        <f>IF(Transaction[[#This Row],[Quantity]]*Transaction[[#This Row],[UnitPrice_Clean]]=Transaction[[#This Row],[NetRevenue_Clean]],"Valid","Invalid")</f>
        <v>Invalid</v>
      </c>
      <c r="AI1116" t="s">
        <v>23</v>
      </c>
      <c r="AJ1116" t="s">
        <v>592</v>
      </c>
      <c r="AK1116" t="str">
        <f>IF(Transaction[[#This Row],[Salesperson]]="","Missing Value",TRIM(PROPER(Transaction[[#This Row],[Salesperson]])))</f>
        <v>Patterson</v>
      </c>
      <c r="AL1116" t="s">
        <v>55</v>
      </c>
      <c r="AM1116" t="str">
        <f>IF(Transaction[[#This Row],[ContractType]]="","Missing Value",Transaction[[#This Row],[ContractType]])</f>
        <v>Spot</v>
      </c>
      <c r="AN1116" t="s">
        <v>43</v>
      </c>
    </row>
    <row r="1117" spans="1:40" x14ac:dyDescent="0.25">
      <c r="A1117" t="s">
        <v>2284</v>
      </c>
      <c r="B1117" s="1">
        <v>45678</v>
      </c>
      <c r="C111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11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111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17" s="2">
        <f>IFERROR(DATE(Transaction[[#This Row],[TransactionDateY]],Transaction[[#This Row],[TransactionDateM]],Transaction[[#This Row],[TransactionDateD]]),"Missing Value")</f>
        <v>45678</v>
      </c>
      <c r="G1117" t="s">
        <v>784</v>
      </c>
      <c r="H1117" t="str">
        <f>IFERROR(VLOOKUP(Transaction[[#This Row],[CustomerID]],Custumer[],1,0),IF(LEN(Transaction[[#This Row],[CustomerID]])=7,LEFT(Transaction[[#This Row],[CustomerID]],6),"Invalid ID"))</f>
        <v>C-1159</v>
      </c>
      <c r="I1117" t="s">
        <v>62</v>
      </c>
      <c r="J1117" t="str">
        <f>TRIM(UPPER(Transaction[[#This Row],[ProductID]]))</f>
        <v>P-SI-004</v>
      </c>
      <c r="K1117" t="str">
        <f>IFERROR(VLOOKUP(Transaction[[#This Row],[ProductID_Clean]],Product[],1,FALSE),"Invalid ID")</f>
        <v>P-SI-004</v>
      </c>
      <c r="L1117" t="str">
        <f>TRIM(SUBSTITUTE(SUBSTITUTE(SUBSTITUTE(SUBSTITUTE(UPPER(Transaction[[#This Row],[Region]]),"EMEA REGION","EMEA"),"APAC REGION","APAC"),"NORTH AMERICA","N. AMERICA"),"N .AMERICA","N.AMERICA"))</f>
        <v>EMEA</v>
      </c>
      <c r="M1117" t="s">
        <v>76</v>
      </c>
      <c r="N1117" t="s">
        <v>53</v>
      </c>
      <c r="O111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17" t="s">
        <v>40</v>
      </c>
      <c r="Q1117" t="str">
        <f>IF(TRIM(Transaction[[#This Row],[SalesChannel]])="","Missing Value",TRIM(Transaction[[#This Row],[SalesChannel]]))</f>
        <v>Distributor</v>
      </c>
      <c r="R1117" s="4">
        <v>1</v>
      </c>
      <c r="S1117" s="4" t="str">
        <f>IF(Transaction[[#This Row],[Quantity]]&lt;0,"Negative-review","Valid")</f>
        <v>Valid</v>
      </c>
      <c r="T1117">
        <v>2042.53</v>
      </c>
      <c r="U111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2042.53</v>
      </c>
      <c r="V1117">
        <v>2450</v>
      </c>
      <c r="W1117">
        <v>2450</v>
      </c>
      <c r="X111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1117">
        <f>IF(Transaction[[#This Row],[GrossRevenue_Check]]="Invalid",Transaction[[#This Row],[ListPrice]]*Transaction[[#This Row],[Quantity]],Transaction[[#This Row],[GrossRevenue_Clean]])</f>
        <v>2450</v>
      </c>
      <c r="Z1117" t="str">
        <f>IF(Transaction[[#This Row],[GrossRevenue_Clean]]=Transaction[[#This Row],[ListPrice]]*Transaction[[#This Row],[Quantity]],"Valid","Invalid")</f>
        <v>Valid</v>
      </c>
      <c r="AA1117">
        <v>407.47</v>
      </c>
      <c r="AB111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407.47</v>
      </c>
      <c r="AC1117">
        <f>IF(Transaction[[#This Row],[DiscountAmount_Check2]]="Invalid",Transaction[[#This Row],[GrossRevenue_Analytical]]-Transaction[[#This Row],[NetRevenue_Analytical]],Transaction[[#This Row],[DiscountAmount_Clean]])</f>
        <v>407.47</v>
      </c>
      <c r="AD1117">
        <v>2042.53</v>
      </c>
      <c r="AE1117" t="str">
        <f>IF(ROUND(Transaction[[#This Row],[GrossRevenue_Analytical]]-Transaction[[#This Row],[NetRevenue_Analytical]],2)=ROUND(Transaction[[#This Row],[DiscountAmount_Clean]],2),"Valid","Invalid")</f>
        <v>Valid</v>
      </c>
      <c r="AF1117">
        <f>VALUE(IF(ISNUMBER(Transaction[[#This Row],[NetRevenue]]),Transaction[[#This Row],[NetRevenue]],IFERROR(IF(FIND("$",Transaction[[#This Row],[NetRevenue]])&gt;0,MID(Transaction[[#This Row],[NetRevenue]],2,10)),Transaction[[#This Row],[NetRevenue]])))</f>
        <v>2042.53</v>
      </c>
      <c r="AG1117">
        <f>IF(Transaction[[#This Row],[NetRevenue_Check]]="Invalid",(Transaction[[#This Row],[Quantity]]*Transaction[[#This Row],[UnitPrice_Clean]]),Transaction[[#This Row],[NetRevenue_Clean]])</f>
        <v>2042.53</v>
      </c>
      <c r="AH1117" t="str">
        <f>IF(Transaction[[#This Row],[Quantity]]*Transaction[[#This Row],[UnitPrice_Clean]]=Transaction[[#This Row],[NetRevenue_Clean]],"Valid","Invalid")</f>
        <v>Valid</v>
      </c>
      <c r="AI1117" t="s">
        <v>23</v>
      </c>
      <c r="AJ1117" t="s">
        <v>2285</v>
      </c>
      <c r="AK1117" t="str">
        <f>IF(Transaction[[#This Row],[Salesperson]]="","Missing Value",TRIM(PROPER(Transaction[[#This Row],[Salesperson]])))</f>
        <v>Bowers-Em</v>
      </c>
      <c r="AL1117" t="s">
        <v>42</v>
      </c>
      <c r="AM1117" t="str">
        <f>IF(Transaction[[#This Row],[ContractType]]="","Missing Value",Transaction[[#This Row],[ContractType]])</f>
        <v>Standard PO</v>
      </c>
      <c r="AN1117" t="s">
        <v>49</v>
      </c>
    </row>
    <row r="1118" spans="1:40" x14ac:dyDescent="0.25">
      <c r="A1118" t="s">
        <v>2254</v>
      </c>
      <c r="B1118" s="1">
        <v>45746</v>
      </c>
      <c r="C111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11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111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18" s="2">
        <f>IFERROR(DATE(Transaction[[#This Row],[TransactionDateY]],Transaction[[#This Row],[TransactionDateM]],Transaction[[#This Row],[TransactionDateD]]),"Missing Value")</f>
        <v>45746</v>
      </c>
      <c r="G1118" t="s">
        <v>2255</v>
      </c>
      <c r="H1118" t="str">
        <f>IFERROR(VLOOKUP(Transaction[[#This Row],[CustomerID]],Custumer[],1,0),IF(LEN(Transaction[[#This Row],[CustomerID]])=7,LEFT(Transaction[[#This Row],[CustomerID]],6),"Invalid ID"))</f>
        <v>C-1069</v>
      </c>
      <c r="I1118" t="s">
        <v>29</v>
      </c>
      <c r="J1118" t="str">
        <f>TRIM(UPPER(Transaction[[#This Row],[ProductID]]))</f>
        <v>P-SA-001</v>
      </c>
      <c r="K1118" t="str">
        <f>IFERROR(VLOOKUP(Transaction[[#This Row],[ProductID_Clean]],Product[],1,FALSE),"Invalid ID")</f>
        <v>P-SA-001</v>
      </c>
      <c r="L1118" t="str">
        <f>TRIM(SUBSTITUTE(SUBSTITUTE(SUBSTITUTE(SUBSTITUTE(UPPER(Transaction[[#This Row],[Region]]),"EMEA REGION","EMEA"),"APAC REGION","APAC"),"NORTH AMERICA","N. AMERICA"),"N .AMERICA","N.AMERICA"))</f>
        <v>EMEA</v>
      </c>
      <c r="M1118" t="s">
        <v>76</v>
      </c>
      <c r="N1118" t="s">
        <v>572</v>
      </c>
      <c r="O111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18" t="s">
        <v>40</v>
      </c>
      <c r="Q1118" t="str">
        <f>IF(TRIM(Transaction[[#This Row],[SalesChannel]])="","Missing Value",TRIM(Transaction[[#This Row],[SalesChannel]]))</f>
        <v>Distributor</v>
      </c>
      <c r="R1118" s="4">
        <v>1</v>
      </c>
      <c r="S1118" s="4" t="str">
        <f>IF(Transaction[[#This Row],[Quantity]]&lt;0,"Negative-review","Valid")</f>
        <v>Valid</v>
      </c>
      <c r="T1118">
        <v>3403.28</v>
      </c>
      <c r="U111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3403.28</v>
      </c>
      <c r="V1118">
        <v>4200</v>
      </c>
      <c r="W1118">
        <v>4200</v>
      </c>
      <c r="X111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1118">
        <f>IF(Transaction[[#This Row],[GrossRevenue_Check]]="Invalid",Transaction[[#This Row],[ListPrice]]*Transaction[[#This Row],[Quantity]],Transaction[[#This Row],[GrossRevenue_Clean]])</f>
        <v>4200</v>
      </c>
      <c r="Z1118" t="str">
        <f>IF(Transaction[[#This Row],[GrossRevenue_Clean]]=Transaction[[#This Row],[ListPrice]]*Transaction[[#This Row],[Quantity]],"Valid","Invalid")</f>
        <v>Valid</v>
      </c>
      <c r="AA1118">
        <v>796.72</v>
      </c>
      <c r="AB111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796.72</v>
      </c>
      <c r="AC1118">
        <f>IF(Transaction[[#This Row],[DiscountAmount_Check2]]="Invalid",Transaction[[#This Row],[GrossRevenue_Analytical]]-Transaction[[#This Row],[NetRevenue_Analytical]],Transaction[[#This Row],[DiscountAmount_Clean]])</f>
        <v>796.72</v>
      </c>
      <c r="AD1118">
        <v>3403.28</v>
      </c>
      <c r="AE1118" t="str">
        <f>IF(ROUND(Transaction[[#This Row],[GrossRevenue_Analytical]]-Transaction[[#This Row],[NetRevenue_Analytical]],2)=ROUND(Transaction[[#This Row],[DiscountAmount_Clean]],2),"Valid","Invalid")</f>
        <v>Valid</v>
      </c>
      <c r="AF1118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3403.28</v>
      </c>
      <c r="AG1118">
        <f>IF(Transaction[[#This Row],[NetRevenue_Check]]="Invalid",(Transaction[[#This Row],[Quantity]]*Transaction[[#This Row],[UnitPrice_Clean]]),Transaction[[#This Row],[NetRevenue_Clean]])</f>
        <v>3403.28</v>
      </c>
      <c r="AH1118" t="str">
        <f>IF(Transaction[[#This Row],[Quantity]]*Transaction[[#This Row],[UnitPrice_Clean]]=Transaction[[#This Row],[NetRevenue_Clean]],"Valid","Invalid")</f>
        <v>Valid</v>
      </c>
      <c r="AI1118" t="s">
        <v>23</v>
      </c>
      <c r="AJ1118" t="s">
        <v>2256</v>
      </c>
      <c r="AK1118" t="str">
        <f>IF(Transaction[[#This Row],[Salesperson]]="","Missing Value",TRIM(PROPER(Transaction[[#This Row],[Salesperson]])))</f>
        <v>Moore-Na</v>
      </c>
      <c r="AL1118" t="s">
        <v>113</v>
      </c>
      <c r="AM1118" t="str">
        <f>IF(Transaction[[#This Row],[ContractType]]="","Missing Value",Transaction[[#This Row],[ContractType]])</f>
        <v>Subscription</v>
      </c>
      <c r="AN1118" t="s">
        <v>43</v>
      </c>
    </row>
    <row r="1119" spans="1:40" x14ac:dyDescent="0.25">
      <c r="A1119" t="s">
        <v>66</v>
      </c>
      <c r="B1119" s="1">
        <v>45717</v>
      </c>
      <c r="C111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11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111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19" s="2">
        <f>IFERROR(DATE(Transaction[[#This Row],[TransactionDateY]],Transaction[[#This Row],[TransactionDateM]],Transaction[[#This Row],[TransactionDateD]]),"Missing Value")</f>
        <v>45717</v>
      </c>
      <c r="G1119" t="s">
        <v>67</v>
      </c>
      <c r="H1119" t="str">
        <f>IFERROR(VLOOKUP(Transaction[[#This Row],[CustomerID]],Custumer[],1,0),IF(LEN(Transaction[[#This Row],[CustomerID]])=7,LEFT(Transaction[[#This Row],[CustomerID]],6),"Invalid ID"))</f>
        <v>C-1175</v>
      </c>
      <c r="I1119" t="s">
        <v>58</v>
      </c>
      <c r="J1119" t="str">
        <f>TRIM(UPPER(Transaction[[#This Row],[ProductID]]))</f>
        <v>P-SI-005</v>
      </c>
      <c r="K1119" t="str">
        <f>IFERROR(VLOOKUP(Transaction[[#This Row],[ProductID_Clean]],Product[],1,FALSE),"Invalid ID")</f>
        <v>P-SI-005</v>
      </c>
      <c r="L1119" t="str">
        <f>TRIM(SUBSTITUTE(SUBSTITUTE(SUBSTITUTE(SUBSTITUTE(UPPER(Transaction[[#This Row],[Region]]),"EMEA REGION","EMEA"),"APAC REGION","APAC"),"NORTH AMERICA","N. AMERICA"),"N .AMERICA","N.AMERICA"))</f>
        <v>N. AMERICA</v>
      </c>
      <c r="M1119" t="s">
        <v>20</v>
      </c>
      <c r="N1119" t="s">
        <v>53</v>
      </c>
      <c r="O111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19" t="s">
        <v>22</v>
      </c>
      <c r="Q1119" t="str">
        <f>IF(TRIM(Transaction[[#This Row],[SalesChannel]])="","Missing Value",TRIM(Transaction[[#This Row],[SalesChannel]]))</f>
        <v>Direct</v>
      </c>
      <c r="R1119" s="4">
        <v>1</v>
      </c>
      <c r="S1119" s="4" t="str">
        <f>IF(Transaction[[#This Row],[Quantity]]&lt;0,"Negative-review","Valid")</f>
        <v>Valid</v>
      </c>
      <c r="T1119">
        <v>1037.5999999999999</v>
      </c>
      <c r="U111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1037.5999999999999</v>
      </c>
      <c r="V1119">
        <v>1120</v>
      </c>
      <c r="W1119">
        <v>1120</v>
      </c>
      <c r="X111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1120</v>
      </c>
      <c r="Y1119">
        <f>IF(Transaction[[#This Row],[GrossRevenue_Check]]="Invalid",Transaction[[#This Row],[ListPrice]]*Transaction[[#This Row],[Quantity]],Transaction[[#This Row],[GrossRevenue_Clean]])</f>
        <v>1120</v>
      </c>
      <c r="Z1119" t="str">
        <f>IF(Transaction[[#This Row],[GrossRevenue_Clean]]=Transaction[[#This Row],[ListPrice]]*Transaction[[#This Row],[Quantity]],"Valid","Invalid")</f>
        <v>Valid</v>
      </c>
      <c r="AA1119">
        <v>82.4</v>
      </c>
      <c r="AB111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82.4</v>
      </c>
      <c r="AC1119">
        <f>IF(Transaction[[#This Row],[DiscountAmount_Check2]]="Invalid",Transaction[[#This Row],[GrossRevenue_Analytical]]-Transaction[[#This Row],[NetRevenue_Analytical]],Transaction[[#This Row],[DiscountAmount_Clean]])</f>
        <v>82.4</v>
      </c>
      <c r="AD1119">
        <v>1037.5999999999999</v>
      </c>
      <c r="AE1119" t="str">
        <f>IF(ROUND(Transaction[[#This Row],[GrossRevenue_Analytical]]-Transaction[[#This Row],[NetRevenue_Analytical]],2)=ROUND(Transaction[[#This Row],[DiscountAmount_Clean]],2),"Valid","Invalid")</f>
        <v>Valid</v>
      </c>
      <c r="AF111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1037.5999999999999</v>
      </c>
      <c r="AG1119">
        <f>IF(Transaction[[#This Row],[NetRevenue_Check]]="Invalid",(Transaction[[#This Row],[Quantity]]*Transaction[[#This Row],[UnitPrice_Clean]]),Transaction[[#This Row],[NetRevenue_Clean]])</f>
        <v>1037.5999999999999</v>
      </c>
      <c r="AH1119" t="str">
        <f>IF(Transaction[[#This Row],[Quantity]]*Transaction[[#This Row],[UnitPrice_Clean]]=Transaction[[#This Row],[NetRevenue_Clean]],"Valid","Invalid")</f>
        <v>Valid</v>
      </c>
      <c r="AI1119" t="s">
        <v>23</v>
      </c>
      <c r="AJ1119" t="s">
        <v>68</v>
      </c>
      <c r="AK1119" t="str">
        <f>IF(Transaction[[#This Row],[Salesperson]]="","Missing Value",TRIM(PROPER(Transaction[[#This Row],[Salesperson]])))</f>
        <v>Price</v>
      </c>
      <c r="AM1119" t="str">
        <f>IF(Transaction[[#This Row],[ContractType]]="","Missing Value",Transaction[[#This Row],[ContractType]])</f>
        <v>Missing Value</v>
      </c>
      <c r="AN1119" t="s">
        <v>43</v>
      </c>
    </row>
    <row r="1120" spans="1:40" x14ac:dyDescent="0.25">
      <c r="A1120" t="s">
        <v>145</v>
      </c>
      <c r="B1120" s="1">
        <v>45745</v>
      </c>
      <c r="C112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12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29</v>
      </c>
      <c r="E112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20" s="2">
        <f>IFERROR(DATE(Transaction[[#This Row],[TransactionDateY]],Transaction[[#This Row],[TransactionDateM]],Transaction[[#This Row],[TransactionDateD]]),"Missing Value")</f>
        <v>45745</v>
      </c>
      <c r="G1120" t="s">
        <v>146</v>
      </c>
      <c r="H1120" t="str">
        <f>IFERROR(VLOOKUP(Transaction[[#This Row],[CustomerID]],Custumer[],1,0),IF(LEN(Transaction[[#This Row],[CustomerID]])=7,LEFT(Transaction[[#This Row],[CustomerID]],6),"Invalid ID"))</f>
        <v>C-1095</v>
      </c>
      <c r="I1120" t="s">
        <v>46</v>
      </c>
      <c r="J1120" t="str">
        <f>TRIM(UPPER(Transaction[[#This Row],[ProductID]]))</f>
        <v>P-SI-006</v>
      </c>
      <c r="K1120" t="str">
        <f>IFERROR(VLOOKUP(Transaction[[#This Row],[ProductID_Clean]],Product[],1,FALSE),"Invalid ID")</f>
        <v>P-SI-006</v>
      </c>
      <c r="L1120" t="str">
        <f>TRIM(SUBSTITUTE(SUBSTITUTE(SUBSTITUTE(SUBSTITUTE(UPPER(Transaction[[#This Row],[Region]]),"EMEA REGION","EMEA"),"APAC REGION","APAC"),"NORTH AMERICA","N. AMERICA"),"N .AMERICA","N.AMERICA"))</f>
        <v>LATIN AMERICA</v>
      </c>
      <c r="M1120" t="s">
        <v>82</v>
      </c>
      <c r="N1120" t="s">
        <v>53</v>
      </c>
      <c r="O112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20" t="s">
        <v>40</v>
      </c>
      <c r="Q1120" t="str">
        <f>IF(TRIM(Transaction[[#This Row],[SalesChannel]])="","Missing Value",TRIM(Transaction[[#This Row],[SalesChannel]]))</f>
        <v>Distributor</v>
      </c>
      <c r="R1120" s="4">
        <v>1</v>
      </c>
      <c r="S1120" s="4" t="str">
        <f>IF(Transaction[[#This Row],[Quantity]]&lt;0,"Negative-review","Valid")</f>
        <v>Valid</v>
      </c>
      <c r="T1120">
        <v>139.47</v>
      </c>
      <c r="U112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139.47</v>
      </c>
      <c r="V1120">
        <v>215</v>
      </c>
      <c r="W1120" t="s">
        <v>147</v>
      </c>
      <c r="X112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1120">
        <f>IF(Transaction[[#This Row],[GrossRevenue_Check]]="Invalid",Transaction[[#This Row],[ListPrice]]*Transaction[[#This Row],[Quantity]],Transaction[[#This Row],[GrossRevenue_Clean]])</f>
        <v>215</v>
      </c>
      <c r="Z1120" t="str">
        <f>IF(Transaction[[#This Row],[GrossRevenue_Clean]]=Transaction[[#This Row],[ListPrice]]*Transaction[[#This Row],[Quantity]],"Valid","Invalid")</f>
        <v>Valid</v>
      </c>
      <c r="AA1120">
        <v>75.53</v>
      </c>
      <c r="AB112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75.53</v>
      </c>
      <c r="AC1120">
        <f>IF(Transaction[[#This Row],[DiscountAmount_Check2]]="Invalid",Transaction[[#This Row],[GrossRevenue_Analytical]]-Transaction[[#This Row],[NetRevenue_Analytical]],Transaction[[#This Row],[DiscountAmount_Clean]])</f>
        <v>75.53</v>
      </c>
      <c r="AD1120">
        <v>139.47</v>
      </c>
      <c r="AE1120" t="str">
        <f>IF(ROUND(Transaction[[#This Row],[GrossRevenue_Analytical]]-Transaction[[#This Row],[NetRevenue_Analytical]],2)=ROUND(Transaction[[#This Row],[DiscountAmount_Clean]],2),"Valid","Invalid")</f>
        <v>Valid</v>
      </c>
      <c r="AF112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139.47</v>
      </c>
      <c r="AG1120">
        <f>IF(Transaction[[#This Row],[NetRevenue_Check]]="Invalid",(Transaction[[#This Row],[Quantity]]*Transaction[[#This Row],[UnitPrice_Clean]]),Transaction[[#This Row],[NetRevenue_Clean]])</f>
        <v>139.47</v>
      </c>
      <c r="AH1120" t="str">
        <f>IF(Transaction[[#This Row],[Quantity]]*Transaction[[#This Row],[UnitPrice_Clean]]=Transaction[[#This Row],[NetRevenue_Clean]],"Valid","Invalid")</f>
        <v>Valid</v>
      </c>
      <c r="AI1120" t="s">
        <v>23</v>
      </c>
      <c r="AJ1120" t="s">
        <v>148</v>
      </c>
      <c r="AK1120" t="str">
        <f>IF(Transaction[[#This Row],[Salesperson]]="","Missing Value",TRIM(PROPER(Transaction[[#This Row],[Salesperson]])))</f>
        <v>Ward-Em</v>
      </c>
      <c r="AM1120" t="str">
        <f>IF(Transaction[[#This Row],[ContractType]]="","Missing Value",Transaction[[#This Row],[ContractType]])</f>
        <v>Missing Value</v>
      </c>
      <c r="AN1120" t="s">
        <v>49</v>
      </c>
    </row>
    <row r="1121" spans="1:40" x14ac:dyDescent="0.25">
      <c r="A1121" t="s">
        <v>137</v>
      </c>
      <c r="B1121" t="s">
        <v>138</v>
      </c>
      <c r="C112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112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02</v>
      </c>
      <c r="E112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21" s="2">
        <f>IFERROR(DATE(Transaction[[#This Row],[TransactionDateY]],Transaction[[#This Row],[TransactionDateM]],Transaction[[#This Row],[TransactionDateD]]),"Missing Value")</f>
        <v>45810</v>
      </c>
      <c r="G1121" t="s">
        <v>139</v>
      </c>
      <c r="H1121" t="str">
        <f>IFERROR(VLOOKUP(Transaction[[#This Row],[CustomerID]],Custumer[],1,0),IF(LEN(Transaction[[#This Row],[CustomerID]])=7,LEFT(Transaction[[#This Row],[CustomerID]],6),"Invalid ID"))</f>
        <v>C-1171</v>
      </c>
      <c r="I1121" t="s">
        <v>46</v>
      </c>
      <c r="J1121" t="str">
        <f>TRIM(UPPER(Transaction[[#This Row],[ProductID]]))</f>
        <v>P-SI-006</v>
      </c>
      <c r="K1121" t="str">
        <f>IFERROR(VLOOKUP(Transaction[[#This Row],[ProductID_Clean]],Product[],1,FALSE),"Invalid ID")</f>
        <v>P-SI-006</v>
      </c>
      <c r="L1121" t="str">
        <f>TRIM(SUBSTITUTE(SUBSTITUTE(SUBSTITUTE(SUBSTITUTE(UPPER(Transaction[[#This Row],[Region]]),"EMEA REGION","EMEA"),"APAC REGION","APAC"),"NORTH AMERICA","N. AMERICA"),"N .AMERICA","N.AMERICA"))</f>
        <v>APAC</v>
      </c>
      <c r="M1121" t="s">
        <v>30</v>
      </c>
      <c r="N1121" t="s">
        <v>53</v>
      </c>
      <c r="O112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21" t="s">
        <v>40</v>
      </c>
      <c r="Q1121" t="str">
        <f>IF(TRIM(Transaction[[#This Row],[SalesChannel]])="","Missing Value",TRIM(Transaction[[#This Row],[SalesChannel]]))</f>
        <v>Distributor</v>
      </c>
      <c r="R1121" s="4">
        <v>1</v>
      </c>
      <c r="S1121" s="4" t="str">
        <f>IF(Transaction[[#This Row],[Quantity]]&lt;0,"Negative-review","Valid")</f>
        <v>Valid</v>
      </c>
      <c r="T1121">
        <v>155.55000000000001</v>
      </c>
      <c r="U112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155.55000000000001</v>
      </c>
      <c r="V1121">
        <v>215</v>
      </c>
      <c r="W1121">
        <v>215</v>
      </c>
      <c r="X112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1121">
        <f>IF(Transaction[[#This Row],[GrossRevenue_Check]]="Invalid",Transaction[[#This Row],[ListPrice]]*Transaction[[#This Row],[Quantity]],Transaction[[#This Row],[GrossRevenue_Clean]])</f>
        <v>215</v>
      </c>
      <c r="Z1121" t="str">
        <f>IF(Transaction[[#This Row],[GrossRevenue_Clean]]=Transaction[[#This Row],[ListPrice]]*Transaction[[#This Row],[Quantity]],"Valid","Invalid")</f>
        <v>Valid</v>
      </c>
      <c r="AA1121">
        <v>59.45</v>
      </c>
      <c r="AB112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59.45</v>
      </c>
      <c r="AC1121">
        <f>IF(Transaction[[#This Row],[DiscountAmount_Check2]]="Invalid",Transaction[[#This Row],[GrossRevenue_Analytical]]-Transaction[[#This Row],[NetRevenue_Analytical]],Transaction[[#This Row],[DiscountAmount_Clean]])</f>
        <v>59.45</v>
      </c>
      <c r="AD1121">
        <v>155.55000000000001</v>
      </c>
      <c r="AE1121" t="str">
        <f>IF(ROUND(Transaction[[#This Row],[GrossRevenue_Analytical]]-Transaction[[#This Row],[NetRevenue_Analytical]],2)=ROUND(Transaction[[#This Row],[DiscountAmount_Clean]],2),"Valid","Invalid")</f>
        <v>Valid</v>
      </c>
      <c r="AF112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155.55000000000001</v>
      </c>
      <c r="AG1121">
        <f>IF(Transaction[[#This Row],[NetRevenue_Check]]="Invalid",(Transaction[[#This Row],[Quantity]]*Transaction[[#This Row],[UnitPrice_Clean]]),Transaction[[#This Row],[NetRevenue_Clean]])</f>
        <v>155.55000000000001</v>
      </c>
      <c r="AH1121" t="str">
        <f>IF(Transaction[[#This Row],[Quantity]]*Transaction[[#This Row],[UnitPrice_Clean]]=Transaction[[#This Row],[NetRevenue_Clean]],"Valid","Invalid")</f>
        <v>Valid</v>
      </c>
      <c r="AI1121" t="s">
        <v>23</v>
      </c>
      <c r="AJ1121" t="s">
        <v>140</v>
      </c>
      <c r="AK1121" t="str">
        <f>IF(Transaction[[#This Row],[Salesperson]]="","Missing Value",TRIM(PROPER(Transaction[[#This Row],[Salesperson]])))</f>
        <v>Davis-Na</v>
      </c>
      <c r="AL1121" t="s">
        <v>25</v>
      </c>
      <c r="AM1121" t="str">
        <f>IF(Transaction[[#This Row],[ContractType]]="","Missing Value",Transaction[[#This Row],[ContractType]])</f>
        <v>Frame Agreement</v>
      </c>
      <c r="AN1121" t="s">
        <v>49</v>
      </c>
    </row>
    <row r="1122" spans="1:40" x14ac:dyDescent="0.25">
      <c r="A1122" t="s">
        <v>1510</v>
      </c>
      <c r="B1122" s="1">
        <v>45741</v>
      </c>
      <c r="C112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12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112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22" s="2">
        <f>IFERROR(DATE(Transaction[[#This Row],[TransactionDateY]],Transaction[[#This Row],[TransactionDateM]],Transaction[[#This Row],[TransactionDateD]]),"Missing Value")</f>
        <v>45741</v>
      </c>
      <c r="G1122" t="s">
        <v>610</v>
      </c>
      <c r="H1122" t="str">
        <f>IFERROR(VLOOKUP(Transaction[[#This Row],[CustomerID]],Custumer[],1,0),IF(LEN(Transaction[[#This Row],[CustomerID]])=7,LEFT(Transaction[[#This Row],[CustomerID]],6),"Invalid ID"))</f>
        <v>C-1156</v>
      </c>
      <c r="I1122" t="s">
        <v>97</v>
      </c>
      <c r="J1122" t="str">
        <f>TRIM(UPPER(Transaction[[#This Row],[ProductID]]))</f>
        <v>P-SI-001</v>
      </c>
      <c r="K1122" t="str">
        <f>IFERROR(VLOOKUP(Transaction[[#This Row],[ProductID_Clean]],Product[],1,FALSE),"Invalid ID")</f>
        <v>P-SI-001</v>
      </c>
      <c r="L1122" t="str">
        <f>TRIM(SUBSTITUTE(SUBSTITUTE(SUBSTITUTE(SUBSTITUTE(UPPER(Transaction[[#This Row],[Region]]),"EMEA REGION","EMEA"),"APAC REGION","APAC"),"NORTH AMERICA","N. AMERICA"),"N .AMERICA","N.AMERICA"))</f>
        <v>N. AMERICA</v>
      </c>
      <c r="M1122" t="s">
        <v>20</v>
      </c>
      <c r="N1122" t="s">
        <v>53</v>
      </c>
      <c r="O112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22" t="s">
        <v>40</v>
      </c>
      <c r="Q1122" t="str">
        <f>IF(TRIM(Transaction[[#This Row],[SalesChannel]])="","Missing Value",TRIM(Transaction[[#This Row],[SalesChannel]]))</f>
        <v>Distributor</v>
      </c>
      <c r="R1122" s="4">
        <v>8</v>
      </c>
      <c r="S1122" s="4" t="str">
        <f>IF(Transaction[[#This Row],[Quantity]]&lt;0,"Negative-review","Valid")</f>
        <v>Valid</v>
      </c>
      <c r="T1122">
        <v>433.9</v>
      </c>
      <c r="U112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433.9</v>
      </c>
      <c r="V1122">
        <v>485</v>
      </c>
      <c r="W1122">
        <v>3880</v>
      </c>
      <c r="X112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3880</v>
      </c>
      <c r="Y1122">
        <f>IF(Transaction[[#This Row],[GrossRevenue_Check]]="Invalid",Transaction[[#This Row],[ListPrice]]*Transaction[[#This Row],[Quantity]],Transaction[[#This Row],[GrossRevenue_Clean]])</f>
        <v>3880</v>
      </c>
      <c r="Z1122" t="str">
        <f>IF(Transaction[[#This Row],[GrossRevenue_Clean]]=Transaction[[#This Row],[ListPrice]]*Transaction[[#This Row],[Quantity]],"Valid","Invalid")</f>
        <v>Valid</v>
      </c>
      <c r="AA1122">
        <v>408.8</v>
      </c>
      <c r="AB112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408.8</v>
      </c>
      <c r="AC1122">
        <f>IF(Transaction[[#This Row],[DiscountAmount_Check2]]="Invalid",Transaction[[#This Row],[GrossRevenue_Analytical]]-Transaction[[#This Row],[NetRevenue_Analytical]],Transaction[[#This Row],[DiscountAmount_Clean]])</f>
        <v>408.8</v>
      </c>
      <c r="AD1122">
        <v>3471.2</v>
      </c>
      <c r="AE1122" t="str">
        <f>IF(ROUND(Transaction[[#This Row],[GrossRevenue_Analytical]]-Transaction[[#This Row],[NetRevenue_Analytical]],2)=ROUND(Transaction[[#This Row],[DiscountAmount_Clean]],2),"Valid","Invalid")</f>
        <v>Valid</v>
      </c>
      <c r="AF1122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3471.2</v>
      </c>
      <c r="AG1122">
        <f>IF(Transaction[[#This Row],[NetRevenue_Check]]="Invalid",(Transaction[[#This Row],[Quantity]]*Transaction[[#This Row],[UnitPrice_Clean]]),Transaction[[#This Row],[NetRevenue_Clean]])</f>
        <v>3471.2</v>
      </c>
      <c r="AH1122" t="str">
        <f>IF(Transaction[[#This Row],[Quantity]]*Transaction[[#This Row],[UnitPrice_Clean]]=Transaction[[#This Row],[NetRevenue_Clean]],"Valid","Invalid")</f>
        <v>Valid</v>
      </c>
      <c r="AI1122" t="s">
        <v>23</v>
      </c>
      <c r="AJ1122" t="s">
        <v>1511</v>
      </c>
      <c r="AK1122" t="str">
        <f>IF(Transaction[[#This Row],[Salesperson]]="","Missing Value",TRIM(PROPER(Transaction[[#This Row],[Salesperson]])))</f>
        <v>Hahn</v>
      </c>
      <c r="AL1122" t="s">
        <v>42</v>
      </c>
      <c r="AM1122" t="str">
        <f>IF(Transaction[[#This Row],[ContractType]]="","Missing Value",Transaction[[#This Row],[ContractType]])</f>
        <v>Standard PO</v>
      </c>
      <c r="AN1122" t="s">
        <v>49</v>
      </c>
    </row>
    <row r="1123" spans="1:40" x14ac:dyDescent="0.25">
      <c r="A1123" t="s">
        <v>2638</v>
      </c>
      <c r="B1123" s="1">
        <v>45820</v>
      </c>
      <c r="C112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12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112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23" s="2">
        <f>IFERROR(DATE(Transaction[[#This Row],[TransactionDateY]],Transaction[[#This Row],[TransactionDateM]],Transaction[[#This Row],[TransactionDateD]]),"Missing Value")</f>
        <v>45820</v>
      </c>
      <c r="G1123" t="s">
        <v>571</v>
      </c>
      <c r="H1123" t="str">
        <f>IFERROR(VLOOKUP(Transaction[[#This Row],[CustomerID]],Custumer[],1,0),IF(LEN(Transaction[[#This Row],[CustomerID]])=7,LEFT(Transaction[[#This Row],[CustomerID]],6),"Invalid ID"))</f>
        <v>C-1060</v>
      </c>
      <c r="I1123" t="s">
        <v>117</v>
      </c>
      <c r="J1123" t="str">
        <f>TRIM(UPPER(Transaction[[#This Row],[ProductID]]))</f>
        <v>P-SI-007</v>
      </c>
      <c r="K1123" t="str">
        <f>IFERROR(VLOOKUP(Transaction[[#This Row],[ProductID_Clean]],Product[],1,FALSE),"Invalid ID")</f>
        <v>P-SI-007</v>
      </c>
      <c r="L1123" t="str">
        <f>TRIM(SUBSTITUTE(SUBSTITUTE(SUBSTITUTE(SUBSTITUTE(UPPER(Transaction[[#This Row],[Region]]),"EMEA REGION","EMEA"),"APAC REGION","APAC"),"NORTH AMERICA","N. AMERICA"),"N .AMERICA","N.AMERICA"))</f>
        <v>APAC</v>
      </c>
      <c r="M1123" t="s">
        <v>30</v>
      </c>
      <c r="N1123" t="s">
        <v>47</v>
      </c>
      <c r="O112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23" t="s">
        <v>40</v>
      </c>
      <c r="Q1123" t="str">
        <f>IF(TRIM(Transaction[[#This Row],[SalesChannel]])="","Missing Value",TRIM(Transaction[[#This Row],[SalesChannel]]))</f>
        <v>Distributor</v>
      </c>
      <c r="R1123" s="4">
        <v>3</v>
      </c>
      <c r="S1123" s="4" t="str">
        <f>IF(Transaction[[#This Row],[Quantity]]&lt;0,"Negative-review","Valid")</f>
        <v>Valid</v>
      </c>
      <c r="T1123">
        <v>718.27</v>
      </c>
      <c r="U112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718.27</v>
      </c>
      <c r="V1123">
        <v>980</v>
      </c>
      <c r="W1123">
        <v>2940</v>
      </c>
      <c r="X112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2940</v>
      </c>
      <c r="Y1123">
        <f>IF(Transaction[[#This Row],[GrossRevenue_Check]]="Invalid",Transaction[[#This Row],[ListPrice]]*Transaction[[#This Row],[Quantity]],Transaction[[#This Row],[GrossRevenue_Clean]])</f>
        <v>2940</v>
      </c>
      <c r="Z1123" t="str">
        <f>IF(Transaction[[#This Row],[GrossRevenue_Clean]]=Transaction[[#This Row],[ListPrice]]*Transaction[[#This Row],[Quantity]],"Valid","Invalid")</f>
        <v>Valid</v>
      </c>
      <c r="AA1123">
        <v>785.19</v>
      </c>
      <c r="AB112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785.19</v>
      </c>
      <c r="AC1123">
        <f>IF(Transaction[[#This Row],[DiscountAmount_Check2]]="Invalid",Transaction[[#This Row],[GrossRevenue_Analytical]]-Transaction[[#This Row],[NetRevenue_Analytical]],Transaction[[#This Row],[DiscountAmount_Clean]])</f>
        <v>785.19</v>
      </c>
      <c r="AD1123">
        <v>2154.81</v>
      </c>
      <c r="AE1123" t="str">
        <f>IF(ROUND(Transaction[[#This Row],[GrossRevenue_Analytical]]-Transaction[[#This Row],[NetRevenue_Analytical]],2)=ROUND(Transaction[[#This Row],[DiscountAmount_Clean]],2),"Valid","Invalid")</f>
        <v>Valid</v>
      </c>
      <c r="AF1123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2154.81</v>
      </c>
      <c r="AG1123">
        <f>IF(Transaction[[#This Row],[NetRevenue_Check]]="Invalid",(Transaction[[#This Row],[Quantity]]*Transaction[[#This Row],[UnitPrice_Clean]]),Transaction[[#This Row],[NetRevenue_Clean]])</f>
        <v>2154.81</v>
      </c>
      <c r="AH1123" t="str">
        <f>IF(Transaction[[#This Row],[Quantity]]*Transaction[[#This Row],[UnitPrice_Clean]]=Transaction[[#This Row],[NetRevenue_Clean]],"Valid","Invalid")</f>
        <v>Valid</v>
      </c>
      <c r="AI1123" t="s">
        <v>23</v>
      </c>
      <c r="AJ1123" t="s">
        <v>2639</v>
      </c>
      <c r="AK1123" t="str">
        <f>IF(Transaction[[#This Row],[Salesperson]]="","Missing Value",TRIM(PROPER(Transaction[[#This Row],[Salesperson]])))</f>
        <v>Wallace</v>
      </c>
      <c r="AL1123" t="s">
        <v>42</v>
      </c>
      <c r="AM1123" t="str">
        <f>IF(Transaction[[#This Row],[ContractType]]="","Missing Value",Transaction[[#This Row],[ContractType]])</f>
        <v>Standard PO</v>
      </c>
      <c r="AN1123" t="s">
        <v>43</v>
      </c>
    </row>
    <row r="1124" spans="1:40" x14ac:dyDescent="0.25">
      <c r="A1124" t="s">
        <v>1896</v>
      </c>
      <c r="B1124" t="s">
        <v>1897</v>
      </c>
      <c r="C112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112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112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24" s="2">
        <f>IFERROR(DATE(Transaction[[#This Row],[TransactionDateY]],Transaction[[#This Row],[TransactionDateM]],Transaction[[#This Row],[TransactionDateD]]),"Missing Value")</f>
        <v>45773</v>
      </c>
      <c r="G1124" t="s">
        <v>447</v>
      </c>
      <c r="H1124" t="str">
        <f>IFERROR(VLOOKUP(Transaction[[#This Row],[CustomerID]],Custumer[],1,0),IF(LEN(Transaction[[#This Row],[CustomerID]])=7,LEFT(Transaction[[#This Row],[CustomerID]],6),"Invalid ID"))</f>
        <v>C-1042</v>
      </c>
      <c r="I1124" t="s">
        <v>97</v>
      </c>
      <c r="J1124" t="str">
        <f>TRIM(UPPER(Transaction[[#This Row],[ProductID]]))</f>
        <v>P-SI-001</v>
      </c>
      <c r="K1124" t="str">
        <f>IFERROR(VLOOKUP(Transaction[[#This Row],[ProductID_Clean]],Product[],1,FALSE),"Invalid ID")</f>
        <v>P-SI-001</v>
      </c>
      <c r="L1124" t="str">
        <f>TRIM(SUBSTITUTE(SUBSTITUTE(SUBSTITUTE(SUBSTITUTE(UPPER(Transaction[[#This Row],[Region]]),"EMEA REGION","EMEA"),"APAC REGION","APAC"),"NORTH AMERICA","N. AMERICA"),"N .AMERICA","N.AMERICA"))</f>
        <v>N. AMERICA</v>
      </c>
      <c r="M1124" t="s">
        <v>20</v>
      </c>
      <c r="N1124" t="s">
        <v>98</v>
      </c>
      <c r="O112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24" t="s">
        <v>181</v>
      </c>
      <c r="Q1124" t="str">
        <f>IF(TRIM(Transaction[[#This Row],[SalesChannel]])="","Missing Value",TRIM(Transaction[[#This Row],[SalesChannel]]))</f>
        <v>Partner Portal</v>
      </c>
      <c r="R1124" s="4">
        <v>4</v>
      </c>
      <c r="S1124" s="4" t="str">
        <f>IF(Transaction[[#This Row],[Quantity]]&lt;0,"Negative-review","Valid")</f>
        <v>Valid</v>
      </c>
      <c r="T1124">
        <v>439.05</v>
      </c>
      <c r="U112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439.05</v>
      </c>
      <c r="V1124">
        <v>485</v>
      </c>
      <c r="W1124">
        <v>1940</v>
      </c>
      <c r="X112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1940</v>
      </c>
      <c r="Y1124">
        <f>IF(Transaction[[#This Row],[GrossRevenue_Check]]="Invalid",Transaction[[#This Row],[ListPrice]]*Transaction[[#This Row],[Quantity]],Transaction[[#This Row],[GrossRevenue_Clean]])</f>
        <v>1940</v>
      </c>
      <c r="Z1124" t="str">
        <f>IF(Transaction[[#This Row],[GrossRevenue_Clean]]=Transaction[[#This Row],[ListPrice]]*Transaction[[#This Row],[Quantity]],"Valid","Invalid")</f>
        <v>Valid</v>
      </c>
      <c r="AA1124">
        <v>183.8</v>
      </c>
      <c r="AB112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183.8</v>
      </c>
      <c r="AC1124">
        <f>IF(Transaction[[#This Row],[DiscountAmount_Check2]]="Invalid",Transaction[[#This Row],[GrossRevenue_Analytical]]-Transaction[[#This Row],[NetRevenue_Analytical]],Transaction[[#This Row],[DiscountAmount_Clean]])</f>
        <v>183.8</v>
      </c>
      <c r="AD1124">
        <v>1756.2</v>
      </c>
      <c r="AE1124" t="str">
        <f>IF(ROUND(Transaction[[#This Row],[GrossRevenue_Analytical]]-Transaction[[#This Row],[NetRevenue_Analytical]],2)=ROUND(Transaction[[#This Row],[DiscountAmount_Clean]],2),"Valid","Invalid")</f>
        <v>Valid</v>
      </c>
      <c r="AF112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1756.2</v>
      </c>
      <c r="AG1124">
        <f>IF(Transaction[[#This Row],[NetRevenue_Check]]="Invalid",(Transaction[[#This Row],[Quantity]]*Transaction[[#This Row],[UnitPrice_Clean]]),Transaction[[#This Row],[NetRevenue_Clean]])</f>
        <v>1756.2</v>
      </c>
      <c r="AH1124" t="str">
        <f>IF(Transaction[[#This Row],[Quantity]]*Transaction[[#This Row],[UnitPrice_Clean]]=Transaction[[#This Row],[NetRevenue_Clean]],"Valid","Invalid")</f>
        <v>Valid</v>
      </c>
      <c r="AI1124" t="s">
        <v>23</v>
      </c>
      <c r="AJ1124" t="s">
        <v>1898</v>
      </c>
      <c r="AK1124" t="str">
        <f>IF(Transaction[[#This Row],[Salesperson]]="","Missing Value",TRIM(PROPER(Transaction[[#This Row],[Salesperson]])))</f>
        <v>Juarez</v>
      </c>
      <c r="AL1124" t="s">
        <v>42</v>
      </c>
      <c r="AM1124" t="str">
        <f>IF(Transaction[[#This Row],[ContractType]]="","Missing Value",Transaction[[#This Row],[ContractType]])</f>
        <v>Standard PO</v>
      </c>
      <c r="AN1124" t="s">
        <v>49</v>
      </c>
    </row>
    <row r="1125" spans="1:40" x14ac:dyDescent="0.25">
      <c r="A1125" t="s">
        <v>3074</v>
      </c>
      <c r="B1125" s="1">
        <v>45799</v>
      </c>
      <c r="C112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12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112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25" s="2">
        <f>IFERROR(DATE(Transaction[[#This Row],[TransactionDateY]],Transaction[[#This Row],[TransactionDateM]],Transaction[[#This Row],[TransactionDateD]]),"Missing Value")</f>
        <v>45799</v>
      </c>
      <c r="G1125" t="s">
        <v>467</v>
      </c>
      <c r="H1125" t="str">
        <f>IFERROR(VLOOKUP(Transaction[[#This Row],[CustomerID]],Custumer[],1,0),IF(LEN(Transaction[[#This Row],[CustomerID]])=7,LEFT(Transaction[[#This Row],[CustomerID]],6),"Invalid ID"))</f>
        <v>C-1111</v>
      </c>
      <c r="I1125" t="s">
        <v>62</v>
      </c>
      <c r="J1125" t="str">
        <f>TRIM(UPPER(Transaction[[#This Row],[ProductID]]))</f>
        <v>P-SI-004</v>
      </c>
      <c r="K1125" t="str">
        <f>IFERROR(VLOOKUP(Transaction[[#This Row],[ProductID_Clean]],Product[],1,FALSE),"Invalid ID")</f>
        <v>P-SI-004</v>
      </c>
      <c r="L1125" t="str">
        <f>TRIM(SUBSTITUTE(SUBSTITUTE(SUBSTITUTE(SUBSTITUTE(UPPER(Transaction[[#This Row],[Region]]),"EMEA REGION","EMEA"),"APAC REGION","APAC"),"NORTH AMERICA","N. AMERICA"),"N .AMERICA","N.AMERICA"))</f>
        <v>APAC</v>
      </c>
      <c r="M1125" t="s">
        <v>30</v>
      </c>
      <c r="N1125" t="s">
        <v>53</v>
      </c>
      <c r="O112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25" t="s">
        <v>22</v>
      </c>
      <c r="Q1125" t="str">
        <f>IF(TRIM(Transaction[[#This Row],[SalesChannel]])="","Missing Value",TRIM(Transaction[[#This Row],[SalesChannel]]))</f>
        <v>Direct</v>
      </c>
      <c r="R1125" s="4">
        <v>4</v>
      </c>
      <c r="S1125" s="4" t="str">
        <f>IF(Transaction[[#This Row],[Quantity]]&lt;0,"Negative-review","Valid")</f>
        <v>Valid</v>
      </c>
      <c r="T1125">
        <v>2175.06</v>
      </c>
      <c r="U112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2175.06</v>
      </c>
      <c r="V1125">
        <v>2450</v>
      </c>
      <c r="W1125">
        <v>9800</v>
      </c>
      <c r="X112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1125">
        <f>IF(Transaction[[#This Row],[GrossRevenue_Check]]="Invalid",Transaction[[#This Row],[ListPrice]]*Transaction[[#This Row],[Quantity]],Transaction[[#This Row],[GrossRevenue_Clean]])</f>
        <v>9800</v>
      </c>
      <c r="Z1125" t="str">
        <f>IF(Transaction[[#This Row],[GrossRevenue_Clean]]=Transaction[[#This Row],[ListPrice]]*Transaction[[#This Row],[Quantity]],"Valid","Invalid")</f>
        <v>Valid</v>
      </c>
      <c r="AA1125">
        <v>1099.76</v>
      </c>
      <c r="AB112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1099.76</v>
      </c>
      <c r="AC1125">
        <f>IF(Transaction[[#This Row],[DiscountAmount_Check2]]="Invalid",Transaction[[#This Row],[GrossRevenue_Analytical]]-Transaction[[#This Row],[NetRevenue_Analytical]],Transaction[[#This Row],[DiscountAmount_Clean]])</f>
        <v>1099.76</v>
      </c>
      <c r="AD1125">
        <v>8700.24</v>
      </c>
      <c r="AE1125" t="str">
        <f>IF(ROUND(Transaction[[#This Row],[GrossRevenue_Analytical]]-Transaction[[#This Row],[NetRevenue_Analytical]],2)=ROUND(Transaction[[#This Row],[DiscountAmount_Clean]],2),"Valid","Invalid")</f>
        <v>Valid</v>
      </c>
      <c r="AF1125">
        <f>VALUE(IF(ISNUMBER(Transaction[[#This Row],[NetRevenue]]),Transaction[[#This Row],[NetRevenue]],IFERROR(IF(FIND("$",Transaction[[#This Row],[NetRevenue]])&gt;0,MID(Transaction[[#This Row],[NetRevenue]],2,10)),Transaction[[#This Row],[NetRevenue]])))</f>
        <v>8700.24</v>
      </c>
      <c r="AG1125">
        <f>IF(Transaction[[#This Row],[NetRevenue_Check]]="Invalid",(Transaction[[#This Row],[Quantity]]*Transaction[[#This Row],[UnitPrice_Clean]]),Transaction[[#This Row],[NetRevenue_Clean]])</f>
        <v>8700.24</v>
      </c>
      <c r="AH1125" t="str">
        <f>IF(Transaction[[#This Row],[Quantity]]*Transaction[[#This Row],[UnitPrice_Clean]]=Transaction[[#This Row],[NetRevenue_Clean]],"Valid","Invalid")</f>
        <v>Valid</v>
      </c>
      <c r="AI1125" t="s">
        <v>23</v>
      </c>
      <c r="AJ1125" t="s">
        <v>2385</v>
      </c>
      <c r="AK1125" t="str">
        <f>IF(Transaction[[#This Row],[Salesperson]]="","Missing Value",TRIM(PROPER(Transaction[[#This Row],[Salesperson]])))</f>
        <v>Garcia-Na</v>
      </c>
      <c r="AL1125" t="s">
        <v>42</v>
      </c>
      <c r="AM1125" t="str">
        <f>IF(Transaction[[#This Row],[ContractType]]="","Missing Value",Transaction[[#This Row],[ContractType]])</f>
        <v>Standard PO</v>
      </c>
      <c r="AN1125" t="s">
        <v>43</v>
      </c>
    </row>
    <row r="1126" spans="1:40" x14ac:dyDescent="0.25">
      <c r="A1126" t="s">
        <v>1101</v>
      </c>
      <c r="C112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112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112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1126" s="2" t="str">
        <f>IFERROR(DATE(Transaction[[#This Row],[TransactionDateY]],Transaction[[#This Row],[TransactionDateM]],Transaction[[#This Row],[TransactionDateD]]),"Missing Value")</f>
        <v>Missing Value</v>
      </c>
      <c r="G1126" t="s">
        <v>208</v>
      </c>
      <c r="H1126" t="str">
        <f>IFERROR(VLOOKUP(Transaction[[#This Row],[CustomerID]],Custumer[],1,0),IF(LEN(Transaction[[#This Row],[CustomerID]])=7,LEFT(Transaction[[#This Row],[CustomerID]],6),"Invalid ID"))</f>
        <v>C-1076</v>
      </c>
      <c r="I1126" t="s">
        <v>92</v>
      </c>
      <c r="J1126" t="str">
        <f>TRIM(UPPER(Transaction[[#This Row],[ProductID]]))</f>
        <v>P-SI-008</v>
      </c>
      <c r="K1126" t="str">
        <f>IFERROR(VLOOKUP(Transaction[[#This Row],[ProductID_Clean]],Product[],1,FALSE),"Invalid ID")</f>
        <v>P-SI-008</v>
      </c>
      <c r="L1126" t="str">
        <f>TRIM(SUBSTITUTE(SUBSTITUTE(SUBSTITUTE(SUBSTITUTE(UPPER(Transaction[[#This Row],[Region]]),"EMEA REGION","EMEA"),"APAC REGION","APAC"),"NORTH AMERICA","N. AMERICA"),"N .AMERICA","N.AMERICA"))</f>
        <v>APAC</v>
      </c>
      <c r="M1126" t="s">
        <v>30</v>
      </c>
      <c r="N1126" t="s">
        <v>98</v>
      </c>
      <c r="O112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26" t="s">
        <v>22</v>
      </c>
      <c r="Q1126" t="str">
        <f>IF(TRIM(Transaction[[#This Row],[SalesChannel]])="","Missing Value",TRIM(Transaction[[#This Row],[SalesChannel]]))</f>
        <v>Direct</v>
      </c>
      <c r="R1126" s="4">
        <v>8</v>
      </c>
      <c r="S1126" s="4" t="str">
        <f>IF(Transaction[[#This Row],[Quantity]]&lt;0,"Negative-review","Valid")</f>
        <v>Valid</v>
      </c>
      <c r="T1126">
        <v>736.25</v>
      </c>
      <c r="U112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736.25</v>
      </c>
      <c r="V1126">
        <v>950</v>
      </c>
      <c r="W1126">
        <v>7600</v>
      </c>
      <c r="X112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7600</v>
      </c>
      <c r="Y1126">
        <f>IF(Transaction[[#This Row],[GrossRevenue_Check]]="Invalid",Transaction[[#This Row],[ListPrice]]*Transaction[[#This Row],[Quantity]],Transaction[[#This Row],[GrossRevenue_Clean]])</f>
        <v>7600</v>
      </c>
      <c r="Z1126" t="str">
        <f>IF(Transaction[[#This Row],[GrossRevenue_Clean]]=Transaction[[#This Row],[ListPrice]]*Transaction[[#This Row],[Quantity]],"Valid","Invalid")</f>
        <v>Valid</v>
      </c>
      <c r="AA1126">
        <v>1710</v>
      </c>
      <c r="AB112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1710</v>
      </c>
      <c r="AC1126">
        <f>IF(Transaction[[#This Row],[DiscountAmount_Check2]]="Invalid",Transaction[[#This Row],[GrossRevenue_Analytical]]-Transaction[[#This Row],[NetRevenue_Analytical]],Transaction[[#This Row],[DiscountAmount_Clean]])</f>
        <v>1710</v>
      </c>
      <c r="AD1126">
        <v>5890</v>
      </c>
      <c r="AE1126" t="str">
        <f>IF(ROUND(Transaction[[#This Row],[GrossRevenue_Analytical]]-Transaction[[#This Row],[NetRevenue_Analytical]],2)=ROUND(Transaction[[#This Row],[DiscountAmount_Clean]],2),"Valid","Invalid")</f>
        <v>Valid</v>
      </c>
      <c r="AF1126">
        <f>VALUE(IF(ISNUMBER(Transaction[[#This Row],[NetRevenue]]),Transaction[[#This Row],[NetRevenue]],IFERROR(IF(FIND("$",Transaction[[#This Row],[NetRevenue]])&gt;0,MID(Transaction[[#This Row],[NetRevenue]],2,10)),Transaction[[#This Row],[NetRevenue]])))</f>
        <v>5890</v>
      </c>
      <c r="AG1126">
        <f>IF(Transaction[[#This Row],[NetRevenue_Check]]="Invalid",(Transaction[[#This Row],[Quantity]]*Transaction[[#This Row],[UnitPrice_Clean]]),Transaction[[#This Row],[NetRevenue_Clean]])</f>
        <v>5890</v>
      </c>
      <c r="AH1126" t="str">
        <f>IF(Transaction[[#This Row],[Quantity]]*Transaction[[#This Row],[UnitPrice_Clean]]=Transaction[[#This Row],[NetRevenue_Clean]],"Valid","Invalid")</f>
        <v>Valid</v>
      </c>
      <c r="AI1126" t="s">
        <v>23</v>
      </c>
      <c r="AJ1126" t="s">
        <v>178</v>
      </c>
      <c r="AK1126" t="str">
        <f>IF(Transaction[[#This Row],[Salesperson]]="","Missing Value",TRIM(PROPER(Transaction[[#This Row],[Salesperson]])))</f>
        <v>Miller</v>
      </c>
      <c r="AL1126" t="s">
        <v>42</v>
      </c>
      <c r="AM1126" t="str">
        <f>IF(Transaction[[#This Row],[ContractType]]="","Missing Value",Transaction[[#This Row],[ContractType]])</f>
        <v>Standard PO</v>
      </c>
      <c r="AN1126" t="s">
        <v>49</v>
      </c>
    </row>
    <row r="1127" spans="1:40" x14ac:dyDescent="0.25">
      <c r="A1127" t="s">
        <v>1411</v>
      </c>
      <c r="B1127" t="s">
        <v>1412</v>
      </c>
      <c r="C112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112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112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27" s="2">
        <f>IFERROR(DATE(Transaction[[#This Row],[TransactionDateY]],Transaction[[#This Row],[TransactionDateM]],Transaction[[#This Row],[TransactionDateD]]),"Missing Value")</f>
        <v>45832</v>
      </c>
      <c r="G1127" t="s">
        <v>116</v>
      </c>
      <c r="H1127" t="str">
        <f>IFERROR(VLOOKUP(Transaction[[#This Row],[CustomerID]],Custumer[],1,0),IF(LEN(Transaction[[#This Row],[CustomerID]])=7,LEFT(Transaction[[#This Row],[CustomerID]],6),"Invalid ID"))</f>
        <v>C-1167</v>
      </c>
      <c r="I1127" t="s">
        <v>71</v>
      </c>
      <c r="J1127" t="str">
        <f>TRIM(UPPER(Transaction[[#This Row],[ProductID]]))</f>
        <v>P-SI-003</v>
      </c>
      <c r="K1127" t="str">
        <f>IFERROR(VLOOKUP(Transaction[[#This Row],[ProductID_Clean]],Product[],1,FALSE),"Invalid ID")</f>
        <v>P-SI-003</v>
      </c>
      <c r="L1127" t="str">
        <f>TRIM(SUBSTITUTE(SUBSTITUTE(SUBSTITUTE(SUBSTITUTE(UPPER(Transaction[[#This Row],[Region]]),"EMEA REGION","EMEA"),"APAC REGION","APAC"),"NORTH AMERICA","N. AMERICA"),"N .AMERICA","N.AMERICA"))</f>
        <v>EMEA</v>
      </c>
      <c r="M1127" t="s">
        <v>87</v>
      </c>
      <c r="N1127" t="s">
        <v>53</v>
      </c>
      <c r="O112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27" t="s">
        <v>40</v>
      </c>
      <c r="Q1127" t="str">
        <f>IF(TRIM(Transaction[[#This Row],[SalesChannel]])="","Missing Value",TRIM(Transaction[[#This Row],[SalesChannel]]))</f>
        <v>Distributor</v>
      </c>
      <c r="R1127" s="4">
        <v>1</v>
      </c>
      <c r="S1127" s="4" t="str">
        <f>IF(Transaction[[#This Row],[Quantity]]&lt;0,"Negative-review","Valid")</f>
        <v>Valid</v>
      </c>
      <c r="T1127">
        <v>1597.46</v>
      </c>
      <c r="U112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1597.46</v>
      </c>
      <c r="V1127">
        <v>1890</v>
      </c>
      <c r="W1127">
        <v>1890</v>
      </c>
      <c r="X112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1127">
        <f>IF(Transaction[[#This Row],[GrossRevenue_Check]]="Invalid",Transaction[[#This Row],[ListPrice]]*Transaction[[#This Row],[Quantity]],Transaction[[#This Row],[GrossRevenue_Clean]])</f>
        <v>1890</v>
      </c>
      <c r="Z1127" t="str">
        <f>IF(Transaction[[#This Row],[GrossRevenue_Clean]]=Transaction[[#This Row],[ListPrice]]*Transaction[[#This Row],[Quantity]],"Valid","Invalid")</f>
        <v>Valid</v>
      </c>
      <c r="AA1127">
        <v>292.54000000000002</v>
      </c>
      <c r="AB112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292.54000000000002</v>
      </c>
      <c r="AC1127">
        <f>IF(Transaction[[#This Row],[DiscountAmount_Check2]]="Invalid",Transaction[[#This Row],[GrossRevenue_Analytical]]-Transaction[[#This Row],[NetRevenue_Analytical]],Transaction[[#This Row],[DiscountAmount_Clean]])</f>
        <v>292.54000000000002</v>
      </c>
      <c r="AD1127">
        <v>1597.46</v>
      </c>
      <c r="AE1127" t="str">
        <f>IF(ROUND(Transaction[[#This Row],[GrossRevenue_Analytical]]-Transaction[[#This Row],[NetRevenue_Analytical]],2)=ROUND(Transaction[[#This Row],[DiscountAmount_Clean]],2),"Valid","Invalid")</f>
        <v>Valid</v>
      </c>
      <c r="AF112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1597.46</v>
      </c>
      <c r="AG1127">
        <f>IF(Transaction[[#This Row],[NetRevenue_Check]]="Invalid",(Transaction[[#This Row],[Quantity]]*Transaction[[#This Row],[UnitPrice_Clean]]),Transaction[[#This Row],[NetRevenue_Clean]])</f>
        <v>1597.46</v>
      </c>
      <c r="AH1127" t="str">
        <f>IF(Transaction[[#This Row],[Quantity]]*Transaction[[#This Row],[UnitPrice_Clean]]=Transaction[[#This Row],[NetRevenue_Clean]],"Valid","Invalid")</f>
        <v>Valid</v>
      </c>
      <c r="AI1127" t="s">
        <v>23</v>
      </c>
      <c r="AJ1127" t="s">
        <v>1413</v>
      </c>
      <c r="AK1127" t="str">
        <f>IF(Transaction[[#This Row],[Salesperson]]="","Missing Value",TRIM(PROPER(Transaction[[#This Row],[Salesperson]])))</f>
        <v>Jordan-Em</v>
      </c>
      <c r="AL1127" t="s">
        <v>42</v>
      </c>
      <c r="AM1127" t="str">
        <f>IF(Transaction[[#This Row],[ContractType]]="","Missing Value",Transaction[[#This Row],[ContractType]])</f>
        <v>Standard PO</v>
      </c>
      <c r="AN1127" t="s">
        <v>49</v>
      </c>
    </row>
    <row r="1128" spans="1:40" x14ac:dyDescent="0.25">
      <c r="A1128" t="s">
        <v>3091</v>
      </c>
      <c r="B1128" s="1">
        <v>45827</v>
      </c>
      <c r="C112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12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112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28" s="2">
        <f>IFERROR(DATE(Transaction[[#This Row],[TransactionDateY]],Transaction[[#This Row],[TransactionDateM]],Transaction[[#This Row],[TransactionDateD]]),"Missing Value")</f>
        <v>45827</v>
      </c>
      <c r="G1128" t="s">
        <v>1023</v>
      </c>
      <c r="H1128" t="str">
        <f>IFERROR(VLOOKUP(Transaction[[#This Row],[CustomerID]],Custumer[],1,0),IF(LEN(Transaction[[#This Row],[CustomerID]])=7,LEFT(Transaction[[#This Row],[CustomerID]],6),"Invalid ID"))</f>
        <v>C-1122</v>
      </c>
      <c r="I1128" t="s">
        <v>97</v>
      </c>
      <c r="J1128" t="str">
        <f>TRIM(UPPER(Transaction[[#This Row],[ProductID]]))</f>
        <v>P-SI-001</v>
      </c>
      <c r="K1128" t="str">
        <f>IFERROR(VLOOKUP(Transaction[[#This Row],[ProductID_Clean]],Product[],1,FALSE),"Invalid ID")</f>
        <v>P-SI-001</v>
      </c>
      <c r="L1128" t="str">
        <f>TRIM(SUBSTITUTE(SUBSTITUTE(SUBSTITUTE(SUBSTITUTE(UPPER(Transaction[[#This Row],[Region]]),"EMEA REGION","EMEA"),"APAC REGION","APAC"),"NORTH AMERICA","N. AMERICA"),"N .AMERICA","N.AMERICA"))</f>
        <v>N. AMERICA</v>
      </c>
      <c r="M1128" t="s">
        <v>20</v>
      </c>
      <c r="N1128" t="s">
        <v>47</v>
      </c>
      <c r="O112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28" t="s">
        <v>1191</v>
      </c>
      <c r="Q1128" t="str">
        <f>IF(TRIM(Transaction[[#This Row],[SalesChannel]])="","Missing Value",TRIM(Transaction[[#This Row],[SalesChannel]]))</f>
        <v>Partner Portal</v>
      </c>
      <c r="R1128" s="4">
        <v>10</v>
      </c>
      <c r="S1128" s="4" t="str">
        <f>IF(Transaction[[#This Row],[Quantity]]&lt;0,"Negative-review","Valid")</f>
        <v>Valid</v>
      </c>
      <c r="T1128">
        <v>445.74</v>
      </c>
      <c r="U112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445.74</v>
      </c>
      <c r="V1128">
        <v>485</v>
      </c>
      <c r="W1128">
        <v>4850</v>
      </c>
      <c r="X112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4850</v>
      </c>
      <c r="Y1128">
        <f>IF(Transaction[[#This Row],[GrossRevenue_Check]]="Invalid",Transaction[[#This Row],[ListPrice]]*Transaction[[#This Row],[Quantity]],Transaction[[#This Row],[GrossRevenue_Clean]])</f>
        <v>4850</v>
      </c>
      <c r="Z1128" t="str">
        <f>IF(Transaction[[#This Row],[GrossRevenue_Clean]]=Transaction[[#This Row],[ListPrice]]*Transaction[[#This Row],[Quantity]],"Valid","Invalid")</f>
        <v>Valid</v>
      </c>
      <c r="AA1128">
        <v>392.6</v>
      </c>
      <c r="AB112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392.6</v>
      </c>
      <c r="AC1128">
        <f>IF(Transaction[[#This Row],[DiscountAmount_Check2]]="Invalid",Transaction[[#This Row],[GrossRevenue_Analytical]]-Transaction[[#This Row],[NetRevenue_Analytical]],Transaction[[#This Row],[DiscountAmount_Clean]])</f>
        <v>392.6</v>
      </c>
      <c r="AD1128">
        <v>4457.3999999999996</v>
      </c>
      <c r="AE1128" t="str">
        <f>IF(ROUND(Transaction[[#This Row],[GrossRevenue_Analytical]]-Transaction[[#This Row],[NetRevenue_Analytical]],2)=ROUND(Transaction[[#This Row],[DiscountAmount_Clean]],2),"Valid","Invalid")</f>
        <v>Valid</v>
      </c>
      <c r="AF1128">
        <f>VALUE(IF(ISNUMBER(Transaction[[#This Row],[NetRevenue]]),Transaction[[#This Row],[NetRevenue]],IFERROR(IF(FIND("$",Transaction[[#This Row],[NetRevenue]])&gt;0,MID(Transaction[[#This Row],[NetRevenue]],2,10)),Transaction[[#This Row],[NetRevenue]])))</f>
        <v>4457.3999999999996</v>
      </c>
      <c r="AG1128">
        <f>IF(Transaction[[#This Row],[NetRevenue_Check]]="Invalid",(Transaction[[#This Row],[Quantity]]*Transaction[[#This Row],[UnitPrice_Clean]]),Transaction[[#This Row],[NetRevenue_Clean]])</f>
        <v>4457.3999999999996</v>
      </c>
      <c r="AH1128" t="str">
        <f>IF(Transaction[[#This Row],[Quantity]]*Transaction[[#This Row],[UnitPrice_Clean]]=Transaction[[#This Row],[NetRevenue_Clean]],"Valid","Invalid")</f>
        <v>Valid</v>
      </c>
      <c r="AI1128" t="s">
        <v>23</v>
      </c>
      <c r="AJ1128" t="s">
        <v>301</v>
      </c>
      <c r="AK1128" t="str">
        <f>IF(Transaction[[#This Row],[Salesperson]]="","Missing Value",TRIM(PROPER(Transaction[[#This Row],[Salesperson]])))</f>
        <v>Hawkins-Na</v>
      </c>
      <c r="AL1128" t="s">
        <v>42</v>
      </c>
      <c r="AM1128" t="str">
        <f>IF(Transaction[[#This Row],[ContractType]]="","Missing Value",Transaction[[#This Row],[ContractType]])</f>
        <v>Standard PO</v>
      </c>
      <c r="AN1128" t="s">
        <v>43</v>
      </c>
    </row>
    <row r="1129" spans="1:40" x14ac:dyDescent="0.25">
      <c r="A1129" t="s">
        <v>2712</v>
      </c>
      <c r="B1129" s="1">
        <v>45679</v>
      </c>
      <c r="C112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12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112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29" s="2">
        <f>IFERROR(DATE(Transaction[[#This Row],[TransactionDateY]],Transaction[[#This Row],[TransactionDateM]],Transaction[[#This Row],[TransactionDateD]]),"Missing Value")</f>
        <v>45679</v>
      </c>
      <c r="G1129" t="s">
        <v>960</v>
      </c>
      <c r="H1129" t="str">
        <f>IFERROR(VLOOKUP(Transaction[[#This Row],[CustomerID]],Custumer[],1,0),IF(LEN(Transaction[[#This Row],[CustomerID]])=7,LEFT(Transaction[[#This Row],[CustomerID]],6),"Invalid ID"))</f>
        <v>C-1160</v>
      </c>
      <c r="I1129" t="s">
        <v>121</v>
      </c>
      <c r="J1129" t="str">
        <f>TRIM(UPPER(Transaction[[#This Row],[ProductID]]))</f>
        <v>P-FS-001</v>
      </c>
      <c r="K1129" t="str">
        <f>IFERROR(VLOOKUP(Transaction[[#This Row],[ProductID_Clean]],Product[],1,FALSE),"Invalid ID")</f>
        <v>P-FS-001</v>
      </c>
      <c r="L1129" t="str">
        <f>TRIM(SUBSTITUTE(SUBSTITUTE(SUBSTITUTE(SUBSTITUTE(UPPER(Transaction[[#This Row],[Region]]),"EMEA REGION","EMEA"),"APAC REGION","APAC"),"NORTH AMERICA","N. AMERICA"),"N .AMERICA","N.AMERICA"))</f>
        <v>LATIN AMERICA</v>
      </c>
      <c r="M1129" t="s">
        <v>82</v>
      </c>
      <c r="N1129" t="s">
        <v>21</v>
      </c>
      <c r="O1129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129" t="s">
        <v>40</v>
      </c>
      <c r="Q1129" t="str">
        <f>IF(TRIM(Transaction[[#This Row],[SalesChannel]])="","Missing Value",TRIM(Transaction[[#This Row],[SalesChannel]]))</f>
        <v>Distributor</v>
      </c>
      <c r="R1129" s="4">
        <v>1</v>
      </c>
      <c r="S1129" s="4" t="str">
        <f>IF(Transaction[[#This Row],[Quantity]]&lt;0,"Negative-review","Valid")</f>
        <v>Valid</v>
      </c>
      <c r="T1129">
        <v>1347.01</v>
      </c>
      <c r="U112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1347.01</v>
      </c>
      <c r="V1129">
        <v>1850</v>
      </c>
      <c r="W1129">
        <v>1850</v>
      </c>
      <c r="X112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1129">
        <f>IF(Transaction[[#This Row],[GrossRevenue_Check]]="Invalid",Transaction[[#This Row],[ListPrice]]*Transaction[[#This Row],[Quantity]],Transaction[[#This Row],[GrossRevenue_Clean]])</f>
        <v>1850</v>
      </c>
      <c r="Z1129" t="str">
        <f>IF(Transaction[[#This Row],[GrossRevenue_Clean]]=Transaction[[#This Row],[ListPrice]]*Transaction[[#This Row],[Quantity]],"Valid","Invalid")</f>
        <v>Valid</v>
      </c>
      <c r="AA1129">
        <v>502.99</v>
      </c>
      <c r="AB112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502.99</v>
      </c>
      <c r="AC1129">
        <f>IF(Transaction[[#This Row],[DiscountAmount_Check2]]="Invalid",Transaction[[#This Row],[GrossRevenue_Analytical]]-Transaction[[#This Row],[NetRevenue_Analytical]],Transaction[[#This Row],[DiscountAmount_Clean]])</f>
        <v>502.99</v>
      </c>
      <c r="AD1129">
        <v>1347.01</v>
      </c>
      <c r="AE1129" t="str">
        <f>IF(ROUND(Transaction[[#This Row],[GrossRevenue_Analytical]]-Transaction[[#This Row],[NetRevenue_Analytical]],2)=ROUND(Transaction[[#This Row],[DiscountAmount_Clean]],2),"Valid","Invalid")</f>
        <v>Valid</v>
      </c>
      <c r="AF112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1347.01</v>
      </c>
      <c r="AG1129">
        <f>IF(Transaction[[#This Row],[NetRevenue_Check]]="Invalid",(Transaction[[#This Row],[Quantity]]*Transaction[[#This Row],[UnitPrice_Clean]]),Transaction[[#This Row],[NetRevenue_Clean]])</f>
        <v>1347.01</v>
      </c>
      <c r="AH1129" t="str">
        <f>IF(Transaction[[#This Row],[Quantity]]*Transaction[[#This Row],[UnitPrice_Clean]]=Transaction[[#This Row],[NetRevenue_Clean]],"Valid","Invalid")</f>
        <v>Valid</v>
      </c>
      <c r="AI1129" t="s">
        <v>99</v>
      </c>
      <c r="AJ1129" t="s">
        <v>2394</v>
      </c>
      <c r="AK1129" t="str">
        <f>IF(Transaction[[#This Row],[Salesperson]]="","Missing Value",TRIM(PROPER(Transaction[[#This Row],[Salesperson]])))</f>
        <v>Hunt-Em</v>
      </c>
      <c r="AL1129" t="s">
        <v>42</v>
      </c>
      <c r="AM1129" t="str">
        <f>IF(Transaction[[#This Row],[ContractType]]="","Missing Value",Transaction[[#This Row],[ContractType]])</f>
        <v>Standard PO</v>
      </c>
      <c r="AN1129" t="s">
        <v>65</v>
      </c>
    </row>
    <row r="1130" spans="1:40" x14ac:dyDescent="0.25">
      <c r="A1130" t="s">
        <v>640</v>
      </c>
      <c r="B1130" t="s">
        <v>641</v>
      </c>
      <c r="C113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113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113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30" s="2">
        <f>IFERROR(DATE(Transaction[[#This Row],[TransactionDateY]],Transaction[[#This Row],[TransactionDateM]],Transaction[[#This Row],[TransactionDateD]]),"Missing Value")</f>
        <v>45733</v>
      </c>
      <c r="G1130" t="s">
        <v>38</v>
      </c>
      <c r="H1130" t="str">
        <f>IFERROR(VLOOKUP(Transaction[[#This Row],[CustomerID]],Custumer[],1,0),IF(LEN(Transaction[[#This Row],[CustomerID]])=7,LEFT(Transaction[[#This Row],[CustomerID]],6),"Invalid ID"))</f>
        <v>C-1027</v>
      </c>
      <c r="I1130" t="s">
        <v>52</v>
      </c>
      <c r="J1130" t="str">
        <f>TRIM(UPPER(Transaction[[#This Row],[ProductID]]))</f>
        <v>P-SI-002</v>
      </c>
      <c r="K1130" t="str">
        <f>IFERROR(VLOOKUP(Transaction[[#This Row],[ProductID_Clean]],Product[],1,FALSE),"Invalid ID")</f>
        <v>P-SI-002</v>
      </c>
      <c r="L1130" t="str">
        <f>TRIM(SUBSTITUTE(SUBSTITUTE(SUBSTITUTE(SUBSTITUTE(UPPER(Transaction[[#This Row],[Region]]),"EMEA REGION","EMEA"),"APAC REGION","APAC"),"NORTH AMERICA","N. AMERICA"),"N .AMERICA","N.AMERICA"))</f>
        <v>N. AMERICA</v>
      </c>
      <c r="M1130" t="s">
        <v>20</v>
      </c>
      <c r="N1130" t="s">
        <v>47</v>
      </c>
      <c r="O113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30" t="s">
        <v>22</v>
      </c>
      <c r="Q1130" t="str">
        <f>IF(TRIM(Transaction[[#This Row],[SalesChannel]])="","Missing Value",TRIM(Transaction[[#This Row],[SalesChannel]]))</f>
        <v>Direct</v>
      </c>
      <c r="R1130" s="4">
        <v>3</v>
      </c>
      <c r="S1130" s="4" t="str">
        <f>IF(Transaction[[#This Row],[Quantity]]&lt;0,"Negative-review","Valid")</f>
        <v>Valid</v>
      </c>
      <c r="T1130">
        <v>597.64</v>
      </c>
      <c r="U113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597.64</v>
      </c>
      <c r="V1130">
        <v>725</v>
      </c>
      <c r="W1130">
        <v>2175</v>
      </c>
      <c r="X113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2175</v>
      </c>
      <c r="Y1130">
        <f>IF(Transaction[[#This Row],[GrossRevenue_Check]]="Invalid",Transaction[[#This Row],[ListPrice]]*Transaction[[#This Row],[Quantity]],Transaction[[#This Row],[GrossRevenue_Clean]])</f>
        <v>2175</v>
      </c>
      <c r="Z1130" t="str">
        <f>IF(Transaction[[#This Row],[GrossRevenue_Clean]]=Transaction[[#This Row],[ListPrice]]*Transaction[[#This Row],[Quantity]],"Valid","Invalid")</f>
        <v>Valid</v>
      </c>
      <c r="AA1130" t="s">
        <v>642</v>
      </c>
      <c r="AB113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382.08</v>
      </c>
      <c r="AC1130">
        <f>IF(Transaction[[#This Row],[DiscountAmount_Check2]]="Invalid",Transaction[[#This Row],[GrossRevenue_Analytical]]-Transaction[[#This Row],[NetRevenue_Analytical]],Transaction[[#This Row],[DiscountAmount_Clean]])</f>
        <v>382.08</v>
      </c>
      <c r="AD1130">
        <v>1792.92</v>
      </c>
      <c r="AE1130" t="str">
        <f>IF(ROUND(Transaction[[#This Row],[GrossRevenue_Analytical]]-Transaction[[#This Row],[NetRevenue_Analytical]],2)=ROUND(Transaction[[#This Row],[DiscountAmount_Clean]],2),"Valid","Invalid")</f>
        <v>Valid</v>
      </c>
      <c r="AF113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1792.92</v>
      </c>
      <c r="AG1130">
        <f>IF(Transaction[[#This Row],[NetRevenue_Check]]="Invalid",(Transaction[[#This Row],[Quantity]]*Transaction[[#This Row],[UnitPrice_Clean]]),Transaction[[#This Row],[NetRevenue_Clean]])</f>
        <v>1792.92</v>
      </c>
      <c r="AH1130" t="str">
        <f>IF(Transaction[[#This Row],[Quantity]]*Transaction[[#This Row],[UnitPrice_Clean]]=Transaction[[#This Row],[NetRevenue_Clean]],"Valid","Invalid")</f>
        <v>Valid</v>
      </c>
      <c r="AI1130" t="s">
        <v>23</v>
      </c>
      <c r="AJ1130" t="s">
        <v>643</v>
      </c>
      <c r="AK1130" t="str">
        <f>IF(Transaction[[#This Row],[Salesperson]]="","Missing Value",TRIM(PROPER(Transaction[[#This Row],[Salesperson]])))</f>
        <v>Garcia</v>
      </c>
      <c r="AL1130" t="s">
        <v>55</v>
      </c>
      <c r="AM1130" t="str">
        <f>IF(Transaction[[#This Row],[ContractType]]="","Missing Value",Transaction[[#This Row],[ContractType]])</f>
        <v>Spot</v>
      </c>
      <c r="AN1130" t="s">
        <v>43</v>
      </c>
    </row>
    <row r="1131" spans="1:40" x14ac:dyDescent="0.25">
      <c r="A1131" t="s">
        <v>2982</v>
      </c>
      <c r="B1131" t="s">
        <v>2983</v>
      </c>
      <c r="C113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113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113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31" s="2">
        <f>IFERROR(DATE(Transaction[[#This Row],[TransactionDateY]],Transaction[[#This Row],[TransactionDateM]],Transaction[[#This Row],[TransactionDateD]]),"Missing Value")</f>
        <v>45676</v>
      </c>
      <c r="G1131" t="s">
        <v>102</v>
      </c>
      <c r="H1131" t="str">
        <f>IFERROR(VLOOKUP(Transaction[[#This Row],[CustomerID]],Custumer[],1,0),IF(LEN(Transaction[[#This Row],[CustomerID]])=7,LEFT(Transaction[[#This Row],[CustomerID]],6),"Invalid ID"))</f>
        <v>C-1120</v>
      </c>
      <c r="I1131" t="s">
        <v>258</v>
      </c>
      <c r="J1131" t="str">
        <f>TRIM(UPPER(Transaction[[#This Row],[ProductID]]))</f>
        <v>P-SA-003</v>
      </c>
      <c r="K1131" t="str">
        <f>IFERROR(VLOOKUP(Transaction[[#This Row],[ProductID_Clean]],Product[],1,FALSE),"Invalid ID")</f>
        <v>P-SA-003</v>
      </c>
      <c r="L1131" t="str">
        <f>TRIM(SUBSTITUTE(SUBSTITUTE(SUBSTITUTE(SUBSTITUTE(UPPER(Transaction[[#This Row],[Region]]),"EMEA REGION","EMEA"),"APAC REGION","APAC"),"NORTH AMERICA","N. AMERICA"),"N .AMERICA","N.AMERICA"))</f>
        <v>EMEA</v>
      </c>
      <c r="M1131" t="s">
        <v>76</v>
      </c>
      <c r="N1131" t="s">
        <v>31</v>
      </c>
      <c r="O113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31" t="s">
        <v>173</v>
      </c>
      <c r="Q1131" t="str">
        <f>IF(TRIM(Transaction[[#This Row],[SalesChannel]])="","Missing Value",TRIM(Transaction[[#This Row],[SalesChannel]]))</f>
        <v>Distributor</v>
      </c>
      <c r="R1131" s="4">
        <v>1</v>
      </c>
      <c r="S1131" s="4" t="str">
        <f>IF(Transaction[[#This Row],[Quantity]]&lt;0,"Negative-review","Valid")</f>
        <v>Valid</v>
      </c>
      <c r="T1131">
        <v>2134.9299999999998</v>
      </c>
      <c r="U113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2134.9299999999998</v>
      </c>
      <c r="V1131">
        <v>2750</v>
      </c>
      <c r="W1131">
        <v>2750</v>
      </c>
      <c r="X113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1131">
        <f>IF(Transaction[[#This Row],[GrossRevenue_Check]]="Invalid",Transaction[[#This Row],[ListPrice]]*Transaction[[#This Row],[Quantity]],Transaction[[#This Row],[GrossRevenue_Clean]])</f>
        <v>2750</v>
      </c>
      <c r="Z1131" t="str">
        <f>IF(Transaction[[#This Row],[GrossRevenue_Clean]]=Transaction[[#This Row],[ListPrice]]*Transaction[[#This Row],[Quantity]],"Valid","Invalid")</f>
        <v>Valid</v>
      </c>
      <c r="AA1131">
        <v>615.07000000000005</v>
      </c>
      <c r="AB113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615.07000000000005</v>
      </c>
      <c r="AC1131">
        <f>IF(Transaction[[#This Row],[DiscountAmount_Check2]]="Invalid",Transaction[[#This Row],[GrossRevenue_Analytical]]-Transaction[[#This Row],[NetRevenue_Analytical]],Transaction[[#This Row],[DiscountAmount_Clean]])</f>
        <v>615.07000000000005</v>
      </c>
      <c r="AD1131">
        <v>2134.9299999999998</v>
      </c>
      <c r="AE1131" t="str">
        <f>IF(ROUND(Transaction[[#This Row],[GrossRevenue_Analytical]]-Transaction[[#This Row],[NetRevenue_Analytical]],2)=ROUND(Transaction[[#This Row],[DiscountAmount_Clean]],2),"Valid","Invalid")</f>
        <v>Valid</v>
      </c>
      <c r="AF113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2134.9299999999998</v>
      </c>
      <c r="AG1131">
        <f>IF(Transaction[[#This Row],[NetRevenue_Check]]="Invalid",(Transaction[[#This Row],[Quantity]]*Transaction[[#This Row],[UnitPrice_Clean]]),Transaction[[#This Row],[NetRevenue_Clean]])</f>
        <v>2134.9299999999998</v>
      </c>
      <c r="AH1131" t="str">
        <f>IF(Transaction[[#This Row],[Quantity]]*Transaction[[#This Row],[UnitPrice_Clean]]=Transaction[[#This Row],[NetRevenue_Clean]],"Valid","Invalid")</f>
        <v>Valid</v>
      </c>
      <c r="AI1131" t="s">
        <v>23</v>
      </c>
      <c r="AJ1131" t="s">
        <v>781</v>
      </c>
      <c r="AK1131" t="str">
        <f>IF(Transaction[[#This Row],[Salesperson]]="","Missing Value",TRIM(PROPER(Transaction[[#This Row],[Salesperson]])))</f>
        <v>Davis</v>
      </c>
      <c r="AL1131" t="s">
        <v>210</v>
      </c>
      <c r="AM1131" t="str">
        <f>IF(Transaction[[#This Row],[ContractType]]="","Missing Value",Transaction[[#This Row],[ContractType]])</f>
        <v>Perpetual</v>
      </c>
      <c r="AN1131" t="s">
        <v>43</v>
      </c>
    </row>
    <row r="1132" spans="1:40" x14ac:dyDescent="0.25">
      <c r="A1132" t="s">
        <v>3086</v>
      </c>
      <c r="B1132" s="1">
        <v>45726</v>
      </c>
      <c r="C113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13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113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32" s="2">
        <f>IFERROR(DATE(Transaction[[#This Row],[TransactionDateY]],Transaction[[#This Row],[TransactionDateM]],Transaction[[#This Row],[TransactionDateD]]),"Missing Value")</f>
        <v>45726</v>
      </c>
      <c r="G1132" t="s">
        <v>153</v>
      </c>
      <c r="H1132" t="str">
        <f>IFERROR(VLOOKUP(Transaction[[#This Row],[CustomerID]],Custumer[],1,0),IF(LEN(Transaction[[#This Row],[CustomerID]])=7,LEFT(Transaction[[#This Row],[CustomerID]],6),"Invalid ID"))</f>
        <v>C-1161</v>
      </c>
      <c r="I1132" t="s">
        <v>58</v>
      </c>
      <c r="J1132" t="str">
        <f>TRIM(UPPER(Transaction[[#This Row],[ProductID]]))</f>
        <v>P-SI-005</v>
      </c>
      <c r="K1132" t="str">
        <f>IFERROR(VLOOKUP(Transaction[[#This Row],[ProductID_Clean]],Product[],1,FALSE),"Invalid ID")</f>
        <v>P-SI-005</v>
      </c>
      <c r="L1132" t="str">
        <f>TRIM(SUBSTITUTE(SUBSTITUTE(SUBSTITUTE(SUBSTITUTE(UPPER(Transaction[[#This Row],[Region]]),"EMEA REGION","EMEA"),"APAC REGION","APAC"),"NORTH AMERICA","N. AMERICA"),"N .AMERICA","N.AMERICA"))</f>
        <v>N. AMERICA</v>
      </c>
      <c r="M1132" t="s">
        <v>20</v>
      </c>
      <c r="N1132" t="s">
        <v>47</v>
      </c>
      <c r="O113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32" t="s">
        <v>22</v>
      </c>
      <c r="Q1132" t="str">
        <f>IF(TRIM(Transaction[[#This Row],[SalesChannel]])="","Missing Value",TRIM(Transaction[[#This Row],[SalesChannel]]))</f>
        <v>Direct</v>
      </c>
      <c r="R1132" s="4">
        <v>2</v>
      </c>
      <c r="S1132" s="4" t="str">
        <f>IF(Transaction[[#This Row],[Quantity]]&lt;0,"Negative-review","Valid")</f>
        <v>Valid</v>
      </c>
      <c r="T1132">
        <v>1080.72</v>
      </c>
      <c r="U113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1080.72</v>
      </c>
      <c r="V1132">
        <v>1120</v>
      </c>
      <c r="W1132">
        <v>2240</v>
      </c>
      <c r="X113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2240</v>
      </c>
      <c r="Y1132">
        <f>IF(Transaction[[#This Row],[GrossRevenue_Check]]="Invalid",Transaction[[#This Row],[ListPrice]]*Transaction[[#This Row],[Quantity]],Transaction[[#This Row],[GrossRevenue_Clean]])</f>
        <v>2240</v>
      </c>
      <c r="Z1132" t="str">
        <f>IF(Transaction[[#This Row],[GrossRevenue_Clean]]=Transaction[[#This Row],[ListPrice]]*Transaction[[#This Row],[Quantity]],"Valid","Invalid")</f>
        <v>Valid</v>
      </c>
      <c r="AA1132">
        <v>78.56</v>
      </c>
      <c r="AB113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78.56</v>
      </c>
      <c r="AC1132">
        <f>IF(Transaction[[#This Row],[DiscountAmount_Check2]]="Invalid",Transaction[[#This Row],[GrossRevenue_Analytical]]-Transaction[[#This Row],[NetRevenue_Analytical]],Transaction[[#This Row],[DiscountAmount_Clean]])</f>
        <v>78.56</v>
      </c>
      <c r="AD1132">
        <v>2161.44</v>
      </c>
      <c r="AE1132" t="str">
        <f>IF(ROUND(Transaction[[#This Row],[GrossRevenue_Analytical]]-Transaction[[#This Row],[NetRevenue_Analytical]],2)=ROUND(Transaction[[#This Row],[DiscountAmount_Clean]],2),"Valid","Invalid")</f>
        <v>Valid</v>
      </c>
      <c r="AF113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2161.44</v>
      </c>
      <c r="AG1132">
        <f>IF(Transaction[[#This Row],[NetRevenue_Check]]="Invalid",(Transaction[[#This Row],[Quantity]]*Transaction[[#This Row],[UnitPrice_Clean]]),Transaction[[#This Row],[NetRevenue_Clean]])</f>
        <v>2161.44</v>
      </c>
      <c r="AH1132" t="str">
        <f>IF(Transaction[[#This Row],[Quantity]]*Transaction[[#This Row],[UnitPrice_Clean]]=Transaction[[#This Row],[NetRevenue_Clean]],"Valid","Invalid")</f>
        <v>Valid</v>
      </c>
      <c r="AI1132" t="s">
        <v>23</v>
      </c>
      <c r="AJ1132" t="s">
        <v>3087</v>
      </c>
      <c r="AK1132" t="str">
        <f>IF(Transaction[[#This Row],[Salesperson]]="","Missing Value",TRIM(PROPER(Transaction[[#This Row],[Salesperson]])))</f>
        <v>Spencer</v>
      </c>
      <c r="AL1132" t="s">
        <v>55</v>
      </c>
      <c r="AM1132" t="str">
        <f>IF(Transaction[[#This Row],[ContractType]]="","Missing Value",Transaction[[#This Row],[ContractType]])</f>
        <v>Spot</v>
      </c>
      <c r="AN1132" t="s">
        <v>35</v>
      </c>
    </row>
    <row r="1133" spans="1:40" x14ac:dyDescent="0.25">
      <c r="A1133" t="s">
        <v>2588</v>
      </c>
      <c r="C113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113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113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1133" s="2" t="str">
        <f>IFERROR(DATE(Transaction[[#This Row],[TransactionDateY]],Transaction[[#This Row],[TransactionDateM]],Transaction[[#This Row],[TransactionDateD]]),"Missing Value")</f>
        <v>Missing Value</v>
      </c>
      <c r="G1133" t="s">
        <v>284</v>
      </c>
      <c r="H1133" t="str">
        <f>IFERROR(VLOOKUP(Transaction[[#This Row],[CustomerID]],Custumer[],1,0),IF(LEN(Transaction[[#This Row],[CustomerID]])=7,LEFT(Transaction[[#This Row],[CustomerID]],6),"Invalid ID"))</f>
        <v>C-1101</v>
      </c>
      <c r="I1133" t="s">
        <v>117</v>
      </c>
      <c r="J1133" t="str">
        <f>TRIM(UPPER(Transaction[[#This Row],[ProductID]]))</f>
        <v>P-SI-007</v>
      </c>
      <c r="K1133" t="str">
        <f>IFERROR(VLOOKUP(Transaction[[#This Row],[ProductID_Clean]],Product[],1,FALSE),"Invalid ID")</f>
        <v>P-SI-007</v>
      </c>
      <c r="L1133" t="str">
        <f>TRIM(SUBSTITUTE(SUBSTITUTE(SUBSTITUTE(SUBSTITUTE(UPPER(Transaction[[#This Row],[Region]]),"EMEA REGION","EMEA"),"APAC REGION","APAC"),"NORTH AMERICA","N. AMERICA"),"N .AMERICA","N.AMERICA"))</f>
        <v>EMEA</v>
      </c>
      <c r="M1133" t="s">
        <v>76</v>
      </c>
      <c r="N1133" t="s">
        <v>53</v>
      </c>
      <c r="O113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Q1133" t="str">
        <f>IF(TRIM(Transaction[[#This Row],[SalesChannel]])="","Missing Value",TRIM(Transaction[[#This Row],[SalesChannel]]))</f>
        <v>Missing Value</v>
      </c>
      <c r="R1133" s="4">
        <v>1</v>
      </c>
      <c r="S1133" s="4" t="str">
        <f>IF(Transaction[[#This Row],[Quantity]]&lt;0,"Negative-review","Valid")</f>
        <v>Valid</v>
      </c>
      <c r="T1133">
        <v>857.43</v>
      </c>
      <c r="U113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857.43</v>
      </c>
      <c r="V1133">
        <v>980</v>
      </c>
      <c r="W1133">
        <v>980</v>
      </c>
      <c r="X113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1133">
        <f>IF(Transaction[[#This Row],[GrossRevenue_Check]]="Invalid",Transaction[[#This Row],[ListPrice]]*Transaction[[#This Row],[Quantity]],Transaction[[#This Row],[GrossRevenue_Clean]])</f>
        <v>980</v>
      </c>
      <c r="Z1133" t="str">
        <f>IF(Transaction[[#This Row],[GrossRevenue_Clean]]=Transaction[[#This Row],[ListPrice]]*Transaction[[#This Row],[Quantity]],"Valid","Invalid")</f>
        <v>Valid</v>
      </c>
      <c r="AA1133">
        <v>122.57</v>
      </c>
      <c r="AB113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122.57</v>
      </c>
      <c r="AC1133">
        <f>IF(Transaction[[#This Row],[DiscountAmount_Check2]]="Invalid",Transaction[[#This Row],[GrossRevenue_Analytical]]-Transaction[[#This Row],[NetRevenue_Analytical]],Transaction[[#This Row],[DiscountAmount_Clean]])</f>
        <v>122.57</v>
      </c>
      <c r="AD1133">
        <v>857.43</v>
      </c>
      <c r="AE1133" t="str">
        <f>IF(ROUND(Transaction[[#This Row],[GrossRevenue_Analytical]]-Transaction[[#This Row],[NetRevenue_Analytical]],2)=ROUND(Transaction[[#This Row],[DiscountAmount_Clean]],2),"Valid","Invalid")</f>
        <v>Valid</v>
      </c>
      <c r="AF1133">
        <f>VALUE(IF(ISNUMBER(Transaction[[#This Row],[NetRevenue]]),Transaction[[#This Row],[NetRevenue]],IFERROR(IF(FIND("$",Transaction[[#This Row],[NetRevenue]])&gt;0,MID(Transaction[[#This Row],[NetRevenue]],2,10)),Transaction[[#This Row],[NetRevenue]])))</f>
        <v>857.43</v>
      </c>
      <c r="AG1133">
        <f>IF(Transaction[[#This Row],[NetRevenue_Check]]="Invalid",(Transaction[[#This Row],[Quantity]]*Transaction[[#This Row],[UnitPrice_Clean]]),Transaction[[#This Row],[NetRevenue_Clean]])</f>
        <v>857.43</v>
      </c>
      <c r="AH1133" t="str">
        <f>IF(Transaction[[#This Row],[Quantity]]*Transaction[[#This Row],[UnitPrice_Clean]]=Transaction[[#This Row],[NetRevenue_Clean]],"Valid","Invalid")</f>
        <v>Valid</v>
      </c>
      <c r="AI1133" t="s">
        <v>23</v>
      </c>
      <c r="AJ1133" t="s">
        <v>958</v>
      </c>
      <c r="AK1133" t="str">
        <f>IF(Transaction[[#This Row],[Salesperson]]="","Missing Value",TRIM(PROPER(Transaction[[#This Row],[Salesperson]])))</f>
        <v>Mueller</v>
      </c>
      <c r="AL1133" t="s">
        <v>55</v>
      </c>
      <c r="AM1133" t="str">
        <f>IF(Transaction[[#This Row],[ContractType]]="","Missing Value",Transaction[[#This Row],[ContractType]])</f>
        <v>Spot</v>
      </c>
      <c r="AN1133" t="s">
        <v>35</v>
      </c>
    </row>
    <row r="1134" spans="1:40" x14ac:dyDescent="0.25">
      <c r="A1134" t="s">
        <v>1378</v>
      </c>
      <c r="B1134" s="1">
        <v>45757</v>
      </c>
      <c r="C113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13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113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34" s="2">
        <f>IFERROR(DATE(Transaction[[#This Row],[TransactionDateY]],Transaction[[#This Row],[TransactionDateM]],Transaction[[#This Row],[TransactionDateD]]),"Missing Value")</f>
        <v>45757</v>
      </c>
      <c r="G1134" t="s">
        <v>153</v>
      </c>
      <c r="H1134" t="str">
        <f>IFERROR(VLOOKUP(Transaction[[#This Row],[CustomerID]],Custumer[],1,0),IF(LEN(Transaction[[#This Row],[CustomerID]])=7,LEFT(Transaction[[#This Row],[CustomerID]],6),"Invalid ID"))</f>
        <v>C-1161</v>
      </c>
      <c r="I1134" t="s">
        <v>29</v>
      </c>
      <c r="J1134" t="str">
        <f>TRIM(UPPER(Transaction[[#This Row],[ProductID]]))</f>
        <v>P-SA-001</v>
      </c>
      <c r="K1134" t="str">
        <f>IFERROR(VLOOKUP(Transaction[[#This Row],[ProductID_Clean]],Product[],1,FALSE),"Invalid ID")</f>
        <v>P-SA-001</v>
      </c>
      <c r="L1134" t="str">
        <f>TRIM(SUBSTITUTE(SUBSTITUTE(SUBSTITUTE(SUBSTITUTE(UPPER(Transaction[[#This Row],[Region]]),"EMEA REGION","EMEA"),"APAC REGION","APAC"),"NORTH AMERICA","N. AMERICA"),"N .AMERICA","N.AMERICA"))</f>
        <v>N. AMERICA</v>
      </c>
      <c r="M1134" t="s">
        <v>20</v>
      </c>
      <c r="N1134" t="s">
        <v>31</v>
      </c>
      <c r="O113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34" t="s">
        <v>40</v>
      </c>
      <c r="Q1134" t="str">
        <f>IF(TRIM(Transaction[[#This Row],[SalesChannel]])="","Missing Value",TRIM(Transaction[[#This Row],[SalesChannel]]))</f>
        <v>Distributor</v>
      </c>
      <c r="R1134" s="4">
        <v>1</v>
      </c>
      <c r="S1134" s="4" t="str">
        <f>IF(Transaction[[#This Row],[Quantity]]&lt;0,"Negative-review","Valid")</f>
        <v>Valid</v>
      </c>
      <c r="T1134">
        <v>3500.59</v>
      </c>
      <c r="U113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3500.59</v>
      </c>
      <c r="V1134">
        <v>4200</v>
      </c>
      <c r="W1134">
        <v>4200</v>
      </c>
      <c r="X113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1134">
        <f>IF(Transaction[[#This Row],[GrossRevenue_Check]]="Invalid",Transaction[[#This Row],[ListPrice]]*Transaction[[#This Row],[Quantity]],Transaction[[#This Row],[GrossRevenue_Clean]])</f>
        <v>4200</v>
      </c>
      <c r="Z1134" t="str">
        <f>IF(Transaction[[#This Row],[GrossRevenue_Clean]]=Transaction[[#This Row],[ListPrice]]*Transaction[[#This Row],[Quantity]],"Valid","Invalid")</f>
        <v>Valid</v>
      </c>
      <c r="AA1134">
        <v>699.41</v>
      </c>
      <c r="AB113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699.41</v>
      </c>
      <c r="AC1134">
        <f>IF(Transaction[[#This Row],[DiscountAmount_Check2]]="Invalid",Transaction[[#This Row],[GrossRevenue_Analytical]]-Transaction[[#This Row],[NetRevenue_Analytical]],Transaction[[#This Row],[DiscountAmount_Clean]])</f>
        <v>699.41</v>
      </c>
      <c r="AD1134">
        <v>3500.59</v>
      </c>
      <c r="AE1134" t="str">
        <f>IF(ROUND(Transaction[[#This Row],[GrossRevenue_Analytical]]-Transaction[[#This Row],[NetRevenue_Analytical]],2)=ROUND(Transaction[[#This Row],[DiscountAmount_Clean]],2),"Valid","Invalid")</f>
        <v>Valid</v>
      </c>
      <c r="AF1134">
        <f>VALUE(IF(ISNUMBER(Transaction[[#This Row],[NetRevenue]]),Transaction[[#This Row],[NetRevenue]],IFERROR(IF(FIND("$",Transaction[[#This Row],[NetRevenue]])&gt;0,MID(Transaction[[#This Row],[NetRevenue]],2,10)),Transaction[[#This Row],[NetRevenue]])))</f>
        <v>3500.59</v>
      </c>
      <c r="AG1134">
        <f>IF(Transaction[[#This Row],[NetRevenue_Check]]="Invalid",(Transaction[[#This Row],[Quantity]]*Transaction[[#This Row],[UnitPrice_Clean]]),Transaction[[#This Row],[NetRevenue_Clean]])</f>
        <v>3500.59</v>
      </c>
      <c r="AH1134" t="str">
        <f>IF(Transaction[[#This Row],[Quantity]]*Transaction[[#This Row],[UnitPrice_Clean]]=Transaction[[#This Row],[NetRevenue_Clean]],"Valid","Invalid")</f>
        <v>Valid</v>
      </c>
      <c r="AI1134" t="s">
        <v>99</v>
      </c>
      <c r="AJ1134" t="s">
        <v>1379</v>
      </c>
      <c r="AK1134" t="str">
        <f>IF(Transaction[[#This Row],[Salesperson]]="","Missing Value",TRIM(PROPER(Transaction[[#This Row],[Salesperson]])))</f>
        <v>Shields</v>
      </c>
      <c r="AL1134" t="s">
        <v>113</v>
      </c>
      <c r="AM1134" t="str">
        <f>IF(Transaction[[#This Row],[ContractType]]="","Missing Value",Transaction[[#This Row],[ContractType]])</f>
        <v>Subscription</v>
      </c>
      <c r="AN1134" t="s">
        <v>35</v>
      </c>
    </row>
    <row r="1135" spans="1:40" x14ac:dyDescent="0.25">
      <c r="A1135" t="s">
        <v>766</v>
      </c>
      <c r="B1135" s="1">
        <v>45750</v>
      </c>
      <c r="C113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13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113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35" s="2">
        <f>IFERROR(DATE(Transaction[[#This Row],[TransactionDateY]],Transaction[[#This Row],[TransactionDateM]],Transaction[[#This Row],[TransactionDateD]]),"Missing Value")</f>
        <v>45750</v>
      </c>
      <c r="G1135" t="s">
        <v>423</v>
      </c>
      <c r="H1135" t="str">
        <f>IFERROR(VLOOKUP(Transaction[[#This Row],[CustomerID]],Custumer[],1,0),IF(LEN(Transaction[[#This Row],[CustomerID]])=7,LEFT(Transaction[[#This Row],[CustomerID]],6),"Invalid ID"))</f>
        <v>C-1121</v>
      </c>
      <c r="I1135" t="s">
        <v>222</v>
      </c>
      <c r="J1135" t="str">
        <f>TRIM(UPPER(Transaction[[#This Row],[ProductID]]))</f>
        <v>P-FS-003</v>
      </c>
      <c r="K1135" t="str">
        <f>IFERROR(VLOOKUP(Transaction[[#This Row],[ProductID_Clean]],Product[],1,FALSE),"Invalid ID")</f>
        <v>P-FS-003</v>
      </c>
      <c r="L1135" t="str">
        <f>TRIM(SUBSTITUTE(SUBSTITUTE(SUBSTITUTE(SUBSTITUTE(UPPER(Transaction[[#This Row],[Region]]),"EMEA REGION","EMEA"),"APAC REGION","APAC"),"NORTH AMERICA","N. AMERICA"),"N .AMERICA","N.AMERICA"))</f>
        <v>N. AMERICA</v>
      </c>
      <c r="M1135" t="s">
        <v>20</v>
      </c>
      <c r="N1135" t="s">
        <v>21</v>
      </c>
      <c r="O113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135" t="s">
        <v>40</v>
      </c>
      <c r="Q1135" t="str">
        <f>IF(TRIM(Transaction[[#This Row],[SalesChannel]])="","Missing Value",TRIM(Transaction[[#This Row],[SalesChannel]]))</f>
        <v>Distributor</v>
      </c>
      <c r="R1135" s="4">
        <v>1</v>
      </c>
      <c r="S1135" s="4" t="str">
        <f>IF(Transaction[[#This Row],[Quantity]]&lt;0,"Negative-review","Valid")</f>
        <v>Valid</v>
      </c>
      <c r="T1135" t="s">
        <v>767</v>
      </c>
      <c r="U113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3340.71</v>
      </c>
      <c r="V1135">
        <v>4100</v>
      </c>
      <c r="W1135">
        <v>4100</v>
      </c>
      <c r="X113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4100</v>
      </c>
      <c r="Y1135">
        <f>IF(Transaction[[#This Row],[GrossRevenue_Check]]="Invalid",Transaction[[#This Row],[ListPrice]]*Transaction[[#This Row],[Quantity]],Transaction[[#This Row],[GrossRevenue_Clean]])</f>
        <v>4100</v>
      </c>
      <c r="Z1135" t="str">
        <f>IF(Transaction[[#This Row],[GrossRevenue_Clean]]=Transaction[[#This Row],[ListPrice]]*Transaction[[#This Row],[Quantity]],"Valid","Invalid")</f>
        <v>Valid</v>
      </c>
      <c r="AA1135">
        <v>759.29</v>
      </c>
      <c r="AB113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759.29</v>
      </c>
      <c r="AC1135">
        <f>IF(Transaction[[#This Row],[DiscountAmount_Check2]]="Invalid",Transaction[[#This Row],[GrossRevenue_Analytical]]-Transaction[[#This Row],[NetRevenue_Analytical]],Transaction[[#This Row],[DiscountAmount_Clean]])</f>
        <v>759.29</v>
      </c>
      <c r="AD1135">
        <v>3340.71</v>
      </c>
      <c r="AE1135" t="str">
        <f>IF(ROUND(Transaction[[#This Row],[GrossRevenue_Analytical]]-Transaction[[#This Row],[NetRevenue_Analytical]],2)=ROUND(Transaction[[#This Row],[DiscountAmount_Clean]],2),"Valid","Invalid")</f>
        <v>Valid</v>
      </c>
      <c r="AF113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3340.71</v>
      </c>
      <c r="AG1135">
        <f>IF(Transaction[[#This Row],[NetRevenue_Check]]="Invalid",(Transaction[[#This Row],[Quantity]]*Transaction[[#This Row],[UnitPrice_Clean]]),Transaction[[#This Row],[NetRevenue_Clean]])</f>
        <v>3340.71</v>
      </c>
      <c r="AH1135" t="str">
        <f>IF(Transaction[[#This Row],[Quantity]]*Transaction[[#This Row],[UnitPrice_Clean]]=Transaction[[#This Row],[NetRevenue_Clean]],"Valid","Invalid")</f>
        <v>Valid</v>
      </c>
      <c r="AI1135" t="s">
        <v>23</v>
      </c>
      <c r="AJ1135" t="s">
        <v>465</v>
      </c>
      <c r="AK1135" t="str">
        <f>IF(Transaction[[#This Row],[Salesperson]]="","Missing Value",TRIM(PROPER(Transaction[[#This Row],[Salesperson]])))</f>
        <v>Smith</v>
      </c>
      <c r="AL1135" t="s">
        <v>224</v>
      </c>
      <c r="AM1135" t="str">
        <f>IF(Transaction[[#This Row],[ContractType]]="","Missing Value",Transaction[[#This Row],[ContractType]])</f>
        <v>Annual</v>
      </c>
      <c r="AN1135" t="s">
        <v>49</v>
      </c>
    </row>
    <row r="1136" spans="1:40" x14ac:dyDescent="0.25">
      <c r="A1136" t="s">
        <v>2648</v>
      </c>
      <c r="B1136" s="1">
        <v>45681</v>
      </c>
      <c r="C113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13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113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36" s="2">
        <f>IFERROR(DATE(Transaction[[#This Row],[TransactionDateY]],Transaction[[#This Row],[TransactionDateM]],Transaction[[#This Row],[TransactionDateD]]),"Missing Value")</f>
        <v>45681</v>
      </c>
      <c r="G1136" t="s">
        <v>284</v>
      </c>
      <c r="H1136" t="str">
        <f>IFERROR(VLOOKUP(Transaction[[#This Row],[CustomerID]],Custumer[],1,0),IF(LEN(Transaction[[#This Row],[CustomerID]])=7,LEFT(Transaction[[#This Row],[CustomerID]],6),"Invalid ID"))</f>
        <v>C-1101</v>
      </c>
      <c r="I1136" t="s">
        <v>52</v>
      </c>
      <c r="J1136" t="str">
        <f>TRIM(UPPER(Transaction[[#This Row],[ProductID]]))</f>
        <v>P-SI-002</v>
      </c>
      <c r="K1136" t="str">
        <f>IFERROR(VLOOKUP(Transaction[[#This Row],[ProductID_Clean]],Product[],1,FALSE),"Invalid ID")</f>
        <v>P-SI-002</v>
      </c>
      <c r="L1136" t="str">
        <f>TRIM(SUBSTITUTE(SUBSTITUTE(SUBSTITUTE(SUBSTITUTE(UPPER(Transaction[[#This Row],[Region]]),"EMEA REGION","EMEA"),"APAC REGION","APAC"),"NORTH AMERICA","N. AMERICA"),"N .AMERICA","N.AMERICA"))</f>
        <v>EMEA</v>
      </c>
      <c r="M1136" t="s">
        <v>76</v>
      </c>
      <c r="N1136" t="s">
        <v>53</v>
      </c>
      <c r="O113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36" t="s">
        <v>22</v>
      </c>
      <c r="Q1136" t="str">
        <f>IF(TRIM(Transaction[[#This Row],[SalesChannel]])="","Missing Value",TRIM(Transaction[[#This Row],[SalesChannel]]))</f>
        <v>Direct</v>
      </c>
      <c r="R1136" s="4">
        <v>3</v>
      </c>
      <c r="S1136" s="4" t="str">
        <f>IF(Transaction[[#This Row],[Quantity]]&lt;0,"Negative-review","Valid")</f>
        <v>Valid</v>
      </c>
      <c r="T1136">
        <v>622.78</v>
      </c>
      <c r="U113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622.78</v>
      </c>
      <c r="V1136">
        <v>725</v>
      </c>
      <c r="W1136">
        <v>2175</v>
      </c>
      <c r="X113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2175</v>
      </c>
      <c r="Y1136">
        <f>IF(Transaction[[#This Row],[GrossRevenue_Check]]="Invalid",Transaction[[#This Row],[ListPrice]]*Transaction[[#This Row],[Quantity]],Transaction[[#This Row],[GrossRevenue_Clean]])</f>
        <v>2175</v>
      </c>
      <c r="Z1136" t="str">
        <f>IF(Transaction[[#This Row],[GrossRevenue_Clean]]=Transaction[[#This Row],[ListPrice]]*Transaction[[#This Row],[Quantity]],"Valid","Invalid")</f>
        <v>Valid</v>
      </c>
      <c r="AA1136">
        <v>306.66000000000003</v>
      </c>
      <c r="AB113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306.66000000000003</v>
      </c>
      <c r="AC1136">
        <f>IF(Transaction[[#This Row],[DiscountAmount_Check2]]="Invalid",Transaction[[#This Row],[GrossRevenue_Analytical]]-Transaction[[#This Row],[NetRevenue_Analytical]],Transaction[[#This Row],[DiscountAmount_Clean]])</f>
        <v>306.66000000000003</v>
      </c>
      <c r="AD1136">
        <v>1868.34</v>
      </c>
      <c r="AE1136" t="str">
        <f>IF(ROUND(Transaction[[#This Row],[GrossRevenue_Analytical]]-Transaction[[#This Row],[NetRevenue_Analytical]],2)=ROUND(Transaction[[#This Row],[DiscountAmount_Clean]],2),"Valid","Invalid")</f>
        <v>Valid</v>
      </c>
      <c r="AF113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1868.34</v>
      </c>
      <c r="AG1136">
        <f>IF(Transaction[[#This Row],[NetRevenue_Check]]="Invalid",(Transaction[[#This Row],[Quantity]]*Transaction[[#This Row],[UnitPrice_Clean]]),Transaction[[#This Row],[NetRevenue_Clean]])</f>
        <v>1868.34</v>
      </c>
      <c r="AH1136" t="str">
        <f>IF(Transaction[[#This Row],[Quantity]]*Transaction[[#This Row],[UnitPrice_Clean]]=Transaction[[#This Row],[NetRevenue_Clean]],"Valid","Invalid")</f>
        <v>Valid</v>
      </c>
      <c r="AI1136" t="s">
        <v>23</v>
      </c>
      <c r="AJ1136" t="s">
        <v>2647</v>
      </c>
      <c r="AK1136" t="str">
        <f>IF(Transaction[[#This Row],[Salesperson]]="","Missing Value",TRIM(PROPER(Transaction[[#This Row],[Salesperson]])))</f>
        <v>Gutierrez</v>
      </c>
      <c r="AM1136" t="str">
        <f>IF(Transaction[[#This Row],[ContractType]]="","Missing Value",Transaction[[#This Row],[ContractType]])</f>
        <v>Missing Value</v>
      </c>
      <c r="AN1136" t="s">
        <v>35</v>
      </c>
    </row>
    <row r="1137" spans="1:40" x14ac:dyDescent="0.25">
      <c r="A1137" t="s">
        <v>2801</v>
      </c>
      <c r="B1137" s="1">
        <v>45736</v>
      </c>
      <c r="C113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13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113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37" s="2">
        <f>IFERROR(DATE(Transaction[[#This Row],[TransactionDateY]],Transaction[[#This Row],[TransactionDateM]],Transaction[[#This Row],[TransactionDateD]]),"Missing Value")</f>
        <v>45736</v>
      </c>
      <c r="G1137" t="s">
        <v>494</v>
      </c>
      <c r="H1137" t="str">
        <f>IFERROR(VLOOKUP(Transaction[[#This Row],[CustomerID]],Custumer[],1,0),IF(LEN(Transaction[[#This Row],[CustomerID]])=7,LEFT(Transaction[[#This Row],[CustomerID]],6),"Invalid ID"))</f>
        <v>C-1132</v>
      </c>
      <c r="I1137" t="s">
        <v>111</v>
      </c>
      <c r="J1137" t="str">
        <f>TRIM(UPPER(Transaction[[#This Row],[ProductID]]))</f>
        <v>P-SA-004</v>
      </c>
      <c r="K1137" t="str">
        <f>IFERROR(VLOOKUP(Transaction[[#This Row],[ProductID_Clean]],Product[],1,FALSE),"Invalid ID")</f>
        <v>P-SA-004</v>
      </c>
      <c r="L1137" t="str">
        <f>TRIM(SUBSTITUTE(SUBSTITUTE(SUBSTITUTE(SUBSTITUTE(UPPER(Transaction[[#This Row],[Region]]),"EMEA REGION","EMEA"),"APAC REGION","APAC"),"NORTH AMERICA","N. AMERICA"),"N .AMERICA","N.AMERICA"))</f>
        <v>N. AMERICA</v>
      </c>
      <c r="M1137" t="s">
        <v>204</v>
      </c>
      <c r="N1137" t="s">
        <v>31</v>
      </c>
      <c r="O113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37" t="s">
        <v>22</v>
      </c>
      <c r="Q1137" t="str">
        <f>IF(TRIM(Transaction[[#This Row],[SalesChannel]])="","Missing Value",TRIM(Transaction[[#This Row],[SalesChannel]]))</f>
        <v>Direct</v>
      </c>
      <c r="R1137" s="4">
        <v>3</v>
      </c>
      <c r="S1137" s="4" t="str">
        <f>IF(Transaction[[#This Row],[Quantity]]&lt;0,"Negative-review","Valid")</f>
        <v>Valid</v>
      </c>
      <c r="T1137">
        <v>1596.31</v>
      </c>
      <c r="U113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1596.31</v>
      </c>
      <c r="V1137">
        <v>1650</v>
      </c>
      <c r="W1137">
        <v>4950</v>
      </c>
      <c r="X113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4950</v>
      </c>
      <c r="Y1137">
        <f>IF(Transaction[[#This Row],[GrossRevenue_Check]]="Invalid",Transaction[[#This Row],[ListPrice]]*Transaction[[#This Row],[Quantity]],Transaction[[#This Row],[GrossRevenue_Clean]])</f>
        <v>4950</v>
      </c>
      <c r="Z1137" t="str">
        <f>IF(Transaction[[#This Row],[GrossRevenue_Clean]]=Transaction[[#This Row],[ListPrice]]*Transaction[[#This Row],[Quantity]],"Valid","Invalid")</f>
        <v>Valid</v>
      </c>
      <c r="AA1137">
        <v>161.07</v>
      </c>
      <c r="AB113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161.07</v>
      </c>
      <c r="AC1137">
        <f>IF(Transaction[[#This Row],[DiscountAmount_Check2]]="Invalid",Transaction[[#This Row],[GrossRevenue_Analytical]]-Transaction[[#This Row],[NetRevenue_Analytical]],Transaction[[#This Row],[DiscountAmount_Clean]])</f>
        <v>161.07</v>
      </c>
      <c r="AD1137">
        <v>4788.93</v>
      </c>
      <c r="AE1137" t="str">
        <f>IF(ROUND(Transaction[[#This Row],[GrossRevenue_Analytical]]-Transaction[[#This Row],[NetRevenue_Analytical]],2)=ROUND(Transaction[[#This Row],[DiscountAmount_Clean]],2),"Valid","Invalid")</f>
        <v>Valid</v>
      </c>
      <c r="AF1137">
        <f>VALUE(IF(ISNUMBER(Transaction[[#This Row],[NetRevenue]]),Transaction[[#This Row],[NetRevenue]],IFERROR(IF(FIND("$",Transaction[[#This Row],[NetRevenue]])&gt;0,MID(Transaction[[#This Row],[NetRevenue]],2,10)),Transaction[[#This Row],[NetRevenue]])))</f>
        <v>4788.93</v>
      </c>
      <c r="AG1137">
        <f>IF(Transaction[[#This Row],[NetRevenue_Check]]="Invalid",(Transaction[[#This Row],[Quantity]]*Transaction[[#This Row],[UnitPrice_Clean]]),Transaction[[#This Row],[NetRevenue_Clean]])</f>
        <v>4788.93</v>
      </c>
      <c r="AH1137" t="str">
        <f>IF(Transaction[[#This Row],[Quantity]]*Transaction[[#This Row],[UnitPrice_Clean]]=Transaction[[#This Row],[NetRevenue_Clean]],"Valid","Invalid")</f>
        <v>Valid</v>
      </c>
      <c r="AI1137" t="s">
        <v>23</v>
      </c>
      <c r="AJ1137" t="s">
        <v>2802</v>
      </c>
      <c r="AK1137" t="str">
        <f>IF(Transaction[[#This Row],[Salesperson]]="","Missing Value",TRIM(PROPER(Transaction[[#This Row],[Salesperson]])))</f>
        <v>Maxwell-Na</v>
      </c>
      <c r="AL1137" t="s">
        <v>113</v>
      </c>
      <c r="AM1137" t="str">
        <f>IF(Transaction[[#This Row],[ContractType]]="","Missing Value",Transaction[[#This Row],[ContractType]])</f>
        <v>Subscription</v>
      </c>
      <c r="AN1137" t="s">
        <v>49</v>
      </c>
    </row>
    <row r="1138" spans="1:40" x14ac:dyDescent="0.25">
      <c r="A1138" t="s">
        <v>1842</v>
      </c>
      <c r="B1138" s="1">
        <v>45750</v>
      </c>
      <c r="C113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13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113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38" s="2">
        <f>IFERROR(DATE(Transaction[[#This Row],[TransactionDateY]],Transaction[[#This Row],[TransactionDateM]],Transaction[[#This Row],[TransactionDateD]]),"Missing Value")</f>
        <v>45750</v>
      </c>
      <c r="G1138" t="s">
        <v>345</v>
      </c>
      <c r="H1138" t="str">
        <f>IFERROR(VLOOKUP(Transaction[[#This Row],[CustomerID]],Custumer[],1,0),IF(LEN(Transaction[[#This Row],[CustomerID]])=7,LEFT(Transaction[[#This Row],[CustomerID]],6),"Invalid ID"))</f>
        <v>C-1125</v>
      </c>
      <c r="I1138" t="s">
        <v>222</v>
      </c>
      <c r="J1138" t="str">
        <f>TRIM(UPPER(Transaction[[#This Row],[ProductID]]))</f>
        <v>P-FS-003</v>
      </c>
      <c r="K1138" t="str">
        <f>IFERROR(VLOOKUP(Transaction[[#This Row],[ProductID_Clean]],Product[],1,FALSE),"Invalid ID")</f>
        <v>P-FS-003</v>
      </c>
      <c r="L1138" t="str">
        <f>TRIM(SUBSTITUTE(SUBSTITUTE(SUBSTITUTE(SUBSTITUTE(UPPER(Transaction[[#This Row],[Region]]),"EMEA REGION","EMEA"),"APAC REGION","APAC"),"NORTH AMERICA","N. AMERICA"),"N .AMERICA","N.AMERICA"))</f>
        <v>N. AMERICA</v>
      </c>
      <c r="M1138" t="s">
        <v>168</v>
      </c>
      <c r="N1138" t="s">
        <v>21</v>
      </c>
      <c r="O1138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Q1138" t="str">
        <f>IF(TRIM(Transaction[[#This Row],[SalesChannel]])="","Missing Value",TRIM(Transaction[[#This Row],[SalesChannel]]))</f>
        <v>Missing Value</v>
      </c>
      <c r="R1138" s="4">
        <v>1</v>
      </c>
      <c r="S1138" s="4" t="str">
        <f>IF(Transaction[[#This Row],[Quantity]]&lt;0,"Negative-review","Valid")</f>
        <v>Valid</v>
      </c>
      <c r="T1138">
        <v>3745.52</v>
      </c>
      <c r="U113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3745.52</v>
      </c>
      <c r="V1138">
        <v>4100</v>
      </c>
      <c r="W1138">
        <v>4100</v>
      </c>
      <c r="X113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4100</v>
      </c>
      <c r="Y1138">
        <f>IF(Transaction[[#This Row],[GrossRevenue_Check]]="Invalid",Transaction[[#This Row],[ListPrice]]*Transaction[[#This Row],[Quantity]],Transaction[[#This Row],[GrossRevenue_Clean]])</f>
        <v>4100</v>
      </c>
      <c r="Z1138" t="str">
        <f>IF(Transaction[[#This Row],[GrossRevenue_Clean]]=Transaction[[#This Row],[ListPrice]]*Transaction[[#This Row],[Quantity]],"Valid","Invalid")</f>
        <v>Valid</v>
      </c>
      <c r="AA1138">
        <v>354.48</v>
      </c>
      <c r="AB113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354.48</v>
      </c>
      <c r="AC1138">
        <f>IF(Transaction[[#This Row],[DiscountAmount_Check2]]="Invalid",Transaction[[#This Row],[GrossRevenue_Analytical]]-Transaction[[#This Row],[NetRevenue_Analytical]],Transaction[[#This Row],[DiscountAmount_Clean]])</f>
        <v>354.48</v>
      </c>
      <c r="AD1138">
        <v>3745.52</v>
      </c>
      <c r="AE1138" t="str">
        <f>IF(ROUND(Transaction[[#This Row],[GrossRevenue_Analytical]]-Transaction[[#This Row],[NetRevenue_Analytical]],2)=ROUND(Transaction[[#This Row],[DiscountAmount_Clean]],2),"Valid","Invalid")</f>
        <v>Valid</v>
      </c>
      <c r="AF1138">
        <f>VALUE(IF(ISNUMBER(Transaction[[#This Row],[NetRevenue]]),Transaction[[#This Row],[NetRevenue]],IFERROR(IF(FIND("$",Transaction[[#This Row],[NetRevenue]])&gt;0,MID(Transaction[[#This Row],[NetRevenue]],2,10)),Transaction[[#This Row],[NetRevenue]])))</f>
        <v>3745.52</v>
      </c>
      <c r="AG1138">
        <f>IF(Transaction[[#This Row],[NetRevenue_Check]]="Invalid",(Transaction[[#This Row],[Quantity]]*Transaction[[#This Row],[UnitPrice_Clean]]),Transaction[[#This Row],[NetRevenue_Clean]])</f>
        <v>3745.52</v>
      </c>
      <c r="AH1138" t="str">
        <f>IF(Transaction[[#This Row],[Quantity]]*Transaction[[#This Row],[UnitPrice_Clean]]=Transaction[[#This Row],[NetRevenue_Clean]],"Valid","Invalid")</f>
        <v>Valid</v>
      </c>
      <c r="AI1138" t="s">
        <v>23</v>
      </c>
      <c r="AJ1138" t="s">
        <v>1843</v>
      </c>
      <c r="AK1138" t="str">
        <f>IF(Transaction[[#This Row],[Salesperson]]="","Missing Value",TRIM(PROPER(Transaction[[#This Row],[Salesperson]])))</f>
        <v>Hardy</v>
      </c>
      <c r="AL1138" t="s">
        <v>224</v>
      </c>
      <c r="AM1138" t="str">
        <f>IF(Transaction[[#This Row],[ContractType]]="","Missing Value",Transaction[[#This Row],[ContractType]])</f>
        <v>Annual</v>
      </c>
      <c r="AN1138" t="s">
        <v>49</v>
      </c>
    </row>
    <row r="1139" spans="1:40" x14ac:dyDescent="0.25">
      <c r="A1139" t="s">
        <v>1778</v>
      </c>
      <c r="B1139" s="1">
        <v>45684</v>
      </c>
      <c r="C113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13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113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39" s="2">
        <f>IFERROR(DATE(Transaction[[#This Row],[TransactionDateY]],Transaction[[#This Row],[TransactionDateM]],Transaction[[#This Row],[TransactionDateD]]),"Missing Value")</f>
        <v>45684</v>
      </c>
      <c r="G1139" t="s">
        <v>565</v>
      </c>
      <c r="H1139" t="str">
        <f>IFERROR(VLOOKUP(Transaction[[#This Row],[CustomerID]],Custumer[],1,0),IF(LEN(Transaction[[#This Row],[CustomerID]])=7,LEFT(Transaction[[#This Row],[CustomerID]],6),"Invalid ID"))</f>
        <v>C-1007</v>
      </c>
      <c r="I1139" t="s">
        <v>52</v>
      </c>
      <c r="J1139" t="str">
        <f>TRIM(UPPER(Transaction[[#This Row],[ProductID]]))</f>
        <v>P-SI-002</v>
      </c>
      <c r="K1139" t="str">
        <f>IFERROR(VLOOKUP(Transaction[[#This Row],[ProductID_Clean]],Product[],1,FALSE),"Invalid ID")</f>
        <v>P-SI-002</v>
      </c>
      <c r="L1139" t="str">
        <f>TRIM(SUBSTITUTE(SUBSTITUTE(SUBSTITUTE(SUBSTITUTE(UPPER(Transaction[[#This Row],[Region]]),"EMEA REGION","EMEA"),"APAC REGION","APAC"),"NORTH AMERICA","N. AMERICA"),"N .AMERICA","N.AMERICA"))</f>
        <v>N. AMERICA</v>
      </c>
      <c r="M1139" t="s">
        <v>20</v>
      </c>
      <c r="N1139" t="s">
        <v>53</v>
      </c>
      <c r="O113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39" t="s">
        <v>181</v>
      </c>
      <c r="Q1139" t="str">
        <f>IF(TRIM(Transaction[[#This Row],[SalesChannel]])="","Missing Value",TRIM(Transaction[[#This Row],[SalesChannel]]))</f>
        <v>Partner Portal</v>
      </c>
      <c r="R1139" s="4">
        <v>4</v>
      </c>
      <c r="S1139" s="4" t="str">
        <f>IF(Transaction[[#This Row],[Quantity]]&lt;0,"Negative-review","Valid")</f>
        <v>Valid</v>
      </c>
      <c r="T1139">
        <v>560.73</v>
      </c>
      <c r="U113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560.73</v>
      </c>
      <c r="V1139">
        <v>725</v>
      </c>
      <c r="W1139" t="s">
        <v>1779</v>
      </c>
      <c r="X113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2900</v>
      </c>
      <c r="Y1139">
        <f>IF(Transaction[[#This Row],[GrossRevenue_Check]]="Invalid",Transaction[[#This Row],[ListPrice]]*Transaction[[#This Row],[Quantity]],Transaction[[#This Row],[GrossRevenue_Clean]])</f>
        <v>2900</v>
      </c>
      <c r="Z1139" t="str">
        <f>IF(Transaction[[#This Row],[GrossRevenue_Clean]]=Transaction[[#This Row],[ListPrice]]*Transaction[[#This Row],[Quantity]],"Valid","Invalid")</f>
        <v>Valid</v>
      </c>
      <c r="AA1139">
        <v>657.08</v>
      </c>
      <c r="AB113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657.08</v>
      </c>
      <c r="AC1139">
        <f>IF(Transaction[[#This Row],[DiscountAmount_Check2]]="Invalid",Transaction[[#This Row],[GrossRevenue_Analytical]]-Transaction[[#This Row],[NetRevenue_Analytical]],Transaction[[#This Row],[DiscountAmount_Clean]])</f>
        <v>657.08</v>
      </c>
      <c r="AD1139">
        <v>2242.92</v>
      </c>
      <c r="AE1139" t="str">
        <f>IF(ROUND(Transaction[[#This Row],[GrossRevenue_Analytical]]-Transaction[[#This Row],[NetRevenue_Analytical]],2)=ROUND(Transaction[[#This Row],[DiscountAmount_Clean]],2),"Valid","Invalid")</f>
        <v>Valid</v>
      </c>
      <c r="AF113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2242.92</v>
      </c>
      <c r="AG1139">
        <f>IF(Transaction[[#This Row],[NetRevenue_Check]]="Invalid",(Transaction[[#This Row],[Quantity]]*Transaction[[#This Row],[UnitPrice_Clean]]),Transaction[[#This Row],[NetRevenue_Clean]])</f>
        <v>2242.92</v>
      </c>
      <c r="AH1139" t="str">
        <f>IF(Transaction[[#This Row],[Quantity]]*Transaction[[#This Row],[UnitPrice_Clean]]=Transaction[[#This Row],[NetRevenue_Clean]],"Valid","Invalid")</f>
        <v>Valid</v>
      </c>
      <c r="AI1139" t="s">
        <v>23</v>
      </c>
      <c r="AJ1139" t="s">
        <v>1780</v>
      </c>
      <c r="AK1139" t="str">
        <f>IF(Transaction[[#This Row],[Salesperson]]="","Missing Value",TRIM(PROPER(Transaction[[#This Row],[Salesperson]])))</f>
        <v>Hansen</v>
      </c>
      <c r="AL1139" t="s">
        <v>55</v>
      </c>
      <c r="AM1139" t="str">
        <f>IF(Transaction[[#This Row],[ContractType]]="","Missing Value",Transaction[[#This Row],[ContractType]])</f>
        <v>Spot</v>
      </c>
      <c r="AN1139" t="s">
        <v>35</v>
      </c>
    </row>
    <row r="1140" spans="1:40" x14ac:dyDescent="0.25">
      <c r="A1140" t="s">
        <v>2326</v>
      </c>
      <c r="B1140" s="1">
        <v>45768</v>
      </c>
      <c r="C114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14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114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40" s="2">
        <f>IFERROR(DATE(Transaction[[#This Row],[TransactionDateY]],Transaction[[#This Row],[TransactionDateM]],Transaction[[#This Row],[TransactionDateD]]),"Missing Value")</f>
        <v>45768</v>
      </c>
      <c r="G1140" t="s">
        <v>276</v>
      </c>
      <c r="H1140" t="str">
        <f>IFERROR(VLOOKUP(Transaction[[#This Row],[CustomerID]],Custumer[],1,0),IF(LEN(Transaction[[#This Row],[CustomerID]])=7,LEFT(Transaction[[#This Row],[CustomerID]],6),"Invalid ID"))</f>
        <v>C-1129</v>
      </c>
      <c r="I1140" t="s">
        <v>258</v>
      </c>
      <c r="J1140" t="str">
        <f>TRIM(UPPER(Transaction[[#This Row],[ProductID]]))</f>
        <v>P-SA-003</v>
      </c>
      <c r="K1140" t="str">
        <f>IFERROR(VLOOKUP(Transaction[[#This Row],[ProductID_Clean]],Product[],1,FALSE),"Invalid ID")</f>
        <v>P-SA-003</v>
      </c>
      <c r="L1140" t="str">
        <f>TRIM(SUBSTITUTE(SUBSTITUTE(SUBSTITUTE(SUBSTITUTE(UPPER(Transaction[[#This Row],[Region]]),"EMEA REGION","EMEA"),"APAC REGION","APAC"),"NORTH AMERICA","N. AMERICA"),"N .AMERICA","N.AMERICA"))</f>
        <v>N. AMERICA</v>
      </c>
      <c r="M1140" t="s">
        <v>204</v>
      </c>
      <c r="N1140" t="s">
        <v>31</v>
      </c>
      <c r="O1140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40" t="s">
        <v>40</v>
      </c>
      <c r="Q1140" t="str">
        <f>IF(TRIM(Transaction[[#This Row],[SalesChannel]])="","Missing Value",TRIM(Transaction[[#This Row],[SalesChannel]]))</f>
        <v>Distributor</v>
      </c>
      <c r="R1140" s="4">
        <v>1</v>
      </c>
      <c r="S1140" s="4" t="str">
        <f>IF(Transaction[[#This Row],[Quantity]]&lt;0,"Negative-review","Valid")</f>
        <v>Valid</v>
      </c>
      <c r="T1140">
        <v>2195.2199999999998</v>
      </c>
      <c r="U114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2195.2199999999998</v>
      </c>
      <c r="V1140">
        <v>2750</v>
      </c>
      <c r="W1140">
        <v>2750</v>
      </c>
      <c r="X114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1140">
        <f>IF(Transaction[[#This Row],[GrossRevenue_Check]]="Invalid",Transaction[[#This Row],[ListPrice]]*Transaction[[#This Row],[Quantity]],Transaction[[#This Row],[GrossRevenue_Clean]])</f>
        <v>2750</v>
      </c>
      <c r="Z1140" t="str">
        <f>IF(Transaction[[#This Row],[GrossRevenue_Clean]]=Transaction[[#This Row],[ListPrice]]*Transaction[[#This Row],[Quantity]],"Valid","Invalid")</f>
        <v>Valid</v>
      </c>
      <c r="AA1140">
        <v>554.78</v>
      </c>
      <c r="AB114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554.78</v>
      </c>
      <c r="AC1140">
        <f>IF(Transaction[[#This Row],[DiscountAmount_Check2]]="Invalid",Transaction[[#This Row],[GrossRevenue_Analytical]]-Transaction[[#This Row],[NetRevenue_Analytical]],Transaction[[#This Row],[DiscountAmount_Clean]])</f>
        <v>554.78</v>
      </c>
      <c r="AD1140">
        <v>2195.2199999999998</v>
      </c>
      <c r="AE1140" t="str">
        <f>IF(ROUND(Transaction[[#This Row],[GrossRevenue_Analytical]]-Transaction[[#This Row],[NetRevenue_Analytical]],2)=ROUND(Transaction[[#This Row],[DiscountAmount_Clean]],2),"Valid","Invalid")</f>
        <v>Valid</v>
      </c>
      <c r="AF114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2195.2199999999998</v>
      </c>
      <c r="AG1140">
        <f>IF(Transaction[[#This Row],[NetRevenue_Check]]="Invalid",(Transaction[[#This Row],[Quantity]]*Transaction[[#This Row],[UnitPrice_Clean]]),Transaction[[#This Row],[NetRevenue_Clean]])</f>
        <v>2195.2199999999998</v>
      </c>
      <c r="AH1140" t="str">
        <f>IF(Transaction[[#This Row],[Quantity]]*Transaction[[#This Row],[UnitPrice_Clean]]=Transaction[[#This Row],[NetRevenue_Clean]],"Valid","Invalid")</f>
        <v>Valid</v>
      </c>
      <c r="AI1140" t="s">
        <v>23</v>
      </c>
      <c r="AJ1140" t="s">
        <v>2327</v>
      </c>
      <c r="AK1140" t="str">
        <f>IF(Transaction[[#This Row],[Salesperson]]="","Missing Value",TRIM(PROPER(Transaction[[#This Row],[Salesperson]])))</f>
        <v>Haney-Na</v>
      </c>
      <c r="AL1140" t="s">
        <v>34</v>
      </c>
      <c r="AM1140" t="str">
        <f>IF(Transaction[[#This Row],[ContractType]]="","Missing Value",Transaction[[#This Row],[ContractType]])</f>
        <v>Annual License</v>
      </c>
      <c r="AN1140" t="s">
        <v>49</v>
      </c>
    </row>
    <row r="1141" spans="1:40" x14ac:dyDescent="0.25">
      <c r="A1141" t="s">
        <v>1269</v>
      </c>
      <c r="B1141" s="1">
        <v>45800</v>
      </c>
      <c r="C114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14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114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41" s="2">
        <f>IFERROR(DATE(Transaction[[#This Row],[TransactionDateY]],Transaction[[#This Row],[TransactionDateM]],Transaction[[#This Row],[TransactionDateD]]),"Missing Value")</f>
        <v>45800</v>
      </c>
      <c r="G1141" t="s">
        <v>408</v>
      </c>
      <c r="H1141" t="str">
        <f>IFERROR(VLOOKUP(Transaction[[#This Row],[CustomerID]],Custumer[],1,0),IF(LEN(Transaction[[#This Row],[CustomerID]])=7,LEFT(Transaction[[#This Row],[CustomerID]],6),"Invalid ID"))</f>
        <v>C-1093</v>
      </c>
      <c r="I1141" t="s">
        <v>117</v>
      </c>
      <c r="J1141" t="str">
        <f>TRIM(UPPER(Transaction[[#This Row],[ProductID]]))</f>
        <v>P-SI-007</v>
      </c>
      <c r="K1141" t="str">
        <f>IFERROR(VLOOKUP(Transaction[[#This Row],[ProductID_Clean]],Product[],1,FALSE),"Invalid ID")</f>
        <v>P-SI-007</v>
      </c>
      <c r="L1141" t="str">
        <f>TRIM(SUBSTITUTE(SUBSTITUTE(SUBSTITUTE(SUBSTITUTE(UPPER(Transaction[[#This Row],[Region]]),"EMEA REGION","EMEA"),"APAC REGION","APAC"),"NORTH AMERICA","N. AMERICA"),"N .AMERICA","N.AMERICA"))</f>
        <v>EMEA</v>
      </c>
      <c r="M1141" t="s">
        <v>76</v>
      </c>
      <c r="N1141" t="s">
        <v>53</v>
      </c>
      <c r="O114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41" t="s">
        <v>22</v>
      </c>
      <c r="Q1141" t="str">
        <f>IF(TRIM(Transaction[[#This Row],[SalesChannel]])="","Missing Value",TRIM(Transaction[[#This Row],[SalesChannel]]))</f>
        <v>Direct</v>
      </c>
      <c r="R1141" s="4">
        <v>2</v>
      </c>
      <c r="S1141" s="4" t="str">
        <f>IF(Transaction[[#This Row],[Quantity]]&lt;0,"Negative-review","Valid")</f>
        <v>Valid</v>
      </c>
      <c r="T1141">
        <v>892.02</v>
      </c>
      <c r="U114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892.02</v>
      </c>
      <c r="V1141">
        <v>980</v>
      </c>
      <c r="W1141">
        <v>1960</v>
      </c>
      <c r="X114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</v>
      </c>
      <c r="Y1141">
        <f>IF(Transaction[[#This Row],[GrossRevenue_Check]]="Invalid",Transaction[[#This Row],[ListPrice]]*Transaction[[#This Row],[Quantity]],Transaction[[#This Row],[GrossRevenue_Clean]])</f>
        <v>1960</v>
      </c>
      <c r="Z1141" t="str">
        <f>IF(Transaction[[#This Row],[GrossRevenue_Clean]]=Transaction[[#This Row],[ListPrice]]*Transaction[[#This Row],[Quantity]],"Valid","Invalid")</f>
        <v>Valid</v>
      </c>
      <c r="AA1141">
        <v>175.96</v>
      </c>
      <c r="AB114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175.96</v>
      </c>
      <c r="AC1141">
        <f>IF(Transaction[[#This Row],[DiscountAmount_Check2]]="Invalid",Transaction[[#This Row],[GrossRevenue_Analytical]]-Transaction[[#This Row],[NetRevenue_Analytical]],Transaction[[#This Row],[DiscountAmount_Clean]])</f>
        <v>175.96</v>
      </c>
      <c r="AD1141">
        <v>1784.04</v>
      </c>
      <c r="AE1141" t="str">
        <f>IF(ROUND(Transaction[[#This Row],[GrossRevenue_Analytical]]-Transaction[[#This Row],[NetRevenue_Analytical]],2)=ROUND(Transaction[[#This Row],[DiscountAmount_Clean]],2),"Valid","Invalid")</f>
        <v>Valid</v>
      </c>
      <c r="AF114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1784.04</v>
      </c>
      <c r="AG1141">
        <f>IF(Transaction[[#This Row],[NetRevenue_Check]]="Invalid",(Transaction[[#This Row],[Quantity]]*Transaction[[#This Row],[UnitPrice_Clean]]),Transaction[[#This Row],[NetRevenue_Clean]])</f>
        <v>1784.04</v>
      </c>
      <c r="AH1141" t="str">
        <f>IF(Transaction[[#This Row],[Quantity]]*Transaction[[#This Row],[UnitPrice_Clean]]=Transaction[[#This Row],[NetRevenue_Clean]],"Valid","Invalid")</f>
        <v>Valid</v>
      </c>
      <c r="AI1141" t="s">
        <v>23</v>
      </c>
      <c r="AJ1141" t="s">
        <v>1270</v>
      </c>
      <c r="AK1141" t="str">
        <f>IF(Transaction[[#This Row],[Salesperson]]="","Missing Value",TRIM(PROPER(Transaction[[#This Row],[Salesperson]])))</f>
        <v>Sanchez-Em</v>
      </c>
      <c r="AL1141" t="s">
        <v>42</v>
      </c>
      <c r="AM1141" t="str">
        <f>IF(Transaction[[#This Row],[ContractType]]="","Missing Value",Transaction[[#This Row],[ContractType]])</f>
        <v>Standard PO</v>
      </c>
      <c r="AN1141" t="s">
        <v>49</v>
      </c>
    </row>
    <row r="1142" spans="1:40" x14ac:dyDescent="0.25">
      <c r="A1142" t="s">
        <v>2604</v>
      </c>
      <c r="B1142" s="1">
        <v>45789</v>
      </c>
      <c r="C114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14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114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42" s="2">
        <f>IFERROR(DATE(Transaction[[#This Row],[TransactionDateY]],Transaction[[#This Row],[TransactionDateM]],Transaction[[#This Row],[TransactionDateD]]),"Missing Value")</f>
        <v>45789</v>
      </c>
      <c r="G1142" t="s">
        <v>541</v>
      </c>
      <c r="H1142" t="str">
        <f>IFERROR(VLOOKUP(Transaction[[#This Row],[CustomerID]],Custumer[],1,0),IF(LEN(Transaction[[#This Row],[CustomerID]])=7,LEFT(Transaction[[#This Row],[CustomerID]],6),"Invalid ID"))</f>
        <v>C-1075</v>
      </c>
      <c r="I1142" t="s">
        <v>62</v>
      </c>
      <c r="J1142" t="str">
        <f>TRIM(UPPER(Transaction[[#This Row],[ProductID]]))</f>
        <v>P-SI-004</v>
      </c>
      <c r="K1142" t="str">
        <f>IFERROR(VLOOKUP(Transaction[[#This Row],[ProductID_Clean]],Product[],1,FALSE),"Invalid ID")</f>
        <v>P-SI-004</v>
      </c>
      <c r="L1142" t="str">
        <f>TRIM(SUBSTITUTE(SUBSTITUTE(SUBSTITUTE(SUBSTITUTE(UPPER(Transaction[[#This Row],[Region]]),"EMEA REGION","EMEA"),"APAC REGION","APAC"),"NORTH AMERICA","N. AMERICA"),"N .AMERICA","N.AMERICA"))</f>
        <v>N. AMERICA</v>
      </c>
      <c r="M1142" t="s">
        <v>20</v>
      </c>
      <c r="N1142" t="s">
        <v>53</v>
      </c>
      <c r="O114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42" t="s">
        <v>181</v>
      </c>
      <c r="Q1142" t="str">
        <f>IF(TRIM(Transaction[[#This Row],[SalesChannel]])="","Missing Value",TRIM(Transaction[[#This Row],[SalesChannel]]))</f>
        <v>Partner Portal</v>
      </c>
      <c r="R1142" s="4">
        <v>1</v>
      </c>
      <c r="S1142" s="4" t="str">
        <f>IF(Transaction[[#This Row],[Quantity]]&lt;0,"Negative-review","Valid")</f>
        <v>Valid</v>
      </c>
      <c r="T1142">
        <v>1874.74</v>
      </c>
      <c r="U114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1874.74</v>
      </c>
      <c r="V1142">
        <v>2450</v>
      </c>
      <c r="W1142">
        <v>2450</v>
      </c>
      <c r="X114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1142">
        <f>IF(Transaction[[#This Row],[GrossRevenue_Check]]="Invalid",Transaction[[#This Row],[ListPrice]]*Transaction[[#This Row],[Quantity]],Transaction[[#This Row],[GrossRevenue_Clean]])</f>
        <v>2450</v>
      </c>
      <c r="Z1142" t="str">
        <f>IF(Transaction[[#This Row],[GrossRevenue_Clean]]=Transaction[[#This Row],[ListPrice]]*Transaction[[#This Row],[Quantity]],"Valid","Invalid")</f>
        <v>Valid</v>
      </c>
      <c r="AA1142">
        <v>575.26</v>
      </c>
      <c r="AB114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575.26</v>
      </c>
      <c r="AC1142">
        <f>IF(Transaction[[#This Row],[DiscountAmount_Check2]]="Invalid",Transaction[[#This Row],[GrossRevenue_Analytical]]-Transaction[[#This Row],[NetRevenue_Analytical]],Transaction[[#This Row],[DiscountAmount_Clean]])</f>
        <v>575.26</v>
      </c>
      <c r="AD1142">
        <v>1874.74</v>
      </c>
      <c r="AE1142" t="str">
        <f>IF(ROUND(Transaction[[#This Row],[GrossRevenue_Analytical]]-Transaction[[#This Row],[NetRevenue_Analytical]],2)=ROUND(Transaction[[#This Row],[DiscountAmount_Clean]],2),"Valid","Invalid")</f>
        <v>Valid</v>
      </c>
      <c r="AF114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1874.74</v>
      </c>
      <c r="AG1142">
        <f>IF(Transaction[[#This Row],[NetRevenue_Check]]="Invalid",(Transaction[[#This Row],[Quantity]]*Transaction[[#This Row],[UnitPrice_Clean]]),Transaction[[#This Row],[NetRevenue_Clean]])</f>
        <v>1874.74</v>
      </c>
      <c r="AH1142" t="str">
        <f>IF(Transaction[[#This Row],[Quantity]]*Transaction[[#This Row],[UnitPrice_Clean]]=Transaction[[#This Row],[NetRevenue_Clean]],"Valid","Invalid")</f>
        <v>Valid</v>
      </c>
      <c r="AI1142" t="s">
        <v>23</v>
      </c>
      <c r="AJ1142" t="s">
        <v>2605</v>
      </c>
      <c r="AK1142" t="str">
        <f>IF(Transaction[[#This Row],[Salesperson]]="","Missing Value",TRIM(PROPER(Transaction[[#This Row],[Salesperson]])))</f>
        <v>Meyer-Na</v>
      </c>
      <c r="AL1142" t="s">
        <v>25</v>
      </c>
      <c r="AM1142" t="str">
        <f>IF(Transaction[[#This Row],[ContractType]]="","Missing Value",Transaction[[#This Row],[ContractType]])</f>
        <v>Frame Agreement</v>
      </c>
      <c r="AN1142" t="s">
        <v>49</v>
      </c>
    </row>
    <row r="1143" spans="1:40" x14ac:dyDescent="0.25">
      <c r="A1143" t="s">
        <v>1694</v>
      </c>
      <c r="B1143" t="s">
        <v>1695</v>
      </c>
      <c r="C114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114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114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43" s="2">
        <f>IFERROR(DATE(Transaction[[#This Row],[TransactionDateY]],Transaction[[#This Row],[TransactionDateM]],Transaction[[#This Row],[TransactionDateD]]),"Missing Value")</f>
        <v>45684</v>
      </c>
      <c r="G1143" t="s">
        <v>764</v>
      </c>
      <c r="H1143" t="str">
        <f>IFERROR(VLOOKUP(Transaction[[#This Row],[CustomerID]],Custumer[],1,0),IF(LEN(Transaction[[#This Row],[CustomerID]])=7,LEFT(Transaction[[#This Row],[CustomerID]],6),"Invalid ID"))</f>
        <v>C-1071</v>
      </c>
      <c r="I1143" t="s">
        <v>268</v>
      </c>
      <c r="J1143" t="str">
        <f>TRIM(UPPER(Transaction[[#This Row],[ProductID]]))</f>
        <v>P-FS-002</v>
      </c>
      <c r="K1143" t="str">
        <f>IFERROR(VLOOKUP(Transaction[[#This Row],[ProductID_Clean]],Product[],1,FALSE),"Invalid ID")</f>
        <v>P-FS-002</v>
      </c>
      <c r="L1143" t="str">
        <f>TRIM(SUBSTITUTE(SUBSTITUTE(SUBSTITUTE(SUBSTITUTE(UPPER(Transaction[[#This Row],[Region]]),"EMEA REGION","EMEA"),"APAC REGION","APAC"),"NORTH AMERICA","N. AMERICA"),"N .AMERICA","N.AMERICA"))</f>
        <v>APAC</v>
      </c>
      <c r="M1143" t="s">
        <v>127</v>
      </c>
      <c r="N1143" t="s">
        <v>244</v>
      </c>
      <c r="O114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143" t="s">
        <v>40</v>
      </c>
      <c r="Q1143" t="str">
        <f>IF(TRIM(Transaction[[#This Row],[SalesChannel]])="","Missing Value",TRIM(Transaction[[#This Row],[SalesChannel]]))</f>
        <v>Distributor</v>
      </c>
      <c r="R1143" s="4">
        <v>1</v>
      </c>
      <c r="S1143" s="4" t="str">
        <f>IF(Transaction[[#This Row],[Quantity]]&lt;0,"Negative-review","Valid")</f>
        <v>Valid</v>
      </c>
      <c r="T1143">
        <v>1721.16</v>
      </c>
      <c r="U114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1721.16</v>
      </c>
      <c r="V1143">
        <v>2400</v>
      </c>
      <c r="W1143">
        <v>2400</v>
      </c>
      <c r="X114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1143">
        <f>IF(Transaction[[#This Row],[GrossRevenue_Check]]="Invalid",Transaction[[#This Row],[ListPrice]]*Transaction[[#This Row],[Quantity]],Transaction[[#This Row],[GrossRevenue_Clean]])</f>
        <v>2400</v>
      </c>
      <c r="Z1143" t="str">
        <f>IF(Transaction[[#This Row],[GrossRevenue_Clean]]=Transaction[[#This Row],[ListPrice]]*Transaction[[#This Row],[Quantity]],"Valid","Invalid")</f>
        <v>Valid</v>
      </c>
      <c r="AA1143">
        <v>678.84</v>
      </c>
      <c r="AB114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678.84</v>
      </c>
      <c r="AC1143">
        <f>IF(Transaction[[#This Row],[DiscountAmount_Check2]]="Invalid",Transaction[[#This Row],[GrossRevenue_Analytical]]-Transaction[[#This Row],[NetRevenue_Analytical]],Transaction[[#This Row],[DiscountAmount_Clean]])</f>
        <v>678.84</v>
      </c>
      <c r="AD1143" t="s">
        <v>1696</v>
      </c>
      <c r="AE1143" t="str">
        <f>IF(ROUND(Transaction[[#This Row],[GrossRevenue_Analytical]]-Transaction[[#This Row],[NetRevenue_Analytical]],2)=ROUND(Transaction[[#This Row],[DiscountAmount_Clean]],2),"Valid","Invalid")</f>
        <v>Valid</v>
      </c>
      <c r="AF114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1721.16</v>
      </c>
      <c r="AG1143">
        <f>IF(Transaction[[#This Row],[NetRevenue_Check]]="Invalid",(Transaction[[#This Row],[Quantity]]*Transaction[[#This Row],[UnitPrice_Clean]]),Transaction[[#This Row],[NetRevenue_Clean]])</f>
        <v>1721.16</v>
      </c>
      <c r="AH1143" t="str">
        <f>IF(Transaction[[#This Row],[Quantity]]*Transaction[[#This Row],[UnitPrice_Clean]]=Transaction[[#This Row],[NetRevenue_Clean]],"Valid","Invalid")</f>
        <v>Valid</v>
      </c>
      <c r="AI1143" t="s">
        <v>23</v>
      </c>
      <c r="AJ1143" t="s">
        <v>1697</v>
      </c>
      <c r="AK1143" t="str">
        <f>IF(Transaction[[#This Row],[Salesperson]]="","Missing Value",TRIM(PROPER(Transaction[[#This Row],[Salesperson]])))</f>
        <v>Jennings</v>
      </c>
      <c r="AL1143" t="s">
        <v>224</v>
      </c>
      <c r="AM1143" t="str">
        <f>IF(Transaction[[#This Row],[ContractType]]="","Missing Value",Transaction[[#This Row],[ContractType]])</f>
        <v>Annual</v>
      </c>
      <c r="AN1143" t="s">
        <v>43</v>
      </c>
    </row>
    <row r="1144" spans="1:40" x14ac:dyDescent="0.25">
      <c r="A1144" t="s">
        <v>433</v>
      </c>
      <c r="B1144" s="1">
        <v>45799</v>
      </c>
      <c r="C114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14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114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44" s="2">
        <f>IFERROR(DATE(Transaction[[#This Row],[TransactionDateY]],Transaction[[#This Row],[TransactionDateM]],Transaction[[#This Row],[TransactionDateD]]),"Missing Value")</f>
        <v>45799</v>
      </c>
      <c r="G1144" t="s">
        <v>150</v>
      </c>
      <c r="H1144" t="str">
        <f>IFERROR(VLOOKUP(Transaction[[#This Row],[CustomerID]],Custumer[],1,0),IF(LEN(Transaction[[#This Row],[CustomerID]])=7,LEFT(Transaction[[#This Row],[CustomerID]],6),"Invalid ID"))</f>
        <v>C-1061</v>
      </c>
      <c r="I1144" t="s">
        <v>226</v>
      </c>
      <c r="J1144" t="str">
        <f>TRIM(UPPER(Transaction[[#This Row],[ProductID]]))</f>
        <v>P-SA-002</v>
      </c>
      <c r="K1144" t="str">
        <f>IFERROR(VLOOKUP(Transaction[[#This Row],[ProductID_Clean]],Product[],1,FALSE),"Invalid ID")</f>
        <v>P-SA-002</v>
      </c>
      <c r="L1144" t="str">
        <f>TRIM(SUBSTITUTE(SUBSTITUTE(SUBSTITUTE(SUBSTITUTE(UPPER(Transaction[[#This Row],[Region]]),"EMEA REGION","EMEA"),"APAC REGION","APAC"),"NORTH AMERICA","N. AMERICA"),"N .AMERICA","N.AMERICA"))</f>
        <v>EMEA</v>
      </c>
      <c r="M1144" t="s">
        <v>76</v>
      </c>
      <c r="N1144" t="s">
        <v>31</v>
      </c>
      <c r="O114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44" t="s">
        <v>181</v>
      </c>
      <c r="Q1144" t="str">
        <f>IF(TRIM(Transaction[[#This Row],[SalesChannel]])="","Missing Value",TRIM(Transaction[[#This Row],[SalesChannel]]))</f>
        <v>Partner Portal</v>
      </c>
      <c r="R1144" s="4">
        <v>2</v>
      </c>
      <c r="S1144" s="4" t="str">
        <f>IF(Transaction[[#This Row],[Quantity]]&lt;0,"Negative-review","Valid")</f>
        <v>Valid</v>
      </c>
      <c r="T1144">
        <v>9030.5300000000007</v>
      </c>
      <c r="U114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9030.5300000000007</v>
      </c>
      <c r="V1144">
        <v>9800</v>
      </c>
      <c r="W1144">
        <v>19600</v>
      </c>
      <c r="X114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19600</v>
      </c>
      <c r="Y1144">
        <f>IF(Transaction[[#This Row],[GrossRevenue_Check]]="Invalid",Transaction[[#This Row],[ListPrice]]*Transaction[[#This Row],[Quantity]],Transaction[[#This Row],[GrossRevenue_Clean]])</f>
        <v>19600</v>
      </c>
      <c r="Z1144" t="str">
        <f>IF(Transaction[[#This Row],[GrossRevenue_Clean]]=Transaction[[#This Row],[ListPrice]]*Transaction[[#This Row],[Quantity]],"Valid","Invalid")</f>
        <v>Valid</v>
      </c>
      <c r="AA1144">
        <v>1538.94</v>
      </c>
      <c r="AB114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1538.94</v>
      </c>
      <c r="AC1144">
        <f>IF(Transaction[[#This Row],[DiscountAmount_Check2]]="Invalid",Transaction[[#This Row],[GrossRevenue_Analytical]]-Transaction[[#This Row],[NetRevenue_Analytical]],Transaction[[#This Row],[DiscountAmount_Clean]])</f>
        <v>1538.94</v>
      </c>
      <c r="AD1144">
        <v>18061.060000000001</v>
      </c>
      <c r="AE1144" t="str">
        <f>IF(ROUND(Transaction[[#This Row],[GrossRevenue_Analytical]]-Transaction[[#This Row],[NetRevenue_Analytical]],2)=ROUND(Transaction[[#This Row],[DiscountAmount_Clean]],2),"Valid","Invalid")</f>
        <v>Valid</v>
      </c>
      <c r="AF114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18061.060000000001</v>
      </c>
      <c r="AG1144">
        <f>IF(Transaction[[#This Row],[NetRevenue_Check]]="Invalid",(Transaction[[#This Row],[Quantity]]*Transaction[[#This Row],[UnitPrice_Clean]]),Transaction[[#This Row],[NetRevenue_Clean]])</f>
        <v>18061.060000000001</v>
      </c>
      <c r="AH1144" t="str">
        <f>IF(Transaction[[#This Row],[Quantity]]*Transaction[[#This Row],[UnitPrice_Clean]]=Transaction[[#This Row],[NetRevenue_Clean]],"Valid","Invalid")</f>
        <v>Valid</v>
      </c>
      <c r="AI1144" t="s">
        <v>23</v>
      </c>
      <c r="AJ1144" t="s">
        <v>434</v>
      </c>
      <c r="AK1144" t="str">
        <f>IF(Transaction[[#This Row],[Salesperson]]="","Missing Value",TRIM(PROPER(Transaction[[#This Row],[Salesperson]])))</f>
        <v>Jackson</v>
      </c>
      <c r="AL1144" t="s">
        <v>113</v>
      </c>
      <c r="AM1144" t="str">
        <f>IF(Transaction[[#This Row],[ContractType]]="","Missing Value",Transaction[[#This Row],[ContractType]])</f>
        <v>Subscription</v>
      </c>
      <c r="AN1144" t="s">
        <v>49</v>
      </c>
    </row>
    <row r="1145" spans="1:40" x14ac:dyDescent="0.25">
      <c r="A1145" t="s">
        <v>2306</v>
      </c>
      <c r="B1145" s="1">
        <v>45810</v>
      </c>
      <c r="C114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14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114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45" s="2">
        <f>IFERROR(DATE(Transaction[[#This Row],[TransactionDateY]],Transaction[[#This Row],[TransactionDateM]],Transaction[[#This Row],[TransactionDateD]]),"Missing Value")</f>
        <v>45810</v>
      </c>
      <c r="G1145" t="s">
        <v>890</v>
      </c>
      <c r="H1145" t="str">
        <f>IFERROR(VLOOKUP(Transaction[[#This Row],[CustomerID]],Custumer[],1,0),IF(LEN(Transaction[[#This Row],[CustomerID]])=7,LEFT(Transaction[[#This Row],[CustomerID]],6),"Invalid ID"))</f>
        <v>C-1134</v>
      </c>
      <c r="I1145" t="s">
        <v>97</v>
      </c>
      <c r="J1145" t="str">
        <f>TRIM(UPPER(Transaction[[#This Row],[ProductID]]))</f>
        <v>P-SI-001</v>
      </c>
      <c r="K1145" t="str">
        <f>IFERROR(VLOOKUP(Transaction[[#This Row],[ProductID_Clean]],Product[],1,FALSE),"Invalid ID")</f>
        <v>P-SI-001</v>
      </c>
      <c r="L1145" t="str">
        <f>TRIM(SUBSTITUTE(SUBSTITUTE(SUBSTITUTE(SUBSTITUTE(UPPER(Transaction[[#This Row],[Region]]),"EMEA REGION","EMEA"),"APAC REGION","APAC"),"NORTH AMERICA","N. AMERICA"),"N .AMERICA","N.AMERICA"))</f>
        <v>N. AMERICA</v>
      </c>
      <c r="M1145" t="s">
        <v>20</v>
      </c>
      <c r="N1145" t="s">
        <v>53</v>
      </c>
      <c r="O114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45" t="s">
        <v>22</v>
      </c>
      <c r="Q1145" t="str">
        <f>IF(TRIM(Transaction[[#This Row],[SalesChannel]])="","Missing Value",TRIM(Transaction[[#This Row],[SalesChannel]]))</f>
        <v>Direct</v>
      </c>
      <c r="R1145" s="4">
        <v>5</v>
      </c>
      <c r="S1145" s="4" t="str">
        <f>IF(Transaction[[#This Row],[Quantity]]&lt;0,"Negative-review","Valid")</f>
        <v>Valid</v>
      </c>
      <c r="T1145">
        <v>437.64</v>
      </c>
      <c r="U114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437.64</v>
      </c>
      <c r="V1145">
        <v>485</v>
      </c>
      <c r="W1145">
        <v>2425</v>
      </c>
      <c r="X114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2425</v>
      </c>
      <c r="Y1145">
        <f>IF(Transaction[[#This Row],[GrossRevenue_Check]]="Invalid",Transaction[[#This Row],[ListPrice]]*Transaction[[#This Row],[Quantity]],Transaction[[#This Row],[GrossRevenue_Clean]])</f>
        <v>2425</v>
      </c>
      <c r="Z1145" t="str">
        <f>IF(Transaction[[#This Row],[GrossRevenue_Clean]]=Transaction[[#This Row],[ListPrice]]*Transaction[[#This Row],[Quantity]],"Valid","Invalid")</f>
        <v>Valid</v>
      </c>
      <c r="AA1145">
        <v>236.8</v>
      </c>
      <c r="AB114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236.8</v>
      </c>
      <c r="AC1145">
        <f>IF(Transaction[[#This Row],[DiscountAmount_Check2]]="Invalid",Transaction[[#This Row],[GrossRevenue_Analytical]]-Transaction[[#This Row],[NetRevenue_Analytical]],Transaction[[#This Row],[DiscountAmount_Clean]])</f>
        <v>236.8</v>
      </c>
      <c r="AD1145">
        <v>2188.1999999999998</v>
      </c>
      <c r="AE1145" t="str">
        <f>IF(ROUND(Transaction[[#This Row],[GrossRevenue_Analytical]]-Transaction[[#This Row],[NetRevenue_Analytical]],2)=ROUND(Transaction[[#This Row],[DiscountAmount_Clean]],2),"Valid","Invalid")</f>
        <v>Valid</v>
      </c>
      <c r="AF1145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2188.1999999999998</v>
      </c>
      <c r="AG1145">
        <f>IF(Transaction[[#This Row],[NetRevenue_Check]]="Invalid",(Transaction[[#This Row],[Quantity]]*Transaction[[#This Row],[UnitPrice_Clean]]),Transaction[[#This Row],[NetRevenue_Clean]])</f>
        <v>2188.1999999999998</v>
      </c>
      <c r="AH1145" t="str">
        <f>IF(Transaction[[#This Row],[Quantity]]*Transaction[[#This Row],[UnitPrice_Clean]]=Transaction[[#This Row],[NetRevenue_Clean]],"Valid","Invalid")</f>
        <v>Valid</v>
      </c>
      <c r="AI1145" t="s">
        <v>23</v>
      </c>
      <c r="AJ1145" t="s">
        <v>2307</v>
      </c>
      <c r="AK1145" t="str">
        <f>IF(Transaction[[#This Row],[Salesperson]]="","Missing Value",TRIM(PROPER(Transaction[[#This Row],[Salesperson]])))</f>
        <v>Adams-Em</v>
      </c>
      <c r="AL1145" t="s">
        <v>25</v>
      </c>
      <c r="AM1145" t="str">
        <f>IF(Transaction[[#This Row],[ContractType]]="","Missing Value",Transaction[[#This Row],[ContractType]])</f>
        <v>Frame Agreement</v>
      </c>
      <c r="AN1145" t="s">
        <v>49</v>
      </c>
    </row>
    <row r="1146" spans="1:40" x14ac:dyDescent="0.25">
      <c r="A1146" t="s">
        <v>1241</v>
      </c>
      <c r="B1146" s="1">
        <v>45741</v>
      </c>
      <c r="C114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14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114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46" s="2">
        <f>IFERROR(DATE(Transaction[[#This Row],[TransactionDateY]],Transaction[[#This Row],[TransactionDateM]],Transaction[[#This Row],[TransactionDateD]]),"Missing Value")</f>
        <v>45741</v>
      </c>
      <c r="G1146" t="s">
        <v>565</v>
      </c>
      <c r="H1146" t="str">
        <f>IFERROR(VLOOKUP(Transaction[[#This Row],[CustomerID]],Custumer[],1,0),IF(LEN(Transaction[[#This Row],[CustomerID]])=7,LEFT(Transaction[[#This Row],[CustomerID]],6),"Invalid ID"))</f>
        <v>C-1007</v>
      </c>
      <c r="I1146" t="s">
        <v>46</v>
      </c>
      <c r="J1146" t="str">
        <f>TRIM(UPPER(Transaction[[#This Row],[ProductID]]))</f>
        <v>P-SI-006</v>
      </c>
      <c r="K1146" t="str">
        <f>IFERROR(VLOOKUP(Transaction[[#This Row],[ProductID_Clean]],Product[],1,FALSE),"Invalid ID")</f>
        <v>P-SI-006</v>
      </c>
      <c r="L1146" t="str">
        <f>TRIM(SUBSTITUTE(SUBSTITUTE(SUBSTITUTE(SUBSTITUTE(UPPER(Transaction[[#This Row],[Region]]),"EMEA REGION","EMEA"),"APAC REGION","APAC"),"NORTH AMERICA","N. AMERICA"),"N .AMERICA","N.AMERICA"))</f>
        <v>N. AMERICA</v>
      </c>
      <c r="M1146" t="s">
        <v>20</v>
      </c>
      <c r="N1146" t="s">
        <v>53</v>
      </c>
      <c r="O114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46" t="s">
        <v>181</v>
      </c>
      <c r="Q1146" t="str">
        <f>IF(TRIM(Transaction[[#This Row],[SalesChannel]])="","Missing Value",TRIM(Transaction[[#This Row],[SalesChannel]]))</f>
        <v>Partner Portal</v>
      </c>
      <c r="R1146" s="4">
        <v>3</v>
      </c>
      <c r="S1146" s="4" t="str">
        <f>IF(Transaction[[#This Row],[Quantity]]&lt;0,"Negative-review","Valid")</f>
        <v>Valid</v>
      </c>
      <c r="T1146">
        <v>143.29</v>
      </c>
      <c r="U114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143.29</v>
      </c>
      <c r="V1146">
        <v>215</v>
      </c>
      <c r="W1146">
        <v>645</v>
      </c>
      <c r="X114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1146">
        <f>IF(Transaction[[#This Row],[GrossRevenue_Check]]="Invalid",Transaction[[#This Row],[ListPrice]]*Transaction[[#This Row],[Quantity]],Transaction[[#This Row],[GrossRevenue_Clean]])</f>
        <v>645</v>
      </c>
      <c r="Z1146" t="str">
        <f>IF(Transaction[[#This Row],[GrossRevenue_Clean]]=Transaction[[#This Row],[ListPrice]]*Transaction[[#This Row],[Quantity]],"Valid","Invalid")</f>
        <v>Valid</v>
      </c>
      <c r="AA1146">
        <v>215.13</v>
      </c>
      <c r="AB114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215.13</v>
      </c>
      <c r="AC1146">
        <f>IF(Transaction[[#This Row],[DiscountAmount_Check2]]="Invalid",Transaction[[#This Row],[GrossRevenue_Analytical]]-Transaction[[#This Row],[NetRevenue_Analytical]],Transaction[[#This Row],[DiscountAmount_Clean]])</f>
        <v>215.13</v>
      </c>
      <c r="AD1146">
        <v>429.87</v>
      </c>
      <c r="AE1146" t="str">
        <f>IF(ROUND(Transaction[[#This Row],[GrossRevenue_Analytical]]-Transaction[[#This Row],[NetRevenue_Analytical]],2)=ROUND(Transaction[[#This Row],[DiscountAmount_Clean]],2),"Valid","Invalid")</f>
        <v>Valid</v>
      </c>
      <c r="AF1146">
        <f>VALUE(IF(ISNUMBER(Transaction[[#This Row],[NetRevenue]]),Transaction[[#This Row],[NetRevenue]],IFERROR(IF(FIND("$",Transaction[[#This Row],[NetRevenue]])&gt;0,MID(Transaction[[#This Row],[NetRevenue]],2,10)),Transaction[[#This Row],[NetRevenue]])))</f>
        <v>429.87</v>
      </c>
      <c r="AG1146">
        <f>IF(Transaction[[#This Row],[NetRevenue_Check]]="Invalid",(Transaction[[#This Row],[Quantity]]*Transaction[[#This Row],[UnitPrice_Clean]]),Transaction[[#This Row],[NetRevenue_Clean]])</f>
        <v>429.87</v>
      </c>
      <c r="AH1146" t="str">
        <f>IF(Transaction[[#This Row],[Quantity]]*Transaction[[#This Row],[UnitPrice_Clean]]=Transaction[[#This Row],[NetRevenue_Clean]],"Valid","Invalid")</f>
        <v>Valid</v>
      </c>
      <c r="AI1146" t="s">
        <v>23</v>
      </c>
      <c r="AJ1146" t="s">
        <v>1242</v>
      </c>
      <c r="AK1146" t="str">
        <f>IF(Transaction[[#This Row],[Salesperson]]="","Missing Value",TRIM(PROPER(Transaction[[#This Row],[Salesperson]])))</f>
        <v>Adams-Na</v>
      </c>
      <c r="AL1146" t="s">
        <v>25</v>
      </c>
      <c r="AM1146" t="str">
        <f>IF(Transaction[[#This Row],[ContractType]]="","Missing Value",Transaction[[#This Row],[ContractType]])</f>
        <v>Frame Agreement</v>
      </c>
      <c r="AN1146" t="s">
        <v>35</v>
      </c>
    </row>
    <row r="1147" spans="1:40" x14ac:dyDescent="0.25">
      <c r="A1147" t="s">
        <v>2705</v>
      </c>
      <c r="B1147" s="1">
        <v>45661</v>
      </c>
      <c r="C114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14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114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47" s="2">
        <f>IFERROR(DATE(Transaction[[#This Row],[TransactionDateY]],Transaction[[#This Row],[TransactionDateM]],Transaction[[#This Row],[TransactionDateD]]),"Missing Value")</f>
        <v>45661</v>
      </c>
      <c r="G1147" t="s">
        <v>1367</v>
      </c>
      <c r="H1147" t="str">
        <f>IFERROR(VLOOKUP(Transaction[[#This Row],[CustomerID]],Custumer[],1,0),IF(LEN(Transaction[[#This Row],[CustomerID]])=7,LEFT(Transaction[[#This Row],[CustomerID]],6),"Invalid ID"))</f>
        <v>C-1069</v>
      </c>
      <c r="I1147" t="s">
        <v>29</v>
      </c>
      <c r="J1147" t="str">
        <f>TRIM(UPPER(Transaction[[#This Row],[ProductID]]))</f>
        <v>P-SA-001</v>
      </c>
      <c r="K1147" t="str">
        <f>IFERROR(VLOOKUP(Transaction[[#This Row],[ProductID_Clean]],Product[],1,FALSE),"Invalid ID")</f>
        <v>P-SA-001</v>
      </c>
      <c r="L1147" t="str">
        <f>TRIM(SUBSTITUTE(SUBSTITUTE(SUBSTITUTE(SUBSTITUTE(UPPER(Transaction[[#This Row],[Region]]),"EMEA REGION","EMEA"),"APAC REGION","APAC"),"NORTH AMERICA","N. AMERICA"),"N .AMERICA","N.AMERICA"))</f>
        <v>EMEA</v>
      </c>
      <c r="M1147" t="s">
        <v>76</v>
      </c>
      <c r="N1147" t="s">
        <v>31</v>
      </c>
      <c r="O114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47" t="s">
        <v>40</v>
      </c>
      <c r="Q1147" t="str">
        <f>IF(TRIM(Transaction[[#This Row],[SalesChannel]])="","Missing Value",TRIM(Transaction[[#This Row],[SalesChannel]]))</f>
        <v>Distributor</v>
      </c>
      <c r="R1147" s="4">
        <v>1</v>
      </c>
      <c r="S1147" s="4" t="str">
        <f>IF(Transaction[[#This Row],[Quantity]]&lt;0,"Negative-review","Valid")</f>
        <v>Valid</v>
      </c>
      <c r="T1147">
        <v>3352.22</v>
      </c>
      <c r="U114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3352.22</v>
      </c>
      <c r="V1147">
        <v>4200</v>
      </c>
      <c r="W1147">
        <v>4200</v>
      </c>
      <c r="X114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1147">
        <f>IF(Transaction[[#This Row],[GrossRevenue_Check]]="Invalid",Transaction[[#This Row],[ListPrice]]*Transaction[[#This Row],[Quantity]],Transaction[[#This Row],[GrossRevenue_Clean]])</f>
        <v>4200</v>
      </c>
      <c r="Z1147" t="str">
        <f>IF(Transaction[[#This Row],[GrossRevenue_Clean]]=Transaction[[#This Row],[ListPrice]]*Transaction[[#This Row],[Quantity]],"Valid","Invalid")</f>
        <v>Valid</v>
      </c>
      <c r="AA1147">
        <v>847.78</v>
      </c>
      <c r="AB114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847.78</v>
      </c>
      <c r="AC1147">
        <f>IF(Transaction[[#This Row],[DiscountAmount_Check2]]="Invalid",Transaction[[#This Row],[GrossRevenue_Analytical]]-Transaction[[#This Row],[NetRevenue_Analytical]],Transaction[[#This Row],[DiscountAmount_Clean]])</f>
        <v>847.78</v>
      </c>
      <c r="AD1147">
        <v>3352.22</v>
      </c>
      <c r="AE1147" t="str">
        <f>IF(ROUND(Transaction[[#This Row],[GrossRevenue_Analytical]]-Transaction[[#This Row],[NetRevenue_Analytical]],2)=ROUND(Transaction[[#This Row],[DiscountAmount_Clean]],2),"Valid","Invalid")</f>
        <v>Valid</v>
      </c>
      <c r="AF114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3352.22</v>
      </c>
      <c r="AG1147">
        <f>IF(Transaction[[#This Row],[NetRevenue_Check]]="Invalid",(Transaction[[#This Row],[Quantity]]*Transaction[[#This Row],[UnitPrice_Clean]]),Transaction[[#This Row],[NetRevenue_Clean]])</f>
        <v>3352.22</v>
      </c>
      <c r="AH1147" t="str">
        <f>IF(Transaction[[#This Row],[Quantity]]*Transaction[[#This Row],[UnitPrice_Clean]]=Transaction[[#This Row],[NetRevenue_Clean]],"Valid","Invalid")</f>
        <v>Valid</v>
      </c>
      <c r="AI1147" t="s">
        <v>23</v>
      </c>
      <c r="AJ1147" t="s">
        <v>1194</v>
      </c>
      <c r="AK1147" t="str">
        <f>IF(Transaction[[#This Row],[Salesperson]]="","Missing Value",TRIM(PROPER(Transaction[[#This Row],[Salesperson]])))</f>
        <v>Thomas</v>
      </c>
      <c r="AL1147" t="s">
        <v>113</v>
      </c>
      <c r="AM1147" t="str">
        <f>IF(Transaction[[#This Row],[ContractType]]="","Missing Value",Transaction[[#This Row],[ContractType]])</f>
        <v>Subscription</v>
      </c>
      <c r="AN1147" t="s">
        <v>43</v>
      </c>
    </row>
    <row r="1148" spans="1:40" x14ac:dyDescent="0.25">
      <c r="A1148" t="s">
        <v>1455</v>
      </c>
      <c r="B1148" s="1">
        <v>45763</v>
      </c>
      <c r="C114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14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114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48" s="2">
        <f>IFERROR(DATE(Transaction[[#This Row],[TransactionDateY]],Transaction[[#This Row],[TransactionDateM]],Transaction[[#This Row],[TransactionDateD]]),"Missing Value")</f>
        <v>45763</v>
      </c>
      <c r="G1148" t="s">
        <v>523</v>
      </c>
      <c r="H1148" t="str">
        <f>IFERROR(VLOOKUP(Transaction[[#This Row],[CustomerID]],Custumer[],1,0),IF(LEN(Transaction[[#This Row],[CustomerID]])=7,LEFT(Transaction[[#This Row],[CustomerID]],6),"Invalid ID"))</f>
        <v>C-1054</v>
      </c>
      <c r="I1148" t="s">
        <v>58</v>
      </c>
      <c r="J1148" t="str">
        <f>TRIM(UPPER(Transaction[[#This Row],[ProductID]]))</f>
        <v>P-SI-005</v>
      </c>
      <c r="K1148" t="str">
        <f>IFERROR(VLOOKUP(Transaction[[#This Row],[ProductID_Clean]],Product[],1,FALSE),"Invalid ID")</f>
        <v>P-SI-005</v>
      </c>
      <c r="L1148" t="str">
        <f>TRIM(SUBSTITUTE(SUBSTITUTE(SUBSTITUTE(SUBSTITUTE(UPPER(Transaction[[#This Row],[Region]]),"EMEA REGION","EMEA"),"APAC REGION","APAC"),"NORTH AMERICA","N. AMERICA"),"N .AMERICA","N.AMERICA"))</f>
        <v>EMEA</v>
      </c>
      <c r="M1148" t="s">
        <v>76</v>
      </c>
      <c r="N1148" t="s">
        <v>47</v>
      </c>
      <c r="O114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48" t="s">
        <v>22</v>
      </c>
      <c r="Q1148" t="str">
        <f>IF(TRIM(Transaction[[#This Row],[SalesChannel]])="","Missing Value",TRIM(Transaction[[#This Row],[SalesChannel]]))</f>
        <v>Direct</v>
      </c>
      <c r="R1148" s="4">
        <v>4</v>
      </c>
      <c r="S1148" s="4" t="str">
        <f>IF(Transaction[[#This Row],[Quantity]]&lt;0,"Negative-review","Valid")</f>
        <v>Valid</v>
      </c>
      <c r="T1148">
        <v>1004.43</v>
      </c>
      <c r="U114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1004.43</v>
      </c>
      <c r="V1148">
        <v>1120</v>
      </c>
      <c r="W1148">
        <v>4480</v>
      </c>
      <c r="X114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4480</v>
      </c>
      <c r="Y1148">
        <f>IF(Transaction[[#This Row],[GrossRevenue_Check]]="Invalid",Transaction[[#This Row],[ListPrice]]*Transaction[[#This Row],[Quantity]],Transaction[[#This Row],[GrossRevenue_Clean]])</f>
        <v>4480</v>
      </c>
      <c r="Z1148" t="str">
        <f>IF(Transaction[[#This Row],[GrossRevenue_Clean]]=Transaction[[#This Row],[ListPrice]]*Transaction[[#This Row],[Quantity]],"Valid","Invalid")</f>
        <v>Valid</v>
      </c>
      <c r="AA1148">
        <v>462.28</v>
      </c>
      <c r="AB114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462.28</v>
      </c>
      <c r="AC1148">
        <f>IF(Transaction[[#This Row],[DiscountAmount_Check2]]="Invalid",Transaction[[#This Row],[GrossRevenue_Analytical]]-Transaction[[#This Row],[NetRevenue_Analytical]],Transaction[[#This Row],[DiscountAmount_Clean]])</f>
        <v>462.28</v>
      </c>
      <c r="AD1148">
        <v>4017.72</v>
      </c>
      <c r="AE1148" t="str">
        <f>IF(ROUND(Transaction[[#This Row],[GrossRevenue_Analytical]]-Transaction[[#This Row],[NetRevenue_Analytical]],2)=ROUND(Transaction[[#This Row],[DiscountAmount_Clean]],2),"Valid","Invalid")</f>
        <v>Valid</v>
      </c>
      <c r="AF1148">
        <f>VALUE(IF(ISNUMBER(Transaction[[#This Row],[NetRevenue]]),Transaction[[#This Row],[NetRevenue]],IFERROR(IF(FIND("$",Transaction[[#This Row],[NetRevenue]])&gt;0,MID(Transaction[[#This Row],[NetRevenue]],2,10)),Transaction[[#This Row],[NetRevenue]])))</f>
        <v>4017.72</v>
      </c>
      <c r="AG1148">
        <f>IF(Transaction[[#This Row],[NetRevenue_Check]]="Invalid",(Transaction[[#This Row],[Quantity]]*Transaction[[#This Row],[UnitPrice_Clean]]),Transaction[[#This Row],[NetRevenue_Clean]])</f>
        <v>4017.72</v>
      </c>
      <c r="AH1148" t="str">
        <f>IF(Transaction[[#This Row],[Quantity]]*Transaction[[#This Row],[UnitPrice_Clean]]=Transaction[[#This Row],[NetRevenue_Clean]],"Valid","Invalid")</f>
        <v>Valid</v>
      </c>
      <c r="AI1148" t="s">
        <v>23</v>
      </c>
      <c r="AJ1148" t="s">
        <v>1456</v>
      </c>
      <c r="AK1148" t="str">
        <f>IF(Transaction[[#This Row],[Salesperson]]="","Missing Value",TRIM(PROPER(Transaction[[#This Row],[Salesperson]])))</f>
        <v>Jackson-Na</v>
      </c>
      <c r="AL1148" t="s">
        <v>55</v>
      </c>
      <c r="AM1148" t="str">
        <f>IF(Transaction[[#This Row],[ContractType]]="","Missing Value",Transaction[[#This Row],[ContractType]])</f>
        <v>Spot</v>
      </c>
      <c r="AN1148" t="s">
        <v>26</v>
      </c>
    </row>
    <row r="1149" spans="1:40" x14ac:dyDescent="0.25">
      <c r="A1149" t="s">
        <v>2073</v>
      </c>
      <c r="B1149" s="1">
        <v>45679</v>
      </c>
      <c r="C114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14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114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49" s="2">
        <f>IFERROR(DATE(Transaction[[#This Row],[TransactionDateY]],Transaction[[#This Row],[TransactionDateM]],Transaction[[#This Row],[TransactionDateD]]),"Missing Value")</f>
        <v>45679</v>
      </c>
      <c r="G1149" t="s">
        <v>297</v>
      </c>
      <c r="H1149" t="str">
        <f>IFERROR(VLOOKUP(Transaction[[#This Row],[CustomerID]],Custumer[],1,0),IF(LEN(Transaction[[#This Row],[CustomerID]])=7,LEFT(Transaction[[#This Row],[CustomerID]],6),"Invalid ID"))</f>
        <v>C-1181</v>
      </c>
      <c r="I1149" t="s">
        <v>111</v>
      </c>
      <c r="J1149" t="str">
        <f>TRIM(UPPER(Transaction[[#This Row],[ProductID]]))</f>
        <v>P-SA-004</v>
      </c>
      <c r="K1149" t="str">
        <f>IFERROR(VLOOKUP(Transaction[[#This Row],[ProductID_Clean]],Product[],1,FALSE),"Invalid ID")</f>
        <v>P-SA-004</v>
      </c>
      <c r="L1149" t="str">
        <f>TRIM(SUBSTITUTE(SUBSTITUTE(SUBSTITUTE(SUBSTITUTE(UPPER(Transaction[[#This Row],[Region]]),"EMEA REGION","EMEA"),"APAC REGION","APAC"),"NORTH AMERICA","N. AMERICA"),"N .AMERICA","N.AMERICA"))</f>
        <v>N. AMERICA</v>
      </c>
      <c r="M1149" t="s">
        <v>20</v>
      </c>
      <c r="N1149" t="s">
        <v>31</v>
      </c>
      <c r="O114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49" t="s">
        <v>40</v>
      </c>
      <c r="Q1149" t="str">
        <f>IF(TRIM(Transaction[[#This Row],[SalesChannel]])="","Missing Value",TRIM(Transaction[[#This Row],[SalesChannel]]))</f>
        <v>Distributor</v>
      </c>
      <c r="R1149" s="4">
        <v>3</v>
      </c>
      <c r="S1149" s="4" t="str">
        <f>IF(Transaction[[#This Row],[Quantity]]&lt;0,"Negative-review","Valid")</f>
        <v>Valid</v>
      </c>
      <c r="T1149">
        <v>1456.88</v>
      </c>
      <c r="U114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1456.88</v>
      </c>
      <c r="V1149">
        <v>1650</v>
      </c>
      <c r="W1149">
        <v>4950</v>
      </c>
      <c r="X114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4950</v>
      </c>
      <c r="Y1149">
        <f>IF(Transaction[[#This Row],[GrossRevenue_Check]]="Invalid",Transaction[[#This Row],[ListPrice]]*Transaction[[#This Row],[Quantity]],Transaction[[#This Row],[GrossRevenue_Clean]])</f>
        <v>4950</v>
      </c>
      <c r="Z1149" t="str">
        <f>IF(Transaction[[#This Row],[GrossRevenue_Clean]]=Transaction[[#This Row],[ListPrice]]*Transaction[[#This Row],[Quantity]],"Valid","Invalid")</f>
        <v>Valid</v>
      </c>
      <c r="AA1149">
        <v>579.36</v>
      </c>
      <c r="AB114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579.36</v>
      </c>
      <c r="AC1149">
        <f>IF(Transaction[[#This Row],[DiscountAmount_Check2]]="Invalid",Transaction[[#This Row],[GrossRevenue_Analytical]]-Transaction[[#This Row],[NetRevenue_Analytical]],Transaction[[#This Row],[DiscountAmount_Clean]])</f>
        <v>579.36</v>
      </c>
      <c r="AD1149">
        <v>4370.6400000000003</v>
      </c>
      <c r="AE1149" t="str">
        <f>IF(ROUND(Transaction[[#This Row],[GrossRevenue_Analytical]]-Transaction[[#This Row],[NetRevenue_Analytical]],2)=ROUND(Transaction[[#This Row],[DiscountAmount_Clean]],2),"Valid","Invalid")</f>
        <v>Valid</v>
      </c>
      <c r="AF1149">
        <f>VALUE(IF(ISNUMBER(Transaction[[#This Row],[NetRevenue]]),Transaction[[#This Row],[NetRevenue]],IFERROR(IF(FIND("$",Transaction[[#This Row],[NetRevenue]])&gt;0,MID(Transaction[[#This Row],[NetRevenue]],2,10)),Transaction[[#This Row],[NetRevenue]])))</f>
        <v>4370.6400000000003</v>
      </c>
      <c r="AG1149">
        <f>IF(Transaction[[#This Row],[NetRevenue_Check]]="Invalid",(Transaction[[#This Row],[Quantity]]*Transaction[[#This Row],[UnitPrice_Clean]]),Transaction[[#This Row],[NetRevenue_Clean]])</f>
        <v>4370.6400000000003</v>
      </c>
      <c r="AH1149" t="str">
        <f>IF(Transaction[[#This Row],[Quantity]]*Transaction[[#This Row],[UnitPrice_Clean]]=Transaction[[#This Row],[NetRevenue_Clean]],"Valid","Invalid")</f>
        <v>Valid</v>
      </c>
      <c r="AI1149" t="s">
        <v>23</v>
      </c>
      <c r="AJ1149" t="s">
        <v>2074</v>
      </c>
      <c r="AK1149" t="str">
        <f>IF(Transaction[[#This Row],[Salesperson]]="","Missing Value",TRIM(PROPER(Transaction[[#This Row],[Salesperson]])))</f>
        <v>Hill-Ap</v>
      </c>
      <c r="AL1149" t="s">
        <v>34</v>
      </c>
      <c r="AM1149" t="str">
        <f>IF(Transaction[[#This Row],[ContractType]]="","Missing Value",Transaction[[#This Row],[ContractType]])</f>
        <v>Annual License</v>
      </c>
      <c r="AN1149" t="s">
        <v>49</v>
      </c>
    </row>
    <row r="1150" spans="1:40" x14ac:dyDescent="0.25">
      <c r="A1150" t="s">
        <v>1861</v>
      </c>
      <c r="B1150" t="s">
        <v>1862</v>
      </c>
      <c r="C1150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1150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1150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50" s="2">
        <f>IFERROR(DATE(Transaction[[#This Row],[TransactionDateY]],Transaction[[#This Row],[TransactionDateM]],Transaction[[#This Row],[TransactionDateD]]),"Missing Value")</f>
        <v>45801</v>
      </c>
      <c r="G1150" t="s">
        <v>630</v>
      </c>
      <c r="H1150" t="str">
        <f>IFERROR(VLOOKUP(Transaction[[#This Row],[CustomerID]],Custumer[],1,0),IF(LEN(Transaction[[#This Row],[CustomerID]])=7,LEFT(Transaction[[#This Row],[CustomerID]],6),"Invalid ID"))</f>
        <v>C-1157</v>
      </c>
      <c r="I1150" t="s">
        <v>1863</v>
      </c>
      <c r="J1150" t="str">
        <f>TRIM(UPPER(Transaction[[#This Row],[ProductID]]))</f>
        <v>P-FS-001</v>
      </c>
      <c r="K1150" t="str">
        <f>IFERROR(VLOOKUP(Transaction[[#This Row],[ProductID_Clean]],Product[],1,FALSE),"Invalid ID")</f>
        <v>P-FS-001</v>
      </c>
      <c r="L1150" t="str">
        <f>TRIM(SUBSTITUTE(SUBSTITUTE(SUBSTITUTE(SUBSTITUTE(UPPER(Transaction[[#This Row],[Region]]),"EMEA REGION","EMEA"),"APAC REGION","APAC"),"NORTH AMERICA","N. AMERICA"),"N .AMERICA","N.AMERICA"))</f>
        <v>EMEA</v>
      </c>
      <c r="M1150" t="s">
        <v>76</v>
      </c>
      <c r="N1150" t="s">
        <v>244</v>
      </c>
      <c r="O1150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Q1150" t="str">
        <f>IF(TRIM(Transaction[[#This Row],[SalesChannel]])="","Missing Value",TRIM(Transaction[[#This Row],[SalesChannel]]))</f>
        <v>Missing Value</v>
      </c>
      <c r="R1150" s="4">
        <v>1</v>
      </c>
      <c r="S1150" s="4" t="str">
        <f>IF(Transaction[[#This Row],[Quantity]]&lt;0,"Negative-review","Valid")</f>
        <v>Valid</v>
      </c>
      <c r="T1150">
        <v>1555.81</v>
      </c>
      <c r="U115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1555.81</v>
      </c>
      <c r="V1150">
        <v>1850</v>
      </c>
      <c r="W1150">
        <v>1850</v>
      </c>
      <c r="X115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1150">
        <f>IF(Transaction[[#This Row],[GrossRevenue_Check]]="Invalid",Transaction[[#This Row],[ListPrice]]*Transaction[[#This Row],[Quantity]],Transaction[[#This Row],[GrossRevenue_Clean]])</f>
        <v>1850</v>
      </c>
      <c r="Z1150" t="str">
        <f>IF(Transaction[[#This Row],[GrossRevenue_Clean]]=Transaction[[#This Row],[ListPrice]]*Transaction[[#This Row],[Quantity]],"Valid","Invalid")</f>
        <v>Valid</v>
      </c>
      <c r="AA1150">
        <v>294.19</v>
      </c>
      <c r="AB115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294.19</v>
      </c>
      <c r="AC1150">
        <f>IF(Transaction[[#This Row],[DiscountAmount_Check2]]="Invalid",Transaction[[#This Row],[GrossRevenue_Analytical]]-Transaction[[#This Row],[NetRevenue_Analytical]],Transaction[[#This Row],[DiscountAmount_Clean]])</f>
        <v>294.19</v>
      </c>
      <c r="AD1150">
        <v>1555.81</v>
      </c>
      <c r="AE1150" t="str">
        <f>IF(ROUND(Transaction[[#This Row],[GrossRevenue_Analytical]]-Transaction[[#This Row],[NetRevenue_Analytical]],2)=ROUND(Transaction[[#This Row],[DiscountAmount_Clean]],2),"Valid","Invalid")</f>
        <v>Valid</v>
      </c>
      <c r="AF115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1555.81</v>
      </c>
      <c r="AG1150">
        <f>IF(Transaction[[#This Row],[NetRevenue_Check]]="Invalid",(Transaction[[#This Row],[Quantity]]*Transaction[[#This Row],[UnitPrice_Clean]]),Transaction[[#This Row],[NetRevenue_Clean]])</f>
        <v>1555.81</v>
      </c>
      <c r="AH1150" t="str">
        <f>IF(Transaction[[#This Row],[Quantity]]*Transaction[[#This Row],[UnitPrice_Clean]]=Transaction[[#This Row],[NetRevenue_Clean]],"Valid","Invalid")</f>
        <v>Valid</v>
      </c>
      <c r="AI1150" t="s">
        <v>128</v>
      </c>
      <c r="AJ1150" t="s">
        <v>1115</v>
      </c>
      <c r="AK1150" t="str">
        <f>IF(Transaction[[#This Row],[Salesperson]]="","Missing Value",TRIM(PROPER(Transaction[[#This Row],[Salesperson]])))</f>
        <v>Evans</v>
      </c>
      <c r="AL1150" t="s">
        <v>42</v>
      </c>
      <c r="AM1150" t="str">
        <f>IF(Transaction[[#This Row],[ContractType]]="","Missing Value",Transaction[[#This Row],[ContractType]])</f>
        <v>Standard PO</v>
      </c>
      <c r="AN1150" t="s">
        <v>35</v>
      </c>
    </row>
    <row r="1151" spans="1:40" x14ac:dyDescent="0.25">
      <c r="A1151" t="s">
        <v>1576</v>
      </c>
      <c r="B1151" t="s">
        <v>1577</v>
      </c>
      <c r="C115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15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115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51" s="2">
        <f>IFERROR(DATE(Transaction[[#This Row],[TransactionDateY]],Transaction[[#This Row],[TransactionDateM]],Transaction[[#This Row],[TransactionDateD]]),"Missing Value")</f>
        <v>45804</v>
      </c>
      <c r="G1151" t="s">
        <v>1578</v>
      </c>
      <c r="H1151" t="str">
        <f>IFERROR(VLOOKUP(Transaction[[#This Row],[CustomerID]],Custumer[],1,0),IF(LEN(Transaction[[#This Row],[CustomerID]])=7,LEFT(Transaction[[#This Row],[CustomerID]],6),"Invalid ID"))</f>
        <v>C-1031</v>
      </c>
      <c r="I1151" t="s">
        <v>29</v>
      </c>
      <c r="J1151" t="str">
        <f>TRIM(UPPER(Transaction[[#This Row],[ProductID]]))</f>
        <v>P-SA-001</v>
      </c>
      <c r="K1151" t="str">
        <f>IFERROR(VLOOKUP(Transaction[[#This Row],[ProductID_Clean]],Product[],1,FALSE),"Invalid ID")</f>
        <v>P-SA-001</v>
      </c>
      <c r="L1151" t="str">
        <f>TRIM(SUBSTITUTE(SUBSTITUTE(SUBSTITUTE(SUBSTITUTE(UPPER(Transaction[[#This Row],[Region]]),"EMEA REGION","EMEA"),"APAC REGION","APAC"),"NORTH AMERICA","N. AMERICA"),"N .AMERICA","N.AMERICA"))</f>
        <v>N. AMERICA</v>
      </c>
      <c r="M1151" t="s">
        <v>20</v>
      </c>
      <c r="N1151" t="s">
        <v>205</v>
      </c>
      <c r="O115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51" t="s">
        <v>22</v>
      </c>
      <c r="Q1151" t="str">
        <f>IF(TRIM(Transaction[[#This Row],[SalesChannel]])="","Missing Value",TRIM(Transaction[[#This Row],[SalesChannel]]))</f>
        <v>Direct</v>
      </c>
      <c r="R1151" s="4">
        <v>1</v>
      </c>
      <c r="S1151" s="4" t="str">
        <f>IF(Transaction[[#This Row],[Quantity]]&lt;0,"Negative-review","Valid")</f>
        <v>Valid</v>
      </c>
      <c r="T1151">
        <v>3936.09</v>
      </c>
      <c r="U115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3936.09</v>
      </c>
      <c r="V1151">
        <v>4200</v>
      </c>
      <c r="W1151" t="s">
        <v>1579</v>
      </c>
      <c r="X115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1151">
        <f>IF(Transaction[[#This Row],[GrossRevenue_Check]]="Invalid",Transaction[[#This Row],[ListPrice]]*Transaction[[#This Row],[Quantity]],Transaction[[#This Row],[GrossRevenue_Clean]])</f>
        <v>4200</v>
      </c>
      <c r="Z1151" t="str">
        <f>IF(Transaction[[#This Row],[GrossRevenue_Clean]]=Transaction[[#This Row],[ListPrice]]*Transaction[[#This Row],[Quantity]],"Valid","Invalid")</f>
        <v>Valid</v>
      </c>
      <c r="AA1151">
        <v>263.91000000000003</v>
      </c>
      <c r="AB115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263.91000000000003</v>
      </c>
      <c r="AC1151">
        <f>IF(Transaction[[#This Row],[DiscountAmount_Check2]]="Invalid",Transaction[[#This Row],[GrossRevenue_Analytical]]-Transaction[[#This Row],[NetRevenue_Analytical]],Transaction[[#This Row],[DiscountAmount_Clean]])</f>
        <v>263.91000000000003</v>
      </c>
      <c r="AD1151">
        <v>3936.09</v>
      </c>
      <c r="AE1151" t="str">
        <f>IF(ROUND(Transaction[[#This Row],[GrossRevenue_Analytical]]-Transaction[[#This Row],[NetRevenue_Analytical]],2)=ROUND(Transaction[[#This Row],[DiscountAmount_Clean]],2),"Valid","Invalid")</f>
        <v>Valid</v>
      </c>
      <c r="AF1151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3936.09</v>
      </c>
      <c r="AG1151">
        <f>IF(Transaction[[#This Row],[NetRevenue_Check]]="Invalid",(Transaction[[#This Row],[Quantity]]*Transaction[[#This Row],[UnitPrice_Clean]]),Transaction[[#This Row],[NetRevenue_Clean]])</f>
        <v>3936.09</v>
      </c>
      <c r="AH1151" t="str">
        <f>IF(Transaction[[#This Row],[Quantity]]*Transaction[[#This Row],[UnitPrice_Clean]]=Transaction[[#This Row],[NetRevenue_Clean]],"Valid","Invalid")</f>
        <v>Valid</v>
      </c>
      <c r="AI1151" t="s">
        <v>23</v>
      </c>
      <c r="AK1151" t="str">
        <f>IF(Transaction[[#This Row],[Salesperson]]="","Missing Value",TRIM(PROPER(Transaction[[#This Row],[Salesperson]])))</f>
        <v>Missing Value</v>
      </c>
      <c r="AL1151" t="s">
        <v>113</v>
      </c>
      <c r="AM1151" t="str">
        <f>IF(Transaction[[#This Row],[ContractType]]="","Missing Value",Transaction[[#This Row],[ContractType]])</f>
        <v>Subscription</v>
      </c>
      <c r="AN1151" t="s">
        <v>65</v>
      </c>
    </row>
    <row r="1152" spans="1:40" x14ac:dyDescent="0.25">
      <c r="A1152" t="s">
        <v>904</v>
      </c>
      <c r="B1152" s="1">
        <v>45755</v>
      </c>
      <c r="C115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15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115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52" s="2">
        <f>IFERROR(DATE(Transaction[[#This Row],[TransactionDateY]],Transaction[[#This Row],[TransactionDateM]],Transaction[[#This Row],[TransactionDateD]]),"Missing Value")</f>
        <v>45755</v>
      </c>
      <c r="G1152" t="s">
        <v>218</v>
      </c>
      <c r="H1152" t="str">
        <f>IFERROR(VLOOKUP(Transaction[[#This Row],[CustomerID]],Custumer[],1,0),IF(LEN(Transaction[[#This Row],[CustomerID]])=7,LEFT(Transaction[[#This Row],[CustomerID]],6),"Invalid ID"))</f>
        <v>C-1098</v>
      </c>
      <c r="I1152" t="s">
        <v>97</v>
      </c>
      <c r="J1152" t="str">
        <f>TRIM(UPPER(Transaction[[#This Row],[ProductID]]))</f>
        <v>P-SI-001</v>
      </c>
      <c r="K1152" t="str">
        <f>IFERROR(VLOOKUP(Transaction[[#This Row],[ProductID_Clean]],Product[],1,FALSE),"Invalid ID")</f>
        <v>P-SI-001</v>
      </c>
      <c r="L1152" t="str">
        <f>TRIM(SUBSTITUTE(SUBSTITUTE(SUBSTITUTE(SUBSTITUTE(UPPER(Transaction[[#This Row],[Region]]),"EMEA REGION","EMEA"),"APAC REGION","APAC"),"NORTH AMERICA","N. AMERICA"),"N .AMERICA","N.AMERICA"))</f>
        <v>N. AMERICA</v>
      </c>
      <c r="M1152" t="s">
        <v>20</v>
      </c>
      <c r="N1152" t="s">
        <v>53</v>
      </c>
      <c r="O115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52" t="s">
        <v>22</v>
      </c>
      <c r="Q1152" t="str">
        <f>IF(TRIM(Transaction[[#This Row],[SalesChannel]])="","Missing Value",TRIM(Transaction[[#This Row],[SalesChannel]]))</f>
        <v>Direct</v>
      </c>
      <c r="R1152" s="4">
        <v>1</v>
      </c>
      <c r="S1152" s="4" t="str">
        <f>IF(Transaction[[#This Row],[Quantity]]&lt;0,"Negative-review","Valid")</f>
        <v>Valid</v>
      </c>
      <c r="T1152">
        <v>443.19</v>
      </c>
      <c r="U115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443.19</v>
      </c>
      <c r="V1152">
        <v>485</v>
      </c>
      <c r="W1152">
        <v>485</v>
      </c>
      <c r="X115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1152">
        <f>IF(Transaction[[#This Row],[GrossRevenue_Check]]="Invalid",Transaction[[#This Row],[ListPrice]]*Transaction[[#This Row],[Quantity]],Transaction[[#This Row],[GrossRevenue_Clean]])</f>
        <v>485</v>
      </c>
      <c r="Z1152" t="str">
        <f>IF(Transaction[[#This Row],[GrossRevenue_Clean]]=Transaction[[#This Row],[ListPrice]]*Transaction[[#This Row],[Quantity]],"Valid","Invalid")</f>
        <v>Valid</v>
      </c>
      <c r="AA1152">
        <v>41.81</v>
      </c>
      <c r="AB115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41.81</v>
      </c>
      <c r="AC1152">
        <f>IF(Transaction[[#This Row],[DiscountAmount_Check2]]="Invalid",Transaction[[#This Row],[GrossRevenue_Analytical]]-Transaction[[#This Row],[NetRevenue_Analytical]],Transaction[[#This Row],[DiscountAmount_Clean]])</f>
        <v>41.81</v>
      </c>
      <c r="AD1152">
        <v>443.19</v>
      </c>
      <c r="AE1152" t="str">
        <f>IF(ROUND(Transaction[[#This Row],[GrossRevenue_Analytical]]-Transaction[[#This Row],[NetRevenue_Analytical]],2)=ROUND(Transaction[[#This Row],[DiscountAmount_Clean]],2),"Valid","Invalid")</f>
        <v>Valid</v>
      </c>
      <c r="AF1152">
        <f>VALUE(IF(ISNUMBER(Transaction[[#This Row],[NetRevenue]]),Transaction[[#This Row],[NetRevenue]],IFERROR(IF(FIND("$",Transaction[[#This Row],[NetRevenue]])&gt;0,MID(Transaction[[#This Row],[NetRevenue]],2,10)),Transaction[[#This Row],[NetRevenue]])))</f>
        <v>443.19</v>
      </c>
      <c r="AG1152">
        <f>IF(Transaction[[#This Row],[NetRevenue_Check]]="Invalid",(Transaction[[#This Row],[Quantity]]*Transaction[[#This Row],[UnitPrice_Clean]]),Transaction[[#This Row],[NetRevenue_Clean]])</f>
        <v>443.19</v>
      </c>
      <c r="AH1152" t="str">
        <f>IF(Transaction[[#This Row],[Quantity]]*Transaction[[#This Row],[UnitPrice_Clean]]=Transaction[[#This Row],[NetRevenue_Clean]],"Valid","Invalid")</f>
        <v>Valid</v>
      </c>
      <c r="AI1152" t="s">
        <v>128</v>
      </c>
      <c r="AJ1152" t="s">
        <v>905</v>
      </c>
      <c r="AK1152" t="str">
        <f>IF(Transaction[[#This Row],[Salesperson]]="","Missing Value",TRIM(PROPER(Transaction[[#This Row],[Salesperson]])))</f>
        <v>Ward</v>
      </c>
      <c r="AL1152" t="s">
        <v>25</v>
      </c>
      <c r="AM1152" t="str">
        <f>IF(Transaction[[#This Row],[ContractType]]="","Missing Value",Transaction[[#This Row],[ContractType]])</f>
        <v>Frame Agreement</v>
      </c>
      <c r="AN1152" t="s">
        <v>65</v>
      </c>
    </row>
    <row r="1153" spans="1:40" x14ac:dyDescent="0.25">
      <c r="A1153" t="s">
        <v>2929</v>
      </c>
      <c r="B1153" t="s">
        <v>2376</v>
      </c>
      <c r="C115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15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115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53" s="2">
        <f>IFERROR(DATE(Transaction[[#This Row],[TransactionDateY]],Transaction[[#This Row],[TransactionDateM]],Transaction[[#This Row],[TransactionDateD]]),"Missing Value")</f>
        <v>45693</v>
      </c>
      <c r="G1153" t="s">
        <v>345</v>
      </c>
      <c r="H1153" t="str">
        <f>IFERROR(VLOOKUP(Transaction[[#This Row],[CustomerID]],Custumer[],1,0),IF(LEN(Transaction[[#This Row],[CustomerID]])=7,LEFT(Transaction[[#This Row],[CustomerID]],6),"Invalid ID"))</f>
        <v>C-1125</v>
      </c>
      <c r="I1153" t="s">
        <v>2930</v>
      </c>
      <c r="J1153" t="str">
        <f>TRIM(UPPER(Transaction[[#This Row],[ProductID]]))</f>
        <v>P-FS-004</v>
      </c>
      <c r="K1153" t="str">
        <f>IFERROR(VLOOKUP(Transaction[[#This Row],[ProductID_Clean]],Product[],1,FALSE),"Invalid ID")</f>
        <v>P-FS-004</v>
      </c>
      <c r="L1153" t="str">
        <f>TRIM(SUBSTITUTE(SUBSTITUTE(SUBSTITUTE(SUBSTITUTE(UPPER(Transaction[[#This Row],[Region]]),"EMEA REGION","EMEA"),"APAC REGION","APAC"),"NORTH AMERICA","N. AMERICA"),"N .AMERICA","N.AMERICA"))</f>
        <v>N. AMERICA</v>
      </c>
      <c r="M1153" t="s">
        <v>20</v>
      </c>
      <c r="N1153" t="s">
        <v>21</v>
      </c>
      <c r="O115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153" t="s">
        <v>181</v>
      </c>
      <c r="Q1153" t="str">
        <f>IF(TRIM(Transaction[[#This Row],[SalesChannel]])="","Missing Value",TRIM(Transaction[[#This Row],[SalesChannel]]))</f>
        <v>Partner Portal</v>
      </c>
      <c r="R1153" s="4">
        <v>1</v>
      </c>
      <c r="S1153" s="4" t="str">
        <f>IF(Transaction[[#This Row],[Quantity]]&lt;0,"Negative-review","Valid")</f>
        <v>Valid</v>
      </c>
      <c r="T1153">
        <v>2825.56</v>
      </c>
      <c r="U115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2825.56</v>
      </c>
      <c r="V1153">
        <v>3200</v>
      </c>
      <c r="W1153">
        <v>3200</v>
      </c>
      <c r="X115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1153">
        <f>IF(Transaction[[#This Row],[GrossRevenue_Check]]="Invalid",Transaction[[#This Row],[ListPrice]]*Transaction[[#This Row],[Quantity]],Transaction[[#This Row],[GrossRevenue_Clean]])</f>
        <v>3200</v>
      </c>
      <c r="Z1153" t="str">
        <f>IF(Transaction[[#This Row],[GrossRevenue_Clean]]=Transaction[[#This Row],[ListPrice]]*Transaction[[#This Row],[Quantity]],"Valid","Invalid")</f>
        <v>Valid</v>
      </c>
      <c r="AA1153">
        <v>374.44</v>
      </c>
      <c r="AB115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374.44</v>
      </c>
      <c r="AC1153">
        <f>IF(Transaction[[#This Row],[DiscountAmount_Check2]]="Invalid",Transaction[[#This Row],[GrossRevenue_Analytical]]-Transaction[[#This Row],[NetRevenue_Analytical]],Transaction[[#This Row],[DiscountAmount_Clean]])</f>
        <v>374.44</v>
      </c>
      <c r="AD1153">
        <v>2825.56</v>
      </c>
      <c r="AE1153" t="str">
        <f>IF(ROUND(Transaction[[#This Row],[GrossRevenue_Analytical]]-Transaction[[#This Row],[NetRevenue_Analytical]],2)=ROUND(Transaction[[#This Row],[DiscountAmount_Clean]],2),"Valid","Invalid")</f>
        <v>Valid</v>
      </c>
      <c r="AF1153">
        <f>VALUE(IF(ISNUMBER(Transaction[[#This Row],[NetRevenue]]),Transaction[[#This Row],[NetRevenue]],IFERROR(IF(FIND("$",Transaction[[#This Row],[NetRevenue]])&gt;0,MID(Transaction[[#This Row],[NetRevenue]],2,10)),Transaction[[#This Row],[NetRevenue]])))</f>
        <v>2825.56</v>
      </c>
      <c r="AG1153">
        <f>IF(Transaction[[#This Row],[NetRevenue_Check]]="Invalid",(Transaction[[#This Row],[Quantity]]*Transaction[[#This Row],[UnitPrice_Clean]]),Transaction[[#This Row],[NetRevenue_Clean]])</f>
        <v>2825.56</v>
      </c>
      <c r="AH1153" t="str">
        <f>IF(Transaction[[#This Row],[Quantity]]*Transaction[[#This Row],[UnitPrice_Clean]]=Transaction[[#This Row],[NetRevenue_Clean]],"Valid","Invalid")</f>
        <v>Valid</v>
      </c>
      <c r="AI1153" t="s">
        <v>99</v>
      </c>
      <c r="AJ1153" t="s">
        <v>2931</v>
      </c>
      <c r="AK1153" t="str">
        <f>IF(Transaction[[#This Row],[Salesperson]]="","Missing Value",TRIM(PROPER(Transaction[[#This Row],[Salesperson]])))</f>
        <v>Raymond</v>
      </c>
      <c r="AL1153" t="s">
        <v>25</v>
      </c>
      <c r="AM1153" t="str">
        <f>IF(Transaction[[#This Row],[ContractType]]="","Missing Value",Transaction[[#This Row],[ContractType]])</f>
        <v>Frame Agreement</v>
      </c>
      <c r="AN1153" t="s">
        <v>49</v>
      </c>
    </row>
    <row r="1154" spans="1:40" x14ac:dyDescent="0.25">
      <c r="A1154" t="s">
        <v>2245</v>
      </c>
      <c r="B1154" s="1">
        <v>45735</v>
      </c>
      <c r="C115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15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115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54" s="2">
        <f>IFERROR(DATE(Transaction[[#This Row],[TransactionDateY]],Transaction[[#This Row],[TransactionDateM]],Transaction[[#This Row],[TransactionDateD]]),"Missing Value")</f>
        <v>45735</v>
      </c>
      <c r="G1154" t="s">
        <v>253</v>
      </c>
      <c r="H1154" t="str">
        <f>IFERROR(VLOOKUP(Transaction[[#This Row],[CustomerID]],Custumer[],1,0),IF(LEN(Transaction[[#This Row],[CustomerID]])=7,LEFT(Transaction[[#This Row],[CustomerID]],6),"Invalid ID"))</f>
        <v>C-1144</v>
      </c>
      <c r="I1154" t="s">
        <v>92</v>
      </c>
      <c r="J1154" t="str">
        <f>TRIM(UPPER(Transaction[[#This Row],[ProductID]]))</f>
        <v>P-SI-008</v>
      </c>
      <c r="K1154" t="str">
        <f>IFERROR(VLOOKUP(Transaction[[#This Row],[ProductID_Clean]],Product[],1,FALSE),"Invalid ID")</f>
        <v>P-SI-008</v>
      </c>
      <c r="L1154" t="str">
        <f>TRIM(SUBSTITUTE(SUBSTITUTE(SUBSTITUTE(SUBSTITUTE(UPPER(Transaction[[#This Row],[Region]]),"EMEA REGION","EMEA"),"APAC REGION","APAC"),"NORTH AMERICA","N. AMERICA"),"N .AMERICA","N.AMERICA"))</f>
        <v>APAC</v>
      </c>
      <c r="M1154" t="s">
        <v>30</v>
      </c>
      <c r="N1154" t="s">
        <v>53</v>
      </c>
      <c r="O115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54" t="s">
        <v>22</v>
      </c>
      <c r="Q1154" t="str">
        <f>IF(TRIM(Transaction[[#This Row],[SalesChannel]])="","Missing Value",TRIM(Transaction[[#This Row],[SalesChannel]]))</f>
        <v>Direct</v>
      </c>
      <c r="R1154" s="4">
        <v>4</v>
      </c>
      <c r="S1154" s="4" t="str">
        <f>IF(Transaction[[#This Row],[Quantity]]&lt;0,"Negative-review","Valid")</f>
        <v>Valid</v>
      </c>
      <c r="T1154">
        <v>810.63</v>
      </c>
      <c r="U115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810.63</v>
      </c>
      <c r="V1154">
        <v>950</v>
      </c>
      <c r="W1154" t="s">
        <v>2246</v>
      </c>
      <c r="X115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3800</v>
      </c>
      <c r="Y1154">
        <f>IF(Transaction[[#This Row],[GrossRevenue_Check]]="Invalid",Transaction[[#This Row],[ListPrice]]*Transaction[[#This Row],[Quantity]],Transaction[[#This Row],[GrossRevenue_Clean]])</f>
        <v>3800</v>
      </c>
      <c r="Z1154" t="str">
        <f>IF(Transaction[[#This Row],[GrossRevenue_Clean]]=Transaction[[#This Row],[ListPrice]]*Transaction[[#This Row],[Quantity]],"Valid","Invalid")</f>
        <v>Valid</v>
      </c>
      <c r="AA1154">
        <v>557.48</v>
      </c>
      <c r="AB115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557.48</v>
      </c>
      <c r="AC1154">
        <f>IF(Transaction[[#This Row],[DiscountAmount_Check2]]="Invalid",Transaction[[#This Row],[GrossRevenue_Analytical]]-Transaction[[#This Row],[NetRevenue_Analytical]],Transaction[[#This Row],[DiscountAmount_Clean]])</f>
        <v>557.48</v>
      </c>
      <c r="AD1154">
        <v>3242.52</v>
      </c>
      <c r="AE1154" t="str">
        <f>IF(ROUND(Transaction[[#This Row],[GrossRevenue_Analytical]]-Transaction[[#This Row],[NetRevenue_Analytical]],2)=ROUND(Transaction[[#This Row],[DiscountAmount_Clean]],2),"Valid","Invalid")</f>
        <v>Valid</v>
      </c>
      <c r="AF1154">
        <f>VALUE(IF(ISNUMBER(Transaction[[#This Row],[NetRevenue]]),Transaction[[#This Row],[NetRevenue]],IFERROR(IF(FIND("$",Transaction[[#This Row],[NetRevenue]])&gt;0,MID(Transaction[[#This Row],[NetRevenue]],2,10)),Transaction[[#This Row],[NetRevenue]])))</f>
        <v>3242.52</v>
      </c>
      <c r="AG1154">
        <f>IF(Transaction[[#This Row],[NetRevenue_Check]]="Invalid",(Transaction[[#This Row],[Quantity]]*Transaction[[#This Row],[UnitPrice_Clean]]),Transaction[[#This Row],[NetRevenue_Clean]])</f>
        <v>3242.52</v>
      </c>
      <c r="AH1154" t="str">
        <f>IF(Transaction[[#This Row],[Quantity]]*Transaction[[#This Row],[UnitPrice_Clean]]=Transaction[[#This Row],[NetRevenue_Clean]],"Valid","Invalid")</f>
        <v>Valid</v>
      </c>
      <c r="AI1154" t="s">
        <v>23</v>
      </c>
      <c r="AJ1154" t="s">
        <v>2247</v>
      </c>
      <c r="AK1154" t="str">
        <f>IF(Transaction[[#This Row],[Salesperson]]="","Missing Value",TRIM(PROPER(Transaction[[#This Row],[Salesperson]])))</f>
        <v>Le</v>
      </c>
      <c r="AL1154" t="s">
        <v>25</v>
      </c>
      <c r="AM1154" t="str">
        <f>IF(Transaction[[#This Row],[ContractType]]="","Missing Value",Transaction[[#This Row],[ContractType]])</f>
        <v>Frame Agreement</v>
      </c>
      <c r="AN1154" t="s">
        <v>65</v>
      </c>
    </row>
    <row r="1155" spans="1:40" x14ac:dyDescent="0.25">
      <c r="A1155" t="s">
        <v>3023</v>
      </c>
      <c r="B1155" s="1">
        <v>45784</v>
      </c>
      <c r="C115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15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115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55" s="2">
        <f>IFERROR(DATE(Transaction[[#This Row],[TransactionDateY]],Transaction[[#This Row],[TransactionDateM]],Transaction[[#This Row],[TransactionDateD]]),"Missing Value")</f>
        <v>45784</v>
      </c>
      <c r="G1155" t="s">
        <v>1937</v>
      </c>
      <c r="H1155" t="str">
        <f>IFERROR(VLOOKUP(Transaction[[#This Row],[CustomerID]],Custumer[],1,0),IF(LEN(Transaction[[#This Row],[CustomerID]])=7,LEFT(Transaction[[#This Row],[CustomerID]],6),"Invalid ID"))</f>
        <v>C-1026</v>
      </c>
      <c r="I1155" t="s">
        <v>71</v>
      </c>
      <c r="J1155" t="str">
        <f>TRIM(UPPER(Transaction[[#This Row],[ProductID]]))</f>
        <v>P-SI-003</v>
      </c>
      <c r="K1155" t="str">
        <f>IFERROR(VLOOKUP(Transaction[[#This Row],[ProductID_Clean]],Product[],1,FALSE),"Invalid ID")</f>
        <v>P-SI-003</v>
      </c>
      <c r="L1155" t="str">
        <f>TRIM(SUBSTITUTE(SUBSTITUTE(SUBSTITUTE(SUBSTITUTE(UPPER(Transaction[[#This Row],[Region]]),"EMEA REGION","EMEA"),"APAC REGION","APAC"),"NORTH AMERICA","N. AMERICA"),"N .AMERICA","N.AMERICA"))</f>
        <v>APAC</v>
      </c>
      <c r="M1155" t="s">
        <v>30</v>
      </c>
      <c r="N1155" t="s">
        <v>53</v>
      </c>
      <c r="O115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55" t="s">
        <v>22</v>
      </c>
      <c r="Q1155" t="str">
        <f>IF(TRIM(Transaction[[#This Row],[SalesChannel]])="","Missing Value",TRIM(Transaction[[#This Row],[SalesChannel]]))</f>
        <v>Direct</v>
      </c>
      <c r="R1155" s="4">
        <v>4</v>
      </c>
      <c r="S1155" s="4" t="str">
        <f>IF(Transaction[[#This Row],[Quantity]]&lt;0,"Negative-review","Valid")</f>
        <v>Valid</v>
      </c>
      <c r="T1155">
        <v>1646.18</v>
      </c>
      <c r="U115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1646.18</v>
      </c>
      <c r="V1155">
        <v>1890</v>
      </c>
      <c r="W1155">
        <v>7560</v>
      </c>
      <c r="X115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7560</v>
      </c>
      <c r="Y1155">
        <f>IF(Transaction[[#This Row],[GrossRevenue_Check]]="Invalid",Transaction[[#This Row],[ListPrice]]*Transaction[[#This Row],[Quantity]],Transaction[[#This Row],[GrossRevenue_Clean]])</f>
        <v>7560</v>
      </c>
      <c r="Z1155" t="str">
        <f>IF(Transaction[[#This Row],[GrossRevenue_Clean]]=Transaction[[#This Row],[ListPrice]]*Transaction[[#This Row],[Quantity]],"Valid","Invalid")</f>
        <v>Valid</v>
      </c>
      <c r="AA1155">
        <v>975.28</v>
      </c>
      <c r="AB115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975.28</v>
      </c>
      <c r="AC1155">
        <f>IF(Transaction[[#This Row],[DiscountAmount_Check2]]="Invalid",Transaction[[#This Row],[GrossRevenue_Analytical]]-Transaction[[#This Row],[NetRevenue_Analytical]],Transaction[[#This Row],[DiscountAmount_Clean]])</f>
        <v>975.28</v>
      </c>
      <c r="AD1155">
        <v>6584.72</v>
      </c>
      <c r="AE1155" t="str">
        <f>IF(ROUND(Transaction[[#This Row],[GrossRevenue_Analytical]]-Transaction[[#This Row],[NetRevenue_Analytical]],2)=ROUND(Transaction[[#This Row],[DiscountAmount_Clean]],2),"Valid","Invalid")</f>
        <v>Valid</v>
      </c>
      <c r="AF1155">
        <f>VALUE(IF(ISNUMBER(Transaction[[#This Row],[NetRevenue]]),Transaction[[#This Row],[NetRevenue]],IFERROR(IF(FIND("$",Transaction[[#This Row],[NetRevenue]])&gt;0,MID(Transaction[[#This Row],[NetRevenue]],2,10)),Transaction[[#This Row],[NetRevenue]])))</f>
        <v>6584.72</v>
      </c>
      <c r="AG1155">
        <f>IF(Transaction[[#This Row],[NetRevenue_Check]]="Invalid",(Transaction[[#This Row],[Quantity]]*Transaction[[#This Row],[UnitPrice_Clean]]),Transaction[[#This Row],[NetRevenue_Clean]])</f>
        <v>6584.72</v>
      </c>
      <c r="AH1155" t="str">
        <f>IF(Transaction[[#This Row],[Quantity]]*Transaction[[#This Row],[UnitPrice_Clean]]=Transaction[[#This Row],[NetRevenue_Clean]],"Valid","Invalid")</f>
        <v>Valid</v>
      </c>
      <c r="AI1155" t="s">
        <v>128</v>
      </c>
      <c r="AJ1155" t="s">
        <v>3024</v>
      </c>
      <c r="AK1155" t="str">
        <f>IF(Transaction[[#This Row],[Salesperson]]="","Missing Value",TRIM(PROPER(Transaction[[#This Row],[Salesperson]])))</f>
        <v>Simpson</v>
      </c>
      <c r="AL1155" t="s">
        <v>42</v>
      </c>
      <c r="AM1155" t="str">
        <f>IF(Transaction[[#This Row],[ContractType]]="","Missing Value",Transaction[[#This Row],[ContractType]])</f>
        <v>Standard PO</v>
      </c>
      <c r="AN1155" t="s">
        <v>43</v>
      </c>
    </row>
    <row r="1156" spans="1:40" x14ac:dyDescent="0.25">
      <c r="A1156" t="s">
        <v>2219</v>
      </c>
      <c r="B1156" t="s">
        <v>2220</v>
      </c>
      <c r="C115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115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115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56" s="2">
        <f>IFERROR(DATE(Transaction[[#This Row],[TransactionDateY]],Transaction[[#This Row],[TransactionDateM]],Transaction[[#This Row],[TransactionDateD]]),"Missing Value")</f>
        <v>45674</v>
      </c>
      <c r="G1156" t="s">
        <v>447</v>
      </c>
      <c r="H1156" t="str">
        <f>IFERROR(VLOOKUP(Transaction[[#This Row],[CustomerID]],Custumer[],1,0),IF(LEN(Transaction[[#This Row],[CustomerID]])=7,LEFT(Transaction[[#This Row],[CustomerID]],6),"Invalid ID"))</f>
        <v>C-1042</v>
      </c>
      <c r="I1156" t="s">
        <v>46</v>
      </c>
      <c r="J1156" t="str">
        <f>TRIM(UPPER(Transaction[[#This Row],[ProductID]]))</f>
        <v>P-SI-006</v>
      </c>
      <c r="K1156" t="str">
        <f>IFERROR(VLOOKUP(Transaction[[#This Row],[ProductID_Clean]],Product[],1,FALSE),"Invalid ID")</f>
        <v>P-SI-006</v>
      </c>
      <c r="L1156" t="str">
        <f>TRIM(SUBSTITUTE(SUBSTITUTE(SUBSTITUTE(SUBSTITUTE(UPPER(Transaction[[#This Row],[Region]]),"EMEA REGION","EMEA"),"APAC REGION","APAC"),"NORTH AMERICA","N. AMERICA"),"N .AMERICA","N.AMERICA"))</f>
        <v>N. AMERICA</v>
      </c>
      <c r="M1156" t="s">
        <v>20</v>
      </c>
      <c r="N1156" t="s">
        <v>53</v>
      </c>
      <c r="O115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56" t="s">
        <v>181</v>
      </c>
      <c r="Q1156" t="str">
        <f>IF(TRIM(Transaction[[#This Row],[SalesChannel]])="","Missing Value",TRIM(Transaction[[#This Row],[SalesChannel]]))</f>
        <v>Partner Portal</v>
      </c>
      <c r="R1156" s="4">
        <v>4</v>
      </c>
      <c r="S1156" s="4" t="str">
        <f>IF(Transaction[[#This Row],[Quantity]]&lt;0,"Negative-review","Valid")</f>
        <v>Valid</v>
      </c>
      <c r="T1156">
        <v>167.88</v>
      </c>
      <c r="U115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167.88</v>
      </c>
      <c r="V1156">
        <v>215</v>
      </c>
      <c r="W1156">
        <v>860</v>
      </c>
      <c r="X115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860</v>
      </c>
      <c r="Y1156">
        <f>IF(Transaction[[#This Row],[GrossRevenue_Check]]="Invalid",Transaction[[#This Row],[ListPrice]]*Transaction[[#This Row],[Quantity]],Transaction[[#This Row],[GrossRevenue_Clean]])</f>
        <v>860</v>
      </c>
      <c r="Z1156" t="str">
        <f>IF(Transaction[[#This Row],[GrossRevenue_Clean]]=Transaction[[#This Row],[ListPrice]]*Transaction[[#This Row],[Quantity]],"Valid","Invalid")</f>
        <v>Valid</v>
      </c>
      <c r="AA1156">
        <v>188.48</v>
      </c>
      <c r="AB115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188.48</v>
      </c>
      <c r="AC1156">
        <f>IF(Transaction[[#This Row],[DiscountAmount_Check2]]="Invalid",Transaction[[#This Row],[GrossRevenue_Analytical]]-Transaction[[#This Row],[NetRevenue_Analytical]],Transaction[[#This Row],[DiscountAmount_Clean]])</f>
        <v>188.48</v>
      </c>
      <c r="AD1156">
        <v>671.52</v>
      </c>
      <c r="AE1156" t="str">
        <f>IF(ROUND(Transaction[[#This Row],[GrossRevenue_Analytical]]-Transaction[[#This Row],[NetRevenue_Analytical]],2)=ROUND(Transaction[[#This Row],[DiscountAmount_Clean]],2),"Valid","Invalid")</f>
        <v>Valid</v>
      </c>
      <c r="AF1156">
        <f>VALUE(IF(ISNUMBER(Transaction[[#This Row],[NetRevenue]]),Transaction[[#This Row],[NetRevenue]],IFERROR(IF(FIND("$",Transaction[[#This Row],[NetRevenue]])&gt;0,MID(Transaction[[#This Row],[NetRevenue]],2,10)),Transaction[[#This Row],[NetRevenue]])))</f>
        <v>671.52</v>
      </c>
      <c r="AG1156">
        <f>IF(Transaction[[#This Row],[NetRevenue_Check]]="Invalid",(Transaction[[#This Row],[Quantity]]*Transaction[[#This Row],[UnitPrice_Clean]]),Transaction[[#This Row],[NetRevenue_Clean]])</f>
        <v>671.52</v>
      </c>
      <c r="AH1156" t="str">
        <f>IF(Transaction[[#This Row],[Quantity]]*Transaction[[#This Row],[UnitPrice_Clean]]=Transaction[[#This Row],[NetRevenue_Clean]],"Valid","Invalid")</f>
        <v>Valid</v>
      </c>
      <c r="AI1156" t="s">
        <v>23</v>
      </c>
      <c r="AJ1156" t="s">
        <v>2160</v>
      </c>
      <c r="AK1156" t="str">
        <f>IF(Transaction[[#This Row],[Salesperson]]="","Missing Value",TRIM(PROPER(Transaction[[#This Row],[Salesperson]])))</f>
        <v>Jensen</v>
      </c>
      <c r="AL1156" t="s">
        <v>42</v>
      </c>
      <c r="AM1156" t="str">
        <f>IF(Transaction[[#This Row],[ContractType]]="","Missing Value",Transaction[[#This Row],[ContractType]])</f>
        <v>Standard PO</v>
      </c>
      <c r="AN1156" t="s">
        <v>49</v>
      </c>
    </row>
    <row r="1157" spans="1:40" x14ac:dyDescent="0.25">
      <c r="A1157" t="s">
        <v>756</v>
      </c>
      <c r="B1157" t="s">
        <v>757</v>
      </c>
      <c r="C115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115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115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57" s="2">
        <f>IFERROR(DATE(Transaction[[#This Row],[TransactionDateY]],Transaction[[#This Row],[TransactionDateM]],Transaction[[#This Row],[TransactionDateD]]),"Missing Value")</f>
        <v>45769</v>
      </c>
      <c r="G1157" t="s">
        <v>367</v>
      </c>
      <c r="H1157" t="str">
        <f>IFERROR(VLOOKUP(Transaction[[#This Row],[CustomerID]],Custumer[],1,0),IF(LEN(Transaction[[#This Row],[CustomerID]])=7,LEFT(Transaction[[#This Row],[CustomerID]],6),"Invalid ID"))</f>
        <v>C-1024</v>
      </c>
      <c r="I1157" t="s">
        <v>226</v>
      </c>
      <c r="J1157" t="str">
        <f>TRIM(UPPER(Transaction[[#This Row],[ProductID]]))</f>
        <v>P-SA-002</v>
      </c>
      <c r="K1157" t="str">
        <f>IFERROR(VLOOKUP(Transaction[[#This Row],[ProductID_Clean]],Product[],1,FALSE),"Invalid ID")</f>
        <v>P-SA-002</v>
      </c>
      <c r="L1157" t="str">
        <f>TRIM(SUBSTITUTE(SUBSTITUTE(SUBSTITUTE(SUBSTITUTE(UPPER(Transaction[[#This Row],[Region]]),"EMEA REGION","EMEA"),"APAC REGION","APAC"),"NORTH AMERICA","N. AMERICA"),"N .AMERICA","N.AMERICA"))</f>
        <v>APAC</v>
      </c>
      <c r="M1157" t="s">
        <v>127</v>
      </c>
      <c r="N1157" t="s">
        <v>31</v>
      </c>
      <c r="O115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57" t="s">
        <v>40</v>
      </c>
      <c r="Q1157" t="str">
        <f>IF(TRIM(Transaction[[#This Row],[SalesChannel]])="","Missing Value",TRIM(Transaction[[#This Row],[SalesChannel]]))</f>
        <v>Distributor</v>
      </c>
      <c r="R1157" s="4">
        <v>1</v>
      </c>
      <c r="S1157" s="4" t="str">
        <f>IF(Transaction[[#This Row],[Quantity]]&lt;0,"Negative-review","Valid")</f>
        <v>Valid</v>
      </c>
      <c r="T1157">
        <v>8210.91</v>
      </c>
      <c r="U115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8210.91</v>
      </c>
      <c r="V1157">
        <v>9800</v>
      </c>
      <c r="W1157">
        <v>9800</v>
      </c>
      <c r="X115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1157">
        <f>IF(Transaction[[#This Row],[GrossRevenue_Check]]="Invalid",Transaction[[#This Row],[ListPrice]]*Transaction[[#This Row],[Quantity]],Transaction[[#This Row],[GrossRevenue_Clean]])</f>
        <v>9800</v>
      </c>
      <c r="Z1157" t="str">
        <f>IF(Transaction[[#This Row],[GrossRevenue_Clean]]=Transaction[[#This Row],[ListPrice]]*Transaction[[#This Row],[Quantity]],"Valid","Invalid")</f>
        <v>Valid</v>
      </c>
      <c r="AA1157">
        <v>1589.09</v>
      </c>
      <c r="AB115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1589.09</v>
      </c>
      <c r="AC1157">
        <f>IF(Transaction[[#This Row],[DiscountAmount_Check2]]="Invalid",Transaction[[#This Row],[GrossRevenue_Analytical]]-Transaction[[#This Row],[NetRevenue_Analytical]],Transaction[[#This Row],[DiscountAmount_Clean]])</f>
        <v>1589.09</v>
      </c>
      <c r="AD1157">
        <v>8210.91</v>
      </c>
      <c r="AE1157" t="str">
        <f>IF(ROUND(Transaction[[#This Row],[GrossRevenue_Analytical]]-Transaction[[#This Row],[NetRevenue_Analytical]],2)=ROUND(Transaction[[#This Row],[DiscountAmount_Clean]],2),"Valid","Invalid")</f>
        <v>Valid</v>
      </c>
      <c r="AF1157">
        <f>VALUE(IF(ISNUMBER(Transaction[[#This Row],[NetRevenue]]),Transaction[[#This Row],[NetRevenue]],IFERROR(IF(FIND("$",Transaction[[#This Row],[NetRevenue]])&gt;0,MID(Transaction[[#This Row],[NetRevenue]],2,10)),Transaction[[#This Row],[NetRevenue]])))</f>
        <v>8210.91</v>
      </c>
      <c r="AG1157">
        <f>IF(Transaction[[#This Row],[NetRevenue_Check]]="Invalid",(Transaction[[#This Row],[Quantity]]*Transaction[[#This Row],[UnitPrice_Clean]]),Transaction[[#This Row],[NetRevenue_Clean]])</f>
        <v>8210.91</v>
      </c>
      <c r="AH1157" t="str">
        <f>IF(Transaction[[#This Row],[Quantity]]*Transaction[[#This Row],[UnitPrice_Clean]]=Transaction[[#This Row],[NetRevenue_Clean]],"Valid","Invalid")</f>
        <v>Valid</v>
      </c>
      <c r="AI1157" t="s">
        <v>23</v>
      </c>
      <c r="AJ1157" t="s">
        <v>758</v>
      </c>
      <c r="AK1157" t="str">
        <f>IF(Transaction[[#This Row],[Salesperson]]="","Missing Value",TRIM(PROPER(Transaction[[#This Row],[Salesperson]])))</f>
        <v>Ellis</v>
      </c>
      <c r="AL1157" t="s">
        <v>34</v>
      </c>
      <c r="AM1157" t="str">
        <f>IF(Transaction[[#This Row],[ContractType]]="","Missing Value",Transaction[[#This Row],[ContractType]])</f>
        <v>Annual License</v>
      </c>
      <c r="AN1157" t="s">
        <v>65</v>
      </c>
    </row>
    <row r="1158" spans="1:40" x14ac:dyDescent="0.25">
      <c r="A1158" t="s">
        <v>1245</v>
      </c>
      <c r="B1158" s="1">
        <v>45765</v>
      </c>
      <c r="C115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15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115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58" s="2">
        <f>IFERROR(DATE(Transaction[[#This Row],[TransactionDateY]],Transaction[[#This Row],[TransactionDateM]],Transaction[[#This Row],[TransactionDateD]]),"Missing Value")</f>
        <v>45765</v>
      </c>
      <c r="G1158" t="s">
        <v>617</v>
      </c>
      <c r="H1158" t="str">
        <f>IFERROR(VLOOKUP(Transaction[[#This Row],[CustomerID]],Custumer[],1,0),IF(LEN(Transaction[[#This Row],[CustomerID]])=7,LEFT(Transaction[[#This Row],[CustomerID]],6),"Invalid ID"))</f>
        <v>C-1011</v>
      </c>
      <c r="I1158" t="s">
        <v>46</v>
      </c>
      <c r="J1158" t="str">
        <f>TRIM(UPPER(Transaction[[#This Row],[ProductID]]))</f>
        <v>P-SI-006</v>
      </c>
      <c r="K1158" t="str">
        <f>IFERROR(VLOOKUP(Transaction[[#This Row],[ProductID_Clean]],Product[],1,FALSE),"Invalid ID")</f>
        <v>P-SI-006</v>
      </c>
      <c r="L1158" t="str">
        <f>TRIM(SUBSTITUTE(SUBSTITUTE(SUBSTITUTE(SUBSTITUTE(UPPER(Transaction[[#This Row],[Region]]),"EMEA REGION","EMEA"),"APAC REGION","APAC"),"NORTH AMERICA","N. AMERICA"),"N .AMERICA","N.AMERICA"))</f>
        <v>APAC</v>
      </c>
      <c r="M1158" t="s">
        <v>30</v>
      </c>
      <c r="N1158" t="s">
        <v>53</v>
      </c>
      <c r="O115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58" t="s">
        <v>93</v>
      </c>
      <c r="Q1158" t="str">
        <f>IF(TRIM(Transaction[[#This Row],[SalesChannel]])="","Missing Value",TRIM(Transaction[[#This Row],[SalesChannel]]))</f>
        <v>direct</v>
      </c>
      <c r="R1158" s="4">
        <v>5</v>
      </c>
      <c r="S1158" s="4" t="str">
        <f>IF(Transaction[[#This Row],[Quantity]]&lt;0,"Negative-review","Valid")</f>
        <v>Valid</v>
      </c>
      <c r="T1158" t="s">
        <v>1246</v>
      </c>
      <c r="U115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175.52</v>
      </c>
      <c r="V1158">
        <v>215</v>
      </c>
      <c r="W1158">
        <v>1075</v>
      </c>
      <c r="X115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1075</v>
      </c>
      <c r="Y1158">
        <f>IF(Transaction[[#This Row],[GrossRevenue_Check]]="Invalid",Transaction[[#This Row],[ListPrice]]*Transaction[[#This Row],[Quantity]],Transaction[[#This Row],[GrossRevenue_Clean]])</f>
        <v>1075</v>
      </c>
      <c r="Z1158" t="str">
        <f>IF(Transaction[[#This Row],[GrossRevenue_Clean]]=Transaction[[#This Row],[ListPrice]]*Transaction[[#This Row],[Quantity]],"Valid","Invalid")</f>
        <v>Valid</v>
      </c>
      <c r="AA1158">
        <v>197.4</v>
      </c>
      <c r="AB115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197.4</v>
      </c>
      <c r="AC1158">
        <f>IF(Transaction[[#This Row],[DiscountAmount_Check2]]="Invalid",Transaction[[#This Row],[GrossRevenue_Analytical]]-Transaction[[#This Row],[NetRevenue_Analytical]],Transaction[[#This Row],[DiscountAmount_Clean]])</f>
        <v>197.4</v>
      </c>
      <c r="AD1158">
        <v>877.6</v>
      </c>
      <c r="AE1158" t="str">
        <f>IF(ROUND(Transaction[[#This Row],[GrossRevenue_Analytical]]-Transaction[[#This Row],[NetRevenue_Analytical]],2)=ROUND(Transaction[[#This Row],[DiscountAmount_Clean]],2),"Valid","Invalid")</f>
        <v>Valid</v>
      </c>
      <c r="AF1158">
        <f>VALUE(IF(ISNUMBER(Transaction[[#This Row],[NetRevenue]]),Transaction[[#This Row],[NetRevenue]],IFERROR(IF(FIND("$",Transaction[[#This Row],[NetRevenue]])&gt;0,MID(Transaction[[#This Row],[NetRevenue]],2,10)),Transaction[[#This Row],[NetRevenue]])))</f>
        <v>877.6</v>
      </c>
      <c r="AG1158">
        <f>IF(Transaction[[#This Row],[NetRevenue_Check]]="Invalid",(Transaction[[#This Row],[Quantity]]*Transaction[[#This Row],[UnitPrice_Clean]]),Transaction[[#This Row],[NetRevenue_Clean]])</f>
        <v>877.6</v>
      </c>
      <c r="AH1158" t="str">
        <f>IF(Transaction[[#This Row],[Quantity]]*Transaction[[#This Row],[UnitPrice_Clean]]=Transaction[[#This Row],[NetRevenue_Clean]],"Valid","Invalid")</f>
        <v>Valid</v>
      </c>
      <c r="AI1158" t="s">
        <v>23</v>
      </c>
      <c r="AJ1158" t="s">
        <v>588</v>
      </c>
      <c r="AK1158" t="str">
        <f>IF(Transaction[[#This Row],[Salesperson]]="","Missing Value",TRIM(PROPER(Transaction[[#This Row],[Salesperson]])))</f>
        <v>Taylor</v>
      </c>
      <c r="AL1158" t="s">
        <v>42</v>
      </c>
      <c r="AM1158" t="str">
        <f>IF(Transaction[[#This Row],[ContractType]]="","Missing Value",Transaction[[#This Row],[ContractType]])</f>
        <v>Standard PO</v>
      </c>
      <c r="AN1158" t="s">
        <v>65</v>
      </c>
    </row>
    <row r="1159" spans="1:40" x14ac:dyDescent="0.25">
      <c r="A1159" t="s">
        <v>500</v>
      </c>
      <c r="B1159" s="1">
        <v>45781</v>
      </c>
      <c r="C115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15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115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59" s="2">
        <f>IFERROR(DATE(Transaction[[#This Row],[TransactionDateY]],Transaction[[#This Row],[TransactionDateM]],Transaction[[#This Row],[TransactionDateD]]),"Missing Value")</f>
        <v>45781</v>
      </c>
      <c r="G1159" t="s">
        <v>501</v>
      </c>
      <c r="H1159" t="str">
        <f>IFERROR(VLOOKUP(Transaction[[#This Row],[CustomerID]],Custumer[],1,0),IF(LEN(Transaction[[#This Row],[CustomerID]])=7,LEFT(Transaction[[#This Row],[CustomerID]],6),"Invalid ID"))</f>
        <v>Invalid ID</v>
      </c>
      <c r="I1159" t="s">
        <v>29</v>
      </c>
      <c r="J1159" t="str">
        <f>TRIM(UPPER(Transaction[[#This Row],[ProductID]]))</f>
        <v>P-SA-001</v>
      </c>
      <c r="K1159" t="str">
        <f>IFERROR(VLOOKUP(Transaction[[#This Row],[ProductID_Clean]],Product[],1,FALSE),"Invalid ID")</f>
        <v>P-SA-001</v>
      </c>
      <c r="L1159" t="str">
        <f>TRIM(SUBSTITUTE(SUBSTITUTE(SUBSTITUTE(SUBSTITUTE(UPPER(Transaction[[#This Row],[Region]]),"EMEA REGION","EMEA"),"APAC REGION","APAC"),"NORTH AMERICA","N. AMERICA"),"N .AMERICA","N.AMERICA"))</f>
        <v>APAC</v>
      </c>
      <c r="M1159" t="s">
        <v>30</v>
      </c>
      <c r="N1159" t="s">
        <v>31</v>
      </c>
      <c r="O115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59" t="s">
        <v>93</v>
      </c>
      <c r="Q1159" t="str">
        <f>IF(TRIM(Transaction[[#This Row],[SalesChannel]])="","Missing Value",TRIM(Transaction[[#This Row],[SalesChannel]]))</f>
        <v>direct</v>
      </c>
      <c r="R1159" s="4">
        <v>1</v>
      </c>
      <c r="S1159" s="4" t="str">
        <f>IF(Transaction[[#This Row],[Quantity]]&lt;0,"Negative-review","Valid")</f>
        <v>Valid</v>
      </c>
      <c r="T1159">
        <v>3780.9</v>
      </c>
      <c r="U115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3780.9</v>
      </c>
      <c r="V1159">
        <v>4200</v>
      </c>
      <c r="W1159">
        <v>4200</v>
      </c>
      <c r="X115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1159">
        <f>IF(Transaction[[#This Row],[GrossRevenue_Check]]="Invalid",Transaction[[#This Row],[ListPrice]]*Transaction[[#This Row],[Quantity]],Transaction[[#This Row],[GrossRevenue_Clean]])</f>
        <v>4200</v>
      </c>
      <c r="Z1159" t="str">
        <f>IF(Transaction[[#This Row],[GrossRevenue_Clean]]=Transaction[[#This Row],[ListPrice]]*Transaction[[#This Row],[Quantity]],"Valid","Invalid")</f>
        <v>Valid</v>
      </c>
      <c r="AA1159">
        <v>419.1</v>
      </c>
      <c r="AB115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419.1</v>
      </c>
      <c r="AC1159">
        <f>IF(Transaction[[#This Row],[DiscountAmount_Check2]]="Invalid",Transaction[[#This Row],[GrossRevenue_Analytical]]-Transaction[[#This Row],[NetRevenue_Analytical]],Transaction[[#This Row],[DiscountAmount_Clean]])</f>
        <v>419.1</v>
      </c>
      <c r="AD1159">
        <v>3780.9</v>
      </c>
      <c r="AE1159" t="str">
        <f>IF(ROUND(Transaction[[#This Row],[GrossRevenue_Analytical]]-Transaction[[#This Row],[NetRevenue_Analytical]],2)=ROUND(Transaction[[#This Row],[DiscountAmount_Clean]],2),"Valid","Invalid")</f>
        <v>Valid</v>
      </c>
      <c r="AF1159">
        <f>VALUE(IF(ISNUMBER(Transaction[[#This Row],[NetRevenue]]),Transaction[[#This Row],[NetRevenue]],IFERROR(IF(FIND("$",Transaction[[#This Row],[NetRevenue]])&gt;0,MID(Transaction[[#This Row],[NetRevenue]],2,10)),Transaction[[#This Row],[NetRevenue]])))</f>
        <v>3780.9</v>
      </c>
      <c r="AG1159">
        <f>IF(Transaction[[#This Row],[NetRevenue_Check]]="Invalid",(Transaction[[#This Row],[Quantity]]*Transaction[[#This Row],[UnitPrice_Clean]]),Transaction[[#This Row],[NetRevenue_Clean]])</f>
        <v>3780.9</v>
      </c>
      <c r="AH1159" t="str">
        <f>IF(Transaction[[#This Row],[Quantity]]*Transaction[[#This Row],[UnitPrice_Clean]]=Transaction[[#This Row],[NetRevenue_Clean]],"Valid","Invalid")</f>
        <v>Valid</v>
      </c>
      <c r="AI1159" t="s">
        <v>23</v>
      </c>
      <c r="AJ1159" t="s">
        <v>465</v>
      </c>
      <c r="AK1159" t="str">
        <f>IF(Transaction[[#This Row],[Salesperson]]="","Missing Value",TRIM(PROPER(Transaction[[#This Row],[Salesperson]])))</f>
        <v>Smith</v>
      </c>
      <c r="AL1159" t="s">
        <v>113</v>
      </c>
      <c r="AM1159" t="str">
        <f>IF(Transaction[[#This Row],[ContractType]]="","Missing Value",Transaction[[#This Row],[ContractType]])</f>
        <v>Subscription</v>
      </c>
      <c r="AN1159" t="s">
        <v>65</v>
      </c>
    </row>
    <row r="1160" spans="1:40" x14ac:dyDescent="0.25">
      <c r="A1160" t="s">
        <v>933</v>
      </c>
      <c r="B1160" t="s">
        <v>934</v>
      </c>
      <c r="C116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16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116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60" s="2">
        <f>IFERROR(DATE(Transaction[[#This Row],[TransactionDateY]],Transaction[[#This Row],[TransactionDateM]],Transaction[[#This Row],[TransactionDateD]]),"Missing Value")</f>
        <v>45750</v>
      </c>
      <c r="G1160" t="s">
        <v>935</v>
      </c>
      <c r="H1160" t="str">
        <f>IFERROR(VLOOKUP(Transaction[[#This Row],[CustomerID]],Custumer[],1,0),IF(LEN(Transaction[[#This Row],[CustomerID]])=7,LEFT(Transaction[[#This Row],[CustomerID]],6),"Invalid ID"))</f>
        <v>C-1052</v>
      </c>
      <c r="I1160" t="s">
        <v>71</v>
      </c>
      <c r="J1160" t="str">
        <f>TRIM(UPPER(Transaction[[#This Row],[ProductID]]))</f>
        <v>P-SI-003</v>
      </c>
      <c r="K1160" t="str">
        <f>IFERROR(VLOOKUP(Transaction[[#This Row],[ProductID_Clean]],Product[],1,FALSE),"Invalid ID")</f>
        <v>P-SI-003</v>
      </c>
      <c r="L1160" t="str">
        <f>TRIM(SUBSTITUTE(SUBSTITUTE(SUBSTITUTE(SUBSTITUTE(UPPER(Transaction[[#This Row],[Region]]),"EMEA REGION","EMEA"),"APAC REGION","APAC"),"NORTH AMERICA","N. AMERICA"),"N .AMERICA","N.AMERICA"))</f>
        <v>LATIN AMERICA</v>
      </c>
      <c r="M1160" t="s">
        <v>82</v>
      </c>
      <c r="N1160" t="s">
        <v>53</v>
      </c>
      <c r="O116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60" t="s">
        <v>22</v>
      </c>
      <c r="Q1160" t="str">
        <f>IF(TRIM(Transaction[[#This Row],[SalesChannel]])="","Missing Value",TRIM(Transaction[[#This Row],[SalesChannel]]))</f>
        <v>Direct</v>
      </c>
      <c r="R1160" s="4">
        <v>8</v>
      </c>
      <c r="S1160" s="4" t="str">
        <f>IF(Transaction[[#This Row],[Quantity]]&lt;0,"Negative-review","Valid")</f>
        <v>Valid</v>
      </c>
      <c r="T1160">
        <v>1824.85</v>
      </c>
      <c r="U116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1824.85</v>
      </c>
      <c r="V1160">
        <v>1890</v>
      </c>
      <c r="W1160">
        <v>15120</v>
      </c>
      <c r="X116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15120</v>
      </c>
      <c r="Y1160">
        <f>IF(Transaction[[#This Row],[GrossRevenue_Check]]="Invalid",Transaction[[#This Row],[ListPrice]]*Transaction[[#This Row],[Quantity]],Transaction[[#This Row],[GrossRevenue_Clean]])</f>
        <v>15120</v>
      </c>
      <c r="Z1160" t="str">
        <f>IF(Transaction[[#This Row],[GrossRevenue_Clean]]=Transaction[[#This Row],[ListPrice]]*Transaction[[#This Row],[Quantity]],"Valid","Invalid")</f>
        <v>Valid</v>
      </c>
      <c r="AA1160">
        <v>521.20000000000005</v>
      </c>
      <c r="AB116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521.20000000000005</v>
      </c>
      <c r="AC1160">
        <f>IF(Transaction[[#This Row],[DiscountAmount_Check2]]="Invalid",Transaction[[#This Row],[GrossRevenue_Analytical]]-Transaction[[#This Row],[NetRevenue_Analytical]],Transaction[[#This Row],[DiscountAmount_Clean]])</f>
        <v>521.20000000000005</v>
      </c>
      <c r="AD1160">
        <v>14598.8</v>
      </c>
      <c r="AE1160" t="str">
        <f>IF(ROUND(Transaction[[#This Row],[GrossRevenue_Analytical]]-Transaction[[#This Row],[NetRevenue_Analytical]],2)=ROUND(Transaction[[#This Row],[DiscountAmount_Clean]],2),"Valid","Invalid")</f>
        <v>Valid</v>
      </c>
      <c r="AF116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14598.8</v>
      </c>
      <c r="AG1160">
        <f>IF(Transaction[[#This Row],[NetRevenue_Check]]="Invalid",(Transaction[[#This Row],[Quantity]]*Transaction[[#This Row],[UnitPrice_Clean]]),Transaction[[#This Row],[NetRevenue_Clean]])</f>
        <v>14598.8</v>
      </c>
      <c r="AH1160" t="str">
        <f>IF(Transaction[[#This Row],[Quantity]]*Transaction[[#This Row],[UnitPrice_Clean]]=Transaction[[#This Row],[NetRevenue_Clean]],"Valid","Invalid")</f>
        <v>Valid</v>
      </c>
      <c r="AI1160" t="s">
        <v>23</v>
      </c>
      <c r="AJ1160" t="s">
        <v>936</v>
      </c>
      <c r="AK1160" t="str">
        <f>IF(Transaction[[#This Row],[Salesperson]]="","Missing Value",TRIM(PROPER(Transaction[[#This Row],[Salesperson]])))</f>
        <v>Foster</v>
      </c>
      <c r="AL1160" t="s">
        <v>42</v>
      </c>
      <c r="AM1160" t="str">
        <f>IF(Transaction[[#This Row],[ContractType]]="","Missing Value",Transaction[[#This Row],[ContractType]])</f>
        <v>Standard PO</v>
      </c>
      <c r="AN1160" t="s">
        <v>35</v>
      </c>
    </row>
    <row r="1161" spans="1:40" x14ac:dyDescent="0.25">
      <c r="A1161" t="s">
        <v>2200</v>
      </c>
      <c r="B1161" s="1">
        <v>45721</v>
      </c>
      <c r="C116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16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116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61" s="2">
        <f>IFERROR(DATE(Transaction[[#This Row],[TransactionDateY]],Transaction[[#This Row],[TransactionDateM]],Transaction[[#This Row],[TransactionDateD]]),"Missing Value")</f>
        <v>45721</v>
      </c>
      <c r="G1161" t="s">
        <v>360</v>
      </c>
      <c r="H1161" t="str">
        <f>IFERROR(VLOOKUP(Transaction[[#This Row],[CustomerID]],Custumer[],1,0),IF(LEN(Transaction[[#This Row],[CustomerID]])=7,LEFT(Transaction[[#This Row],[CustomerID]],6),"Invalid ID"))</f>
        <v>C-1067</v>
      </c>
      <c r="I1161" t="s">
        <v>121</v>
      </c>
      <c r="J1161" t="str">
        <f>TRIM(UPPER(Transaction[[#This Row],[ProductID]]))</f>
        <v>P-FS-001</v>
      </c>
      <c r="K1161" t="str">
        <f>IFERROR(VLOOKUP(Transaction[[#This Row],[ProductID_Clean]],Product[],1,FALSE),"Invalid ID")</f>
        <v>P-FS-001</v>
      </c>
      <c r="L1161" t="str">
        <f>TRIM(SUBSTITUTE(SUBSTITUTE(SUBSTITUTE(SUBSTITUTE(UPPER(Transaction[[#This Row],[Region]]),"EMEA REGION","EMEA"),"APAC REGION","APAC"),"NORTH AMERICA","N. AMERICA"),"N .AMERICA","N.AMERICA"))</f>
        <v>APAC</v>
      </c>
      <c r="M1161" t="s">
        <v>127</v>
      </c>
      <c r="N1161" t="s">
        <v>21</v>
      </c>
      <c r="O1161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161" t="s">
        <v>181</v>
      </c>
      <c r="Q1161" t="str">
        <f>IF(TRIM(Transaction[[#This Row],[SalesChannel]])="","Missing Value",TRIM(Transaction[[#This Row],[SalesChannel]]))</f>
        <v>Partner Portal</v>
      </c>
      <c r="R1161" s="4">
        <v>1</v>
      </c>
      <c r="S1161" s="4" t="str">
        <f>IF(Transaction[[#This Row],[Quantity]]&lt;0,"Negative-review","Valid")</f>
        <v>Valid</v>
      </c>
      <c r="T1161">
        <v>1179.6500000000001</v>
      </c>
      <c r="U116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1179.6500000000001</v>
      </c>
      <c r="V1161">
        <v>1850</v>
      </c>
      <c r="W1161">
        <v>1850</v>
      </c>
      <c r="X116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1161">
        <f>IF(Transaction[[#This Row],[GrossRevenue_Check]]="Invalid",Transaction[[#This Row],[ListPrice]]*Transaction[[#This Row],[Quantity]],Transaction[[#This Row],[GrossRevenue_Clean]])</f>
        <v>1850</v>
      </c>
      <c r="Z1161" t="str">
        <f>IF(Transaction[[#This Row],[GrossRevenue_Clean]]=Transaction[[#This Row],[ListPrice]]*Transaction[[#This Row],[Quantity]],"Valid","Invalid")</f>
        <v>Valid</v>
      </c>
      <c r="AA1161">
        <v>670.35</v>
      </c>
      <c r="AB116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670.35</v>
      </c>
      <c r="AC1161">
        <f>IF(Transaction[[#This Row],[DiscountAmount_Check2]]="Invalid",Transaction[[#This Row],[GrossRevenue_Analytical]]-Transaction[[#This Row],[NetRevenue_Analytical]],Transaction[[#This Row],[DiscountAmount_Clean]])</f>
        <v>670.35</v>
      </c>
      <c r="AD1161">
        <v>1179.6500000000001</v>
      </c>
      <c r="AE1161" t="str">
        <f>IF(ROUND(Transaction[[#This Row],[GrossRevenue_Analytical]]-Transaction[[#This Row],[NetRevenue_Analytical]],2)=ROUND(Transaction[[#This Row],[DiscountAmount_Clean]],2),"Valid","Invalid")</f>
        <v>Valid</v>
      </c>
      <c r="AF116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1179.6500000000001</v>
      </c>
      <c r="AG1161">
        <f>IF(Transaction[[#This Row],[NetRevenue_Check]]="Invalid",(Transaction[[#This Row],[Quantity]]*Transaction[[#This Row],[UnitPrice_Clean]]),Transaction[[#This Row],[NetRevenue_Clean]])</f>
        <v>1179.6500000000001</v>
      </c>
      <c r="AH1161" t="str">
        <f>IF(Transaction[[#This Row],[Quantity]]*Transaction[[#This Row],[UnitPrice_Clean]]=Transaction[[#This Row],[NetRevenue_Clean]],"Valid","Invalid")</f>
        <v>Valid</v>
      </c>
      <c r="AI1161" t="s">
        <v>99</v>
      </c>
      <c r="AJ1161" t="s">
        <v>2201</v>
      </c>
      <c r="AK1161" t="str">
        <f>IF(Transaction[[#This Row],[Salesperson]]="","Missing Value",TRIM(PROPER(Transaction[[#This Row],[Salesperson]])))</f>
        <v>Skinner-Ap</v>
      </c>
      <c r="AL1161" t="s">
        <v>42</v>
      </c>
      <c r="AM1161" t="str">
        <f>IF(Transaction[[#This Row],[ContractType]]="","Missing Value",Transaction[[#This Row],[ContractType]])</f>
        <v>Standard PO</v>
      </c>
      <c r="AN1161" t="s">
        <v>43</v>
      </c>
    </row>
    <row r="1162" spans="1:40" x14ac:dyDescent="0.25">
      <c r="A1162" t="s">
        <v>2678</v>
      </c>
      <c r="B1162" s="1">
        <v>45818</v>
      </c>
      <c r="C116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16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116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62" s="2">
        <f>IFERROR(DATE(Transaction[[#This Row],[TransactionDateY]],Transaction[[#This Row],[TransactionDateM]],Transaction[[#This Row],[TransactionDateD]]),"Missing Value")</f>
        <v>45818</v>
      </c>
      <c r="G1162" t="s">
        <v>973</v>
      </c>
      <c r="H1162" t="str">
        <f>IFERROR(VLOOKUP(Transaction[[#This Row],[CustomerID]],Custumer[],1,0),IF(LEN(Transaction[[#This Row],[CustomerID]])=7,LEFT(Transaction[[#This Row],[CustomerID]],6),"Invalid ID"))</f>
        <v>C-1051</v>
      </c>
      <c r="I1162" t="s">
        <v>62</v>
      </c>
      <c r="J1162" t="str">
        <f>TRIM(UPPER(Transaction[[#This Row],[ProductID]]))</f>
        <v>P-SI-004</v>
      </c>
      <c r="K1162" t="str">
        <f>IFERROR(VLOOKUP(Transaction[[#This Row],[ProductID_Clean]],Product[],1,FALSE),"Invalid ID")</f>
        <v>P-SI-004</v>
      </c>
      <c r="L1162" t="str">
        <f>TRIM(SUBSTITUTE(SUBSTITUTE(SUBSTITUTE(SUBSTITUTE(UPPER(Transaction[[#This Row],[Region]]),"EMEA REGION","EMEA"),"APAC REGION","APAC"),"NORTH AMERICA","N. AMERICA"),"N .AMERICA","N.AMERICA"))</f>
        <v>N. AMERICA</v>
      </c>
      <c r="M1162" t="s">
        <v>204</v>
      </c>
      <c r="N1162" t="s">
        <v>53</v>
      </c>
      <c r="O116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62" t="s">
        <v>22</v>
      </c>
      <c r="Q1162" t="str">
        <f>IF(TRIM(Transaction[[#This Row],[SalesChannel]])="","Missing Value",TRIM(Transaction[[#This Row],[SalesChannel]]))</f>
        <v>Direct</v>
      </c>
      <c r="R1162" s="4">
        <v>2</v>
      </c>
      <c r="S1162" s="4" t="str">
        <f>IF(Transaction[[#This Row],[Quantity]]&lt;0,"Negative-review","Valid")</f>
        <v>Valid</v>
      </c>
      <c r="T1162">
        <v>2351.12</v>
      </c>
      <c r="U116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2351.12</v>
      </c>
      <c r="V1162">
        <v>2450</v>
      </c>
      <c r="W1162" t="s">
        <v>164</v>
      </c>
      <c r="X116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</v>
      </c>
      <c r="Y1162">
        <f>IF(Transaction[[#This Row],[GrossRevenue_Check]]="Invalid",Transaction[[#This Row],[ListPrice]]*Transaction[[#This Row],[Quantity]],Transaction[[#This Row],[GrossRevenue_Clean]])</f>
        <v>4900</v>
      </c>
      <c r="Z1162" t="str">
        <f>IF(Transaction[[#This Row],[GrossRevenue_Clean]]=Transaction[[#This Row],[ListPrice]]*Transaction[[#This Row],[Quantity]],"Valid","Invalid")</f>
        <v>Valid</v>
      </c>
      <c r="AA1162">
        <v>197.76</v>
      </c>
      <c r="AB116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197.76</v>
      </c>
      <c r="AC1162">
        <f>IF(Transaction[[#This Row],[DiscountAmount_Check2]]="Invalid",Transaction[[#This Row],[GrossRevenue_Analytical]]-Transaction[[#This Row],[NetRevenue_Analytical]],Transaction[[#This Row],[DiscountAmount_Clean]])</f>
        <v>197.76</v>
      </c>
      <c r="AD1162">
        <v>4702.24</v>
      </c>
      <c r="AE1162" t="str">
        <f>IF(ROUND(Transaction[[#This Row],[GrossRevenue_Analytical]]-Transaction[[#This Row],[NetRevenue_Analytical]],2)=ROUND(Transaction[[#This Row],[DiscountAmount_Clean]],2),"Valid","Invalid")</f>
        <v>Valid</v>
      </c>
      <c r="AF1162">
        <f>VALUE(IF(ISNUMBER(Transaction[[#This Row],[NetRevenue]]),Transaction[[#This Row],[NetRevenue]],IFERROR(IF(FIND("$",Transaction[[#This Row],[NetRevenue]])&gt;0,MID(Transaction[[#This Row],[NetRevenue]],2,10)),Transaction[[#This Row],[NetRevenue]])))</f>
        <v>4702.24</v>
      </c>
      <c r="AG1162">
        <f>IF(Transaction[[#This Row],[NetRevenue_Check]]="Invalid",(Transaction[[#This Row],[Quantity]]*Transaction[[#This Row],[UnitPrice_Clean]]),Transaction[[#This Row],[NetRevenue_Clean]])</f>
        <v>4702.24</v>
      </c>
      <c r="AH1162" t="str">
        <f>IF(Transaction[[#This Row],[Quantity]]*Transaction[[#This Row],[UnitPrice_Clean]]=Transaction[[#This Row],[NetRevenue_Clean]],"Valid","Invalid")</f>
        <v>Valid</v>
      </c>
      <c r="AI1162" t="s">
        <v>23</v>
      </c>
      <c r="AJ1162" t="s">
        <v>2679</v>
      </c>
      <c r="AK1162" t="str">
        <f>IF(Transaction[[#This Row],[Salesperson]]="","Missing Value",TRIM(PROPER(Transaction[[#This Row],[Salesperson]])))</f>
        <v>James-Na</v>
      </c>
      <c r="AL1162" t="s">
        <v>55</v>
      </c>
      <c r="AM1162" t="str">
        <f>IF(Transaction[[#This Row],[ContractType]]="","Missing Value",Transaction[[#This Row],[ContractType]])</f>
        <v>Spot</v>
      </c>
      <c r="AN1162" t="s">
        <v>49</v>
      </c>
    </row>
    <row r="1163" spans="1:40" x14ac:dyDescent="0.25">
      <c r="A1163" t="s">
        <v>2923</v>
      </c>
      <c r="B1163" s="1">
        <v>45810</v>
      </c>
      <c r="C116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16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116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63" s="2">
        <f>IFERROR(DATE(Transaction[[#This Row],[TransactionDateY]],Transaction[[#This Row],[TransactionDateM]],Transaction[[#This Row],[TransactionDateD]]),"Missing Value")</f>
        <v>45810</v>
      </c>
      <c r="G1163" t="s">
        <v>57</v>
      </c>
      <c r="H1163" t="str">
        <f>IFERROR(VLOOKUP(Transaction[[#This Row],[CustomerID]],Custumer[],1,0),IF(LEN(Transaction[[#This Row],[CustomerID]])=7,LEFT(Transaction[[#This Row],[CustomerID]],6),"Invalid ID"))</f>
        <v>C-1035</v>
      </c>
      <c r="I1163" t="s">
        <v>222</v>
      </c>
      <c r="J1163" t="str">
        <f>TRIM(UPPER(Transaction[[#This Row],[ProductID]]))</f>
        <v>P-FS-003</v>
      </c>
      <c r="K1163" t="str">
        <f>IFERROR(VLOOKUP(Transaction[[#This Row],[ProductID_Clean]],Product[],1,FALSE),"Invalid ID")</f>
        <v>P-FS-003</v>
      </c>
      <c r="L1163" t="str">
        <f>TRIM(SUBSTITUTE(SUBSTITUTE(SUBSTITUTE(SUBSTITUTE(UPPER(Transaction[[#This Row],[Region]]),"EMEA REGION","EMEA"),"APAC REGION","APAC"),"NORTH AMERICA","N. AMERICA"),"N .AMERICA","N.AMERICA"))</f>
        <v>N. AMERICA</v>
      </c>
      <c r="M1163" t="s">
        <v>204</v>
      </c>
      <c r="N1163" t="s">
        <v>318</v>
      </c>
      <c r="O116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163" t="s">
        <v>22</v>
      </c>
      <c r="Q1163" t="str">
        <f>IF(TRIM(Transaction[[#This Row],[SalesChannel]])="","Missing Value",TRIM(Transaction[[#This Row],[SalesChannel]]))</f>
        <v>Direct</v>
      </c>
      <c r="R1163" s="4">
        <v>1</v>
      </c>
      <c r="S1163" s="4" t="str">
        <f>IF(Transaction[[#This Row],[Quantity]]&lt;0,"Negative-review","Valid")</f>
        <v>Valid</v>
      </c>
      <c r="T1163">
        <v>4061.1</v>
      </c>
      <c r="U116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4061.1</v>
      </c>
      <c r="V1163">
        <v>4100</v>
      </c>
      <c r="W1163">
        <v>4100</v>
      </c>
      <c r="X116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4100</v>
      </c>
      <c r="Y1163">
        <f>IF(Transaction[[#This Row],[GrossRevenue_Check]]="Invalid",Transaction[[#This Row],[ListPrice]]*Transaction[[#This Row],[Quantity]],Transaction[[#This Row],[GrossRevenue_Clean]])</f>
        <v>4100</v>
      </c>
      <c r="Z1163" t="str">
        <f>IF(Transaction[[#This Row],[GrossRevenue_Clean]]=Transaction[[#This Row],[ListPrice]]*Transaction[[#This Row],[Quantity]],"Valid","Invalid")</f>
        <v>Valid</v>
      </c>
      <c r="AA1163">
        <v>38.9</v>
      </c>
      <c r="AB116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38.9</v>
      </c>
      <c r="AC1163">
        <f>IF(Transaction[[#This Row],[DiscountAmount_Check2]]="Invalid",Transaction[[#This Row],[GrossRevenue_Analytical]]-Transaction[[#This Row],[NetRevenue_Analytical]],Transaction[[#This Row],[DiscountAmount_Clean]])</f>
        <v>38.9</v>
      </c>
      <c r="AD1163">
        <v>4061.1</v>
      </c>
      <c r="AE1163" t="str">
        <f>IF(ROUND(Transaction[[#This Row],[GrossRevenue_Analytical]]-Transaction[[#This Row],[NetRevenue_Analytical]],2)=ROUND(Transaction[[#This Row],[DiscountAmount_Clean]],2),"Valid","Invalid")</f>
        <v>Valid</v>
      </c>
      <c r="AF1163">
        <f>VALUE(IF(ISNUMBER(Transaction[[#This Row],[NetRevenue]]),Transaction[[#This Row],[NetRevenue]],IFERROR(IF(FIND("$",Transaction[[#This Row],[NetRevenue]])&gt;0,MID(Transaction[[#This Row],[NetRevenue]],2,10)),Transaction[[#This Row],[NetRevenue]])))</f>
        <v>4061.1</v>
      </c>
      <c r="AG1163">
        <f>IF(Transaction[[#This Row],[NetRevenue_Check]]="Invalid",(Transaction[[#This Row],[Quantity]]*Transaction[[#This Row],[UnitPrice_Clean]]),Transaction[[#This Row],[NetRevenue_Clean]])</f>
        <v>4061.1</v>
      </c>
      <c r="AH1163" t="str">
        <f>IF(Transaction[[#This Row],[Quantity]]*Transaction[[#This Row],[UnitPrice_Clean]]=Transaction[[#This Row],[NetRevenue_Clean]],"Valid","Invalid")</f>
        <v>Valid</v>
      </c>
      <c r="AI1163" t="s">
        <v>23</v>
      </c>
      <c r="AJ1163" t="s">
        <v>2924</v>
      </c>
      <c r="AK1163" t="str">
        <f>IF(Transaction[[#This Row],[Salesperson]]="","Missing Value",TRIM(PROPER(Transaction[[#This Row],[Salesperson]])))</f>
        <v>Atkins-Em</v>
      </c>
      <c r="AL1163" t="s">
        <v>224</v>
      </c>
      <c r="AM1163" t="str">
        <f>IF(Transaction[[#This Row],[ContractType]]="","Missing Value",Transaction[[#This Row],[ContractType]])</f>
        <v>Annual</v>
      </c>
      <c r="AN1163" t="s">
        <v>35</v>
      </c>
    </row>
    <row r="1164" spans="1:40" x14ac:dyDescent="0.25">
      <c r="A1164" t="s">
        <v>2474</v>
      </c>
      <c r="B1164" s="1">
        <v>45708</v>
      </c>
      <c r="C116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16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116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64" s="2">
        <f>IFERROR(DATE(Transaction[[#This Row],[TransactionDateY]],Transaction[[#This Row],[TransactionDateM]],Transaction[[#This Row],[TransactionDateD]]),"Missing Value")</f>
        <v>45708</v>
      </c>
      <c r="G1164" t="s">
        <v>96</v>
      </c>
      <c r="H1164" t="str">
        <f>IFERROR(VLOOKUP(Transaction[[#This Row],[CustomerID]],Custumer[],1,0),IF(LEN(Transaction[[#This Row],[CustomerID]])=7,LEFT(Transaction[[#This Row],[CustomerID]],6),"Invalid ID"))</f>
        <v>C-1057</v>
      </c>
      <c r="I1164" t="s">
        <v>62</v>
      </c>
      <c r="J1164" t="str">
        <f>TRIM(UPPER(Transaction[[#This Row],[ProductID]]))</f>
        <v>P-SI-004</v>
      </c>
      <c r="K1164" t="str">
        <f>IFERROR(VLOOKUP(Transaction[[#This Row],[ProductID_Clean]],Product[],1,FALSE),"Invalid ID")</f>
        <v>P-SI-004</v>
      </c>
      <c r="L1164" t="str">
        <f>TRIM(SUBSTITUTE(SUBSTITUTE(SUBSTITUTE(SUBSTITUTE(UPPER(Transaction[[#This Row],[Region]]),"EMEA REGION","EMEA"),"APAC REGION","APAC"),"NORTH AMERICA","N. AMERICA"),"N .AMERICA","N.AMERICA"))</f>
        <v>N. AMERICA</v>
      </c>
      <c r="M1164" t="s">
        <v>495</v>
      </c>
      <c r="N1164" t="s">
        <v>98</v>
      </c>
      <c r="O116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64" t="s">
        <v>40</v>
      </c>
      <c r="Q1164" t="str">
        <f>IF(TRIM(Transaction[[#This Row],[SalesChannel]])="","Missing Value",TRIM(Transaction[[#This Row],[SalesChannel]]))</f>
        <v>Distributor</v>
      </c>
      <c r="R1164" s="4">
        <v>4</v>
      </c>
      <c r="S1164" s="4" t="str">
        <f>IF(Transaction[[#This Row],[Quantity]]&lt;0,"Negative-review","Valid")</f>
        <v>Valid</v>
      </c>
      <c r="T1164">
        <v>2100.7800000000002</v>
      </c>
      <c r="U116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2100.7800000000002</v>
      </c>
      <c r="V1164">
        <v>2450</v>
      </c>
      <c r="W1164">
        <v>9800</v>
      </c>
      <c r="X116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1164">
        <f>IF(Transaction[[#This Row],[GrossRevenue_Check]]="Invalid",Transaction[[#This Row],[ListPrice]]*Transaction[[#This Row],[Quantity]],Transaction[[#This Row],[GrossRevenue_Clean]])</f>
        <v>9800</v>
      </c>
      <c r="Z1164" t="str">
        <f>IF(Transaction[[#This Row],[GrossRevenue_Clean]]=Transaction[[#This Row],[ListPrice]]*Transaction[[#This Row],[Quantity]],"Valid","Invalid")</f>
        <v>Valid</v>
      </c>
      <c r="AA1164">
        <v>1396.88</v>
      </c>
      <c r="AB116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1396.88</v>
      </c>
      <c r="AC1164">
        <f>IF(Transaction[[#This Row],[DiscountAmount_Check2]]="Invalid",Transaction[[#This Row],[GrossRevenue_Analytical]]-Transaction[[#This Row],[NetRevenue_Analytical]],Transaction[[#This Row],[DiscountAmount_Clean]])</f>
        <v>1396.88</v>
      </c>
      <c r="AD1164">
        <v>8403.1200000000008</v>
      </c>
      <c r="AE1164" t="str">
        <f>IF(ROUND(Transaction[[#This Row],[GrossRevenue_Analytical]]-Transaction[[#This Row],[NetRevenue_Analytical]],2)=ROUND(Transaction[[#This Row],[DiscountAmount_Clean]],2),"Valid","Invalid")</f>
        <v>Valid</v>
      </c>
      <c r="AF1164">
        <f>VALUE(IF(ISNUMBER(Transaction[[#This Row],[NetRevenue]]),Transaction[[#This Row],[NetRevenue]],IFERROR(IF(FIND("$",Transaction[[#This Row],[NetRevenue]])&gt;0,MID(Transaction[[#This Row],[NetRevenue]],2,10)),Transaction[[#This Row],[NetRevenue]])))</f>
        <v>8403.1200000000008</v>
      </c>
      <c r="AG1164">
        <f>IF(Transaction[[#This Row],[NetRevenue_Check]]="Invalid",(Transaction[[#This Row],[Quantity]]*Transaction[[#This Row],[UnitPrice_Clean]]),Transaction[[#This Row],[NetRevenue_Clean]])</f>
        <v>8403.1200000000008</v>
      </c>
      <c r="AH1164" t="str">
        <f>IF(Transaction[[#This Row],[Quantity]]*Transaction[[#This Row],[UnitPrice_Clean]]=Transaction[[#This Row],[NetRevenue_Clean]],"Valid","Invalid")</f>
        <v>Valid</v>
      </c>
      <c r="AI1164" t="s">
        <v>23</v>
      </c>
      <c r="AJ1164" t="s">
        <v>2475</v>
      </c>
      <c r="AK1164" t="str">
        <f>IF(Transaction[[#This Row],[Salesperson]]="","Missing Value",TRIM(PROPER(Transaction[[#This Row],[Salesperson]])))</f>
        <v>Alexander-Na</v>
      </c>
      <c r="AL1164" t="s">
        <v>55</v>
      </c>
      <c r="AM1164" t="str">
        <f>IF(Transaction[[#This Row],[ContractType]]="","Missing Value",Transaction[[#This Row],[ContractType]])</f>
        <v>Spot</v>
      </c>
      <c r="AN1164" t="s">
        <v>65</v>
      </c>
    </row>
    <row r="1165" spans="1:40" x14ac:dyDescent="0.25">
      <c r="A1165" t="s">
        <v>664</v>
      </c>
      <c r="B1165" s="1">
        <v>45685</v>
      </c>
      <c r="C116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16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116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65" s="2">
        <f>IFERROR(DATE(Transaction[[#This Row],[TransactionDateY]],Transaction[[#This Row],[TransactionDateM]],Transaction[[#This Row],[TransactionDateD]]),"Missing Value")</f>
        <v>45685</v>
      </c>
      <c r="G1165" t="s">
        <v>665</v>
      </c>
      <c r="H1165" t="str">
        <f>IFERROR(VLOOKUP(Transaction[[#This Row],[CustomerID]],Custumer[],1,0),IF(LEN(Transaction[[#This Row],[CustomerID]])=7,LEFT(Transaction[[#This Row],[CustomerID]],6),"Invalid ID"))</f>
        <v>C-1162</v>
      </c>
      <c r="I1165" t="s">
        <v>71</v>
      </c>
      <c r="J1165" t="str">
        <f>TRIM(UPPER(Transaction[[#This Row],[ProductID]]))</f>
        <v>P-SI-003</v>
      </c>
      <c r="K1165" t="str">
        <f>IFERROR(VLOOKUP(Transaction[[#This Row],[ProductID_Clean]],Product[],1,FALSE),"Invalid ID")</f>
        <v>P-SI-003</v>
      </c>
      <c r="L1165" t="str">
        <f>TRIM(SUBSTITUTE(SUBSTITUTE(SUBSTITUTE(SUBSTITUTE(UPPER(Transaction[[#This Row],[Region]]),"EMEA REGION","EMEA"),"APAC REGION","APAC"),"NORTH AMERICA","N. AMERICA"),"N .AMERICA","N.AMERICA"))</f>
        <v>LATIN AMERICA</v>
      </c>
      <c r="M1165" t="s">
        <v>82</v>
      </c>
      <c r="N1165" t="s">
        <v>272</v>
      </c>
      <c r="O116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65" t="s">
        <v>22</v>
      </c>
      <c r="Q1165" t="str">
        <f>IF(TRIM(Transaction[[#This Row],[SalesChannel]])="","Missing Value",TRIM(Transaction[[#This Row],[SalesChannel]]))</f>
        <v>Direct</v>
      </c>
      <c r="R1165" s="4">
        <v>12</v>
      </c>
      <c r="S1165" s="4" t="str">
        <f>IF(Transaction[[#This Row],[Quantity]]&lt;0,"Negative-review","Valid")</f>
        <v>Valid</v>
      </c>
      <c r="T1165">
        <v>1637.44</v>
      </c>
      <c r="U116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1637.44</v>
      </c>
      <c r="V1165">
        <v>1890</v>
      </c>
      <c r="W1165">
        <v>22680</v>
      </c>
      <c r="X116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22680</v>
      </c>
      <c r="Y1165">
        <f>IF(Transaction[[#This Row],[GrossRevenue_Check]]="Invalid",Transaction[[#This Row],[ListPrice]]*Transaction[[#This Row],[Quantity]],Transaction[[#This Row],[GrossRevenue_Clean]])</f>
        <v>22680</v>
      </c>
      <c r="Z1165" t="str">
        <f>IF(Transaction[[#This Row],[GrossRevenue_Clean]]=Transaction[[#This Row],[ListPrice]]*Transaction[[#This Row],[Quantity]],"Valid","Invalid")</f>
        <v>Valid</v>
      </c>
      <c r="AA1165">
        <v>3030.72</v>
      </c>
      <c r="AB116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3030.72</v>
      </c>
      <c r="AC1165">
        <f>IF(Transaction[[#This Row],[DiscountAmount_Check2]]="Invalid",Transaction[[#This Row],[GrossRevenue_Analytical]]-Transaction[[#This Row],[NetRevenue_Analytical]],Transaction[[#This Row],[DiscountAmount_Clean]])</f>
        <v>3030.72</v>
      </c>
      <c r="AD1165">
        <v>19649.28</v>
      </c>
      <c r="AE1165" t="str">
        <f>IF(ROUND(Transaction[[#This Row],[GrossRevenue_Analytical]]-Transaction[[#This Row],[NetRevenue_Analytical]],2)=ROUND(Transaction[[#This Row],[DiscountAmount_Clean]],2),"Valid","Invalid")</f>
        <v>Valid</v>
      </c>
      <c r="AF116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19649.28</v>
      </c>
      <c r="AG1165">
        <f>IF(Transaction[[#This Row],[NetRevenue_Check]]="Invalid",(Transaction[[#This Row],[Quantity]]*Transaction[[#This Row],[UnitPrice_Clean]]),Transaction[[#This Row],[NetRevenue_Clean]])</f>
        <v>19649.28</v>
      </c>
      <c r="AH1165" t="str">
        <f>IF(Transaction[[#This Row],[Quantity]]*Transaction[[#This Row],[UnitPrice_Clean]]=Transaction[[#This Row],[NetRevenue_Clean]],"Valid","Invalid")</f>
        <v>Valid</v>
      </c>
      <c r="AI1165" t="s">
        <v>23</v>
      </c>
      <c r="AJ1165" t="s">
        <v>666</v>
      </c>
      <c r="AK1165" t="str">
        <f>IF(Transaction[[#This Row],[Salesperson]]="","Missing Value",TRIM(PROPER(Transaction[[#This Row],[Salesperson]])))</f>
        <v>Jordan</v>
      </c>
      <c r="AL1165" t="s">
        <v>42</v>
      </c>
      <c r="AM1165" t="str">
        <f>IF(Transaction[[#This Row],[ContractType]]="","Missing Value",Transaction[[#This Row],[ContractType]])</f>
        <v>Standard PO</v>
      </c>
      <c r="AN1165" t="s">
        <v>26</v>
      </c>
    </row>
    <row r="1166" spans="1:40" x14ac:dyDescent="0.25">
      <c r="A1166" t="s">
        <v>1185</v>
      </c>
      <c r="B1166" s="1">
        <v>45759</v>
      </c>
      <c r="C116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16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116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66" s="2">
        <f>IFERROR(DATE(Transaction[[#This Row],[TransactionDateY]],Transaction[[#This Row],[TransactionDateM]],Transaction[[#This Row],[TransactionDateD]]),"Missing Value")</f>
        <v>45759</v>
      </c>
      <c r="G1166" t="s">
        <v>491</v>
      </c>
      <c r="H1166" t="str">
        <f>IFERROR(VLOOKUP(Transaction[[#This Row],[CustomerID]],Custumer[],1,0),IF(LEN(Transaction[[#This Row],[CustomerID]])=7,LEFT(Transaction[[#This Row],[CustomerID]],6),"Invalid ID"))</f>
        <v>C-1133</v>
      </c>
      <c r="I1166" t="s">
        <v>97</v>
      </c>
      <c r="J1166" t="str">
        <f>TRIM(UPPER(Transaction[[#This Row],[ProductID]]))</f>
        <v>P-SI-001</v>
      </c>
      <c r="K1166" t="str">
        <f>IFERROR(VLOOKUP(Transaction[[#This Row],[ProductID_Clean]],Product[],1,FALSE),"Invalid ID")</f>
        <v>P-SI-001</v>
      </c>
      <c r="L1166" t="str">
        <f>TRIM(SUBSTITUTE(SUBSTITUTE(SUBSTITUTE(SUBSTITUTE(UPPER(Transaction[[#This Row],[Region]]),"EMEA REGION","EMEA"),"APAC REGION","APAC"),"NORTH AMERICA","N. AMERICA"),"N .AMERICA","N.AMERICA"))</f>
        <v>LATIN AMERICA</v>
      </c>
      <c r="M1166" t="s">
        <v>82</v>
      </c>
      <c r="N1166" t="s">
        <v>53</v>
      </c>
      <c r="O116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66" t="s">
        <v>22</v>
      </c>
      <c r="Q1166" t="str">
        <f>IF(TRIM(Transaction[[#This Row],[SalesChannel]])="","Missing Value",TRIM(Transaction[[#This Row],[SalesChannel]]))</f>
        <v>Direct</v>
      </c>
      <c r="R1166" s="4">
        <v>1</v>
      </c>
      <c r="S1166" s="4" t="str">
        <f>IF(Transaction[[#This Row],[Quantity]]&lt;0,"Negative-review","Valid")</f>
        <v>Valid</v>
      </c>
      <c r="T1166">
        <v>409.61</v>
      </c>
      <c r="U116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409.61</v>
      </c>
      <c r="V1166">
        <v>485</v>
      </c>
      <c r="W1166">
        <v>485</v>
      </c>
      <c r="X116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1166">
        <f>IF(Transaction[[#This Row],[GrossRevenue_Check]]="Invalid",Transaction[[#This Row],[ListPrice]]*Transaction[[#This Row],[Quantity]],Transaction[[#This Row],[GrossRevenue_Clean]])</f>
        <v>485</v>
      </c>
      <c r="Z1166" t="str">
        <f>IF(Transaction[[#This Row],[GrossRevenue_Clean]]=Transaction[[#This Row],[ListPrice]]*Transaction[[#This Row],[Quantity]],"Valid","Invalid")</f>
        <v>Valid</v>
      </c>
      <c r="AA1166">
        <v>75.39</v>
      </c>
      <c r="AB116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75.39</v>
      </c>
      <c r="AC1166">
        <f>IF(Transaction[[#This Row],[DiscountAmount_Check2]]="Invalid",Transaction[[#This Row],[GrossRevenue_Analytical]]-Transaction[[#This Row],[NetRevenue_Analytical]],Transaction[[#This Row],[DiscountAmount_Clean]])</f>
        <v>75.39</v>
      </c>
      <c r="AD1166">
        <v>409.61</v>
      </c>
      <c r="AE1166" t="str">
        <f>IF(ROUND(Transaction[[#This Row],[GrossRevenue_Analytical]]-Transaction[[#This Row],[NetRevenue_Analytical]],2)=ROUND(Transaction[[#This Row],[DiscountAmount_Clean]],2),"Valid","Invalid")</f>
        <v>Valid</v>
      </c>
      <c r="AF1166">
        <f>VALUE(IF(ISNUMBER(Transaction[[#This Row],[NetRevenue]]),Transaction[[#This Row],[NetRevenue]],IFERROR(IF(FIND("$",Transaction[[#This Row],[NetRevenue]])&gt;0,MID(Transaction[[#This Row],[NetRevenue]],2,10)),Transaction[[#This Row],[NetRevenue]])))</f>
        <v>409.61</v>
      </c>
      <c r="AG1166">
        <f>IF(Transaction[[#This Row],[NetRevenue_Check]]="Invalid",(Transaction[[#This Row],[Quantity]]*Transaction[[#This Row],[UnitPrice_Clean]]),Transaction[[#This Row],[NetRevenue_Clean]])</f>
        <v>409.61</v>
      </c>
      <c r="AH1166" t="str">
        <f>IF(Transaction[[#This Row],[Quantity]]*Transaction[[#This Row],[UnitPrice_Clean]]=Transaction[[#This Row],[NetRevenue_Clean]],"Valid","Invalid")</f>
        <v>Valid</v>
      </c>
      <c r="AI1166" t="s">
        <v>23</v>
      </c>
      <c r="AJ1166" t="s">
        <v>1186</v>
      </c>
      <c r="AK1166" t="str">
        <f>IF(Transaction[[#This Row],[Salesperson]]="","Missing Value",TRIM(PROPER(Transaction[[#This Row],[Salesperson]])))</f>
        <v>Colon</v>
      </c>
      <c r="AL1166" t="s">
        <v>42</v>
      </c>
      <c r="AM1166" t="str">
        <f>IF(Transaction[[#This Row],[ContractType]]="","Missing Value",Transaction[[#This Row],[ContractType]])</f>
        <v>Standard PO</v>
      </c>
      <c r="AN1166" t="s">
        <v>43</v>
      </c>
    </row>
    <row r="1167" spans="1:40" x14ac:dyDescent="0.25">
      <c r="A1167" t="s">
        <v>1673</v>
      </c>
      <c r="B1167" s="1">
        <v>45816</v>
      </c>
      <c r="C116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16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116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67" s="2">
        <f>IFERROR(DATE(Transaction[[#This Row],[TransactionDateY]],Transaction[[#This Row],[TransactionDateM]],Transaction[[#This Row],[TransactionDateD]]),"Missing Value")</f>
        <v>45816</v>
      </c>
      <c r="G1167" t="s">
        <v>172</v>
      </c>
      <c r="H1167" t="str">
        <f>IFERROR(VLOOKUP(Transaction[[#This Row],[CustomerID]],Custumer[],1,0),IF(LEN(Transaction[[#This Row],[CustomerID]])=7,LEFT(Transaction[[#This Row],[CustomerID]],6),"Invalid ID"))</f>
        <v>C-1099</v>
      </c>
      <c r="I1167" t="s">
        <v>52</v>
      </c>
      <c r="J1167" t="str">
        <f>TRIM(UPPER(Transaction[[#This Row],[ProductID]]))</f>
        <v>P-SI-002</v>
      </c>
      <c r="K1167" t="str">
        <f>IFERROR(VLOOKUP(Transaction[[#This Row],[ProductID_Clean]],Product[],1,FALSE),"Invalid ID")</f>
        <v>P-SI-002</v>
      </c>
      <c r="L1167" t="str">
        <f>TRIM(SUBSTITUTE(SUBSTITUTE(SUBSTITUTE(SUBSTITUTE(UPPER(Transaction[[#This Row],[Region]]),"EMEA REGION","EMEA"),"APAC REGION","APAC"),"NORTH AMERICA","N. AMERICA"),"N .AMERICA","N.AMERICA"))</f>
        <v>EMEA</v>
      </c>
      <c r="M1167" t="s">
        <v>76</v>
      </c>
      <c r="N1167" t="s">
        <v>53</v>
      </c>
      <c r="O116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67" t="s">
        <v>181</v>
      </c>
      <c r="Q1167" t="str">
        <f>IF(TRIM(Transaction[[#This Row],[SalesChannel]])="","Missing Value",TRIM(Transaction[[#This Row],[SalesChannel]]))</f>
        <v>Partner Portal</v>
      </c>
      <c r="R1167" s="4">
        <v>1</v>
      </c>
      <c r="S1167" s="4" t="str">
        <f>IF(Transaction[[#This Row],[Quantity]]&lt;0,"Negative-review","Valid")</f>
        <v>Valid</v>
      </c>
      <c r="T1167">
        <v>670.93</v>
      </c>
      <c r="U116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670.93</v>
      </c>
      <c r="V1167">
        <v>725</v>
      </c>
      <c r="W1167">
        <v>725</v>
      </c>
      <c r="X116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1167">
        <f>IF(Transaction[[#This Row],[GrossRevenue_Check]]="Invalid",Transaction[[#This Row],[ListPrice]]*Transaction[[#This Row],[Quantity]],Transaction[[#This Row],[GrossRevenue_Clean]])</f>
        <v>725</v>
      </c>
      <c r="Z1167" t="str">
        <f>IF(Transaction[[#This Row],[GrossRevenue_Clean]]=Transaction[[#This Row],[ListPrice]]*Transaction[[#This Row],[Quantity]],"Valid","Invalid")</f>
        <v>Valid</v>
      </c>
      <c r="AA1167">
        <v>54.07</v>
      </c>
      <c r="AB116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54.07</v>
      </c>
      <c r="AC1167">
        <f>IF(Transaction[[#This Row],[DiscountAmount_Check2]]="Invalid",Transaction[[#This Row],[GrossRevenue_Analytical]]-Transaction[[#This Row],[NetRevenue_Analytical]],Transaction[[#This Row],[DiscountAmount_Clean]])</f>
        <v>54.07</v>
      </c>
      <c r="AD1167">
        <v>670.93</v>
      </c>
      <c r="AE1167" t="str">
        <f>IF(ROUND(Transaction[[#This Row],[GrossRevenue_Analytical]]-Transaction[[#This Row],[NetRevenue_Analytical]],2)=ROUND(Transaction[[#This Row],[DiscountAmount_Clean]],2),"Valid","Invalid")</f>
        <v>Valid</v>
      </c>
      <c r="AF1167">
        <f>VALUE(IF(ISNUMBER(Transaction[[#This Row],[NetRevenue]]),Transaction[[#This Row],[NetRevenue]],IFERROR(IF(FIND("$",Transaction[[#This Row],[NetRevenue]])&gt;0,MID(Transaction[[#This Row],[NetRevenue]],2,10)),Transaction[[#This Row],[NetRevenue]])))</f>
        <v>670.93</v>
      </c>
      <c r="AG1167">
        <f>IF(Transaction[[#This Row],[NetRevenue_Check]]="Invalid",(Transaction[[#This Row],[Quantity]]*Transaction[[#This Row],[UnitPrice_Clean]]),Transaction[[#This Row],[NetRevenue_Clean]])</f>
        <v>670.93</v>
      </c>
      <c r="AH1167" t="str">
        <f>IF(Transaction[[#This Row],[Quantity]]*Transaction[[#This Row],[UnitPrice_Clean]]=Transaction[[#This Row],[NetRevenue_Clean]],"Valid","Invalid")</f>
        <v>Valid</v>
      </c>
      <c r="AI1167" t="s">
        <v>23</v>
      </c>
      <c r="AJ1167" t="s">
        <v>1674</v>
      </c>
      <c r="AK1167" t="str">
        <f>IF(Transaction[[#This Row],[Salesperson]]="","Missing Value",TRIM(PROPER(Transaction[[#This Row],[Salesperson]])))</f>
        <v>Curtis-Na</v>
      </c>
      <c r="AL1167" t="s">
        <v>42</v>
      </c>
      <c r="AM1167" t="str">
        <f>IF(Transaction[[#This Row],[ContractType]]="","Missing Value",Transaction[[#This Row],[ContractType]])</f>
        <v>Standard PO</v>
      </c>
      <c r="AN1167" t="s">
        <v>43</v>
      </c>
    </row>
    <row r="1168" spans="1:40" x14ac:dyDescent="0.25">
      <c r="A1168" t="s">
        <v>635</v>
      </c>
      <c r="B1168" s="1">
        <v>45742</v>
      </c>
      <c r="C116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16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116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68" s="2">
        <f>IFERROR(DATE(Transaction[[#This Row],[TransactionDateY]],Transaction[[#This Row],[TransactionDateM]],Transaction[[#This Row],[TransactionDateD]]),"Missing Value")</f>
        <v>45742</v>
      </c>
      <c r="G1168" t="s">
        <v>408</v>
      </c>
      <c r="H1168" t="str">
        <f>IFERROR(VLOOKUP(Transaction[[#This Row],[CustomerID]],Custumer[],1,0),IF(LEN(Transaction[[#This Row],[CustomerID]])=7,LEFT(Transaction[[#This Row],[CustomerID]],6),"Invalid ID"))</f>
        <v>C-1093</v>
      </c>
      <c r="I1168" t="s">
        <v>46</v>
      </c>
      <c r="J1168" t="str">
        <f>TRIM(UPPER(Transaction[[#This Row],[ProductID]]))</f>
        <v>P-SI-006</v>
      </c>
      <c r="K1168" t="str">
        <f>IFERROR(VLOOKUP(Transaction[[#This Row],[ProductID_Clean]],Product[],1,FALSE),"Invalid ID")</f>
        <v>P-SI-006</v>
      </c>
      <c r="L1168" t="str">
        <f>TRIM(SUBSTITUTE(SUBSTITUTE(SUBSTITUTE(SUBSTITUTE(UPPER(Transaction[[#This Row],[Region]]),"EMEA REGION","EMEA"),"APAC REGION","APAC"),"NORTH AMERICA","N. AMERICA"),"N .AMERICA","N.AMERICA"))</f>
        <v>EMEA</v>
      </c>
      <c r="M1168" t="s">
        <v>76</v>
      </c>
      <c r="N1168" t="s">
        <v>53</v>
      </c>
      <c r="O116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68" t="s">
        <v>40</v>
      </c>
      <c r="Q1168" t="str">
        <f>IF(TRIM(Transaction[[#This Row],[SalesChannel]])="","Missing Value",TRIM(Transaction[[#This Row],[SalesChannel]]))</f>
        <v>Distributor</v>
      </c>
      <c r="R1168" s="4">
        <v>12</v>
      </c>
      <c r="S1168" s="4" t="str">
        <f>IF(Transaction[[#This Row],[Quantity]]&lt;0,"Negative-review","Valid")</f>
        <v>Valid</v>
      </c>
      <c r="T1168">
        <v>164.69</v>
      </c>
      <c r="U116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164.69</v>
      </c>
      <c r="V1168">
        <v>215</v>
      </c>
      <c r="W1168">
        <v>2580</v>
      </c>
      <c r="X116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2580</v>
      </c>
      <c r="Y1168">
        <f>IF(Transaction[[#This Row],[GrossRevenue_Check]]="Invalid",Transaction[[#This Row],[ListPrice]]*Transaction[[#This Row],[Quantity]],Transaction[[#This Row],[GrossRevenue_Clean]])</f>
        <v>2580</v>
      </c>
      <c r="Z1168" t="str">
        <f>IF(Transaction[[#This Row],[GrossRevenue_Clean]]=Transaction[[#This Row],[ListPrice]]*Transaction[[#This Row],[Quantity]],"Valid","Invalid")</f>
        <v>Valid</v>
      </c>
      <c r="AA1168">
        <v>603.72</v>
      </c>
      <c r="AB116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603.72</v>
      </c>
      <c r="AC1168">
        <f>IF(Transaction[[#This Row],[DiscountAmount_Check2]]="Invalid",Transaction[[#This Row],[GrossRevenue_Analytical]]-Transaction[[#This Row],[NetRevenue_Analytical]],Transaction[[#This Row],[DiscountAmount_Clean]])</f>
        <v>603.72</v>
      </c>
      <c r="AD1168">
        <v>1976.28</v>
      </c>
      <c r="AE1168" t="str">
        <f>IF(ROUND(Transaction[[#This Row],[GrossRevenue_Analytical]]-Transaction[[#This Row],[NetRevenue_Analytical]],2)=ROUND(Transaction[[#This Row],[DiscountAmount_Clean]],2),"Valid","Invalid")</f>
        <v>Valid</v>
      </c>
      <c r="AF116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1976.28</v>
      </c>
      <c r="AG1168">
        <f>IF(Transaction[[#This Row],[NetRevenue_Check]]="Invalid",(Transaction[[#This Row],[Quantity]]*Transaction[[#This Row],[UnitPrice_Clean]]),Transaction[[#This Row],[NetRevenue_Clean]])</f>
        <v>1976.28</v>
      </c>
      <c r="AH1168" t="str">
        <f>IF(Transaction[[#This Row],[Quantity]]*Transaction[[#This Row],[UnitPrice_Clean]]=Transaction[[#This Row],[NetRevenue_Clean]],"Valid","Invalid")</f>
        <v>Valid</v>
      </c>
      <c r="AI1168" t="s">
        <v>23</v>
      </c>
      <c r="AJ1168" t="s">
        <v>636</v>
      </c>
      <c r="AK1168" t="str">
        <f>IF(Transaction[[#This Row],[Salesperson]]="","Missing Value",TRIM(PROPER(Transaction[[#This Row],[Salesperson]])))</f>
        <v>Wheeler-Na</v>
      </c>
      <c r="AL1168" t="s">
        <v>55</v>
      </c>
      <c r="AM1168" t="str">
        <f>IF(Transaction[[#This Row],[ContractType]]="","Missing Value",Transaction[[#This Row],[ContractType]])</f>
        <v>Spot</v>
      </c>
      <c r="AN1168" t="s">
        <v>49</v>
      </c>
    </row>
    <row r="1169" spans="1:40" x14ac:dyDescent="0.25">
      <c r="A1169" t="s">
        <v>69</v>
      </c>
      <c r="B1169" s="1">
        <v>45824</v>
      </c>
      <c r="C116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16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116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69" s="2">
        <f>IFERROR(DATE(Transaction[[#This Row],[TransactionDateY]],Transaction[[#This Row],[TransactionDateM]],Transaction[[#This Row],[TransactionDateD]]),"Missing Value")</f>
        <v>45824</v>
      </c>
      <c r="G1169" t="s">
        <v>70</v>
      </c>
      <c r="H1169" t="str">
        <f>IFERROR(VLOOKUP(Transaction[[#This Row],[CustomerID]],Custumer[],1,0),IF(LEN(Transaction[[#This Row],[CustomerID]])=7,LEFT(Transaction[[#This Row],[CustomerID]],6),"Invalid ID"))</f>
        <v>C-1105</v>
      </c>
      <c r="I1169" t="s">
        <v>71</v>
      </c>
      <c r="J1169" t="str">
        <f>TRIM(UPPER(Transaction[[#This Row],[ProductID]]))</f>
        <v>P-SI-003</v>
      </c>
      <c r="K1169" t="str">
        <f>IFERROR(VLOOKUP(Transaction[[#This Row],[ProductID_Clean]],Product[],1,FALSE),"Invalid ID")</f>
        <v>P-SI-003</v>
      </c>
      <c r="L1169" t="str">
        <f>TRIM(SUBSTITUTE(SUBSTITUTE(SUBSTITUTE(SUBSTITUTE(UPPER(Transaction[[#This Row],[Region]]),"EMEA REGION","EMEA"),"APAC REGION","APAC"),"NORTH AMERICA","N. AMERICA"),"N .AMERICA","N.AMERICA"))</f>
        <v>N. AMERICA</v>
      </c>
      <c r="M1169" t="s">
        <v>20</v>
      </c>
      <c r="N1169" t="s">
        <v>47</v>
      </c>
      <c r="O116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69" t="s">
        <v>22</v>
      </c>
      <c r="Q1169" t="str">
        <f>IF(TRIM(Transaction[[#This Row],[SalesChannel]])="","Missing Value",TRIM(Transaction[[#This Row],[SalesChannel]]))</f>
        <v>Direct</v>
      </c>
      <c r="R1169" s="4">
        <v>1</v>
      </c>
      <c r="S1169" s="4" t="str">
        <f>IF(Transaction[[#This Row],[Quantity]]&lt;0,"Negative-review","Valid")</f>
        <v>Valid</v>
      </c>
      <c r="T1169">
        <v>1743.08</v>
      </c>
      <c r="U116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1743.08</v>
      </c>
      <c r="V1169">
        <v>1890</v>
      </c>
      <c r="W1169">
        <v>1890</v>
      </c>
      <c r="X116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1169">
        <f>IF(Transaction[[#This Row],[GrossRevenue_Check]]="Invalid",Transaction[[#This Row],[ListPrice]]*Transaction[[#This Row],[Quantity]],Transaction[[#This Row],[GrossRevenue_Clean]])</f>
        <v>1890</v>
      </c>
      <c r="Z1169" t="str">
        <f>IF(Transaction[[#This Row],[GrossRevenue_Clean]]=Transaction[[#This Row],[ListPrice]]*Transaction[[#This Row],[Quantity]],"Valid","Invalid")</f>
        <v>Valid</v>
      </c>
      <c r="AA1169">
        <v>146.91999999999999</v>
      </c>
      <c r="AB116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146.91999999999999</v>
      </c>
      <c r="AC1169">
        <f>IF(Transaction[[#This Row],[DiscountAmount_Check2]]="Invalid",Transaction[[#This Row],[GrossRevenue_Analytical]]-Transaction[[#This Row],[NetRevenue_Analytical]],Transaction[[#This Row],[DiscountAmount_Clean]])</f>
        <v>146.91999999999999</v>
      </c>
      <c r="AD1169">
        <v>1743.08</v>
      </c>
      <c r="AE1169" t="str">
        <f>IF(ROUND(Transaction[[#This Row],[GrossRevenue_Analytical]]-Transaction[[#This Row],[NetRevenue_Analytical]],2)=ROUND(Transaction[[#This Row],[DiscountAmount_Clean]],2),"Valid","Invalid")</f>
        <v>Valid</v>
      </c>
      <c r="AF116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1743.08</v>
      </c>
      <c r="AG1169">
        <f>IF(Transaction[[#This Row],[NetRevenue_Check]]="Invalid",(Transaction[[#This Row],[Quantity]]*Transaction[[#This Row],[UnitPrice_Clean]]),Transaction[[#This Row],[NetRevenue_Clean]])</f>
        <v>1743.08</v>
      </c>
      <c r="AH1169" t="str">
        <f>IF(Transaction[[#This Row],[Quantity]]*Transaction[[#This Row],[UnitPrice_Clean]]=Transaction[[#This Row],[NetRevenue_Clean]],"Valid","Invalid")</f>
        <v>Valid</v>
      </c>
      <c r="AI1169" t="s">
        <v>23</v>
      </c>
      <c r="AJ1169" t="s">
        <v>72</v>
      </c>
      <c r="AK1169" t="str">
        <f>IF(Transaction[[#This Row],[Salesperson]]="","Missing Value",TRIM(PROPER(Transaction[[#This Row],[Salesperson]])))</f>
        <v>Evans-Em</v>
      </c>
      <c r="AL1169" t="s">
        <v>42</v>
      </c>
      <c r="AM1169" t="str">
        <f>IF(Transaction[[#This Row],[ContractType]]="","Missing Value",Transaction[[#This Row],[ContractType]])</f>
        <v>Standard PO</v>
      </c>
      <c r="AN1169" t="s">
        <v>35</v>
      </c>
    </row>
    <row r="1170" spans="1:40" x14ac:dyDescent="0.25">
      <c r="A1170" t="s">
        <v>2538</v>
      </c>
      <c r="B1170" t="s">
        <v>2539</v>
      </c>
      <c r="C117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17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117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70" s="2">
        <f>IFERROR(DATE(Transaction[[#This Row],[TransactionDateY]],Transaction[[#This Row],[TransactionDateM]],Transaction[[#This Row],[TransactionDateD]]),"Missing Value")</f>
        <v>45692</v>
      </c>
      <c r="G1170" t="s">
        <v>565</v>
      </c>
      <c r="H1170" t="str">
        <f>IFERROR(VLOOKUP(Transaction[[#This Row],[CustomerID]],Custumer[],1,0),IF(LEN(Transaction[[#This Row],[CustomerID]])=7,LEFT(Transaction[[#This Row],[CustomerID]],6),"Invalid ID"))</f>
        <v>C-1007</v>
      </c>
      <c r="I1170" t="s">
        <v>121</v>
      </c>
      <c r="J1170" t="str">
        <f>TRIM(UPPER(Transaction[[#This Row],[ProductID]]))</f>
        <v>P-FS-001</v>
      </c>
      <c r="K1170" t="str">
        <f>IFERROR(VLOOKUP(Transaction[[#This Row],[ProductID_Clean]],Product[],1,FALSE),"Invalid ID")</f>
        <v>P-FS-001</v>
      </c>
      <c r="L1170" t="str">
        <f>TRIM(SUBSTITUTE(SUBSTITUTE(SUBSTITUTE(SUBSTITUTE(UPPER(Transaction[[#This Row],[Region]]),"EMEA REGION","EMEA"),"APAC REGION","APAC"),"NORTH AMERICA","N. AMERICA"),"N .AMERICA","N.AMERICA"))</f>
        <v>N. AMERICA</v>
      </c>
      <c r="M1170" t="s">
        <v>20</v>
      </c>
      <c r="N1170" t="s">
        <v>21</v>
      </c>
      <c r="O1170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170" t="s">
        <v>40</v>
      </c>
      <c r="Q1170" t="str">
        <f>IF(TRIM(Transaction[[#This Row],[SalesChannel]])="","Missing Value",TRIM(Transaction[[#This Row],[SalesChannel]]))</f>
        <v>Distributor</v>
      </c>
      <c r="R1170" s="4">
        <v>1</v>
      </c>
      <c r="S1170" s="4" t="str">
        <f>IF(Transaction[[#This Row],[Quantity]]&lt;0,"Negative-review","Valid")</f>
        <v>Valid</v>
      </c>
      <c r="T1170">
        <v>1220.57</v>
      </c>
      <c r="U117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1220.57</v>
      </c>
      <c r="V1170">
        <v>1850</v>
      </c>
      <c r="W1170">
        <v>1850</v>
      </c>
      <c r="X117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1170">
        <f>IF(Transaction[[#This Row],[GrossRevenue_Check]]="Invalid",Transaction[[#This Row],[ListPrice]]*Transaction[[#This Row],[Quantity]],Transaction[[#This Row],[GrossRevenue_Clean]])</f>
        <v>1850</v>
      </c>
      <c r="Z1170" t="str">
        <f>IF(Transaction[[#This Row],[GrossRevenue_Clean]]=Transaction[[#This Row],[ListPrice]]*Transaction[[#This Row],[Quantity]],"Valid","Invalid")</f>
        <v>Valid</v>
      </c>
      <c r="AA1170">
        <v>629.42999999999995</v>
      </c>
      <c r="AB117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629.42999999999995</v>
      </c>
      <c r="AC1170">
        <f>IF(Transaction[[#This Row],[DiscountAmount_Check2]]="Invalid",Transaction[[#This Row],[GrossRevenue_Analytical]]-Transaction[[#This Row],[NetRevenue_Analytical]],Transaction[[#This Row],[DiscountAmount_Clean]])</f>
        <v>629.42999999999995</v>
      </c>
      <c r="AD1170">
        <v>1220.57</v>
      </c>
      <c r="AE1170" t="str">
        <f>IF(ROUND(Transaction[[#This Row],[GrossRevenue_Analytical]]-Transaction[[#This Row],[NetRevenue_Analytical]],2)=ROUND(Transaction[[#This Row],[DiscountAmount_Clean]],2),"Valid","Invalid")</f>
        <v>Valid</v>
      </c>
      <c r="AF117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1220.57</v>
      </c>
      <c r="AG1170">
        <f>IF(Transaction[[#This Row],[NetRevenue_Check]]="Invalid",(Transaction[[#This Row],[Quantity]]*Transaction[[#This Row],[UnitPrice_Clean]]),Transaction[[#This Row],[NetRevenue_Clean]])</f>
        <v>1220.57</v>
      </c>
      <c r="AH1170" t="str">
        <f>IF(Transaction[[#This Row],[Quantity]]*Transaction[[#This Row],[UnitPrice_Clean]]=Transaction[[#This Row],[NetRevenue_Clean]],"Valid","Invalid")</f>
        <v>Valid</v>
      </c>
      <c r="AI1170" t="s">
        <v>99</v>
      </c>
      <c r="AJ1170" t="s">
        <v>722</v>
      </c>
      <c r="AK1170" t="str">
        <f>IF(Transaction[[#This Row],[Salesperson]]="","Missing Value",TRIM(PROPER(Transaction[[#This Row],[Salesperson]])))</f>
        <v>Morrison</v>
      </c>
      <c r="AL1170" t="s">
        <v>42</v>
      </c>
      <c r="AM1170" t="str">
        <f>IF(Transaction[[#This Row],[ContractType]]="","Missing Value",Transaction[[#This Row],[ContractType]])</f>
        <v>Standard PO</v>
      </c>
      <c r="AN1170" t="s">
        <v>35</v>
      </c>
    </row>
    <row r="1171" spans="1:40" x14ac:dyDescent="0.25">
      <c r="A1171" t="s">
        <v>1611</v>
      </c>
      <c r="B1171" s="1">
        <v>45740</v>
      </c>
      <c r="C117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17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117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71" s="2">
        <f>IFERROR(DATE(Transaction[[#This Row],[TransactionDateY]],Transaction[[#This Row],[TransactionDateM]],Transaction[[#This Row],[TransactionDateD]]),"Missing Value")</f>
        <v>45740</v>
      </c>
      <c r="G1171" t="s">
        <v>541</v>
      </c>
      <c r="H1171" t="str">
        <f>IFERROR(VLOOKUP(Transaction[[#This Row],[CustomerID]],Custumer[],1,0),IF(LEN(Transaction[[#This Row],[CustomerID]])=7,LEFT(Transaction[[#This Row],[CustomerID]],6),"Invalid ID"))</f>
        <v>C-1075</v>
      </c>
      <c r="I1171" t="s">
        <v>46</v>
      </c>
      <c r="J1171" t="str">
        <f>TRIM(UPPER(Transaction[[#This Row],[ProductID]]))</f>
        <v>P-SI-006</v>
      </c>
      <c r="K1171" t="str">
        <f>IFERROR(VLOOKUP(Transaction[[#This Row],[ProductID_Clean]],Product[],1,FALSE),"Invalid ID")</f>
        <v>P-SI-006</v>
      </c>
      <c r="L1171" t="str">
        <f>TRIM(SUBSTITUTE(SUBSTITUTE(SUBSTITUTE(SUBSTITUTE(UPPER(Transaction[[#This Row],[Region]]),"EMEA REGION","EMEA"),"APAC REGION","APAC"),"NORTH AMERICA","N. AMERICA"),"N .AMERICA","N.AMERICA"))</f>
        <v>N. AMERICA</v>
      </c>
      <c r="M1171" t="s">
        <v>20</v>
      </c>
      <c r="N1171" t="s">
        <v>53</v>
      </c>
      <c r="O117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71" t="s">
        <v>181</v>
      </c>
      <c r="Q1171" t="str">
        <f>IF(TRIM(Transaction[[#This Row],[SalesChannel]])="","Missing Value",TRIM(Transaction[[#This Row],[SalesChannel]]))</f>
        <v>Partner Portal</v>
      </c>
      <c r="R1171" s="4">
        <v>1</v>
      </c>
      <c r="S1171" s="4" t="str">
        <f>IF(Transaction[[#This Row],[Quantity]]&lt;0,"Negative-review","Valid")</f>
        <v>Valid</v>
      </c>
      <c r="T1171">
        <v>160.1</v>
      </c>
      <c r="U117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160.1</v>
      </c>
      <c r="V1171">
        <v>215</v>
      </c>
      <c r="W1171">
        <v>215</v>
      </c>
      <c r="X117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1171">
        <f>IF(Transaction[[#This Row],[GrossRevenue_Check]]="Invalid",Transaction[[#This Row],[ListPrice]]*Transaction[[#This Row],[Quantity]],Transaction[[#This Row],[GrossRevenue_Clean]])</f>
        <v>215</v>
      </c>
      <c r="Z1171" t="str">
        <f>IF(Transaction[[#This Row],[GrossRevenue_Clean]]=Transaction[[#This Row],[ListPrice]]*Transaction[[#This Row],[Quantity]],"Valid","Invalid")</f>
        <v>Valid</v>
      </c>
      <c r="AA1171">
        <v>54.9</v>
      </c>
      <c r="AB117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54.9</v>
      </c>
      <c r="AC1171">
        <f>IF(Transaction[[#This Row],[DiscountAmount_Check2]]="Invalid",Transaction[[#This Row],[GrossRevenue_Analytical]]-Transaction[[#This Row],[NetRevenue_Analytical]],Transaction[[#This Row],[DiscountAmount_Clean]])</f>
        <v>54.9</v>
      </c>
      <c r="AD1171">
        <v>160.1</v>
      </c>
      <c r="AE1171" t="str">
        <f>IF(ROUND(Transaction[[#This Row],[GrossRevenue_Analytical]]-Transaction[[#This Row],[NetRevenue_Analytical]],2)=ROUND(Transaction[[#This Row],[DiscountAmount_Clean]],2),"Valid","Invalid")</f>
        <v>Valid</v>
      </c>
      <c r="AF117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160.1</v>
      </c>
      <c r="AG1171">
        <f>IF(Transaction[[#This Row],[NetRevenue_Check]]="Invalid",(Transaction[[#This Row],[Quantity]]*Transaction[[#This Row],[UnitPrice_Clean]]),Transaction[[#This Row],[NetRevenue_Clean]])</f>
        <v>160.1</v>
      </c>
      <c r="AH1171" t="str">
        <f>IF(Transaction[[#This Row],[Quantity]]*Transaction[[#This Row],[UnitPrice_Clean]]=Transaction[[#This Row],[NetRevenue_Clean]],"Valid","Invalid")</f>
        <v>Valid</v>
      </c>
      <c r="AI1171" t="s">
        <v>23</v>
      </c>
      <c r="AJ1171" t="s">
        <v>1612</v>
      </c>
      <c r="AK1171" t="str">
        <f>IF(Transaction[[#This Row],[Salesperson]]="","Missing Value",TRIM(PROPER(Transaction[[#This Row],[Salesperson]])))</f>
        <v>Dominguez-Em</v>
      </c>
      <c r="AL1171" t="s">
        <v>42</v>
      </c>
      <c r="AM1171" t="str">
        <f>IF(Transaction[[#This Row],[ContractType]]="","Missing Value",Transaction[[#This Row],[ContractType]])</f>
        <v>Standard PO</v>
      </c>
      <c r="AN1171" t="s">
        <v>49</v>
      </c>
    </row>
    <row r="1172" spans="1:40" x14ac:dyDescent="0.25">
      <c r="A1172" t="s">
        <v>629</v>
      </c>
      <c r="B1172" s="1">
        <v>45835</v>
      </c>
      <c r="C117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17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117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72" s="2">
        <f>IFERROR(DATE(Transaction[[#This Row],[TransactionDateY]],Transaction[[#This Row],[TransactionDateM]],Transaction[[#This Row],[TransactionDateD]]),"Missing Value")</f>
        <v>45835</v>
      </c>
      <c r="G1172" t="s">
        <v>630</v>
      </c>
      <c r="H1172" t="str">
        <f>IFERROR(VLOOKUP(Transaction[[#This Row],[CustomerID]],Custumer[],1,0),IF(LEN(Transaction[[#This Row],[CustomerID]])=7,LEFT(Transaction[[#This Row],[CustomerID]],6),"Invalid ID"))</f>
        <v>C-1157</v>
      </c>
      <c r="I1172" t="s">
        <v>46</v>
      </c>
      <c r="J1172" t="str">
        <f>TRIM(UPPER(Transaction[[#This Row],[ProductID]]))</f>
        <v>P-SI-006</v>
      </c>
      <c r="K1172" t="str">
        <f>IFERROR(VLOOKUP(Transaction[[#This Row],[ProductID_Clean]],Product[],1,FALSE),"Invalid ID")</f>
        <v>P-SI-006</v>
      </c>
      <c r="L1172" t="str">
        <f>TRIM(SUBSTITUTE(SUBSTITUTE(SUBSTITUTE(SUBSTITUTE(UPPER(Transaction[[#This Row],[Region]]),"EMEA REGION","EMEA"),"APAC REGION","APAC"),"NORTH AMERICA","N. AMERICA"),"N .AMERICA","N.AMERICA"))</f>
        <v>EMEA</v>
      </c>
      <c r="M1172" t="s">
        <v>76</v>
      </c>
      <c r="N1172" t="s">
        <v>53</v>
      </c>
      <c r="O117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72" t="s">
        <v>40</v>
      </c>
      <c r="Q1172" t="str">
        <f>IF(TRIM(Transaction[[#This Row],[SalesChannel]])="","Missing Value",TRIM(Transaction[[#This Row],[SalesChannel]]))</f>
        <v>Distributor</v>
      </c>
      <c r="R1172" s="4">
        <v>1</v>
      </c>
      <c r="S1172" s="4" t="str">
        <f>IF(Transaction[[#This Row],[Quantity]]&lt;0,"Negative-review","Valid")</f>
        <v>Valid</v>
      </c>
      <c r="T1172">
        <v>164.52</v>
      </c>
      <c r="U117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164.52</v>
      </c>
      <c r="V1172">
        <v>215</v>
      </c>
      <c r="W1172">
        <v>215</v>
      </c>
      <c r="X117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1172">
        <f>IF(Transaction[[#This Row],[GrossRevenue_Check]]="Invalid",Transaction[[#This Row],[ListPrice]]*Transaction[[#This Row],[Quantity]],Transaction[[#This Row],[GrossRevenue_Clean]])</f>
        <v>215</v>
      </c>
      <c r="Z1172" t="str">
        <f>IF(Transaction[[#This Row],[GrossRevenue_Clean]]=Transaction[[#This Row],[ListPrice]]*Transaction[[#This Row],[Quantity]],"Valid","Invalid")</f>
        <v>Valid</v>
      </c>
      <c r="AA1172">
        <v>50.48</v>
      </c>
      <c r="AB117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50.48</v>
      </c>
      <c r="AC1172">
        <f>IF(Transaction[[#This Row],[DiscountAmount_Check2]]="Invalid",Transaction[[#This Row],[GrossRevenue_Analytical]]-Transaction[[#This Row],[NetRevenue_Analytical]],Transaction[[#This Row],[DiscountAmount_Clean]])</f>
        <v>50.48</v>
      </c>
      <c r="AD1172">
        <v>164.52</v>
      </c>
      <c r="AE1172" t="str">
        <f>IF(ROUND(Transaction[[#This Row],[GrossRevenue_Analytical]]-Transaction[[#This Row],[NetRevenue_Analytical]],2)=ROUND(Transaction[[#This Row],[DiscountAmount_Clean]],2),"Valid","Invalid")</f>
        <v>Valid</v>
      </c>
      <c r="AF117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164.52</v>
      </c>
      <c r="AG1172">
        <f>IF(Transaction[[#This Row],[NetRevenue_Check]]="Invalid",(Transaction[[#This Row],[Quantity]]*Transaction[[#This Row],[UnitPrice_Clean]]),Transaction[[#This Row],[NetRevenue_Clean]])</f>
        <v>164.52</v>
      </c>
      <c r="AH1172" t="str">
        <f>IF(Transaction[[#This Row],[Quantity]]*Transaction[[#This Row],[UnitPrice_Clean]]=Transaction[[#This Row],[NetRevenue_Clean]],"Valid","Invalid")</f>
        <v>Valid</v>
      </c>
      <c r="AI1172" t="s">
        <v>23</v>
      </c>
      <c r="AK1172" t="str">
        <f>IF(Transaction[[#This Row],[Salesperson]]="","Missing Value",TRIM(PROPER(Transaction[[#This Row],[Salesperson]])))</f>
        <v>Missing Value</v>
      </c>
      <c r="AL1172" t="s">
        <v>55</v>
      </c>
      <c r="AM1172" t="str">
        <f>IF(Transaction[[#This Row],[ContractType]]="","Missing Value",Transaction[[#This Row],[ContractType]])</f>
        <v>Spot</v>
      </c>
      <c r="AN1172" t="s">
        <v>35</v>
      </c>
    </row>
    <row r="1173" spans="1:40" x14ac:dyDescent="0.25">
      <c r="A1173" t="s">
        <v>2525</v>
      </c>
      <c r="B1173" s="1">
        <v>45703</v>
      </c>
      <c r="C117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17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117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73" s="2">
        <f>IFERROR(DATE(Transaction[[#This Row],[TransactionDateY]],Transaction[[#This Row],[TransactionDateM]],Transaction[[#This Row],[TransactionDateD]]),"Missing Value")</f>
        <v>45703</v>
      </c>
      <c r="G1173" t="s">
        <v>61</v>
      </c>
      <c r="H1173" t="str">
        <f>IFERROR(VLOOKUP(Transaction[[#This Row],[CustomerID]],Custumer[],1,0),IF(LEN(Transaction[[#This Row],[CustomerID]])=7,LEFT(Transaction[[#This Row],[CustomerID]],6),"Invalid ID"))</f>
        <v>C-1108</v>
      </c>
      <c r="I1173" t="s">
        <v>111</v>
      </c>
      <c r="J1173" t="str">
        <f>TRIM(UPPER(Transaction[[#This Row],[ProductID]]))</f>
        <v>P-SA-004</v>
      </c>
      <c r="K1173" t="str">
        <f>IFERROR(VLOOKUP(Transaction[[#This Row],[ProductID_Clean]],Product[],1,FALSE),"Invalid ID")</f>
        <v>P-SA-004</v>
      </c>
      <c r="L1173" t="str">
        <f>TRIM(SUBSTITUTE(SUBSTITUTE(SUBSTITUTE(SUBSTITUTE(UPPER(Transaction[[#This Row],[Region]]),"EMEA REGION","EMEA"),"APAC REGION","APAC"),"NORTH AMERICA","N. AMERICA"),"N .AMERICA","N.AMERICA"))</f>
        <v>APAC</v>
      </c>
      <c r="M1173" t="s">
        <v>30</v>
      </c>
      <c r="N1173" t="s">
        <v>31</v>
      </c>
      <c r="O117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73" t="s">
        <v>32</v>
      </c>
      <c r="Q1173" t="str">
        <f>IF(TRIM(Transaction[[#This Row],[SalesChannel]])="","Missing Value",TRIM(Transaction[[#This Row],[SalesChannel]]))</f>
        <v>Direct</v>
      </c>
      <c r="R1173" s="4">
        <v>1</v>
      </c>
      <c r="S1173" s="4" t="str">
        <f>IF(Transaction[[#This Row],[Quantity]]&lt;0,"Negative-review","Valid")</f>
        <v>Valid</v>
      </c>
      <c r="T1173">
        <v>1397.88</v>
      </c>
      <c r="U117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1397.88</v>
      </c>
      <c r="V1173">
        <v>1650</v>
      </c>
      <c r="W1173">
        <v>1650</v>
      </c>
      <c r="X117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173">
        <f>IF(Transaction[[#This Row],[GrossRevenue_Check]]="Invalid",Transaction[[#This Row],[ListPrice]]*Transaction[[#This Row],[Quantity]],Transaction[[#This Row],[GrossRevenue_Clean]])</f>
        <v>1650</v>
      </c>
      <c r="Z1173" t="str">
        <f>IF(Transaction[[#This Row],[GrossRevenue_Clean]]=Transaction[[#This Row],[ListPrice]]*Transaction[[#This Row],[Quantity]],"Valid","Invalid")</f>
        <v>Valid</v>
      </c>
      <c r="AA1173">
        <v>252.12</v>
      </c>
      <c r="AB117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252.12</v>
      </c>
      <c r="AC1173">
        <f>IF(Transaction[[#This Row],[DiscountAmount_Check2]]="Invalid",Transaction[[#This Row],[GrossRevenue_Analytical]]-Transaction[[#This Row],[NetRevenue_Analytical]],Transaction[[#This Row],[DiscountAmount_Clean]])</f>
        <v>252.12</v>
      </c>
      <c r="AD1173">
        <v>1397.88</v>
      </c>
      <c r="AE1173" t="str">
        <f>IF(ROUND(Transaction[[#This Row],[GrossRevenue_Analytical]]-Transaction[[#This Row],[NetRevenue_Analytical]],2)=ROUND(Transaction[[#This Row],[DiscountAmount_Clean]],2),"Valid","Invalid")</f>
        <v>Valid</v>
      </c>
      <c r="AF117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1397.88</v>
      </c>
      <c r="AG1173">
        <f>IF(Transaction[[#This Row],[NetRevenue_Check]]="Invalid",(Transaction[[#This Row],[Quantity]]*Transaction[[#This Row],[UnitPrice_Clean]]),Transaction[[#This Row],[NetRevenue_Clean]])</f>
        <v>1397.88</v>
      </c>
      <c r="AH1173" t="str">
        <f>IF(Transaction[[#This Row],[Quantity]]*Transaction[[#This Row],[UnitPrice_Clean]]=Transaction[[#This Row],[NetRevenue_Clean]],"Valid","Invalid")</f>
        <v>Valid</v>
      </c>
      <c r="AI1173" t="s">
        <v>23</v>
      </c>
      <c r="AJ1173" t="s">
        <v>692</v>
      </c>
      <c r="AK1173" t="str">
        <f>IF(Transaction[[#This Row],[Salesperson]]="","Missing Value",TRIM(PROPER(Transaction[[#This Row],[Salesperson]])))</f>
        <v>Thompson-Na</v>
      </c>
      <c r="AL1173" t="s">
        <v>34</v>
      </c>
      <c r="AM1173" t="str">
        <f>IF(Transaction[[#This Row],[ContractType]]="","Missing Value",Transaction[[#This Row],[ContractType]])</f>
        <v>Annual License</v>
      </c>
      <c r="AN1173" t="s">
        <v>65</v>
      </c>
    </row>
    <row r="1174" spans="1:40" x14ac:dyDescent="0.25">
      <c r="A1174" t="s">
        <v>291</v>
      </c>
      <c r="B1174" s="1">
        <v>45739</v>
      </c>
      <c r="C117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17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117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74" s="2">
        <f>IFERROR(DATE(Transaction[[#This Row],[TransactionDateY]],Transaction[[#This Row],[TransactionDateM]],Transaction[[#This Row],[TransactionDateD]]),"Missing Value")</f>
        <v>45739</v>
      </c>
      <c r="G1174" t="s">
        <v>292</v>
      </c>
      <c r="H1174" t="str">
        <f>IFERROR(VLOOKUP(Transaction[[#This Row],[CustomerID]],Custumer[],1,0),IF(LEN(Transaction[[#This Row],[CustomerID]])=7,LEFT(Transaction[[#This Row],[CustomerID]],6),"Invalid ID"))</f>
        <v>C-1065</v>
      </c>
      <c r="I1174" t="s">
        <v>222</v>
      </c>
      <c r="J1174" t="str">
        <f>TRIM(UPPER(Transaction[[#This Row],[ProductID]]))</f>
        <v>P-FS-003</v>
      </c>
      <c r="K1174" t="str">
        <f>IFERROR(VLOOKUP(Transaction[[#This Row],[ProductID_Clean]],Product[],1,FALSE),"Invalid ID")</f>
        <v>P-FS-003</v>
      </c>
      <c r="L1174" t="str">
        <f>TRIM(SUBSTITUTE(SUBSTITUTE(SUBSTITUTE(SUBSTITUTE(UPPER(Transaction[[#This Row],[Region]]),"EMEA REGION","EMEA"),"APAC REGION","APAC"),"NORTH AMERICA","N. AMERICA"),"N .AMERICA","N.AMERICA"))</f>
        <v>APAC</v>
      </c>
      <c r="M1174" t="s">
        <v>30</v>
      </c>
      <c r="N1174" t="s">
        <v>21</v>
      </c>
      <c r="O117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174" t="s">
        <v>40</v>
      </c>
      <c r="Q1174" t="str">
        <f>IF(TRIM(Transaction[[#This Row],[SalesChannel]])="","Missing Value",TRIM(Transaction[[#This Row],[SalesChannel]]))</f>
        <v>Distributor</v>
      </c>
      <c r="R1174" s="4">
        <v>1</v>
      </c>
      <c r="S1174" s="4" t="str">
        <f>IF(Transaction[[#This Row],[Quantity]]&lt;0,"Negative-review","Valid")</f>
        <v>Valid</v>
      </c>
      <c r="T1174">
        <v>3376.92</v>
      </c>
      <c r="U117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3376.92</v>
      </c>
      <c r="V1174">
        <v>4100</v>
      </c>
      <c r="W1174" t="s">
        <v>293</v>
      </c>
      <c r="X117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4100</v>
      </c>
      <c r="Y1174">
        <f>IF(Transaction[[#This Row],[GrossRevenue_Check]]="Invalid",Transaction[[#This Row],[ListPrice]]*Transaction[[#This Row],[Quantity]],Transaction[[#This Row],[GrossRevenue_Clean]])</f>
        <v>4100</v>
      </c>
      <c r="Z1174" t="str">
        <f>IF(Transaction[[#This Row],[GrossRevenue_Clean]]=Transaction[[#This Row],[ListPrice]]*Transaction[[#This Row],[Quantity]],"Valid","Invalid")</f>
        <v>Valid</v>
      </c>
      <c r="AA1174">
        <v>723.08</v>
      </c>
      <c r="AB117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723.08</v>
      </c>
      <c r="AC1174">
        <f>IF(Transaction[[#This Row],[DiscountAmount_Check2]]="Invalid",Transaction[[#This Row],[GrossRevenue_Analytical]]-Transaction[[#This Row],[NetRevenue_Analytical]],Transaction[[#This Row],[DiscountAmount_Clean]])</f>
        <v>723.08</v>
      </c>
      <c r="AD1174">
        <v>3376.92</v>
      </c>
      <c r="AE1174" t="str">
        <f>IF(ROUND(Transaction[[#This Row],[GrossRevenue_Analytical]]-Transaction[[#This Row],[NetRevenue_Analytical]],2)=ROUND(Transaction[[#This Row],[DiscountAmount_Clean]],2),"Valid","Invalid")</f>
        <v>Valid</v>
      </c>
      <c r="AF1174">
        <f>VALUE(IF(ISNUMBER(Transaction[[#This Row],[NetRevenue]]),Transaction[[#This Row],[NetRevenue]],IFERROR(IF(FIND("$",Transaction[[#This Row],[NetRevenue]])&gt;0,MID(Transaction[[#This Row],[NetRevenue]],2,10)),Transaction[[#This Row],[NetRevenue]])))</f>
        <v>3376.92</v>
      </c>
      <c r="AG1174">
        <f>IF(Transaction[[#This Row],[NetRevenue_Check]]="Invalid",(Transaction[[#This Row],[Quantity]]*Transaction[[#This Row],[UnitPrice_Clean]]),Transaction[[#This Row],[NetRevenue_Clean]])</f>
        <v>3376.92</v>
      </c>
      <c r="AH1174" t="str">
        <f>IF(Transaction[[#This Row],[Quantity]]*Transaction[[#This Row],[UnitPrice_Clean]]=Transaction[[#This Row],[NetRevenue_Clean]],"Valid","Invalid")</f>
        <v>Valid</v>
      </c>
      <c r="AI1174" t="s">
        <v>23</v>
      </c>
      <c r="AJ1174" t="s">
        <v>294</v>
      </c>
      <c r="AK1174" t="str">
        <f>IF(Transaction[[#This Row],[Salesperson]]="","Missing Value",TRIM(PROPER(Transaction[[#This Row],[Salesperson]])))</f>
        <v>Sanders</v>
      </c>
      <c r="AL1174" t="s">
        <v>295</v>
      </c>
      <c r="AM1174" t="str">
        <f>IF(Transaction[[#This Row],[ContractType]]="","Missing Value",Transaction[[#This Row],[ContractType]])</f>
        <v>Multi-Year</v>
      </c>
      <c r="AN1174" t="s">
        <v>35</v>
      </c>
    </row>
    <row r="1175" spans="1:40" x14ac:dyDescent="0.25">
      <c r="A1175" t="s">
        <v>446</v>
      </c>
      <c r="B1175" s="1">
        <v>45835</v>
      </c>
      <c r="C117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17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117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75" s="2">
        <f>IFERROR(DATE(Transaction[[#This Row],[TransactionDateY]],Transaction[[#This Row],[TransactionDateM]],Transaction[[#This Row],[TransactionDateD]]),"Missing Value")</f>
        <v>45835</v>
      </c>
      <c r="G1175" t="s">
        <v>447</v>
      </c>
      <c r="H1175" t="str">
        <f>IFERROR(VLOOKUP(Transaction[[#This Row],[CustomerID]],Custumer[],1,0),IF(LEN(Transaction[[#This Row],[CustomerID]])=7,LEFT(Transaction[[#This Row],[CustomerID]],6),"Invalid ID"))</f>
        <v>C-1042</v>
      </c>
      <c r="I1175" t="s">
        <v>71</v>
      </c>
      <c r="J1175" t="str">
        <f>TRIM(UPPER(Transaction[[#This Row],[ProductID]]))</f>
        <v>P-SI-003</v>
      </c>
      <c r="K1175" t="str">
        <f>IFERROR(VLOOKUP(Transaction[[#This Row],[ProductID_Clean]],Product[],1,FALSE),"Invalid ID")</f>
        <v>P-SI-003</v>
      </c>
      <c r="L1175" t="str">
        <f>TRIM(SUBSTITUTE(SUBSTITUTE(SUBSTITUTE(SUBSTITUTE(UPPER(Transaction[[#This Row],[Region]]),"EMEA REGION","EMEA"),"APAC REGION","APAC"),"NORTH AMERICA","N. AMERICA"),"N .AMERICA","N.AMERICA"))</f>
        <v>N. AMERICA</v>
      </c>
      <c r="M1175" t="s">
        <v>204</v>
      </c>
      <c r="N1175" t="s">
        <v>53</v>
      </c>
      <c r="O117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75" t="s">
        <v>40</v>
      </c>
      <c r="Q1175" t="str">
        <f>IF(TRIM(Transaction[[#This Row],[SalesChannel]])="","Missing Value",TRIM(Transaction[[#This Row],[SalesChannel]]))</f>
        <v>Distributor</v>
      </c>
      <c r="R1175" s="4">
        <v>2</v>
      </c>
      <c r="S1175" s="4" t="str">
        <f>IF(Transaction[[#This Row],[Quantity]]&lt;0,"Negative-review","Valid")</f>
        <v>Valid</v>
      </c>
      <c r="T1175">
        <v>1576.32</v>
      </c>
      <c r="U117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1576.32</v>
      </c>
      <c r="V1175">
        <v>1890</v>
      </c>
      <c r="W1175">
        <v>3780</v>
      </c>
      <c r="X117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3780</v>
      </c>
      <c r="Y1175">
        <f>IF(Transaction[[#This Row],[GrossRevenue_Check]]="Invalid",Transaction[[#This Row],[ListPrice]]*Transaction[[#This Row],[Quantity]],Transaction[[#This Row],[GrossRevenue_Clean]])</f>
        <v>3780</v>
      </c>
      <c r="Z1175" t="str">
        <f>IF(Transaction[[#This Row],[GrossRevenue_Clean]]=Transaction[[#This Row],[ListPrice]]*Transaction[[#This Row],[Quantity]],"Valid","Invalid")</f>
        <v>Valid</v>
      </c>
      <c r="AA1175">
        <v>627.36</v>
      </c>
      <c r="AB117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627.36</v>
      </c>
      <c r="AC1175">
        <f>IF(Transaction[[#This Row],[DiscountAmount_Check2]]="Invalid",Transaction[[#This Row],[GrossRevenue_Analytical]]-Transaction[[#This Row],[NetRevenue_Analytical]],Transaction[[#This Row],[DiscountAmount_Clean]])</f>
        <v>627.36</v>
      </c>
      <c r="AD1175" t="s">
        <v>448</v>
      </c>
      <c r="AE1175" t="str">
        <f>IF(ROUND(Transaction[[#This Row],[GrossRevenue_Analytical]]-Transaction[[#This Row],[NetRevenue_Analytical]],2)=ROUND(Transaction[[#This Row],[DiscountAmount_Clean]],2),"Valid","Invalid")</f>
        <v>Valid</v>
      </c>
      <c r="AF117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3152.64</v>
      </c>
      <c r="AG1175">
        <f>IF(Transaction[[#This Row],[NetRevenue_Check]]="Invalid",(Transaction[[#This Row],[Quantity]]*Transaction[[#This Row],[UnitPrice_Clean]]),Transaction[[#This Row],[NetRevenue_Clean]])</f>
        <v>3152.64</v>
      </c>
      <c r="AH1175" t="str">
        <f>IF(Transaction[[#This Row],[Quantity]]*Transaction[[#This Row],[UnitPrice_Clean]]=Transaction[[#This Row],[NetRevenue_Clean]],"Valid","Invalid")</f>
        <v>Valid</v>
      </c>
      <c r="AI1175" t="s">
        <v>23</v>
      </c>
      <c r="AJ1175" t="s">
        <v>449</v>
      </c>
      <c r="AK1175" t="str">
        <f>IF(Transaction[[#This Row],[Salesperson]]="","Missing Value",TRIM(PROPER(Transaction[[#This Row],[Salesperson]])))</f>
        <v>Flores-Em</v>
      </c>
      <c r="AL1175" t="s">
        <v>42</v>
      </c>
      <c r="AM1175" t="str">
        <f>IF(Transaction[[#This Row],[ContractType]]="","Missing Value",Transaction[[#This Row],[ContractType]])</f>
        <v>Standard PO</v>
      </c>
      <c r="AN1175" t="s">
        <v>49</v>
      </c>
    </row>
    <row r="1176" spans="1:40" x14ac:dyDescent="0.25">
      <c r="A1176" t="s">
        <v>309</v>
      </c>
      <c r="B1176" t="s">
        <v>310</v>
      </c>
      <c r="C117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117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04</v>
      </c>
      <c r="E117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76" s="2">
        <f>IFERROR(DATE(Transaction[[#This Row],[TransactionDateY]],Transaction[[#This Row],[TransactionDateM]],Transaction[[#This Row],[TransactionDateD]]),"Missing Value")</f>
        <v>45720</v>
      </c>
      <c r="G1176" t="s">
        <v>262</v>
      </c>
      <c r="H1176" t="str">
        <f>IFERROR(VLOOKUP(Transaction[[#This Row],[CustomerID]],Custumer[],1,0),IF(LEN(Transaction[[#This Row],[CustomerID]])=7,LEFT(Transaction[[#This Row],[CustomerID]],6),"Invalid ID"))</f>
        <v>C-1148</v>
      </c>
      <c r="I1176" t="s">
        <v>39</v>
      </c>
      <c r="J1176" t="str">
        <f>TRIM(UPPER(Transaction[[#This Row],[ProductID]]))</f>
        <v>P-FS-006</v>
      </c>
      <c r="K1176" t="str">
        <f>IFERROR(VLOOKUP(Transaction[[#This Row],[ProductID_Clean]],Product[],1,FALSE),"Invalid ID")</f>
        <v>P-FS-006</v>
      </c>
      <c r="L1176" t="str">
        <f>TRIM(SUBSTITUTE(SUBSTITUTE(SUBSTITUTE(SUBSTITUTE(UPPER(Transaction[[#This Row],[Region]]),"EMEA REGION","EMEA"),"APAC REGION","APAC"),"NORTH AMERICA","N. AMERICA"),"N .AMERICA","N.AMERICA"))</f>
        <v>N. AMERICA</v>
      </c>
      <c r="M1176" t="s">
        <v>20</v>
      </c>
      <c r="N1176" t="s">
        <v>21</v>
      </c>
      <c r="O117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176" t="s">
        <v>22</v>
      </c>
      <c r="Q1176" t="str">
        <f>IF(TRIM(Transaction[[#This Row],[SalesChannel]])="","Missing Value",TRIM(Transaction[[#This Row],[SalesChannel]]))</f>
        <v>Direct</v>
      </c>
      <c r="R1176" s="4">
        <v>1</v>
      </c>
      <c r="S1176" s="4" t="str">
        <f>IF(Transaction[[#This Row],[Quantity]]&lt;0,"Negative-review","Valid")</f>
        <v>Valid</v>
      </c>
      <c r="T1176">
        <v>1457.57</v>
      </c>
      <c r="U117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1457.57</v>
      </c>
      <c r="V1176">
        <v>1450</v>
      </c>
      <c r="W1176">
        <v>1450</v>
      </c>
      <c r="X117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1176">
        <f>IF(Transaction[[#This Row],[GrossRevenue_Check]]="Invalid",Transaction[[#This Row],[ListPrice]]*Transaction[[#This Row],[Quantity]],Transaction[[#This Row],[GrossRevenue_Clean]])</f>
        <v>1450</v>
      </c>
      <c r="Z1176" t="str">
        <f>IF(Transaction[[#This Row],[GrossRevenue_Clean]]=Transaction[[#This Row],[ListPrice]]*Transaction[[#This Row],[Quantity]],"Valid","Invalid")</f>
        <v>Valid</v>
      </c>
      <c r="AA1176" t="s">
        <v>311</v>
      </c>
      <c r="AB117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-7.57</v>
      </c>
      <c r="AC1176">
        <f>IF(Transaction[[#This Row],[DiscountAmount_Check2]]="Invalid",Transaction[[#This Row],[GrossRevenue_Analytical]]-Transaction[[#This Row],[NetRevenue_Analytical]],Transaction[[#This Row],[DiscountAmount_Clean]])</f>
        <v>-7.57</v>
      </c>
      <c r="AD1176">
        <v>1457.57</v>
      </c>
      <c r="AE1176" t="str">
        <f>IF(ROUND(Transaction[[#This Row],[GrossRevenue_Analytical]]-Transaction[[#This Row],[NetRevenue_Analytical]],2)=ROUND(Transaction[[#This Row],[DiscountAmount_Clean]],2),"Valid","Invalid")</f>
        <v>Valid</v>
      </c>
      <c r="AF117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1457.57</v>
      </c>
      <c r="AG1176">
        <f>IF(Transaction[[#This Row],[NetRevenue_Check]]="Invalid",(Transaction[[#This Row],[Quantity]]*Transaction[[#This Row],[UnitPrice_Clean]]),Transaction[[#This Row],[NetRevenue_Clean]])</f>
        <v>1457.57</v>
      </c>
      <c r="AH1176" t="str">
        <f>IF(Transaction[[#This Row],[Quantity]]*Transaction[[#This Row],[UnitPrice_Clean]]=Transaction[[#This Row],[NetRevenue_Clean]],"Valid","Invalid")</f>
        <v>Valid</v>
      </c>
      <c r="AI1176" t="s">
        <v>23</v>
      </c>
      <c r="AJ1176" t="s">
        <v>312</v>
      </c>
      <c r="AK1176" t="str">
        <f>IF(Transaction[[#This Row],[Salesperson]]="","Missing Value",TRIM(PROPER(Transaction[[#This Row],[Salesperson]])))</f>
        <v>Navarro</v>
      </c>
      <c r="AL1176" t="s">
        <v>25</v>
      </c>
      <c r="AM1176" t="str">
        <f>IF(Transaction[[#This Row],[ContractType]]="","Missing Value",Transaction[[#This Row],[ContractType]])</f>
        <v>Frame Agreement</v>
      </c>
      <c r="AN1176" t="s">
        <v>65</v>
      </c>
    </row>
    <row r="1177" spans="1:40" x14ac:dyDescent="0.25">
      <c r="A1177" t="s">
        <v>1351</v>
      </c>
      <c r="B1177" s="1">
        <v>45754</v>
      </c>
      <c r="C117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17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117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77" s="2">
        <f>IFERROR(DATE(Transaction[[#This Row],[TransactionDateY]],Transaction[[#This Row],[TransactionDateM]],Transaction[[#This Row],[TransactionDateD]]),"Missing Value")</f>
        <v>45754</v>
      </c>
      <c r="G1177" t="s">
        <v>919</v>
      </c>
      <c r="H1177" t="str">
        <f>IFERROR(VLOOKUP(Transaction[[#This Row],[CustomerID]],Custumer[],1,0),IF(LEN(Transaction[[#This Row],[CustomerID]])=7,LEFT(Transaction[[#This Row],[CustomerID]],6),"Invalid ID"))</f>
        <v>C-1047</v>
      </c>
      <c r="I1177" t="s">
        <v>111</v>
      </c>
      <c r="J1177" t="str">
        <f>TRIM(UPPER(Transaction[[#This Row],[ProductID]]))</f>
        <v>P-SA-004</v>
      </c>
      <c r="K1177" t="str">
        <f>IFERROR(VLOOKUP(Transaction[[#This Row],[ProductID_Clean]],Product[],1,FALSE),"Invalid ID")</f>
        <v>P-SA-004</v>
      </c>
      <c r="L1177" t="str">
        <f>TRIM(SUBSTITUTE(SUBSTITUTE(SUBSTITUTE(SUBSTITUTE(UPPER(Transaction[[#This Row],[Region]]),"EMEA REGION","EMEA"),"APAC REGION","APAC"),"NORTH AMERICA","N. AMERICA"),"N .AMERICA","N.AMERICA"))</f>
        <v>EMEA</v>
      </c>
      <c r="M1177" t="s">
        <v>76</v>
      </c>
      <c r="N1177" t="s">
        <v>205</v>
      </c>
      <c r="O117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77" t="s">
        <v>22</v>
      </c>
      <c r="Q1177" t="str">
        <f>IF(TRIM(Transaction[[#This Row],[SalesChannel]])="","Missing Value",TRIM(Transaction[[#This Row],[SalesChannel]]))</f>
        <v>Direct</v>
      </c>
      <c r="R1177" s="4">
        <v>1</v>
      </c>
      <c r="S1177" s="4" t="str">
        <f>IF(Transaction[[#This Row],[Quantity]]&lt;0,"Negative-review","Valid")</f>
        <v>Valid</v>
      </c>
      <c r="T1177">
        <v>1509.14</v>
      </c>
      <c r="U117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1509.14</v>
      </c>
      <c r="V1177">
        <v>1650</v>
      </c>
      <c r="W1177">
        <v>1650</v>
      </c>
      <c r="X117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177">
        <f>IF(Transaction[[#This Row],[GrossRevenue_Check]]="Invalid",Transaction[[#This Row],[ListPrice]]*Transaction[[#This Row],[Quantity]],Transaction[[#This Row],[GrossRevenue_Clean]])</f>
        <v>1650</v>
      </c>
      <c r="Z1177" t="str">
        <f>IF(Transaction[[#This Row],[GrossRevenue_Clean]]=Transaction[[#This Row],[ListPrice]]*Transaction[[#This Row],[Quantity]],"Valid","Invalid")</f>
        <v>Valid</v>
      </c>
      <c r="AA1177">
        <v>140.86000000000001</v>
      </c>
      <c r="AB117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140.86000000000001</v>
      </c>
      <c r="AC1177">
        <f>IF(Transaction[[#This Row],[DiscountAmount_Check2]]="Invalid",Transaction[[#This Row],[GrossRevenue_Analytical]]-Transaction[[#This Row],[NetRevenue_Analytical]],Transaction[[#This Row],[DiscountAmount_Clean]])</f>
        <v>140.86000000000001</v>
      </c>
      <c r="AD1177">
        <v>1509.14</v>
      </c>
      <c r="AE1177" t="str">
        <f>IF(ROUND(Transaction[[#This Row],[GrossRevenue_Analytical]]-Transaction[[#This Row],[NetRevenue_Analytical]],2)=ROUND(Transaction[[#This Row],[DiscountAmount_Clean]],2),"Valid","Invalid")</f>
        <v>Valid</v>
      </c>
      <c r="AF117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1509.14</v>
      </c>
      <c r="AG1177">
        <f>IF(Transaction[[#This Row],[NetRevenue_Check]]="Invalid",(Transaction[[#This Row],[Quantity]]*Transaction[[#This Row],[UnitPrice_Clean]]),Transaction[[#This Row],[NetRevenue_Clean]])</f>
        <v>1509.14</v>
      </c>
      <c r="AH1177" t="str">
        <f>IF(Transaction[[#This Row],[Quantity]]*Transaction[[#This Row],[UnitPrice_Clean]]=Transaction[[#This Row],[NetRevenue_Clean]],"Valid","Invalid")</f>
        <v>Valid</v>
      </c>
      <c r="AI1177" t="s">
        <v>99</v>
      </c>
      <c r="AJ1177" t="s">
        <v>1352</v>
      </c>
      <c r="AK1177" t="str">
        <f>IF(Transaction[[#This Row],[Salesperson]]="","Missing Value",TRIM(PROPER(Transaction[[#This Row],[Salesperson]])))</f>
        <v>Chen</v>
      </c>
      <c r="AL1177" t="s">
        <v>34</v>
      </c>
      <c r="AM1177" t="str">
        <f>IF(Transaction[[#This Row],[ContractType]]="","Missing Value",Transaction[[#This Row],[ContractType]])</f>
        <v>Annual License</v>
      </c>
      <c r="AN1177" t="s">
        <v>26</v>
      </c>
    </row>
    <row r="1178" spans="1:40" x14ac:dyDescent="0.25">
      <c r="A1178" t="s">
        <v>726</v>
      </c>
      <c r="B1178" t="s">
        <v>727</v>
      </c>
      <c r="C117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17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117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78" s="2">
        <f>IFERROR(DATE(Transaction[[#This Row],[TransactionDateY]],Transaction[[#This Row],[TransactionDateM]],Transaction[[#This Row],[TransactionDateD]]),"Missing Value")</f>
        <v>45758</v>
      </c>
      <c r="G1178" t="s">
        <v>208</v>
      </c>
      <c r="H1178" t="str">
        <f>IFERROR(VLOOKUP(Transaction[[#This Row],[CustomerID]],Custumer[],1,0),IF(LEN(Transaction[[#This Row],[CustomerID]])=7,LEFT(Transaction[[#This Row],[CustomerID]],6),"Invalid ID"))</f>
        <v>C-1076</v>
      </c>
      <c r="I1178" t="s">
        <v>121</v>
      </c>
      <c r="J1178" t="str">
        <f>TRIM(UPPER(Transaction[[#This Row],[ProductID]]))</f>
        <v>P-FS-001</v>
      </c>
      <c r="K1178" t="str">
        <f>IFERROR(VLOOKUP(Transaction[[#This Row],[ProductID_Clean]],Product[],1,FALSE),"Invalid ID")</f>
        <v>P-FS-001</v>
      </c>
      <c r="L1178" t="str">
        <f>TRIM(SUBSTITUTE(SUBSTITUTE(SUBSTITUTE(SUBSTITUTE(UPPER(Transaction[[#This Row],[Region]]),"EMEA REGION","EMEA"),"APAC REGION","APAC"),"NORTH AMERICA","N. AMERICA"),"N .AMERICA","N.AMERICA"))</f>
        <v>APAC</v>
      </c>
      <c r="M1178" t="s">
        <v>30</v>
      </c>
      <c r="N1178" t="s">
        <v>244</v>
      </c>
      <c r="O1178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178" t="s">
        <v>40</v>
      </c>
      <c r="Q1178" t="str">
        <f>IF(TRIM(Transaction[[#This Row],[SalesChannel]])="","Missing Value",TRIM(Transaction[[#This Row],[SalesChannel]]))</f>
        <v>Distributor</v>
      </c>
      <c r="R1178" s="4">
        <v>1</v>
      </c>
      <c r="S1178" s="4" t="str">
        <f>IF(Transaction[[#This Row],[Quantity]]&lt;0,"Negative-review","Valid")</f>
        <v>Valid</v>
      </c>
      <c r="T1178">
        <v>1337.57</v>
      </c>
      <c r="U117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1337.57</v>
      </c>
      <c r="V1178">
        <v>1850</v>
      </c>
      <c r="W1178">
        <v>1850</v>
      </c>
      <c r="X117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1178">
        <f>IF(Transaction[[#This Row],[GrossRevenue_Check]]="Invalid",Transaction[[#This Row],[ListPrice]]*Transaction[[#This Row],[Quantity]],Transaction[[#This Row],[GrossRevenue_Clean]])</f>
        <v>1850</v>
      </c>
      <c r="Z1178" t="str">
        <f>IF(Transaction[[#This Row],[GrossRevenue_Clean]]=Transaction[[#This Row],[ListPrice]]*Transaction[[#This Row],[Quantity]],"Valid","Invalid")</f>
        <v>Valid</v>
      </c>
      <c r="AA1178">
        <v>512.42999999999995</v>
      </c>
      <c r="AB117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512.42999999999995</v>
      </c>
      <c r="AC1178">
        <f>IF(Transaction[[#This Row],[DiscountAmount_Check2]]="Invalid",Transaction[[#This Row],[GrossRevenue_Analytical]]-Transaction[[#This Row],[NetRevenue_Analytical]],Transaction[[#This Row],[DiscountAmount_Clean]])</f>
        <v>512.42999999999995</v>
      </c>
      <c r="AD1178">
        <v>1337.57</v>
      </c>
      <c r="AE1178" t="str">
        <f>IF(ROUND(Transaction[[#This Row],[GrossRevenue_Analytical]]-Transaction[[#This Row],[NetRevenue_Analytical]],2)=ROUND(Transaction[[#This Row],[DiscountAmount_Clean]],2),"Valid","Invalid")</f>
        <v>Valid</v>
      </c>
      <c r="AF117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1337.57</v>
      </c>
      <c r="AG1178">
        <f>IF(Transaction[[#This Row],[NetRevenue_Check]]="Invalid",(Transaction[[#This Row],[Quantity]]*Transaction[[#This Row],[UnitPrice_Clean]]),Transaction[[#This Row],[NetRevenue_Clean]])</f>
        <v>1337.57</v>
      </c>
      <c r="AH1178" t="str">
        <f>IF(Transaction[[#This Row],[Quantity]]*Transaction[[#This Row],[UnitPrice_Clean]]=Transaction[[#This Row],[NetRevenue_Clean]],"Valid","Invalid")</f>
        <v>Valid</v>
      </c>
      <c r="AI1178" t="s">
        <v>23</v>
      </c>
      <c r="AJ1178" t="s">
        <v>728</v>
      </c>
      <c r="AK1178" t="str">
        <f>IF(Transaction[[#This Row],[Salesperson]]="","Missing Value",TRIM(PROPER(Transaction[[#This Row],[Salesperson]])))</f>
        <v>Faulkner</v>
      </c>
      <c r="AL1178" t="s">
        <v>42</v>
      </c>
      <c r="AM1178" t="str">
        <f>IF(Transaction[[#This Row],[ContractType]]="","Missing Value",Transaction[[#This Row],[ContractType]])</f>
        <v>Standard PO</v>
      </c>
      <c r="AN1178" t="s">
        <v>49</v>
      </c>
    </row>
    <row r="1179" spans="1:40" x14ac:dyDescent="0.25">
      <c r="A1179" t="s">
        <v>2357</v>
      </c>
      <c r="B1179" t="s">
        <v>2358</v>
      </c>
      <c r="C117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117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117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79" s="2">
        <f>IFERROR(DATE(Transaction[[#This Row],[TransactionDateY]],Transaction[[#This Row],[TransactionDateM]],Transaction[[#This Row],[TransactionDateD]]),"Missing Value")</f>
        <v>45687</v>
      </c>
      <c r="G1179" t="s">
        <v>208</v>
      </c>
      <c r="H1179" t="str">
        <f>IFERROR(VLOOKUP(Transaction[[#This Row],[CustomerID]],Custumer[],1,0),IF(LEN(Transaction[[#This Row],[CustomerID]])=7,LEFT(Transaction[[#This Row],[CustomerID]],6),"Invalid ID"))</f>
        <v>C-1076</v>
      </c>
      <c r="I1179" t="s">
        <v>58</v>
      </c>
      <c r="J1179" t="str">
        <f>TRIM(UPPER(Transaction[[#This Row],[ProductID]]))</f>
        <v>P-SI-005</v>
      </c>
      <c r="K1179" t="str">
        <f>IFERROR(VLOOKUP(Transaction[[#This Row],[ProductID_Clean]],Product[],1,FALSE),"Invalid ID")</f>
        <v>P-SI-005</v>
      </c>
      <c r="L1179" t="str">
        <f>TRIM(SUBSTITUTE(SUBSTITUTE(SUBSTITUTE(SUBSTITUTE(UPPER(Transaction[[#This Row],[Region]]),"EMEA REGION","EMEA"),"APAC REGION","APAC"),"NORTH AMERICA","N. AMERICA"),"N .AMERICA","N.AMERICA"))</f>
        <v>APAC</v>
      </c>
      <c r="M1179" t="s">
        <v>63</v>
      </c>
      <c r="N1179" t="s">
        <v>47</v>
      </c>
      <c r="O117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79" t="s">
        <v>40</v>
      </c>
      <c r="Q1179" t="str">
        <f>IF(TRIM(Transaction[[#This Row],[SalesChannel]])="","Missing Value",TRIM(Transaction[[#This Row],[SalesChannel]]))</f>
        <v>Distributor</v>
      </c>
      <c r="R1179" s="4">
        <v>10</v>
      </c>
      <c r="S1179" s="4" t="str">
        <f>IF(Transaction[[#This Row],[Quantity]]&lt;0,"Negative-review","Valid")</f>
        <v>Valid</v>
      </c>
      <c r="T1179">
        <v>796.49</v>
      </c>
      <c r="U117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796.49</v>
      </c>
      <c r="V1179">
        <v>1120</v>
      </c>
      <c r="W1179">
        <v>11200</v>
      </c>
      <c r="X117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11200</v>
      </c>
      <c r="Y1179">
        <f>IF(Transaction[[#This Row],[GrossRevenue_Check]]="Invalid",Transaction[[#This Row],[ListPrice]]*Transaction[[#This Row],[Quantity]],Transaction[[#This Row],[GrossRevenue_Clean]])</f>
        <v>11200</v>
      </c>
      <c r="Z1179" t="str">
        <f>IF(Transaction[[#This Row],[GrossRevenue_Clean]]=Transaction[[#This Row],[ListPrice]]*Transaction[[#This Row],[Quantity]],"Valid","Invalid")</f>
        <v>Valid</v>
      </c>
      <c r="AA1179" t="s">
        <v>2359</v>
      </c>
      <c r="AB117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3235.1</v>
      </c>
      <c r="AC1179">
        <f>IF(Transaction[[#This Row],[DiscountAmount_Check2]]="Invalid",Transaction[[#This Row],[GrossRevenue_Analytical]]-Transaction[[#This Row],[NetRevenue_Analytical]],Transaction[[#This Row],[DiscountAmount_Clean]])</f>
        <v>3235.1</v>
      </c>
      <c r="AD1179">
        <v>7964.9</v>
      </c>
      <c r="AE1179" t="str">
        <f>IF(ROUND(Transaction[[#This Row],[GrossRevenue_Analytical]]-Transaction[[#This Row],[NetRevenue_Analytical]],2)=ROUND(Transaction[[#This Row],[DiscountAmount_Clean]],2),"Valid","Invalid")</f>
        <v>Valid</v>
      </c>
      <c r="AF1179">
        <f>VALUE(IF(ISNUMBER(Transaction[[#This Row],[NetRevenue]]),Transaction[[#This Row],[NetRevenue]],IFERROR(IF(FIND("$",Transaction[[#This Row],[NetRevenue]])&gt;0,MID(Transaction[[#This Row],[NetRevenue]],2,10)),Transaction[[#This Row],[NetRevenue]])))</f>
        <v>7964.9</v>
      </c>
      <c r="AG1179">
        <f>IF(Transaction[[#This Row],[NetRevenue_Check]]="Invalid",(Transaction[[#This Row],[Quantity]]*Transaction[[#This Row],[UnitPrice_Clean]]),Transaction[[#This Row],[NetRevenue_Clean]])</f>
        <v>7964.9</v>
      </c>
      <c r="AH1179" t="str">
        <f>IF(Transaction[[#This Row],[Quantity]]*Transaction[[#This Row],[UnitPrice_Clean]]=Transaction[[#This Row],[NetRevenue_Clean]],"Valid","Invalid")</f>
        <v>Valid</v>
      </c>
      <c r="AI1179" t="s">
        <v>23</v>
      </c>
      <c r="AJ1179" t="s">
        <v>2360</v>
      </c>
      <c r="AK1179" t="str">
        <f>IF(Transaction[[#This Row],[Salesperson]]="","Missing Value",TRIM(PROPER(Transaction[[#This Row],[Salesperson]])))</f>
        <v>Casey</v>
      </c>
      <c r="AL1179" t="s">
        <v>55</v>
      </c>
      <c r="AM1179" t="str">
        <f>IF(Transaction[[#This Row],[ContractType]]="","Missing Value",Transaction[[#This Row],[ContractType]])</f>
        <v>Spot</v>
      </c>
      <c r="AN1179" t="s">
        <v>49</v>
      </c>
    </row>
    <row r="1180" spans="1:40" x14ac:dyDescent="0.25">
      <c r="A1180" t="s">
        <v>2456</v>
      </c>
      <c r="B1180" s="1">
        <v>45809</v>
      </c>
      <c r="C118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18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118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80" s="2">
        <f>IFERROR(DATE(Transaction[[#This Row],[TransactionDateY]],Transaction[[#This Row],[TransactionDateM]],Transaction[[#This Row],[TransactionDateD]]),"Missing Value")</f>
        <v>45809</v>
      </c>
      <c r="G1180" t="s">
        <v>470</v>
      </c>
      <c r="H1180" t="str">
        <f>IFERROR(VLOOKUP(Transaction[[#This Row],[CustomerID]],Custumer[],1,0),IF(LEN(Transaction[[#This Row],[CustomerID]])=7,LEFT(Transaction[[#This Row],[CustomerID]],6),"Invalid ID"))</f>
        <v>C-1151</v>
      </c>
      <c r="I1180" t="s">
        <v>46</v>
      </c>
      <c r="J1180" t="str">
        <f>TRIM(UPPER(Transaction[[#This Row],[ProductID]]))</f>
        <v>P-SI-006</v>
      </c>
      <c r="K1180" t="str">
        <f>IFERROR(VLOOKUP(Transaction[[#This Row],[ProductID_Clean]],Product[],1,FALSE),"Invalid ID")</f>
        <v>P-SI-006</v>
      </c>
      <c r="L1180" t="str">
        <f>TRIM(SUBSTITUTE(SUBSTITUTE(SUBSTITUTE(SUBSTITUTE(UPPER(Transaction[[#This Row],[Region]]),"EMEA REGION","EMEA"),"APAC REGION","APAC"),"NORTH AMERICA","N. AMERICA"),"N .AMERICA","N.AMERICA"))</f>
        <v>LATIN AMERICA</v>
      </c>
      <c r="M1180" t="s">
        <v>82</v>
      </c>
      <c r="N1180" t="s">
        <v>53</v>
      </c>
      <c r="O118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80" t="s">
        <v>22</v>
      </c>
      <c r="Q1180" t="str">
        <f>IF(TRIM(Transaction[[#This Row],[SalesChannel]])="","Missing Value",TRIM(Transaction[[#This Row],[SalesChannel]]))</f>
        <v>Direct</v>
      </c>
      <c r="R1180" s="4">
        <v>1</v>
      </c>
      <c r="S1180" s="4" t="str">
        <f>IF(Transaction[[#This Row],[Quantity]]&lt;0,"Negative-review","Valid")</f>
        <v>Valid</v>
      </c>
      <c r="T1180" t="s">
        <v>2457</v>
      </c>
      <c r="U118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184.56</v>
      </c>
      <c r="V1180">
        <v>215</v>
      </c>
      <c r="W1180">
        <v>215</v>
      </c>
      <c r="X118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1180">
        <f>IF(Transaction[[#This Row],[GrossRevenue_Check]]="Invalid",Transaction[[#This Row],[ListPrice]]*Transaction[[#This Row],[Quantity]],Transaction[[#This Row],[GrossRevenue_Clean]])</f>
        <v>215</v>
      </c>
      <c r="Z1180" t="str">
        <f>IF(Transaction[[#This Row],[GrossRevenue_Clean]]=Transaction[[#This Row],[ListPrice]]*Transaction[[#This Row],[Quantity]],"Valid","Invalid")</f>
        <v>Valid</v>
      </c>
      <c r="AA1180">
        <v>30.44</v>
      </c>
      <c r="AB118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30.44</v>
      </c>
      <c r="AC1180">
        <f>IF(Transaction[[#This Row],[DiscountAmount_Check2]]="Invalid",Transaction[[#This Row],[GrossRevenue_Analytical]]-Transaction[[#This Row],[NetRevenue_Analytical]],Transaction[[#This Row],[DiscountAmount_Clean]])</f>
        <v>30.44</v>
      </c>
      <c r="AD1180">
        <v>184.56</v>
      </c>
      <c r="AE1180" t="str">
        <f>IF(ROUND(Transaction[[#This Row],[GrossRevenue_Analytical]]-Transaction[[#This Row],[NetRevenue_Analytical]],2)=ROUND(Transaction[[#This Row],[DiscountAmount_Clean]],2),"Valid","Invalid")</f>
        <v>Valid</v>
      </c>
      <c r="AF118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184.56</v>
      </c>
      <c r="AG1180">
        <f>IF(Transaction[[#This Row],[NetRevenue_Check]]="Invalid",(Transaction[[#This Row],[Quantity]]*Transaction[[#This Row],[UnitPrice_Clean]]),Transaction[[#This Row],[NetRevenue_Clean]])</f>
        <v>184.56</v>
      </c>
      <c r="AH1180" t="str">
        <f>IF(Transaction[[#This Row],[Quantity]]*Transaction[[#This Row],[UnitPrice_Clean]]=Transaction[[#This Row],[NetRevenue_Clean]],"Valid","Invalid")</f>
        <v>Valid</v>
      </c>
      <c r="AI1180" t="s">
        <v>23</v>
      </c>
      <c r="AK1180" t="str">
        <f>IF(Transaction[[#This Row],[Salesperson]]="","Missing Value",TRIM(PROPER(Transaction[[#This Row],[Salesperson]])))</f>
        <v>Missing Value</v>
      </c>
      <c r="AL1180" t="s">
        <v>55</v>
      </c>
      <c r="AM1180" t="str">
        <f>IF(Transaction[[#This Row],[ContractType]]="","Missing Value",Transaction[[#This Row],[ContractType]])</f>
        <v>Spot</v>
      </c>
      <c r="AN1180" t="s">
        <v>49</v>
      </c>
    </row>
    <row r="1181" spans="1:40" x14ac:dyDescent="0.25">
      <c r="A1181" t="s">
        <v>2938</v>
      </c>
      <c r="B1181" s="1">
        <v>45704</v>
      </c>
      <c r="C118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18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16</v>
      </c>
      <c r="E118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81" s="2">
        <f>IFERROR(DATE(Transaction[[#This Row],[TransactionDateY]],Transaction[[#This Row],[TransactionDateM]],Transaction[[#This Row],[TransactionDateD]]),"Missing Value")</f>
        <v>45704</v>
      </c>
      <c r="G1181" t="s">
        <v>262</v>
      </c>
      <c r="H1181" t="str">
        <f>IFERROR(VLOOKUP(Transaction[[#This Row],[CustomerID]],Custumer[],1,0),IF(LEN(Transaction[[#This Row],[CustomerID]])=7,LEFT(Transaction[[#This Row],[CustomerID]],6),"Invalid ID"))</f>
        <v>C-1148</v>
      </c>
      <c r="I1181" t="s">
        <v>117</v>
      </c>
      <c r="J1181" t="str">
        <f>TRIM(UPPER(Transaction[[#This Row],[ProductID]]))</f>
        <v>P-SI-007</v>
      </c>
      <c r="K1181" t="str">
        <f>IFERROR(VLOOKUP(Transaction[[#This Row],[ProductID_Clean]],Product[],1,FALSE),"Invalid ID")</f>
        <v>P-SI-007</v>
      </c>
      <c r="L1181" t="str">
        <f>TRIM(SUBSTITUTE(SUBSTITUTE(SUBSTITUTE(SUBSTITUTE(UPPER(Transaction[[#This Row],[Region]]),"EMEA REGION","EMEA"),"APAC REGION","APAC"),"NORTH AMERICA","N. AMERICA"),"N .AMERICA","N.AMERICA"))</f>
        <v>N. AMERICA</v>
      </c>
      <c r="M1181" t="s">
        <v>20</v>
      </c>
      <c r="N1181" t="s">
        <v>816</v>
      </c>
      <c r="O118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81" t="s">
        <v>181</v>
      </c>
      <c r="Q1181" t="str">
        <f>IF(TRIM(Transaction[[#This Row],[SalesChannel]])="","Missing Value",TRIM(Transaction[[#This Row],[SalesChannel]]))</f>
        <v>Partner Portal</v>
      </c>
      <c r="R1181" s="4">
        <v>3</v>
      </c>
      <c r="S1181" s="4" t="str">
        <f>IF(Transaction[[#This Row],[Quantity]]&lt;0,"Negative-review","Valid")</f>
        <v>Valid</v>
      </c>
      <c r="T1181">
        <v>842.03</v>
      </c>
      <c r="U118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842.03</v>
      </c>
      <c r="V1181">
        <v>980</v>
      </c>
      <c r="W1181">
        <v>2940</v>
      </c>
      <c r="X118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2940</v>
      </c>
      <c r="Y1181">
        <f>IF(Transaction[[#This Row],[GrossRevenue_Check]]="Invalid",Transaction[[#This Row],[ListPrice]]*Transaction[[#This Row],[Quantity]],Transaction[[#This Row],[GrossRevenue_Clean]])</f>
        <v>2940</v>
      </c>
      <c r="Z1181" t="str">
        <f>IF(Transaction[[#This Row],[GrossRevenue_Clean]]=Transaction[[#This Row],[ListPrice]]*Transaction[[#This Row],[Quantity]],"Valid","Invalid")</f>
        <v>Valid</v>
      </c>
      <c r="AA1181">
        <v>413.91</v>
      </c>
      <c r="AB118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413.91</v>
      </c>
      <c r="AC1181">
        <f>IF(Transaction[[#This Row],[DiscountAmount_Check2]]="Invalid",Transaction[[#This Row],[GrossRevenue_Analytical]]-Transaction[[#This Row],[NetRevenue_Analytical]],Transaction[[#This Row],[DiscountAmount_Clean]])</f>
        <v>413.91</v>
      </c>
      <c r="AD1181">
        <v>2526.09</v>
      </c>
      <c r="AE1181" t="str">
        <f>IF(ROUND(Transaction[[#This Row],[GrossRevenue_Analytical]]-Transaction[[#This Row],[NetRevenue_Analytical]],2)=ROUND(Transaction[[#This Row],[DiscountAmount_Clean]],2),"Valid","Invalid")</f>
        <v>Valid</v>
      </c>
      <c r="AF118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2526.09</v>
      </c>
      <c r="AG1181">
        <f>IF(Transaction[[#This Row],[NetRevenue_Check]]="Invalid",(Transaction[[#This Row],[Quantity]]*Transaction[[#This Row],[UnitPrice_Clean]]),Transaction[[#This Row],[NetRevenue_Clean]])</f>
        <v>2526.09</v>
      </c>
      <c r="AH1181" t="str">
        <f>IF(Transaction[[#This Row],[Quantity]]*Transaction[[#This Row],[UnitPrice_Clean]]=Transaction[[#This Row],[NetRevenue_Clean]],"Valid","Invalid")</f>
        <v>Valid</v>
      </c>
      <c r="AI1181" t="s">
        <v>23</v>
      </c>
      <c r="AJ1181" t="s">
        <v>2224</v>
      </c>
      <c r="AK1181" t="str">
        <f>IF(Transaction[[#This Row],[Salesperson]]="","Missing Value",TRIM(PROPER(Transaction[[#This Row],[Salesperson]])))</f>
        <v>Ramirez-Ap</v>
      </c>
      <c r="AL1181" t="s">
        <v>42</v>
      </c>
      <c r="AM1181" t="str">
        <f>IF(Transaction[[#This Row],[ContractType]]="","Missing Value",Transaction[[#This Row],[ContractType]])</f>
        <v>Standard PO</v>
      </c>
      <c r="AN1181" t="s">
        <v>65</v>
      </c>
    </row>
    <row r="1182" spans="1:40" x14ac:dyDescent="0.25">
      <c r="A1182" t="s">
        <v>2147</v>
      </c>
      <c r="B1182" s="1">
        <v>45651</v>
      </c>
      <c r="C118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12</v>
      </c>
      <c r="D118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118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2024</v>
      </c>
      <c r="F1182" s="2">
        <f>IFERROR(DATE(Transaction[[#This Row],[TransactionDateY]],Transaction[[#This Row],[TransactionDateM]],Transaction[[#This Row],[TransactionDateD]]),"Missing Value")</f>
        <v>45651</v>
      </c>
      <c r="G1182" t="s">
        <v>38</v>
      </c>
      <c r="H1182" t="str">
        <f>IFERROR(VLOOKUP(Transaction[[#This Row],[CustomerID]],Custumer[],1,0),IF(LEN(Transaction[[#This Row],[CustomerID]])=7,LEFT(Transaction[[#This Row],[CustomerID]],6),"Invalid ID"))</f>
        <v>C-1027</v>
      </c>
      <c r="I1182" t="s">
        <v>1764</v>
      </c>
      <c r="J1182" t="str">
        <f>TRIM(UPPER(Transaction[[#This Row],[ProductID]]))</f>
        <v>P-SI-008</v>
      </c>
      <c r="K1182" t="str">
        <f>IFERROR(VLOOKUP(Transaction[[#This Row],[ProductID_Clean]],Product[],1,FALSE),"Invalid ID")</f>
        <v>P-SI-008</v>
      </c>
      <c r="L1182" t="str">
        <f>TRIM(SUBSTITUTE(SUBSTITUTE(SUBSTITUTE(SUBSTITUTE(UPPER(Transaction[[#This Row],[Region]]),"EMEA REGION","EMEA"),"APAC REGION","APAC"),"NORTH AMERICA","N. AMERICA"),"N .AMERICA","N.AMERICA"))</f>
        <v>N. AMERICA</v>
      </c>
      <c r="M1182" t="s">
        <v>20</v>
      </c>
      <c r="N1182" t="s">
        <v>98</v>
      </c>
      <c r="O118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82" t="s">
        <v>77</v>
      </c>
      <c r="Q1182" t="str">
        <f>IF(TRIM(Transaction[[#This Row],[SalesChannel]])="","Missing Value",TRIM(Transaction[[#This Row],[SalesChannel]]))</f>
        <v>distributor</v>
      </c>
      <c r="R1182" s="4">
        <v>3</v>
      </c>
      <c r="S1182" s="4" t="str">
        <f>IF(Transaction[[#This Row],[Quantity]]&lt;0,"Negative-review","Valid")</f>
        <v>Valid</v>
      </c>
      <c r="T1182">
        <v>765.29</v>
      </c>
      <c r="U118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765.29</v>
      </c>
      <c r="V1182">
        <v>950</v>
      </c>
      <c r="W1182">
        <v>2850</v>
      </c>
      <c r="X118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2850</v>
      </c>
      <c r="Y1182">
        <f>IF(Transaction[[#This Row],[GrossRevenue_Check]]="Invalid",Transaction[[#This Row],[ListPrice]]*Transaction[[#This Row],[Quantity]],Transaction[[#This Row],[GrossRevenue_Clean]])</f>
        <v>2850</v>
      </c>
      <c r="Z1182" t="str">
        <f>IF(Transaction[[#This Row],[GrossRevenue_Clean]]=Transaction[[#This Row],[ListPrice]]*Transaction[[#This Row],[Quantity]],"Valid","Invalid")</f>
        <v>Valid</v>
      </c>
      <c r="AA1182">
        <v>554.13</v>
      </c>
      <c r="AB118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554.13</v>
      </c>
      <c r="AC1182">
        <f>IF(Transaction[[#This Row],[DiscountAmount_Check2]]="Invalid",Transaction[[#This Row],[GrossRevenue_Analytical]]-Transaction[[#This Row],[NetRevenue_Analytical]],Transaction[[#This Row],[DiscountAmount_Clean]])</f>
        <v>554.13</v>
      </c>
      <c r="AD1182">
        <v>2295.87</v>
      </c>
      <c r="AE1182" t="str">
        <f>IF(ROUND(Transaction[[#This Row],[GrossRevenue_Analytical]]-Transaction[[#This Row],[NetRevenue_Analytical]],2)=ROUND(Transaction[[#This Row],[DiscountAmount_Clean]],2),"Valid","Invalid")</f>
        <v>Valid</v>
      </c>
      <c r="AF118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2295.87</v>
      </c>
      <c r="AG1182">
        <f>IF(Transaction[[#This Row],[NetRevenue_Check]]="Invalid",(Transaction[[#This Row],[Quantity]]*Transaction[[#This Row],[UnitPrice_Clean]]),Transaction[[#This Row],[NetRevenue_Clean]])</f>
        <v>2295.87</v>
      </c>
      <c r="AH1182" t="str">
        <f>IF(Transaction[[#This Row],[Quantity]]*Transaction[[#This Row],[UnitPrice_Clean]]=Transaction[[#This Row],[NetRevenue_Clean]],"Valid","Invalid")</f>
        <v>Valid</v>
      </c>
      <c r="AI1182" t="s">
        <v>23</v>
      </c>
      <c r="AJ1182" t="s">
        <v>2148</v>
      </c>
      <c r="AK1182" t="str">
        <f>IF(Transaction[[#This Row],[Salesperson]]="","Missing Value",TRIM(PROPER(Transaction[[#This Row],[Salesperson]])))</f>
        <v>Andrade-Na</v>
      </c>
      <c r="AL1182" t="s">
        <v>42</v>
      </c>
      <c r="AM1182" t="str">
        <f>IF(Transaction[[#This Row],[ContractType]]="","Missing Value",Transaction[[#This Row],[ContractType]])</f>
        <v>Standard PO</v>
      </c>
      <c r="AN1182" t="s">
        <v>43</v>
      </c>
    </row>
    <row r="1183" spans="1:40" x14ac:dyDescent="0.25">
      <c r="A1183" t="s">
        <v>362</v>
      </c>
      <c r="B1183" t="s">
        <v>363</v>
      </c>
      <c r="C118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18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118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83" s="2">
        <f>IFERROR(DATE(Transaction[[#This Row],[TransactionDateY]],Transaction[[#This Row],[TransactionDateM]],Transaction[[#This Row],[TransactionDateD]]),"Missing Value")</f>
        <v>45798</v>
      </c>
      <c r="G1183" t="s">
        <v>364</v>
      </c>
      <c r="H1183" t="str">
        <f>IFERROR(VLOOKUP(Transaction[[#This Row],[CustomerID]],Custumer[],1,0),IF(LEN(Transaction[[#This Row],[CustomerID]])=7,LEFT(Transaction[[#This Row],[CustomerID]],6),"Invalid ID"))</f>
        <v>Invalid ID</v>
      </c>
      <c r="I1183" t="s">
        <v>117</v>
      </c>
      <c r="J1183" t="str">
        <f>TRIM(UPPER(Transaction[[#This Row],[ProductID]]))</f>
        <v>P-SI-007</v>
      </c>
      <c r="K1183" t="str">
        <f>IFERROR(VLOOKUP(Transaction[[#This Row],[ProductID_Clean]],Product[],1,FALSE),"Invalid ID")</f>
        <v>P-SI-007</v>
      </c>
      <c r="L1183" t="str">
        <f>TRIM(SUBSTITUTE(SUBSTITUTE(SUBSTITUTE(SUBSTITUTE(UPPER(Transaction[[#This Row],[Region]]),"EMEA REGION","EMEA"),"APAC REGION","APAC"),"NORTH AMERICA","N. AMERICA"),"N .AMERICA","N.AMERICA"))</f>
        <v>APAC</v>
      </c>
      <c r="M1183" t="s">
        <v>30</v>
      </c>
      <c r="N1183" t="s">
        <v>53</v>
      </c>
      <c r="O118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83" t="s">
        <v>22</v>
      </c>
      <c r="Q1183" t="str">
        <f>IF(TRIM(Transaction[[#This Row],[SalesChannel]])="","Missing Value",TRIM(Transaction[[#This Row],[SalesChannel]]))</f>
        <v>Direct</v>
      </c>
      <c r="R1183" s="4">
        <v>8</v>
      </c>
      <c r="S1183" s="4" t="str">
        <f>IF(Transaction[[#This Row],[Quantity]]&lt;0,"Negative-review","Valid")</f>
        <v>Valid</v>
      </c>
      <c r="T1183">
        <v>901.98</v>
      </c>
      <c r="U118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901.98</v>
      </c>
      <c r="V1183">
        <v>980</v>
      </c>
      <c r="W1183">
        <v>7840</v>
      </c>
      <c r="X118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7840</v>
      </c>
      <c r="Y1183">
        <f>IF(Transaction[[#This Row],[GrossRevenue_Check]]="Invalid",Transaction[[#This Row],[ListPrice]]*Transaction[[#This Row],[Quantity]],Transaction[[#This Row],[GrossRevenue_Clean]])</f>
        <v>7840</v>
      </c>
      <c r="Z1183" t="str">
        <f>IF(Transaction[[#This Row],[GrossRevenue_Clean]]=Transaction[[#This Row],[ListPrice]]*Transaction[[#This Row],[Quantity]],"Valid","Invalid")</f>
        <v>Valid</v>
      </c>
      <c r="AA1183">
        <v>624.16</v>
      </c>
      <c r="AB118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624.16</v>
      </c>
      <c r="AC1183">
        <f>IF(Transaction[[#This Row],[DiscountAmount_Check2]]="Invalid",Transaction[[#This Row],[GrossRevenue_Analytical]]-Transaction[[#This Row],[NetRevenue_Analytical]],Transaction[[#This Row],[DiscountAmount_Clean]])</f>
        <v>624.16</v>
      </c>
      <c r="AD1183">
        <v>7215.84</v>
      </c>
      <c r="AE1183" t="str">
        <f>IF(ROUND(Transaction[[#This Row],[GrossRevenue_Analytical]]-Transaction[[#This Row],[NetRevenue_Analytical]],2)=ROUND(Transaction[[#This Row],[DiscountAmount_Clean]],2),"Valid","Invalid")</f>
        <v>Valid</v>
      </c>
      <c r="AF1183">
        <f>VALUE(IF(ISNUMBER(Transaction[[#This Row],[NetRevenue]]),Transaction[[#This Row],[NetRevenue]],IFERROR(IF(FIND("$",Transaction[[#This Row],[NetRevenue]])&gt;0,MID(Transaction[[#This Row],[NetRevenue]],2,10)),Transaction[[#This Row],[NetRevenue]])))</f>
        <v>7215.84</v>
      </c>
      <c r="AG1183">
        <f>IF(Transaction[[#This Row],[NetRevenue_Check]]="Invalid",(Transaction[[#This Row],[Quantity]]*Transaction[[#This Row],[UnitPrice_Clean]]),Transaction[[#This Row],[NetRevenue_Clean]])</f>
        <v>7215.84</v>
      </c>
      <c r="AH1183" t="str">
        <f>IF(Transaction[[#This Row],[Quantity]]*Transaction[[#This Row],[UnitPrice_Clean]]=Transaction[[#This Row],[NetRevenue_Clean]],"Valid","Invalid")</f>
        <v>Valid</v>
      </c>
      <c r="AI1183" t="s">
        <v>23</v>
      </c>
      <c r="AJ1183" t="s">
        <v>365</v>
      </c>
      <c r="AK1183" t="str">
        <f>IF(Transaction[[#This Row],[Salesperson]]="","Missing Value",TRIM(PROPER(Transaction[[#This Row],[Salesperson]])))</f>
        <v>Hartman</v>
      </c>
      <c r="AM1183" t="str">
        <f>IF(Transaction[[#This Row],[ContractType]]="","Missing Value",Transaction[[#This Row],[ContractType]])</f>
        <v>Missing Value</v>
      </c>
      <c r="AN1183" t="s">
        <v>65</v>
      </c>
    </row>
    <row r="1184" spans="1:40" x14ac:dyDescent="0.25">
      <c r="A1184" t="s">
        <v>2726</v>
      </c>
      <c r="C118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118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118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1184" s="2" t="str">
        <f>IFERROR(DATE(Transaction[[#This Row],[TransactionDateY]],Transaction[[#This Row],[TransactionDateM]],Transaction[[#This Row],[TransactionDateD]]),"Missing Value")</f>
        <v>Missing Value</v>
      </c>
      <c r="G1184" t="s">
        <v>565</v>
      </c>
      <c r="H1184" t="str">
        <f>IFERROR(VLOOKUP(Transaction[[#This Row],[CustomerID]],Custumer[],1,0),IF(LEN(Transaction[[#This Row],[CustomerID]])=7,LEFT(Transaction[[#This Row],[CustomerID]],6),"Invalid ID"))</f>
        <v>C-1007</v>
      </c>
      <c r="I1184" t="s">
        <v>46</v>
      </c>
      <c r="J1184" t="str">
        <f>TRIM(UPPER(Transaction[[#This Row],[ProductID]]))</f>
        <v>P-SI-006</v>
      </c>
      <c r="K1184" t="str">
        <f>IFERROR(VLOOKUP(Transaction[[#This Row],[ProductID_Clean]],Product[],1,FALSE),"Invalid ID")</f>
        <v>P-SI-006</v>
      </c>
      <c r="L1184" t="str">
        <f>TRIM(SUBSTITUTE(SUBSTITUTE(SUBSTITUTE(SUBSTITUTE(UPPER(Transaction[[#This Row],[Region]]),"EMEA REGION","EMEA"),"APAC REGION","APAC"),"NORTH AMERICA","N. AMERICA"),"N .AMERICA","N.AMERICA"))</f>
        <v>N. AMERICA</v>
      </c>
      <c r="M1184" t="s">
        <v>20</v>
      </c>
      <c r="N1184" t="s">
        <v>53</v>
      </c>
      <c r="O118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84" t="s">
        <v>22</v>
      </c>
      <c r="Q1184" t="str">
        <f>IF(TRIM(Transaction[[#This Row],[SalesChannel]])="","Missing Value",TRIM(Transaction[[#This Row],[SalesChannel]]))</f>
        <v>Direct</v>
      </c>
      <c r="R1184" s="4">
        <v>15</v>
      </c>
      <c r="S1184" s="4" t="str">
        <f>IF(Transaction[[#This Row],[Quantity]]&lt;0,"Negative-review","Valid")</f>
        <v>Valid</v>
      </c>
      <c r="T1184">
        <v>186.67</v>
      </c>
      <c r="U118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186.67</v>
      </c>
      <c r="V1184">
        <v>215</v>
      </c>
      <c r="W1184">
        <v>3225</v>
      </c>
      <c r="X118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3225</v>
      </c>
      <c r="Y1184">
        <f>IF(Transaction[[#This Row],[GrossRevenue_Check]]="Invalid",Transaction[[#This Row],[ListPrice]]*Transaction[[#This Row],[Quantity]],Transaction[[#This Row],[GrossRevenue_Clean]])</f>
        <v>3225</v>
      </c>
      <c r="Z1184" t="str">
        <f>IF(Transaction[[#This Row],[GrossRevenue_Clean]]=Transaction[[#This Row],[ListPrice]]*Transaction[[#This Row],[Quantity]],"Valid","Invalid")</f>
        <v>Valid</v>
      </c>
      <c r="AA1184">
        <v>424.95</v>
      </c>
      <c r="AB118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424.95</v>
      </c>
      <c r="AC1184">
        <f>IF(Transaction[[#This Row],[DiscountAmount_Check2]]="Invalid",Transaction[[#This Row],[GrossRevenue_Analytical]]-Transaction[[#This Row],[NetRevenue_Analytical]],Transaction[[#This Row],[DiscountAmount_Clean]])</f>
        <v>424.95</v>
      </c>
      <c r="AD1184">
        <v>2800.05</v>
      </c>
      <c r="AE1184" t="str">
        <f>IF(ROUND(Transaction[[#This Row],[GrossRevenue_Analytical]]-Transaction[[#This Row],[NetRevenue_Analytical]],2)=ROUND(Transaction[[#This Row],[DiscountAmount_Clean]],2),"Valid","Invalid")</f>
        <v>Valid</v>
      </c>
      <c r="AF1184">
        <f>VALUE(IF(ISNUMBER(Transaction[[#This Row],[NetRevenue]]),Transaction[[#This Row],[NetRevenue]],IFERROR(IF(FIND("$",Transaction[[#This Row],[NetRevenue]])&gt;0,MID(Transaction[[#This Row],[NetRevenue]],2,10)),Transaction[[#This Row],[NetRevenue]])))</f>
        <v>2800.05</v>
      </c>
      <c r="AG1184">
        <f>IF(Transaction[[#This Row],[NetRevenue_Check]]="Invalid",(Transaction[[#This Row],[Quantity]]*Transaction[[#This Row],[UnitPrice_Clean]]),Transaction[[#This Row],[NetRevenue_Clean]])</f>
        <v>2800.05</v>
      </c>
      <c r="AH1184" t="str">
        <f>IF(Transaction[[#This Row],[Quantity]]*Transaction[[#This Row],[UnitPrice_Clean]]=Transaction[[#This Row],[NetRevenue_Clean]],"Valid","Invalid")</f>
        <v>Valid</v>
      </c>
      <c r="AI1184" t="s">
        <v>23</v>
      </c>
      <c r="AJ1184" t="s">
        <v>2727</v>
      </c>
      <c r="AK1184" t="str">
        <f>IF(Transaction[[#This Row],[Salesperson]]="","Missing Value",TRIM(PROPER(Transaction[[#This Row],[Salesperson]])))</f>
        <v>Diaz</v>
      </c>
      <c r="AL1184" t="s">
        <v>55</v>
      </c>
      <c r="AM1184" t="str">
        <f>IF(Transaction[[#This Row],[ContractType]]="","Missing Value",Transaction[[#This Row],[ContractType]])</f>
        <v>Spot</v>
      </c>
      <c r="AN1184" t="s">
        <v>35</v>
      </c>
    </row>
    <row r="1185" spans="1:40" x14ac:dyDescent="0.25">
      <c r="A1185" t="s">
        <v>2068</v>
      </c>
      <c r="B1185" t="s">
        <v>2069</v>
      </c>
      <c r="C118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118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118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85" s="2">
        <f>IFERROR(DATE(Transaction[[#This Row],[TransactionDateY]],Transaction[[#This Row],[TransactionDateM]],Transaction[[#This Row],[TransactionDateD]]),"Missing Value")</f>
        <v>45770</v>
      </c>
      <c r="G1185" t="s">
        <v>195</v>
      </c>
      <c r="H1185" t="str">
        <f>IFERROR(VLOOKUP(Transaction[[#This Row],[CustomerID]],Custumer[],1,0),IF(LEN(Transaction[[#This Row],[CustomerID]])=7,LEFT(Transaction[[#This Row],[CustomerID]],6),"Invalid ID"))</f>
        <v>C-1015</v>
      </c>
      <c r="I1185" t="s">
        <v>1652</v>
      </c>
      <c r="J1185" t="str">
        <f>TRIM(UPPER(Transaction[[#This Row],[ProductID]]))</f>
        <v>P-SA-001</v>
      </c>
      <c r="K1185" t="str">
        <f>IFERROR(VLOOKUP(Transaction[[#This Row],[ProductID_Clean]],Product[],1,FALSE),"Invalid ID")</f>
        <v>P-SA-001</v>
      </c>
      <c r="L1185" t="str">
        <f>TRIM(SUBSTITUTE(SUBSTITUTE(SUBSTITUTE(SUBSTITUTE(UPPER(Transaction[[#This Row],[Region]]),"EMEA REGION","EMEA"),"APAC REGION","APAC"),"NORTH AMERICA","N. AMERICA"),"N .AMERICA","N.AMERICA"))</f>
        <v>N. AMERICA</v>
      </c>
      <c r="M1185" t="s">
        <v>204</v>
      </c>
      <c r="N1185" t="s">
        <v>31</v>
      </c>
      <c r="O118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85" t="s">
        <v>22</v>
      </c>
      <c r="Q1185" t="str">
        <f>IF(TRIM(Transaction[[#This Row],[SalesChannel]])="","Missing Value",TRIM(Transaction[[#This Row],[SalesChannel]]))</f>
        <v>Direct</v>
      </c>
      <c r="R1185" s="4">
        <v>1</v>
      </c>
      <c r="S1185" s="4" t="str">
        <f>IF(Transaction[[#This Row],[Quantity]]&lt;0,"Negative-review","Valid")</f>
        <v>Valid</v>
      </c>
      <c r="T1185">
        <v>3417.95</v>
      </c>
      <c r="U118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3417.95</v>
      </c>
      <c r="V1185">
        <v>4200</v>
      </c>
      <c r="W1185">
        <v>4200</v>
      </c>
      <c r="X118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1185">
        <f>IF(Transaction[[#This Row],[GrossRevenue_Check]]="Invalid",Transaction[[#This Row],[ListPrice]]*Transaction[[#This Row],[Quantity]],Transaction[[#This Row],[GrossRevenue_Clean]])</f>
        <v>4200</v>
      </c>
      <c r="Z1185" t="str">
        <f>IF(Transaction[[#This Row],[GrossRevenue_Clean]]=Transaction[[#This Row],[ListPrice]]*Transaction[[#This Row],[Quantity]],"Valid","Invalid")</f>
        <v>Valid</v>
      </c>
      <c r="AA1185">
        <v>782.05</v>
      </c>
      <c r="AB118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782.05</v>
      </c>
      <c r="AC1185">
        <f>IF(Transaction[[#This Row],[DiscountAmount_Check2]]="Invalid",Transaction[[#This Row],[GrossRevenue_Analytical]]-Transaction[[#This Row],[NetRevenue_Analytical]],Transaction[[#This Row],[DiscountAmount_Clean]])</f>
        <v>782.05</v>
      </c>
      <c r="AD1185">
        <v>3417.95</v>
      </c>
      <c r="AE1185" t="str">
        <f>IF(ROUND(Transaction[[#This Row],[GrossRevenue_Analytical]]-Transaction[[#This Row],[NetRevenue_Analytical]],2)=ROUND(Transaction[[#This Row],[DiscountAmount_Clean]],2),"Valid","Invalid")</f>
        <v>Valid</v>
      </c>
      <c r="AF118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3417.95</v>
      </c>
      <c r="AG1185">
        <f>IF(Transaction[[#This Row],[NetRevenue_Check]]="Invalid",(Transaction[[#This Row],[Quantity]]*Transaction[[#This Row],[UnitPrice_Clean]]),Transaction[[#This Row],[NetRevenue_Clean]])</f>
        <v>3417.95</v>
      </c>
      <c r="AH1185" t="str">
        <f>IF(Transaction[[#This Row],[Quantity]]*Transaction[[#This Row],[UnitPrice_Clean]]=Transaction[[#This Row],[NetRevenue_Clean]],"Valid","Invalid")</f>
        <v>Valid</v>
      </c>
      <c r="AI1185" t="s">
        <v>23</v>
      </c>
      <c r="AJ1185" t="s">
        <v>2070</v>
      </c>
      <c r="AK1185" t="str">
        <f>IF(Transaction[[#This Row],[Salesperson]]="","Missing Value",TRIM(PROPER(Transaction[[#This Row],[Salesperson]])))</f>
        <v>Frederick</v>
      </c>
      <c r="AL1185" t="s">
        <v>210</v>
      </c>
      <c r="AM1185" t="str">
        <f>IF(Transaction[[#This Row],[ContractType]]="","Missing Value",Transaction[[#This Row],[ContractType]])</f>
        <v>Perpetual</v>
      </c>
      <c r="AN1185" t="s">
        <v>26</v>
      </c>
    </row>
    <row r="1186" spans="1:40" x14ac:dyDescent="0.25">
      <c r="A1186" t="s">
        <v>3055</v>
      </c>
      <c r="B1186" s="1">
        <v>45835</v>
      </c>
      <c r="C118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18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118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86" s="2">
        <f>IFERROR(DATE(Transaction[[#This Row],[TransactionDateY]],Transaction[[#This Row],[TransactionDateM]],Transaction[[#This Row],[TransactionDateD]]),"Missing Value")</f>
        <v>45835</v>
      </c>
      <c r="G1186" t="s">
        <v>630</v>
      </c>
      <c r="H1186" t="str">
        <f>IFERROR(VLOOKUP(Transaction[[#This Row],[CustomerID]],Custumer[],1,0),IF(LEN(Transaction[[#This Row],[CustomerID]])=7,LEFT(Transaction[[#This Row],[CustomerID]],6),"Invalid ID"))</f>
        <v>C-1157</v>
      </c>
      <c r="I1186" t="s">
        <v>97</v>
      </c>
      <c r="J1186" t="str">
        <f>TRIM(UPPER(Transaction[[#This Row],[ProductID]]))</f>
        <v>P-SI-001</v>
      </c>
      <c r="K1186" t="str">
        <f>IFERROR(VLOOKUP(Transaction[[#This Row],[ProductID_Clean]],Product[],1,FALSE),"Invalid ID")</f>
        <v>P-SI-001</v>
      </c>
      <c r="L1186" t="str">
        <f>TRIM(SUBSTITUTE(SUBSTITUTE(SUBSTITUTE(SUBSTITUTE(UPPER(Transaction[[#This Row],[Region]]),"EMEA REGION","EMEA"),"APAC REGION","APAC"),"NORTH AMERICA","N. AMERICA"),"N .AMERICA","N.AMERICA"))</f>
        <v>EMEA</v>
      </c>
      <c r="M1186" t="s">
        <v>87</v>
      </c>
      <c r="N1186" t="s">
        <v>53</v>
      </c>
      <c r="O118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86" t="s">
        <v>22</v>
      </c>
      <c r="Q1186" t="str">
        <f>IF(TRIM(Transaction[[#This Row],[SalesChannel]])="","Missing Value",TRIM(Transaction[[#This Row],[SalesChannel]]))</f>
        <v>Direct</v>
      </c>
      <c r="R1186" s="4">
        <v>1</v>
      </c>
      <c r="S1186" s="4" t="str">
        <f>IF(Transaction[[#This Row],[Quantity]]&lt;0,"Negative-review","Valid")</f>
        <v>Valid</v>
      </c>
      <c r="T1186">
        <v>415.67</v>
      </c>
      <c r="U118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415.67</v>
      </c>
      <c r="V1186">
        <v>485</v>
      </c>
      <c r="W1186">
        <v>485</v>
      </c>
      <c r="X118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1186">
        <f>IF(Transaction[[#This Row],[GrossRevenue_Check]]="Invalid",Transaction[[#This Row],[ListPrice]]*Transaction[[#This Row],[Quantity]],Transaction[[#This Row],[GrossRevenue_Clean]])</f>
        <v>485</v>
      </c>
      <c r="Z1186" t="str">
        <f>IF(Transaction[[#This Row],[GrossRevenue_Clean]]=Transaction[[#This Row],[ListPrice]]*Transaction[[#This Row],[Quantity]],"Valid","Invalid")</f>
        <v>Valid</v>
      </c>
      <c r="AA1186">
        <v>69.33</v>
      </c>
      <c r="AB118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69.33</v>
      </c>
      <c r="AC1186">
        <f>IF(Transaction[[#This Row],[DiscountAmount_Check2]]="Invalid",Transaction[[#This Row],[GrossRevenue_Analytical]]-Transaction[[#This Row],[NetRevenue_Analytical]],Transaction[[#This Row],[DiscountAmount_Clean]])</f>
        <v>69.33</v>
      </c>
      <c r="AD1186">
        <v>415.67</v>
      </c>
      <c r="AE1186" t="str">
        <f>IF(ROUND(Transaction[[#This Row],[GrossRevenue_Analytical]]-Transaction[[#This Row],[NetRevenue_Analytical]],2)=ROUND(Transaction[[#This Row],[DiscountAmount_Clean]],2),"Valid","Invalid")</f>
        <v>Valid</v>
      </c>
      <c r="AF1186">
        <f>VALUE(IF(ISNUMBER(Transaction[[#This Row],[NetRevenue]]),Transaction[[#This Row],[NetRevenue]],IFERROR(IF(FIND("$",Transaction[[#This Row],[NetRevenue]])&gt;0,MID(Transaction[[#This Row],[NetRevenue]],2,10)),Transaction[[#This Row],[NetRevenue]])))</f>
        <v>415.67</v>
      </c>
      <c r="AG1186">
        <f>IF(Transaction[[#This Row],[NetRevenue_Check]]="Invalid",(Transaction[[#This Row],[Quantity]]*Transaction[[#This Row],[UnitPrice_Clean]]),Transaction[[#This Row],[NetRevenue_Clean]])</f>
        <v>415.67</v>
      </c>
      <c r="AH1186" t="str">
        <f>IF(Transaction[[#This Row],[Quantity]]*Transaction[[#This Row],[UnitPrice_Clean]]=Transaction[[#This Row],[NetRevenue_Clean]],"Valid","Invalid")</f>
        <v>Valid</v>
      </c>
      <c r="AI1186" t="s">
        <v>23</v>
      </c>
      <c r="AJ1186" t="s">
        <v>2291</v>
      </c>
      <c r="AK1186" t="str">
        <f>IF(Transaction[[#This Row],[Salesperson]]="","Missing Value",TRIM(PROPER(Transaction[[#This Row],[Salesperson]])))</f>
        <v>Gonzalez-Na</v>
      </c>
      <c r="AL1186" t="s">
        <v>42</v>
      </c>
      <c r="AM1186" t="str">
        <f>IF(Transaction[[#This Row],[ContractType]]="","Missing Value",Transaction[[#This Row],[ContractType]])</f>
        <v>Standard PO</v>
      </c>
      <c r="AN1186" t="s">
        <v>35</v>
      </c>
    </row>
    <row r="1187" spans="1:40" x14ac:dyDescent="0.25">
      <c r="A1187" t="s">
        <v>1616</v>
      </c>
      <c r="B1187" s="1">
        <v>45830</v>
      </c>
      <c r="C118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18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118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87" s="2">
        <f>IFERROR(DATE(Transaction[[#This Row],[TransactionDateY]],Transaction[[#This Row],[TransactionDateM]],Transaction[[#This Row],[TransactionDateD]]),"Missing Value")</f>
        <v>45830</v>
      </c>
      <c r="G1187" t="s">
        <v>687</v>
      </c>
      <c r="H1187" t="str">
        <f>IFERROR(VLOOKUP(Transaction[[#This Row],[CustomerID]],Custumer[],1,0),IF(LEN(Transaction[[#This Row],[CustomerID]])=7,LEFT(Transaction[[#This Row],[CustomerID]],6),"Invalid ID"))</f>
        <v>C-1131</v>
      </c>
      <c r="I1187" t="s">
        <v>58</v>
      </c>
      <c r="J1187" t="str">
        <f>TRIM(UPPER(Transaction[[#This Row],[ProductID]]))</f>
        <v>P-SI-005</v>
      </c>
      <c r="K1187" t="str">
        <f>IFERROR(VLOOKUP(Transaction[[#This Row],[ProductID_Clean]],Product[],1,FALSE),"Invalid ID")</f>
        <v>P-SI-005</v>
      </c>
      <c r="L1187" t="str">
        <f>TRIM(SUBSTITUTE(SUBSTITUTE(SUBSTITUTE(SUBSTITUTE(UPPER(Transaction[[#This Row],[Region]]),"EMEA REGION","EMEA"),"APAC REGION","APAC"),"NORTH AMERICA","N. AMERICA"),"N .AMERICA","N.AMERICA"))</f>
        <v>EMEA</v>
      </c>
      <c r="M1187" t="s">
        <v>76</v>
      </c>
      <c r="N1187" t="s">
        <v>98</v>
      </c>
      <c r="O118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Q1187" t="str">
        <f>IF(TRIM(Transaction[[#This Row],[SalesChannel]])="","Missing Value",TRIM(Transaction[[#This Row],[SalesChannel]]))</f>
        <v>Missing Value</v>
      </c>
      <c r="R1187" s="4">
        <v>8</v>
      </c>
      <c r="S1187" s="4" t="str">
        <f>IF(Transaction[[#This Row],[Quantity]]&lt;0,"Negative-review","Valid")</f>
        <v>Valid</v>
      </c>
      <c r="T1187">
        <v>1068.3900000000001</v>
      </c>
      <c r="U118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1068.3900000000001</v>
      </c>
      <c r="V1187">
        <v>1120</v>
      </c>
      <c r="W1187">
        <v>8960</v>
      </c>
      <c r="X118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8960</v>
      </c>
      <c r="Y1187">
        <f>IF(Transaction[[#This Row],[GrossRevenue_Check]]="Invalid",Transaction[[#This Row],[ListPrice]]*Transaction[[#This Row],[Quantity]],Transaction[[#This Row],[GrossRevenue_Clean]])</f>
        <v>8960</v>
      </c>
      <c r="Z1187" t="str">
        <f>IF(Transaction[[#This Row],[GrossRevenue_Clean]]=Transaction[[#This Row],[ListPrice]]*Transaction[[#This Row],[Quantity]],"Valid","Invalid")</f>
        <v>Valid</v>
      </c>
      <c r="AA1187">
        <v>412.88</v>
      </c>
      <c r="AB118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412.88</v>
      </c>
      <c r="AC1187">
        <f>IF(Transaction[[#This Row],[DiscountAmount_Check2]]="Invalid",Transaction[[#This Row],[GrossRevenue_Analytical]]-Transaction[[#This Row],[NetRevenue_Analytical]],Transaction[[#This Row],[DiscountAmount_Clean]])</f>
        <v>412.88</v>
      </c>
      <c r="AD1187">
        <v>8547.1200000000008</v>
      </c>
      <c r="AE1187" t="str">
        <f>IF(ROUND(Transaction[[#This Row],[GrossRevenue_Analytical]]-Transaction[[#This Row],[NetRevenue_Analytical]],2)=ROUND(Transaction[[#This Row],[DiscountAmount_Clean]],2),"Valid","Invalid")</f>
        <v>Valid</v>
      </c>
      <c r="AF1187">
        <f>VALUE(IF(ISNUMBER(Transaction[[#This Row],[NetRevenue]]),Transaction[[#This Row],[NetRevenue]],IFERROR(IF(FIND("$",Transaction[[#This Row],[NetRevenue]])&gt;0,MID(Transaction[[#This Row],[NetRevenue]],2,10)),Transaction[[#This Row],[NetRevenue]])))</f>
        <v>8547.1200000000008</v>
      </c>
      <c r="AG1187">
        <f>IF(Transaction[[#This Row],[NetRevenue_Check]]="Invalid",(Transaction[[#This Row],[Quantity]]*Transaction[[#This Row],[UnitPrice_Clean]]),Transaction[[#This Row],[NetRevenue_Clean]])</f>
        <v>8547.1200000000008</v>
      </c>
      <c r="AH1187" t="str">
        <f>IF(Transaction[[#This Row],[Quantity]]*Transaction[[#This Row],[UnitPrice_Clean]]=Transaction[[#This Row],[NetRevenue_Clean]],"Valid","Invalid")</f>
        <v>Valid</v>
      </c>
      <c r="AI1187" t="s">
        <v>23</v>
      </c>
      <c r="AJ1187" t="s">
        <v>1617</v>
      </c>
      <c r="AK1187" t="str">
        <f>IF(Transaction[[#This Row],[Salesperson]]="","Missing Value",TRIM(PROPER(Transaction[[#This Row],[Salesperson]])))</f>
        <v>Osborn-Na</v>
      </c>
      <c r="AL1187" t="s">
        <v>42</v>
      </c>
      <c r="AM1187" t="str">
        <f>IF(Transaction[[#This Row],[ContractType]]="","Missing Value",Transaction[[#This Row],[ContractType]])</f>
        <v>Standard PO</v>
      </c>
      <c r="AN1187" t="s">
        <v>49</v>
      </c>
    </row>
    <row r="1188" spans="1:40" x14ac:dyDescent="0.25">
      <c r="A1188" t="s">
        <v>2375</v>
      </c>
      <c r="B1188" t="s">
        <v>2376</v>
      </c>
      <c r="C118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18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118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88" s="2">
        <f>IFERROR(DATE(Transaction[[#This Row],[TransactionDateY]],Transaction[[#This Row],[TransactionDateM]],Transaction[[#This Row],[TransactionDateD]]),"Missing Value")</f>
        <v>45693</v>
      </c>
      <c r="G1188" t="s">
        <v>1065</v>
      </c>
      <c r="H1188" t="str">
        <f>IFERROR(VLOOKUP(Transaction[[#This Row],[CustomerID]],Custumer[],1,0),IF(LEN(Transaction[[#This Row],[CustomerID]])=7,LEFT(Transaction[[#This Row],[CustomerID]],6),"Invalid ID"))</f>
        <v>C-1074</v>
      </c>
      <c r="I1188" t="s">
        <v>58</v>
      </c>
      <c r="J1188" t="str">
        <f>TRIM(UPPER(Transaction[[#This Row],[ProductID]]))</f>
        <v>P-SI-005</v>
      </c>
      <c r="K1188" t="str">
        <f>IFERROR(VLOOKUP(Transaction[[#This Row],[ProductID_Clean]],Product[],1,FALSE),"Invalid ID")</f>
        <v>P-SI-005</v>
      </c>
      <c r="L1188" t="str">
        <f>TRIM(SUBSTITUTE(SUBSTITUTE(SUBSTITUTE(SUBSTITUTE(UPPER(Transaction[[#This Row],[Region]]),"EMEA REGION","EMEA"),"APAC REGION","APAC"),"NORTH AMERICA","N. AMERICA"),"N .AMERICA","N.AMERICA"))</f>
        <v>LATIN AMERICA</v>
      </c>
      <c r="M1188" t="s">
        <v>82</v>
      </c>
      <c r="N1188" t="s">
        <v>53</v>
      </c>
      <c r="O118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88" t="s">
        <v>22</v>
      </c>
      <c r="Q1188" t="str">
        <f>IF(TRIM(Transaction[[#This Row],[SalesChannel]])="","Missing Value",TRIM(Transaction[[#This Row],[SalesChannel]]))</f>
        <v>Direct</v>
      </c>
      <c r="R1188" s="4">
        <v>2</v>
      </c>
      <c r="S1188" s="4" t="str">
        <f>IF(Transaction[[#This Row],[Quantity]]&lt;0,"Negative-review","Valid")</f>
        <v>Valid</v>
      </c>
      <c r="T1188">
        <v>896.9</v>
      </c>
      <c r="U118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896.9</v>
      </c>
      <c r="V1188">
        <v>1120</v>
      </c>
      <c r="W1188">
        <v>2240</v>
      </c>
      <c r="X118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2240</v>
      </c>
      <c r="Y1188">
        <f>IF(Transaction[[#This Row],[GrossRevenue_Check]]="Invalid",Transaction[[#This Row],[ListPrice]]*Transaction[[#This Row],[Quantity]],Transaction[[#This Row],[GrossRevenue_Clean]])</f>
        <v>2240</v>
      </c>
      <c r="Z1188" t="str">
        <f>IF(Transaction[[#This Row],[GrossRevenue_Clean]]=Transaction[[#This Row],[ListPrice]]*Transaction[[#This Row],[Quantity]],"Valid","Invalid")</f>
        <v>Valid</v>
      </c>
      <c r="AA1188">
        <v>446.2</v>
      </c>
      <c r="AB118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446.2</v>
      </c>
      <c r="AC1188">
        <f>IF(Transaction[[#This Row],[DiscountAmount_Check2]]="Invalid",Transaction[[#This Row],[GrossRevenue_Analytical]]-Transaction[[#This Row],[NetRevenue_Analytical]],Transaction[[#This Row],[DiscountAmount_Clean]])</f>
        <v>446.2</v>
      </c>
      <c r="AD1188">
        <v>1793.8</v>
      </c>
      <c r="AE1188" t="str">
        <f>IF(ROUND(Transaction[[#This Row],[GrossRevenue_Analytical]]-Transaction[[#This Row],[NetRevenue_Analytical]],2)=ROUND(Transaction[[#This Row],[DiscountAmount_Clean]],2),"Valid","Invalid")</f>
        <v>Valid</v>
      </c>
      <c r="AF118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1793.8</v>
      </c>
      <c r="AG1188">
        <f>IF(Transaction[[#This Row],[NetRevenue_Check]]="Invalid",(Transaction[[#This Row],[Quantity]]*Transaction[[#This Row],[UnitPrice_Clean]]),Transaction[[#This Row],[NetRevenue_Clean]])</f>
        <v>1793.8</v>
      </c>
      <c r="AH1188" t="str">
        <f>IF(Transaction[[#This Row],[Quantity]]*Transaction[[#This Row],[UnitPrice_Clean]]=Transaction[[#This Row],[NetRevenue_Clean]],"Valid","Invalid")</f>
        <v>Valid</v>
      </c>
      <c r="AI1188" t="s">
        <v>23</v>
      </c>
      <c r="AJ1188" t="s">
        <v>1817</v>
      </c>
      <c r="AK1188" t="str">
        <f>IF(Transaction[[#This Row],[Salesperson]]="","Missing Value",TRIM(PROPER(Transaction[[#This Row],[Salesperson]])))</f>
        <v>White-Ap</v>
      </c>
      <c r="AL1188" t="s">
        <v>42</v>
      </c>
      <c r="AM1188" t="str">
        <f>IF(Transaction[[#This Row],[ContractType]]="","Missing Value",Transaction[[#This Row],[ContractType]])</f>
        <v>Standard PO</v>
      </c>
      <c r="AN1188" t="s">
        <v>43</v>
      </c>
    </row>
    <row r="1189" spans="1:40" x14ac:dyDescent="0.25">
      <c r="A1189" t="s">
        <v>806</v>
      </c>
      <c r="B1189" s="1">
        <v>45735</v>
      </c>
      <c r="C118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18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118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89" s="2">
        <f>IFERROR(DATE(Transaction[[#This Row],[TransactionDateY]],Transaction[[#This Row],[TransactionDateM]],Transaction[[#This Row],[TransactionDateD]]),"Missing Value")</f>
        <v>45735</v>
      </c>
      <c r="G1189" t="s">
        <v>172</v>
      </c>
      <c r="H1189" t="str">
        <f>IFERROR(VLOOKUP(Transaction[[#This Row],[CustomerID]],Custumer[],1,0),IF(LEN(Transaction[[#This Row],[CustomerID]])=7,LEFT(Transaction[[#This Row],[CustomerID]],6),"Invalid ID"))</f>
        <v>C-1099</v>
      </c>
      <c r="I1189" t="s">
        <v>92</v>
      </c>
      <c r="J1189" t="str">
        <f>TRIM(UPPER(Transaction[[#This Row],[ProductID]]))</f>
        <v>P-SI-008</v>
      </c>
      <c r="K1189" t="str">
        <f>IFERROR(VLOOKUP(Transaction[[#This Row],[ProductID_Clean]],Product[],1,FALSE),"Invalid ID")</f>
        <v>P-SI-008</v>
      </c>
      <c r="L1189" t="str">
        <f>TRIM(SUBSTITUTE(SUBSTITUTE(SUBSTITUTE(SUBSTITUTE(UPPER(Transaction[[#This Row],[Region]]),"EMEA REGION","EMEA"),"APAC REGION","APAC"),"NORTH AMERICA","N. AMERICA"),"N .AMERICA","N.AMERICA"))</f>
        <v>EMEA</v>
      </c>
      <c r="M1189" t="s">
        <v>76</v>
      </c>
      <c r="N1189" t="s">
        <v>98</v>
      </c>
      <c r="O118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89" t="s">
        <v>22</v>
      </c>
      <c r="Q1189" t="str">
        <f>IF(TRIM(Transaction[[#This Row],[SalesChannel]])="","Missing Value",TRIM(Transaction[[#This Row],[SalesChannel]]))</f>
        <v>Direct</v>
      </c>
      <c r="R1189" s="4">
        <v>1</v>
      </c>
      <c r="S1189" s="4" t="str">
        <f>IF(Transaction[[#This Row],[Quantity]]&lt;0,"Negative-review","Valid")</f>
        <v>Valid</v>
      </c>
      <c r="T1189">
        <v>881.9</v>
      </c>
      <c r="U118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881.9</v>
      </c>
      <c r="V1189">
        <v>950</v>
      </c>
      <c r="W1189">
        <v>950</v>
      </c>
      <c r="X118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1189">
        <f>IF(Transaction[[#This Row],[GrossRevenue_Check]]="Invalid",Transaction[[#This Row],[ListPrice]]*Transaction[[#This Row],[Quantity]],Transaction[[#This Row],[GrossRevenue_Clean]])</f>
        <v>950</v>
      </c>
      <c r="Z1189" t="str">
        <f>IF(Transaction[[#This Row],[GrossRevenue_Clean]]=Transaction[[#This Row],[ListPrice]]*Transaction[[#This Row],[Quantity]],"Valid","Invalid")</f>
        <v>Valid</v>
      </c>
      <c r="AA1189">
        <v>68.099999999999994</v>
      </c>
      <c r="AB118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68.099999999999994</v>
      </c>
      <c r="AC1189">
        <f>IF(Transaction[[#This Row],[DiscountAmount_Check2]]="Invalid",Transaction[[#This Row],[GrossRevenue_Analytical]]-Transaction[[#This Row],[NetRevenue_Analytical]],Transaction[[#This Row],[DiscountAmount_Clean]])</f>
        <v>68.099999999999994</v>
      </c>
      <c r="AD1189">
        <v>881.9</v>
      </c>
      <c r="AE1189" t="str">
        <f>IF(ROUND(Transaction[[#This Row],[GrossRevenue_Analytical]]-Transaction[[#This Row],[NetRevenue_Analytical]],2)=ROUND(Transaction[[#This Row],[DiscountAmount_Clean]],2),"Valid","Invalid")</f>
        <v>Valid</v>
      </c>
      <c r="AF1189">
        <f>VALUE(IF(ISNUMBER(Transaction[[#This Row],[NetRevenue]]),Transaction[[#This Row],[NetRevenue]],IFERROR(IF(FIND("$",Transaction[[#This Row],[NetRevenue]])&gt;0,MID(Transaction[[#This Row],[NetRevenue]],2,10)),Transaction[[#This Row],[NetRevenue]])))</f>
        <v>881.9</v>
      </c>
      <c r="AG1189">
        <f>IF(Transaction[[#This Row],[NetRevenue_Check]]="Invalid",(Transaction[[#This Row],[Quantity]]*Transaction[[#This Row],[UnitPrice_Clean]]),Transaction[[#This Row],[NetRevenue_Clean]])</f>
        <v>881.9</v>
      </c>
      <c r="AH1189" t="str">
        <f>IF(Transaction[[#This Row],[Quantity]]*Transaction[[#This Row],[UnitPrice_Clean]]=Transaction[[#This Row],[NetRevenue_Clean]],"Valid","Invalid")</f>
        <v>Valid</v>
      </c>
      <c r="AI1189" t="s">
        <v>99</v>
      </c>
      <c r="AJ1189" t="s">
        <v>287</v>
      </c>
      <c r="AK1189" t="str">
        <f>IF(Transaction[[#This Row],[Salesperson]]="","Missing Value",TRIM(PROPER(Transaction[[#This Row],[Salesperson]])))</f>
        <v>Saunders</v>
      </c>
      <c r="AL1189" t="s">
        <v>42</v>
      </c>
      <c r="AM1189" t="str">
        <f>IF(Transaction[[#This Row],[ContractType]]="","Missing Value",Transaction[[#This Row],[ContractType]])</f>
        <v>Standard PO</v>
      </c>
      <c r="AN1189" t="s">
        <v>43</v>
      </c>
    </row>
    <row r="1190" spans="1:40" x14ac:dyDescent="0.25">
      <c r="A1190" t="s">
        <v>422</v>
      </c>
      <c r="B1190" s="1">
        <v>45722</v>
      </c>
      <c r="C119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19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119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90" s="2">
        <f>IFERROR(DATE(Transaction[[#This Row],[TransactionDateY]],Transaction[[#This Row],[TransactionDateM]],Transaction[[#This Row],[TransactionDateD]]),"Missing Value")</f>
        <v>45722</v>
      </c>
      <c r="G1190" t="s">
        <v>423</v>
      </c>
      <c r="H1190" t="str">
        <f>IFERROR(VLOOKUP(Transaction[[#This Row],[CustomerID]],Custumer[],1,0),IF(LEN(Transaction[[#This Row],[CustomerID]])=7,LEFT(Transaction[[#This Row],[CustomerID]],6),"Invalid ID"))</f>
        <v>C-1121</v>
      </c>
      <c r="I1190" t="s">
        <v>58</v>
      </c>
      <c r="J1190" t="str">
        <f>TRIM(UPPER(Transaction[[#This Row],[ProductID]]))</f>
        <v>P-SI-005</v>
      </c>
      <c r="K1190" t="str">
        <f>IFERROR(VLOOKUP(Transaction[[#This Row],[ProductID_Clean]],Product[],1,FALSE),"Invalid ID")</f>
        <v>P-SI-005</v>
      </c>
      <c r="L1190" t="str">
        <f>TRIM(SUBSTITUTE(SUBSTITUTE(SUBSTITUTE(SUBSTITUTE(UPPER(Transaction[[#This Row],[Region]]),"EMEA REGION","EMEA"),"APAC REGION","APAC"),"NORTH AMERICA","N. AMERICA"),"N .AMERICA","N.AMERICA"))</f>
        <v>N. AMERICA</v>
      </c>
      <c r="M1190" t="s">
        <v>204</v>
      </c>
      <c r="N1190" t="s">
        <v>53</v>
      </c>
      <c r="O119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90" t="s">
        <v>181</v>
      </c>
      <c r="Q1190" t="str">
        <f>IF(TRIM(Transaction[[#This Row],[SalesChannel]])="","Missing Value",TRIM(Transaction[[#This Row],[SalesChannel]]))</f>
        <v>Partner Portal</v>
      </c>
      <c r="R1190" s="4">
        <v>3</v>
      </c>
      <c r="S1190" s="4" t="str">
        <f>IF(Transaction[[#This Row],[Quantity]]&lt;0,"Negative-review","Valid")</f>
        <v>Valid</v>
      </c>
      <c r="T1190">
        <v>932.46</v>
      </c>
      <c r="U119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932.46</v>
      </c>
      <c r="V1190">
        <v>1120</v>
      </c>
      <c r="W1190">
        <v>3360</v>
      </c>
      <c r="X119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3360</v>
      </c>
      <c r="Y1190">
        <f>IF(Transaction[[#This Row],[GrossRevenue_Check]]="Invalid",Transaction[[#This Row],[ListPrice]]*Transaction[[#This Row],[Quantity]],Transaction[[#This Row],[GrossRevenue_Clean]])</f>
        <v>3360</v>
      </c>
      <c r="Z1190" t="str">
        <f>IF(Transaction[[#This Row],[GrossRevenue_Clean]]=Transaction[[#This Row],[ListPrice]]*Transaction[[#This Row],[Quantity]],"Valid","Invalid")</f>
        <v>Valid</v>
      </c>
      <c r="AA1190">
        <v>562.62</v>
      </c>
      <c r="AB119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562.62</v>
      </c>
      <c r="AC1190">
        <f>IF(Transaction[[#This Row],[DiscountAmount_Check2]]="Invalid",Transaction[[#This Row],[GrossRevenue_Analytical]]-Transaction[[#This Row],[NetRevenue_Analytical]],Transaction[[#This Row],[DiscountAmount_Clean]])</f>
        <v>562.62</v>
      </c>
      <c r="AD1190">
        <v>2797.38</v>
      </c>
      <c r="AE1190" t="str">
        <f>IF(ROUND(Transaction[[#This Row],[GrossRevenue_Analytical]]-Transaction[[#This Row],[NetRevenue_Analytical]],2)=ROUND(Transaction[[#This Row],[DiscountAmount_Clean]],2),"Valid","Invalid")</f>
        <v>Valid</v>
      </c>
      <c r="AF119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2797.38</v>
      </c>
      <c r="AG1190">
        <f>IF(Transaction[[#This Row],[NetRevenue_Check]]="Invalid",(Transaction[[#This Row],[Quantity]]*Transaction[[#This Row],[UnitPrice_Clean]]),Transaction[[#This Row],[NetRevenue_Clean]])</f>
        <v>2797.38</v>
      </c>
      <c r="AH1190" t="str">
        <f>IF(Transaction[[#This Row],[Quantity]]*Transaction[[#This Row],[UnitPrice_Clean]]=Transaction[[#This Row],[NetRevenue_Clean]],"Valid","Invalid")</f>
        <v>Valid</v>
      </c>
      <c r="AI1190" t="s">
        <v>23</v>
      </c>
      <c r="AJ1190" t="s">
        <v>424</v>
      </c>
      <c r="AK1190" t="str">
        <f>IF(Transaction[[#This Row],[Salesperson]]="","Missing Value",TRIM(PROPER(Transaction[[#This Row],[Salesperson]])))</f>
        <v>Johnson-Ap</v>
      </c>
      <c r="AL1190" t="s">
        <v>42</v>
      </c>
      <c r="AM1190" t="str">
        <f>IF(Transaction[[#This Row],[ContractType]]="","Missing Value",Transaction[[#This Row],[ContractType]])</f>
        <v>Standard PO</v>
      </c>
      <c r="AN1190" t="s">
        <v>49</v>
      </c>
    </row>
    <row r="1191" spans="1:40" x14ac:dyDescent="0.25">
      <c r="A1191" t="s">
        <v>2652</v>
      </c>
      <c r="B1191" t="s">
        <v>261</v>
      </c>
      <c r="C119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119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09</v>
      </c>
      <c r="E119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91" s="2">
        <f>IFERROR(DATE(Transaction[[#This Row],[TransactionDateY]],Transaction[[#This Row],[TransactionDateM]],Transaction[[#This Row],[TransactionDateD]]),"Missing Value")</f>
        <v>45697</v>
      </c>
      <c r="G1191" t="s">
        <v>336</v>
      </c>
      <c r="H1191" t="str">
        <f>IFERROR(VLOOKUP(Transaction[[#This Row],[CustomerID]],Custumer[],1,0),IF(LEN(Transaction[[#This Row],[CustomerID]])=7,LEFT(Transaction[[#This Row],[CustomerID]],6),"Invalid ID"))</f>
        <v>C-1109</v>
      </c>
      <c r="I1191" t="s">
        <v>121</v>
      </c>
      <c r="J1191" t="str">
        <f>TRIM(UPPER(Transaction[[#This Row],[ProductID]]))</f>
        <v>P-FS-001</v>
      </c>
      <c r="K1191" t="str">
        <f>IFERROR(VLOOKUP(Transaction[[#This Row],[ProductID_Clean]],Product[],1,FALSE),"Invalid ID")</f>
        <v>P-FS-001</v>
      </c>
      <c r="L1191" t="str">
        <f>TRIM(SUBSTITUTE(SUBSTITUTE(SUBSTITUTE(SUBSTITUTE(UPPER(Transaction[[#This Row],[Region]]),"EMEA REGION","EMEA"),"APAC REGION","APAC"),"NORTH AMERICA","N. AMERICA"),"N .AMERICA","N.AMERICA"))</f>
        <v>EMEA</v>
      </c>
      <c r="M1191" t="s">
        <v>87</v>
      </c>
      <c r="N1191" t="s">
        <v>21</v>
      </c>
      <c r="O1191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191" t="s">
        <v>40</v>
      </c>
      <c r="Q1191" t="str">
        <f>IF(TRIM(Transaction[[#This Row],[SalesChannel]])="","Missing Value",TRIM(Transaction[[#This Row],[SalesChannel]]))</f>
        <v>Distributor</v>
      </c>
      <c r="R1191" s="4">
        <v>1</v>
      </c>
      <c r="S1191" s="4" t="str">
        <f>IF(Transaction[[#This Row],[Quantity]]&lt;0,"Negative-review","Valid")</f>
        <v>Valid</v>
      </c>
      <c r="T1191">
        <v>1417.45</v>
      </c>
      <c r="U119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1417.45</v>
      </c>
      <c r="V1191">
        <v>1850</v>
      </c>
      <c r="W1191">
        <v>1850</v>
      </c>
      <c r="X119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1191">
        <f>IF(Transaction[[#This Row],[GrossRevenue_Check]]="Invalid",Transaction[[#This Row],[ListPrice]]*Transaction[[#This Row],[Quantity]],Transaction[[#This Row],[GrossRevenue_Clean]])</f>
        <v>1850</v>
      </c>
      <c r="Z1191" t="str">
        <f>IF(Transaction[[#This Row],[GrossRevenue_Clean]]=Transaction[[#This Row],[ListPrice]]*Transaction[[#This Row],[Quantity]],"Valid","Invalid")</f>
        <v>Valid</v>
      </c>
      <c r="AA1191">
        <v>432.55</v>
      </c>
      <c r="AB119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432.55</v>
      </c>
      <c r="AC1191">
        <f>IF(Transaction[[#This Row],[DiscountAmount_Check2]]="Invalid",Transaction[[#This Row],[GrossRevenue_Analytical]]-Transaction[[#This Row],[NetRevenue_Analytical]],Transaction[[#This Row],[DiscountAmount_Clean]])</f>
        <v>432.55</v>
      </c>
      <c r="AD1191">
        <v>1417.45</v>
      </c>
      <c r="AE1191" t="str">
        <f>IF(ROUND(Transaction[[#This Row],[GrossRevenue_Analytical]]-Transaction[[#This Row],[NetRevenue_Analytical]],2)=ROUND(Transaction[[#This Row],[DiscountAmount_Clean]],2),"Valid","Invalid")</f>
        <v>Valid</v>
      </c>
      <c r="AF119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1417.45</v>
      </c>
      <c r="AG1191">
        <f>IF(Transaction[[#This Row],[NetRevenue_Check]]="Invalid",(Transaction[[#This Row],[Quantity]]*Transaction[[#This Row],[UnitPrice_Clean]]),Transaction[[#This Row],[NetRevenue_Clean]])</f>
        <v>1417.45</v>
      </c>
      <c r="AH1191" t="str">
        <f>IF(Transaction[[#This Row],[Quantity]]*Transaction[[#This Row],[UnitPrice_Clean]]=Transaction[[#This Row],[NetRevenue_Clean]],"Valid","Invalid")</f>
        <v>Valid</v>
      </c>
      <c r="AI1191" t="s">
        <v>23</v>
      </c>
      <c r="AJ1191" t="s">
        <v>1622</v>
      </c>
      <c r="AK1191" t="str">
        <f>IF(Transaction[[#This Row],[Salesperson]]="","Missing Value",TRIM(PROPER(Transaction[[#This Row],[Salesperson]])))</f>
        <v>Acosta-Ap</v>
      </c>
      <c r="AL1191" t="s">
        <v>55</v>
      </c>
      <c r="AM1191" t="str">
        <f>IF(Transaction[[#This Row],[ContractType]]="","Missing Value",Transaction[[#This Row],[ContractType]])</f>
        <v>Spot</v>
      </c>
      <c r="AN1191" t="s">
        <v>65</v>
      </c>
    </row>
    <row r="1192" spans="1:40" x14ac:dyDescent="0.25">
      <c r="A1192" t="s">
        <v>2759</v>
      </c>
      <c r="B1192" s="1">
        <v>45766</v>
      </c>
      <c r="C119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19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119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92" s="2">
        <f>IFERROR(DATE(Transaction[[#This Row],[TransactionDateY]],Transaction[[#This Row],[TransactionDateM]],Transaction[[#This Row],[TransactionDateD]]),"Missing Value")</f>
        <v>45766</v>
      </c>
      <c r="G1192" t="s">
        <v>203</v>
      </c>
      <c r="H1192" t="str">
        <f>IFERROR(VLOOKUP(Transaction[[#This Row],[CustomerID]],Custumer[],1,0),IF(LEN(Transaction[[#This Row],[CustomerID]])=7,LEFT(Transaction[[#This Row],[CustomerID]],6),"Invalid ID"))</f>
        <v>C-1005</v>
      </c>
      <c r="I1192" t="s">
        <v>71</v>
      </c>
      <c r="J1192" t="str">
        <f>TRIM(UPPER(Transaction[[#This Row],[ProductID]]))</f>
        <v>P-SI-003</v>
      </c>
      <c r="K1192" t="str">
        <f>IFERROR(VLOOKUP(Transaction[[#This Row],[ProductID_Clean]],Product[],1,FALSE),"Invalid ID")</f>
        <v>P-SI-003</v>
      </c>
      <c r="L1192" t="str">
        <f>TRIM(SUBSTITUTE(SUBSTITUTE(SUBSTITUTE(SUBSTITUTE(UPPER(Transaction[[#This Row],[Region]]),"EMEA REGION","EMEA"),"APAC REGION","APAC"),"NORTH AMERICA","N. AMERICA"),"N .AMERICA","N.AMERICA"))</f>
        <v>N. AMERICA</v>
      </c>
      <c r="M1192" t="s">
        <v>20</v>
      </c>
      <c r="N1192" t="s">
        <v>98</v>
      </c>
      <c r="O119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92" t="s">
        <v>40</v>
      </c>
      <c r="Q1192" t="str">
        <f>IF(TRIM(Transaction[[#This Row],[SalesChannel]])="","Missing Value",TRIM(Transaction[[#This Row],[SalesChannel]]))</f>
        <v>Distributor</v>
      </c>
      <c r="R1192" s="4">
        <v>1</v>
      </c>
      <c r="S1192" s="4" t="str">
        <f>IF(Transaction[[#This Row],[Quantity]]&lt;0,"Negative-review","Valid")</f>
        <v>Valid</v>
      </c>
      <c r="T1192">
        <v>1599.93</v>
      </c>
      <c r="U119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1599.93</v>
      </c>
      <c r="V1192">
        <v>1890</v>
      </c>
      <c r="W1192">
        <v>1890</v>
      </c>
      <c r="X119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1192">
        <f>IF(Transaction[[#This Row],[GrossRevenue_Check]]="Invalid",Transaction[[#This Row],[ListPrice]]*Transaction[[#This Row],[Quantity]],Transaction[[#This Row],[GrossRevenue_Clean]])</f>
        <v>1890</v>
      </c>
      <c r="Z1192" t="str">
        <f>IF(Transaction[[#This Row],[GrossRevenue_Clean]]=Transaction[[#This Row],[ListPrice]]*Transaction[[#This Row],[Quantity]],"Valid","Invalid")</f>
        <v>Valid</v>
      </c>
      <c r="AA1192">
        <v>290.07</v>
      </c>
      <c r="AB119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290.07</v>
      </c>
      <c r="AC1192">
        <f>IF(Transaction[[#This Row],[DiscountAmount_Check2]]="Invalid",Transaction[[#This Row],[GrossRevenue_Analytical]]-Transaction[[#This Row],[NetRevenue_Analytical]],Transaction[[#This Row],[DiscountAmount_Clean]])</f>
        <v>290.07</v>
      </c>
      <c r="AD1192">
        <v>1599.93</v>
      </c>
      <c r="AE1192" t="str">
        <f>IF(ROUND(Transaction[[#This Row],[GrossRevenue_Analytical]]-Transaction[[#This Row],[NetRevenue_Analytical]],2)=ROUND(Transaction[[#This Row],[DiscountAmount_Clean]],2),"Valid","Invalid")</f>
        <v>Valid</v>
      </c>
      <c r="AF119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1599.93</v>
      </c>
      <c r="AG1192">
        <f>IF(Transaction[[#This Row],[NetRevenue_Check]]="Invalid",(Transaction[[#This Row],[Quantity]]*Transaction[[#This Row],[UnitPrice_Clean]]),Transaction[[#This Row],[NetRevenue_Clean]])</f>
        <v>1599.93</v>
      </c>
      <c r="AH1192" t="str">
        <f>IF(Transaction[[#This Row],[Quantity]]*Transaction[[#This Row],[UnitPrice_Clean]]=Transaction[[#This Row],[NetRevenue_Clean]],"Valid","Invalid")</f>
        <v>Valid</v>
      </c>
      <c r="AI1192" t="s">
        <v>23</v>
      </c>
      <c r="AJ1192" t="s">
        <v>2760</v>
      </c>
      <c r="AK1192" t="str">
        <f>IF(Transaction[[#This Row],[Salesperson]]="","Missing Value",TRIM(PROPER(Transaction[[#This Row],[Salesperson]])))</f>
        <v>Hahn-Na</v>
      </c>
      <c r="AL1192" t="s">
        <v>42</v>
      </c>
      <c r="AM1192" t="str">
        <f>IF(Transaction[[#This Row],[ContractType]]="","Missing Value",Transaction[[#This Row],[ContractType]])</f>
        <v>Standard PO</v>
      </c>
      <c r="AN1192" t="s">
        <v>35</v>
      </c>
    </row>
    <row r="1193" spans="1:40" x14ac:dyDescent="0.25">
      <c r="A1193" t="s">
        <v>1414</v>
      </c>
      <c r="B1193" s="1">
        <v>45676</v>
      </c>
      <c r="C119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19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119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93" s="2">
        <f>IFERROR(DATE(Transaction[[#This Row],[TransactionDateY]],Transaction[[#This Row],[TransactionDateM]],Transaction[[#This Row],[TransactionDateD]]),"Missing Value")</f>
        <v>45676</v>
      </c>
      <c r="G1193" t="s">
        <v>1152</v>
      </c>
      <c r="H1193" t="str">
        <f>IFERROR(VLOOKUP(Transaction[[#This Row],[CustomerID]],Custumer[],1,0),IF(LEN(Transaction[[#This Row],[CustomerID]])=7,LEFT(Transaction[[#This Row],[CustomerID]],6),"Invalid ID"))</f>
        <v>C-1178</v>
      </c>
      <c r="I1193" t="s">
        <v>97</v>
      </c>
      <c r="J1193" t="str">
        <f>TRIM(UPPER(Transaction[[#This Row],[ProductID]]))</f>
        <v>P-SI-001</v>
      </c>
      <c r="K1193" t="str">
        <f>IFERROR(VLOOKUP(Transaction[[#This Row],[ProductID_Clean]],Product[],1,FALSE),"Invalid ID")</f>
        <v>P-SI-001</v>
      </c>
      <c r="L1193" t="str">
        <f>TRIM(SUBSTITUTE(SUBSTITUTE(SUBSTITUTE(SUBSTITUTE(UPPER(Transaction[[#This Row],[Region]]),"EMEA REGION","EMEA"),"APAC REGION","APAC"),"NORTH AMERICA","N. AMERICA"),"N .AMERICA","N.AMERICA"))</f>
        <v>EMEA</v>
      </c>
      <c r="M1193" t="s">
        <v>76</v>
      </c>
      <c r="N1193" t="s">
        <v>53</v>
      </c>
      <c r="O119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93" t="s">
        <v>22</v>
      </c>
      <c r="Q1193" t="str">
        <f>IF(TRIM(Transaction[[#This Row],[SalesChannel]])="","Missing Value",TRIM(Transaction[[#This Row],[SalesChannel]]))</f>
        <v>Direct</v>
      </c>
      <c r="R1193" s="4">
        <v>10</v>
      </c>
      <c r="S1193" s="4" t="str">
        <f>IF(Transaction[[#This Row],[Quantity]]&lt;0,"Negative-review","Valid")</f>
        <v>Valid</v>
      </c>
      <c r="T1193">
        <v>461.03</v>
      </c>
      <c r="U119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461.03</v>
      </c>
      <c r="V1193">
        <v>485</v>
      </c>
      <c r="W1193">
        <v>4850</v>
      </c>
      <c r="X119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4850</v>
      </c>
      <c r="Y1193">
        <f>IF(Transaction[[#This Row],[GrossRevenue_Check]]="Invalid",Transaction[[#This Row],[ListPrice]]*Transaction[[#This Row],[Quantity]],Transaction[[#This Row],[GrossRevenue_Clean]])</f>
        <v>4850</v>
      </c>
      <c r="Z1193" t="str">
        <f>IF(Transaction[[#This Row],[GrossRevenue_Clean]]=Transaction[[#This Row],[ListPrice]]*Transaction[[#This Row],[Quantity]],"Valid","Invalid")</f>
        <v>Valid</v>
      </c>
      <c r="AA1193">
        <v>239.7</v>
      </c>
      <c r="AB119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239.7</v>
      </c>
      <c r="AC1193">
        <f>IF(Transaction[[#This Row],[DiscountAmount_Check2]]="Invalid",Transaction[[#This Row],[GrossRevenue_Analytical]]-Transaction[[#This Row],[NetRevenue_Analytical]],Transaction[[#This Row],[DiscountAmount_Clean]])</f>
        <v>239.7</v>
      </c>
      <c r="AD1193">
        <v>4610.3</v>
      </c>
      <c r="AE1193" t="str">
        <f>IF(ROUND(Transaction[[#This Row],[GrossRevenue_Analytical]]-Transaction[[#This Row],[NetRevenue_Analytical]],2)=ROUND(Transaction[[#This Row],[DiscountAmount_Clean]],2),"Valid","Invalid")</f>
        <v>Valid</v>
      </c>
      <c r="AF1193">
        <f>VALUE(IF(ISNUMBER(Transaction[[#This Row],[NetRevenue]]),Transaction[[#This Row],[NetRevenue]],IFERROR(IF(FIND("$",Transaction[[#This Row],[NetRevenue]])&gt;0,MID(Transaction[[#This Row],[NetRevenue]],2,10)),Transaction[[#This Row],[NetRevenue]])))</f>
        <v>4610.3</v>
      </c>
      <c r="AG1193">
        <f>IF(Transaction[[#This Row],[NetRevenue_Check]]="Invalid",(Transaction[[#This Row],[Quantity]]*Transaction[[#This Row],[UnitPrice_Clean]]),Transaction[[#This Row],[NetRevenue_Clean]])</f>
        <v>4610.3</v>
      </c>
      <c r="AH1193" t="str">
        <f>IF(Transaction[[#This Row],[Quantity]]*Transaction[[#This Row],[UnitPrice_Clean]]=Transaction[[#This Row],[NetRevenue_Clean]],"Valid","Invalid")</f>
        <v>Valid</v>
      </c>
      <c r="AI1193" t="s">
        <v>23</v>
      </c>
      <c r="AJ1193" t="s">
        <v>1415</v>
      </c>
      <c r="AK1193" t="str">
        <f>IF(Transaction[[#This Row],[Salesperson]]="","Missing Value",TRIM(PROPER(Transaction[[#This Row],[Salesperson]])))</f>
        <v>Clark-Na</v>
      </c>
      <c r="AL1193" t="s">
        <v>55</v>
      </c>
      <c r="AM1193" t="str">
        <f>IF(Transaction[[#This Row],[ContractType]]="","Missing Value",Transaction[[#This Row],[ContractType]])</f>
        <v>Spot</v>
      </c>
      <c r="AN1193" t="s">
        <v>49</v>
      </c>
    </row>
    <row r="1194" spans="1:40" x14ac:dyDescent="0.25">
      <c r="A1194" t="s">
        <v>1471</v>
      </c>
      <c r="B1194" s="1">
        <v>45811</v>
      </c>
      <c r="C119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19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119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94" s="2">
        <f>IFERROR(DATE(Transaction[[#This Row],[TransactionDateY]],Transaction[[#This Row],[TransactionDateM]],Transaction[[#This Row],[TransactionDateD]]),"Missing Value")</f>
        <v>45811</v>
      </c>
      <c r="G1194" t="s">
        <v>61</v>
      </c>
      <c r="H1194" t="str">
        <f>IFERROR(VLOOKUP(Transaction[[#This Row],[CustomerID]],Custumer[],1,0),IF(LEN(Transaction[[#This Row],[CustomerID]])=7,LEFT(Transaction[[#This Row],[CustomerID]],6),"Invalid ID"))</f>
        <v>C-1108</v>
      </c>
      <c r="I1194" t="s">
        <v>226</v>
      </c>
      <c r="J1194" t="str">
        <f>TRIM(UPPER(Transaction[[#This Row],[ProductID]]))</f>
        <v>P-SA-002</v>
      </c>
      <c r="K1194" t="str">
        <f>IFERROR(VLOOKUP(Transaction[[#This Row],[ProductID_Clean]],Product[],1,FALSE),"Invalid ID")</f>
        <v>P-SA-002</v>
      </c>
      <c r="L1194" t="str">
        <f>TRIM(SUBSTITUTE(SUBSTITUTE(SUBSTITUTE(SUBSTITUTE(UPPER(Transaction[[#This Row],[Region]]),"EMEA REGION","EMEA"),"APAC REGION","APAC"),"NORTH AMERICA","N. AMERICA"),"N .AMERICA","N.AMERICA"))</f>
        <v>APAC</v>
      </c>
      <c r="M1194" t="s">
        <v>30</v>
      </c>
      <c r="N1194" t="s">
        <v>31</v>
      </c>
      <c r="O119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94" t="s">
        <v>40</v>
      </c>
      <c r="Q1194" t="str">
        <f>IF(TRIM(Transaction[[#This Row],[SalesChannel]])="","Missing Value",TRIM(Transaction[[#This Row],[SalesChannel]]))</f>
        <v>Distributor</v>
      </c>
      <c r="R1194" s="4">
        <v>2</v>
      </c>
      <c r="S1194" s="4" t="str">
        <f>IF(Transaction[[#This Row],[Quantity]]&lt;0,"Negative-review","Valid")</f>
        <v>Valid</v>
      </c>
      <c r="T1194">
        <v>7885.72</v>
      </c>
      <c r="U119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7885.72</v>
      </c>
      <c r="V1194">
        <v>9800</v>
      </c>
      <c r="W1194">
        <v>19600</v>
      </c>
      <c r="X119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19600</v>
      </c>
      <c r="Y1194">
        <f>IF(Transaction[[#This Row],[GrossRevenue_Check]]="Invalid",Transaction[[#This Row],[ListPrice]]*Transaction[[#This Row],[Quantity]],Transaction[[#This Row],[GrossRevenue_Clean]])</f>
        <v>19600</v>
      </c>
      <c r="Z1194" t="str">
        <f>IF(Transaction[[#This Row],[GrossRevenue_Clean]]=Transaction[[#This Row],[ListPrice]]*Transaction[[#This Row],[Quantity]],"Valid","Invalid")</f>
        <v>Valid</v>
      </c>
      <c r="AA1194">
        <v>3828.56</v>
      </c>
      <c r="AB119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3828.56</v>
      </c>
      <c r="AC1194">
        <f>IF(Transaction[[#This Row],[DiscountAmount_Check2]]="Invalid",Transaction[[#This Row],[GrossRevenue_Analytical]]-Transaction[[#This Row],[NetRevenue_Analytical]],Transaction[[#This Row],[DiscountAmount_Clean]])</f>
        <v>3828.56</v>
      </c>
      <c r="AD1194">
        <v>15771.44</v>
      </c>
      <c r="AE1194" t="str">
        <f>IF(ROUND(Transaction[[#This Row],[GrossRevenue_Analytical]]-Transaction[[#This Row],[NetRevenue_Analytical]],2)=ROUND(Transaction[[#This Row],[DiscountAmount_Clean]],2),"Valid","Invalid")</f>
        <v>Valid</v>
      </c>
      <c r="AF119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15771.44</v>
      </c>
      <c r="AG1194">
        <f>IF(Transaction[[#This Row],[NetRevenue_Check]]="Invalid",(Transaction[[#This Row],[Quantity]]*Transaction[[#This Row],[UnitPrice_Clean]]),Transaction[[#This Row],[NetRevenue_Clean]])</f>
        <v>15771.44</v>
      </c>
      <c r="AH1194" t="str">
        <f>IF(Transaction[[#This Row],[Quantity]]*Transaction[[#This Row],[UnitPrice_Clean]]=Transaction[[#This Row],[NetRevenue_Clean]],"Valid","Invalid")</f>
        <v>Valid</v>
      </c>
      <c r="AI1194" t="s">
        <v>128</v>
      </c>
      <c r="AJ1194" t="s">
        <v>1472</v>
      </c>
      <c r="AK1194" t="str">
        <f>IF(Transaction[[#This Row],[Salesperson]]="","Missing Value",TRIM(PROPER(Transaction[[#This Row],[Salesperson]])))</f>
        <v>Salinas-Na</v>
      </c>
      <c r="AL1194" t="s">
        <v>34</v>
      </c>
      <c r="AM1194" t="str">
        <f>IF(Transaction[[#This Row],[ContractType]]="","Missing Value",Transaction[[#This Row],[ContractType]])</f>
        <v>Annual License</v>
      </c>
      <c r="AN1194" t="s">
        <v>65</v>
      </c>
    </row>
    <row r="1195" spans="1:40" x14ac:dyDescent="0.25">
      <c r="A1195" t="s">
        <v>533</v>
      </c>
      <c r="B1195" s="1">
        <v>45807</v>
      </c>
      <c r="C119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19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119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95" s="2">
        <f>IFERROR(DATE(Transaction[[#This Row],[TransactionDateY]],Transaction[[#This Row],[TransactionDateM]],Transaction[[#This Row],[TransactionDateD]]),"Missing Value")</f>
        <v>45807</v>
      </c>
      <c r="G1195" t="s">
        <v>172</v>
      </c>
      <c r="H1195" t="str">
        <f>IFERROR(VLOOKUP(Transaction[[#This Row],[CustomerID]],Custumer[],1,0),IF(LEN(Transaction[[#This Row],[CustomerID]])=7,LEFT(Transaction[[#This Row],[CustomerID]],6),"Invalid ID"))</f>
        <v>C-1099</v>
      </c>
      <c r="I1195" t="s">
        <v>534</v>
      </c>
      <c r="J1195" t="str">
        <f>TRIM(UPPER(Transaction[[#This Row],[ProductID]]))</f>
        <v>P-FS-005</v>
      </c>
      <c r="K1195" t="str">
        <f>IFERROR(VLOOKUP(Transaction[[#This Row],[ProductID_Clean]],Product[],1,FALSE),"Invalid ID")</f>
        <v>P-FS-005</v>
      </c>
      <c r="L1195" t="str">
        <f>TRIM(SUBSTITUTE(SUBSTITUTE(SUBSTITUTE(SUBSTITUTE(UPPER(Transaction[[#This Row],[Region]]),"EMEA REGION","EMEA"),"APAC REGION","APAC"),"NORTH AMERICA","N. AMERICA"),"N .AMERICA","N.AMERICA"))</f>
        <v>EMEA</v>
      </c>
      <c r="M1195" t="s">
        <v>76</v>
      </c>
      <c r="N1195" t="s">
        <v>21</v>
      </c>
      <c r="O119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195" t="s">
        <v>40</v>
      </c>
      <c r="Q1195" t="str">
        <f>IF(TRIM(Transaction[[#This Row],[SalesChannel]])="","Missing Value",TRIM(Transaction[[#This Row],[SalesChannel]]))</f>
        <v>Distributor</v>
      </c>
      <c r="R1195" s="4">
        <v>1</v>
      </c>
      <c r="S1195" s="4" t="str">
        <f>IF(Transaction[[#This Row],[Quantity]]&lt;0,"Negative-review","Valid")</f>
        <v>Valid</v>
      </c>
      <c r="T1195">
        <v>673.93</v>
      </c>
      <c r="U119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673.93</v>
      </c>
      <c r="V1195">
        <v>950</v>
      </c>
      <c r="W1195">
        <v>950</v>
      </c>
      <c r="X119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1195">
        <f>IF(Transaction[[#This Row],[GrossRevenue_Check]]="Invalid",Transaction[[#This Row],[ListPrice]]*Transaction[[#This Row],[Quantity]],Transaction[[#This Row],[GrossRevenue_Clean]])</f>
        <v>950</v>
      </c>
      <c r="Z1195" t="str">
        <f>IF(Transaction[[#This Row],[GrossRevenue_Clean]]=Transaction[[#This Row],[ListPrice]]*Transaction[[#This Row],[Quantity]],"Valid","Invalid")</f>
        <v>Valid</v>
      </c>
      <c r="AA1195">
        <v>276.07</v>
      </c>
      <c r="AB119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276.07</v>
      </c>
      <c r="AC1195">
        <f>IF(Transaction[[#This Row],[DiscountAmount_Check2]]="Invalid",Transaction[[#This Row],[GrossRevenue_Analytical]]-Transaction[[#This Row],[NetRevenue_Analytical]],Transaction[[#This Row],[DiscountAmount_Clean]])</f>
        <v>276.07</v>
      </c>
      <c r="AD1195">
        <v>673.93</v>
      </c>
      <c r="AE1195" t="str">
        <f>IF(ROUND(Transaction[[#This Row],[GrossRevenue_Analytical]]-Transaction[[#This Row],[NetRevenue_Analytical]],2)=ROUND(Transaction[[#This Row],[DiscountAmount_Clean]],2),"Valid","Invalid")</f>
        <v>Valid</v>
      </c>
      <c r="AF1195">
        <f>VALUE(IF(ISNUMBER(Transaction[[#This Row],[NetRevenue]]),Transaction[[#This Row],[NetRevenue]],IFERROR(IF(FIND("$",Transaction[[#This Row],[NetRevenue]])&gt;0,MID(Transaction[[#This Row],[NetRevenue]],2,10)),Transaction[[#This Row],[NetRevenue]])))</f>
        <v>673.93</v>
      </c>
      <c r="AG1195">
        <f>IF(Transaction[[#This Row],[NetRevenue_Check]]="Invalid",(Transaction[[#This Row],[Quantity]]*Transaction[[#This Row],[UnitPrice_Clean]]),Transaction[[#This Row],[NetRevenue_Clean]])</f>
        <v>673.93</v>
      </c>
      <c r="AH1195" t="str">
        <f>IF(Transaction[[#This Row],[Quantity]]*Transaction[[#This Row],[UnitPrice_Clean]]=Transaction[[#This Row],[NetRevenue_Clean]],"Valid","Invalid")</f>
        <v>Valid</v>
      </c>
      <c r="AI1195" t="s">
        <v>23</v>
      </c>
      <c r="AJ1195" t="s">
        <v>535</v>
      </c>
      <c r="AK1195" t="str">
        <f>IF(Transaction[[#This Row],[Salesperson]]="","Missing Value",TRIM(PROPER(Transaction[[#This Row],[Salesperson]])))</f>
        <v>Guerra-Em</v>
      </c>
      <c r="AL1195" t="s">
        <v>55</v>
      </c>
      <c r="AM1195" t="str">
        <f>IF(Transaction[[#This Row],[ContractType]]="","Missing Value",Transaction[[#This Row],[ContractType]])</f>
        <v>Spot</v>
      </c>
      <c r="AN1195" t="s">
        <v>43</v>
      </c>
    </row>
    <row r="1196" spans="1:40" x14ac:dyDescent="0.25">
      <c r="A1196" t="s">
        <v>2447</v>
      </c>
      <c r="B1196" s="1">
        <v>45835</v>
      </c>
      <c r="C119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19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119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96" s="2">
        <f>IFERROR(DATE(Transaction[[#This Row],[TransactionDateY]],Transaction[[#This Row],[TransactionDateM]],Transaction[[#This Row],[TransactionDateD]]),"Missing Value")</f>
        <v>45835</v>
      </c>
      <c r="G1196" t="s">
        <v>456</v>
      </c>
      <c r="H1196" t="str">
        <f>IFERROR(VLOOKUP(Transaction[[#This Row],[CustomerID]],Custumer[],1,0),IF(LEN(Transaction[[#This Row],[CustomerID]])=7,LEFT(Transaction[[#This Row],[CustomerID]],6),"Invalid ID"))</f>
        <v>C-1020</v>
      </c>
      <c r="I1196" t="s">
        <v>121</v>
      </c>
      <c r="J1196" t="str">
        <f>TRIM(UPPER(Transaction[[#This Row],[ProductID]]))</f>
        <v>P-FS-001</v>
      </c>
      <c r="K1196" t="str">
        <f>IFERROR(VLOOKUP(Transaction[[#This Row],[ProductID_Clean]],Product[],1,FALSE),"Invalid ID")</f>
        <v>P-FS-001</v>
      </c>
      <c r="L1196" t="str">
        <f>TRIM(SUBSTITUTE(SUBSTITUTE(SUBSTITUTE(SUBSTITUTE(UPPER(Transaction[[#This Row],[Region]]),"EMEA REGION","EMEA"),"APAC REGION","APAC"),"NORTH AMERICA","N. AMERICA"),"N .AMERICA","N.AMERICA"))</f>
        <v>EMEA</v>
      </c>
      <c r="M1196" t="s">
        <v>76</v>
      </c>
      <c r="N1196" t="s">
        <v>21</v>
      </c>
      <c r="O119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196" t="s">
        <v>181</v>
      </c>
      <c r="Q1196" t="str">
        <f>IF(TRIM(Transaction[[#This Row],[SalesChannel]])="","Missing Value",TRIM(Transaction[[#This Row],[SalesChannel]]))</f>
        <v>Partner Portal</v>
      </c>
      <c r="R1196" s="4">
        <v>1</v>
      </c>
      <c r="S1196" s="4" t="str">
        <f>IF(Transaction[[#This Row],[Quantity]]&lt;0,"Negative-review","Valid")</f>
        <v>Valid</v>
      </c>
      <c r="T1196">
        <v>1477.8</v>
      </c>
      <c r="U119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1477.8</v>
      </c>
      <c r="V1196">
        <v>1850</v>
      </c>
      <c r="W1196">
        <v>1850</v>
      </c>
      <c r="X119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1196">
        <f>IF(Transaction[[#This Row],[GrossRevenue_Check]]="Invalid",Transaction[[#This Row],[ListPrice]]*Transaction[[#This Row],[Quantity]],Transaction[[#This Row],[GrossRevenue_Clean]])</f>
        <v>1850</v>
      </c>
      <c r="Z1196" t="str">
        <f>IF(Transaction[[#This Row],[GrossRevenue_Clean]]=Transaction[[#This Row],[ListPrice]]*Transaction[[#This Row],[Quantity]],"Valid","Invalid")</f>
        <v>Valid</v>
      </c>
      <c r="AA1196">
        <v>372.2</v>
      </c>
      <c r="AB119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372.2</v>
      </c>
      <c r="AC1196">
        <f>IF(Transaction[[#This Row],[DiscountAmount_Check2]]="Invalid",Transaction[[#This Row],[GrossRevenue_Analytical]]-Transaction[[#This Row],[NetRevenue_Analytical]],Transaction[[#This Row],[DiscountAmount_Clean]])</f>
        <v>372.2</v>
      </c>
      <c r="AD1196">
        <v>1477.8</v>
      </c>
      <c r="AE1196" t="str">
        <f>IF(ROUND(Transaction[[#This Row],[GrossRevenue_Analytical]]-Transaction[[#This Row],[NetRevenue_Analytical]],2)=ROUND(Transaction[[#This Row],[DiscountAmount_Clean]],2),"Valid","Invalid")</f>
        <v>Valid</v>
      </c>
      <c r="AF1196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1477.8</v>
      </c>
      <c r="AG1196">
        <f>IF(Transaction[[#This Row],[NetRevenue_Check]]="Invalid",(Transaction[[#This Row],[Quantity]]*Transaction[[#This Row],[UnitPrice_Clean]]),Transaction[[#This Row],[NetRevenue_Clean]])</f>
        <v>1477.8</v>
      </c>
      <c r="AH1196" t="str">
        <f>IF(Transaction[[#This Row],[Quantity]]*Transaction[[#This Row],[UnitPrice_Clean]]=Transaction[[#This Row],[NetRevenue_Clean]],"Valid","Invalid")</f>
        <v>Valid</v>
      </c>
      <c r="AI1196" t="s">
        <v>23</v>
      </c>
      <c r="AJ1196" t="s">
        <v>655</v>
      </c>
      <c r="AK1196" t="str">
        <f>IF(Transaction[[#This Row],[Salesperson]]="","Missing Value",TRIM(PROPER(Transaction[[#This Row],[Salesperson]])))</f>
        <v>Jones</v>
      </c>
      <c r="AL1196" t="s">
        <v>42</v>
      </c>
      <c r="AM1196" t="str">
        <f>IF(Transaction[[#This Row],[ContractType]]="","Missing Value",Transaction[[#This Row],[ContractType]])</f>
        <v>Standard PO</v>
      </c>
      <c r="AN1196" t="s">
        <v>43</v>
      </c>
    </row>
    <row r="1197" spans="1:40" x14ac:dyDescent="0.25">
      <c r="A1197" t="s">
        <v>2302</v>
      </c>
      <c r="B1197" t="s">
        <v>934</v>
      </c>
      <c r="C119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19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119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97" s="2">
        <f>IFERROR(DATE(Transaction[[#This Row],[TransactionDateY]],Transaction[[#This Row],[TransactionDateM]],Transaction[[#This Row],[TransactionDateD]]),"Missing Value")</f>
        <v>45750</v>
      </c>
      <c r="G1197" t="s">
        <v>1336</v>
      </c>
      <c r="H1197" t="str">
        <f>IFERROR(VLOOKUP(Transaction[[#This Row],[CustomerID]],Custumer[],1,0),IF(LEN(Transaction[[#This Row],[CustomerID]])=7,LEFT(Transaction[[#This Row],[CustomerID]],6),"Invalid ID"))</f>
        <v>Invalid ID</v>
      </c>
      <c r="I1197" t="s">
        <v>258</v>
      </c>
      <c r="J1197" t="str">
        <f>TRIM(UPPER(Transaction[[#This Row],[ProductID]]))</f>
        <v>P-SA-003</v>
      </c>
      <c r="K1197" t="str">
        <f>IFERROR(VLOOKUP(Transaction[[#This Row],[ProductID_Clean]],Product[],1,FALSE),"Invalid ID")</f>
        <v>P-SA-003</v>
      </c>
      <c r="L1197" t="str">
        <f>TRIM(SUBSTITUTE(SUBSTITUTE(SUBSTITUTE(SUBSTITUTE(UPPER(Transaction[[#This Row],[Region]]),"EMEA REGION","EMEA"),"APAC REGION","APAC"),"NORTH AMERICA","N. AMERICA"),"N .AMERICA","N.AMERICA"))</f>
        <v>APAC</v>
      </c>
      <c r="M1197" t="s">
        <v>122</v>
      </c>
      <c r="N1197" t="s">
        <v>31</v>
      </c>
      <c r="O119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97" t="s">
        <v>22</v>
      </c>
      <c r="Q1197" t="str">
        <f>IF(TRIM(Transaction[[#This Row],[SalesChannel]])="","Missing Value",TRIM(Transaction[[#This Row],[SalesChannel]]))</f>
        <v>Direct</v>
      </c>
      <c r="R1197" s="4">
        <v>1</v>
      </c>
      <c r="S1197" s="4" t="str">
        <f>IF(Transaction[[#This Row],[Quantity]]&lt;0,"Negative-review","Valid")</f>
        <v>Valid</v>
      </c>
      <c r="T1197">
        <v>2282.31</v>
      </c>
      <c r="U119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2282.31</v>
      </c>
      <c r="V1197">
        <v>2750</v>
      </c>
      <c r="W1197">
        <v>2750</v>
      </c>
      <c r="X119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1197">
        <f>IF(Transaction[[#This Row],[GrossRevenue_Check]]="Invalid",Transaction[[#This Row],[ListPrice]]*Transaction[[#This Row],[Quantity]],Transaction[[#This Row],[GrossRevenue_Clean]])</f>
        <v>2750</v>
      </c>
      <c r="Z1197" t="str">
        <f>IF(Transaction[[#This Row],[GrossRevenue_Clean]]=Transaction[[#This Row],[ListPrice]]*Transaction[[#This Row],[Quantity]],"Valid","Invalid")</f>
        <v>Valid</v>
      </c>
      <c r="AA1197">
        <v>467.69</v>
      </c>
      <c r="AB119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467.69</v>
      </c>
      <c r="AC1197">
        <f>IF(Transaction[[#This Row],[DiscountAmount_Check2]]="Invalid",Transaction[[#This Row],[GrossRevenue_Analytical]]-Transaction[[#This Row],[NetRevenue_Analytical]],Transaction[[#This Row],[DiscountAmount_Clean]])</f>
        <v>467.69</v>
      </c>
      <c r="AD1197">
        <v>2282.31</v>
      </c>
      <c r="AE1197" t="str">
        <f>IF(ROUND(Transaction[[#This Row],[GrossRevenue_Analytical]]-Transaction[[#This Row],[NetRevenue_Analytical]],2)=ROUND(Transaction[[#This Row],[DiscountAmount_Clean]],2),"Valid","Invalid")</f>
        <v>Valid</v>
      </c>
      <c r="AF1197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2282.31</v>
      </c>
      <c r="AG1197">
        <f>IF(Transaction[[#This Row],[NetRevenue_Check]]="Invalid",(Transaction[[#This Row],[Quantity]]*Transaction[[#This Row],[UnitPrice_Clean]]),Transaction[[#This Row],[NetRevenue_Clean]])</f>
        <v>2282.31</v>
      </c>
      <c r="AH1197" t="str">
        <f>IF(Transaction[[#This Row],[Quantity]]*Transaction[[#This Row],[UnitPrice_Clean]]=Transaction[[#This Row],[NetRevenue_Clean]],"Valid","Invalid")</f>
        <v>Valid</v>
      </c>
      <c r="AI1197" t="s">
        <v>23</v>
      </c>
      <c r="AJ1197" t="s">
        <v>2303</v>
      </c>
      <c r="AK1197" t="str">
        <f>IF(Transaction[[#This Row],[Salesperson]]="","Missing Value",TRIM(PROPER(Transaction[[#This Row],[Salesperson]])))</f>
        <v>Abbott-Ap</v>
      </c>
      <c r="AL1197" t="s">
        <v>34</v>
      </c>
      <c r="AM1197" t="str">
        <f>IF(Transaction[[#This Row],[ContractType]]="","Missing Value",Transaction[[#This Row],[ContractType]])</f>
        <v>Annual License</v>
      </c>
      <c r="AN1197" t="s">
        <v>26</v>
      </c>
    </row>
    <row r="1198" spans="1:40" x14ac:dyDescent="0.25">
      <c r="A1198" t="s">
        <v>674</v>
      </c>
      <c r="B1198" s="1">
        <v>45795</v>
      </c>
      <c r="C119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19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119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98" s="2">
        <f>IFERROR(DATE(Transaction[[#This Row],[TransactionDateY]],Transaction[[#This Row],[TransactionDateM]],Transaction[[#This Row],[TransactionDateD]]),"Missing Value")</f>
        <v>45795</v>
      </c>
      <c r="G1198" t="s">
        <v>214</v>
      </c>
      <c r="H1198" t="str">
        <f>IFERROR(VLOOKUP(Transaction[[#This Row],[CustomerID]],Custumer[],1,0),IF(LEN(Transaction[[#This Row],[CustomerID]])=7,LEFT(Transaction[[#This Row],[CustomerID]],6),"Invalid ID"))</f>
        <v>C-1169</v>
      </c>
      <c r="I1198" t="s">
        <v>226</v>
      </c>
      <c r="J1198" t="str">
        <f>TRIM(UPPER(Transaction[[#This Row],[ProductID]]))</f>
        <v>P-SA-002</v>
      </c>
      <c r="K1198" t="str">
        <f>IFERROR(VLOOKUP(Transaction[[#This Row],[ProductID_Clean]],Product[],1,FALSE),"Invalid ID")</f>
        <v>P-SA-002</v>
      </c>
      <c r="L1198" t="str">
        <f>TRIM(SUBSTITUTE(SUBSTITUTE(SUBSTITUTE(SUBSTITUTE(UPPER(Transaction[[#This Row],[Region]]),"EMEA REGION","EMEA"),"APAC REGION","APAC"),"NORTH AMERICA","N. AMERICA"),"N .AMERICA","N.AMERICA"))</f>
        <v>EMEA</v>
      </c>
      <c r="M1198" t="s">
        <v>76</v>
      </c>
      <c r="N1198" t="s">
        <v>31</v>
      </c>
      <c r="O119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198" t="s">
        <v>22</v>
      </c>
      <c r="Q1198" t="str">
        <f>IF(TRIM(Transaction[[#This Row],[SalesChannel]])="","Missing Value",TRIM(Transaction[[#This Row],[SalesChannel]]))</f>
        <v>Direct</v>
      </c>
      <c r="R1198" s="4">
        <v>2</v>
      </c>
      <c r="S1198" s="4" t="str">
        <f>IF(Transaction[[#This Row],[Quantity]]&lt;0,"Negative-review","Valid")</f>
        <v>Valid</v>
      </c>
      <c r="T1198">
        <v>9348.4500000000007</v>
      </c>
      <c r="U119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9348.4500000000007</v>
      </c>
      <c r="V1198">
        <v>9800</v>
      </c>
      <c r="W1198">
        <v>19600</v>
      </c>
      <c r="X119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19600</v>
      </c>
      <c r="Y1198">
        <f>IF(Transaction[[#This Row],[GrossRevenue_Check]]="Invalid",Transaction[[#This Row],[ListPrice]]*Transaction[[#This Row],[Quantity]],Transaction[[#This Row],[GrossRevenue_Clean]])</f>
        <v>19600</v>
      </c>
      <c r="Z1198" t="str">
        <f>IF(Transaction[[#This Row],[GrossRevenue_Clean]]=Transaction[[#This Row],[ListPrice]]*Transaction[[#This Row],[Quantity]],"Valid","Invalid")</f>
        <v>Valid</v>
      </c>
      <c r="AA1198">
        <v>903.1</v>
      </c>
      <c r="AB119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903.1</v>
      </c>
      <c r="AC1198">
        <f>IF(Transaction[[#This Row],[DiscountAmount_Check2]]="Invalid",Transaction[[#This Row],[GrossRevenue_Analytical]]-Transaction[[#This Row],[NetRevenue_Analytical]],Transaction[[#This Row],[DiscountAmount_Clean]])</f>
        <v>903.1</v>
      </c>
      <c r="AD1198">
        <v>18696.900000000001</v>
      </c>
      <c r="AE1198" t="str">
        <f>IF(ROUND(Transaction[[#This Row],[GrossRevenue_Analytical]]-Transaction[[#This Row],[NetRevenue_Analytical]],2)=ROUND(Transaction[[#This Row],[DiscountAmount_Clean]],2),"Valid","Invalid")</f>
        <v>Valid</v>
      </c>
      <c r="AF119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18696.900000000001</v>
      </c>
      <c r="AG1198">
        <f>IF(Transaction[[#This Row],[NetRevenue_Check]]="Invalid",(Transaction[[#This Row],[Quantity]]*Transaction[[#This Row],[UnitPrice_Clean]]),Transaction[[#This Row],[NetRevenue_Clean]])</f>
        <v>18696.900000000001</v>
      </c>
      <c r="AH1198" t="str">
        <f>IF(Transaction[[#This Row],[Quantity]]*Transaction[[#This Row],[UnitPrice_Clean]]=Transaction[[#This Row],[NetRevenue_Clean]],"Valid","Invalid")</f>
        <v>Valid</v>
      </c>
      <c r="AI1198" t="s">
        <v>23</v>
      </c>
      <c r="AJ1198" t="s">
        <v>675</v>
      </c>
      <c r="AK1198" t="str">
        <f>IF(Transaction[[#This Row],[Salesperson]]="","Missing Value",TRIM(PROPER(Transaction[[#This Row],[Salesperson]])))</f>
        <v>Pope-Em</v>
      </c>
      <c r="AL1198" t="s">
        <v>113</v>
      </c>
      <c r="AM1198" t="str">
        <f>IF(Transaction[[#This Row],[ContractType]]="","Missing Value",Transaction[[#This Row],[ContractType]])</f>
        <v>Subscription</v>
      </c>
      <c r="AN1198" t="s">
        <v>49</v>
      </c>
    </row>
    <row r="1199" spans="1:40" x14ac:dyDescent="0.25">
      <c r="A1199" t="s">
        <v>2804</v>
      </c>
      <c r="B1199" s="1">
        <v>45821</v>
      </c>
      <c r="C119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19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119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199" s="2">
        <f>IFERROR(DATE(Transaction[[#This Row],[TransactionDateY]],Transaction[[#This Row],[TransactionDateM]],Transaction[[#This Row],[TransactionDateD]]),"Missing Value")</f>
        <v>45821</v>
      </c>
      <c r="G1199" t="s">
        <v>102</v>
      </c>
      <c r="H1199" t="str">
        <f>IFERROR(VLOOKUP(Transaction[[#This Row],[CustomerID]],Custumer[],1,0),IF(LEN(Transaction[[#This Row],[CustomerID]])=7,LEFT(Transaction[[#This Row],[CustomerID]],6),"Invalid ID"))</f>
        <v>C-1120</v>
      </c>
      <c r="I1199" t="s">
        <v>46</v>
      </c>
      <c r="J1199" t="str">
        <f>TRIM(UPPER(Transaction[[#This Row],[ProductID]]))</f>
        <v>P-SI-006</v>
      </c>
      <c r="K1199" t="str">
        <f>IFERROR(VLOOKUP(Transaction[[#This Row],[ProductID_Clean]],Product[],1,FALSE),"Invalid ID")</f>
        <v>P-SI-006</v>
      </c>
      <c r="L1199" t="str">
        <f>TRIM(SUBSTITUTE(SUBSTITUTE(SUBSTITUTE(SUBSTITUTE(UPPER(Transaction[[#This Row],[Region]]),"EMEA REGION","EMEA"),"APAC REGION","APAC"),"NORTH AMERICA","N. AMERICA"),"N .AMERICA","N.AMERICA"))</f>
        <v>EMEA</v>
      </c>
      <c r="M1199" t="s">
        <v>76</v>
      </c>
      <c r="N1199" t="s">
        <v>53</v>
      </c>
      <c r="O119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199" t="s">
        <v>40</v>
      </c>
      <c r="Q1199" t="str">
        <f>IF(TRIM(Transaction[[#This Row],[SalesChannel]])="","Missing Value",TRIM(Transaction[[#This Row],[SalesChannel]]))</f>
        <v>Distributor</v>
      </c>
      <c r="R1199" s="4">
        <v>1</v>
      </c>
      <c r="S1199" s="4" t="str">
        <f>IF(Transaction[[#This Row],[Quantity]]&lt;0,"Negative-review","Valid")</f>
        <v>Valid</v>
      </c>
      <c r="T1199">
        <v>148.55000000000001</v>
      </c>
      <c r="U119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148.55000000000001</v>
      </c>
      <c r="V1199">
        <v>215</v>
      </c>
      <c r="W1199" t="s">
        <v>147</v>
      </c>
      <c r="X119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1199">
        <f>IF(Transaction[[#This Row],[GrossRevenue_Check]]="Invalid",Transaction[[#This Row],[ListPrice]]*Transaction[[#This Row],[Quantity]],Transaction[[#This Row],[GrossRevenue_Clean]])</f>
        <v>215</v>
      </c>
      <c r="Z1199" t="str">
        <f>IF(Transaction[[#This Row],[GrossRevenue_Clean]]=Transaction[[#This Row],[ListPrice]]*Transaction[[#This Row],[Quantity]],"Valid","Invalid")</f>
        <v>Valid</v>
      </c>
      <c r="AA1199">
        <v>66.45</v>
      </c>
      <c r="AB119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66.45</v>
      </c>
      <c r="AC1199">
        <f>IF(Transaction[[#This Row],[DiscountAmount_Check2]]="Invalid",Transaction[[#This Row],[GrossRevenue_Analytical]]-Transaction[[#This Row],[NetRevenue_Analytical]],Transaction[[#This Row],[DiscountAmount_Clean]])</f>
        <v>66.45</v>
      </c>
      <c r="AD1199">
        <v>148.55000000000001</v>
      </c>
      <c r="AE1199" t="str">
        <f>IF(ROUND(Transaction[[#This Row],[GrossRevenue_Analytical]]-Transaction[[#This Row],[NetRevenue_Analytical]],2)=ROUND(Transaction[[#This Row],[DiscountAmount_Clean]],2),"Valid","Invalid")</f>
        <v>Valid</v>
      </c>
      <c r="AF119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148.55000000000001</v>
      </c>
      <c r="AG1199">
        <f>IF(Transaction[[#This Row],[NetRevenue_Check]]="Invalid",(Transaction[[#This Row],[Quantity]]*Transaction[[#This Row],[UnitPrice_Clean]]),Transaction[[#This Row],[NetRevenue_Clean]])</f>
        <v>148.55000000000001</v>
      </c>
      <c r="AH1199" t="str">
        <f>IF(Transaction[[#This Row],[Quantity]]*Transaction[[#This Row],[UnitPrice_Clean]]=Transaction[[#This Row],[NetRevenue_Clean]],"Valid","Invalid")</f>
        <v>Valid</v>
      </c>
      <c r="AI1199" t="s">
        <v>99</v>
      </c>
      <c r="AJ1199" t="s">
        <v>2805</v>
      </c>
      <c r="AK1199" t="str">
        <f>IF(Transaction[[#This Row],[Salesperson]]="","Missing Value",TRIM(PROPER(Transaction[[#This Row],[Salesperson]])))</f>
        <v>Chambers</v>
      </c>
      <c r="AM1199" t="str">
        <f>IF(Transaction[[#This Row],[ContractType]]="","Missing Value",Transaction[[#This Row],[ContractType]])</f>
        <v>Missing Value</v>
      </c>
      <c r="AN1199" t="s">
        <v>43</v>
      </c>
    </row>
    <row r="1200" spans="1:40" x14ac:dyDescent="0.25">
      <c r="A1200" t="s">
        <v>2669</v>
      </c>
      <c r="B1200" s="1">
        <v>45685</v>
      </c>
      <c r="C120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20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120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00" s="2">
        <f>IFERROR(DATE(Transaction[[#This Row],[TransactionDateY]],Transaction[[#This Row],[TransactionDateM]],Transaction[[#This Row],[TransactionDateD]]),"Missing Value")</f>
        <v>45685</v>
      </c>
      <c r="G1200" t="s">
        <v>253</v>
      </c>
      <c r="H1200" t="str">
        <f>IFERROR(VLOOKUP(Transaction[[#This Row],[CustomerID]],Custumer[],1,0),IF(LEN(Transaction[[#This Row],[CustomerID]])=7,LEFT(Transaction[[#This Row],[CustomerID]],6),"Invalid ID"))</f>
        <v>C-1144</v>
      </c>
      <c r="I1200" t="s">
        <v>117</v>
      </c>
      <c r="J1200" t="str">
        <f>TRIM(UPPER(Transaction[[#This Row],[ProductID]]))</f>
        <v>P-SI-007</v>
      </c>
      <c r="K1200" t="str">
        <f>IFERROR(VLOOKUP(Transaction[[#This Row],[ProductID_Clean]],Product[],1,FALSE),"Invalid ID")</f>
        <v>P-SI-007</v>
      </c>
      <c r="L1200" t="str">
        <f>TRIM(SUBSTITUTE(SUBSTITUTE(SUBSTITUTE(SUBSTITUTE(UPPER(Transaction[[#This Row],[Region]]),"EMEA REGION","EMEA"),"APAC REGION","APAC"),"NORTH AMERICA","N. AMERICA"),"N .AMERICA","N.AMERICA"))</f>
        <v>APAC</v>
      </c>
      <c r="M1200" t="s">
        <v>30</v>
      </c>
      <c r="N1200" t="s">
        <v>98</v>
      </c>
      <c r="O120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Q1200" t="str">
        <f>IF(TRIM(Transaction[[#This Row],[SalesChannel]])="","Missing Value",TRIM(Transaction[[#This Row],[SalesChannel]]))</f>
        <v>Missing Value</v>
      </c>
      <c r="R1200" s="4">
        <v>1</v>
      </c>
      <c r="S1200" s="4" t="str">
        <f>IF(Transaction[[#This Row],[Quantity]]&lt;0,"Negative-review","Valid")</f>
        <v>Valid</v>
      </c>
      <c r="T1200" t="s">
        <v>2670</v>
      </c>
      <c r="U120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833.68</v>
      </c>
      <c r="V1200">
        <v>980</v>
      </c>
      <c r="W1200">
        <v>980</v>
      </c>
      <c r="X120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</v>
      </c>
      <c r="Y1200">
        <f>IF(Transaction[[#This Row],[GrossRevenue_Check]]="Invalid",Transaction[[#This Row],[ListPrice]]*Transaction[[#This Row],[Quantity]],Transaction[[#This Row],[GrossRevenue_Clean]])</f>
        <v>980</v>
      </c>
      <c r="Z1200" t="str">
        <f>IF(Transaction[[#This Row],[GrossRevenue_Clean]]=Transaction[[#This Row],[ListPrice]]*Transaction[[#This Row],[Quantity]],"Valid","Invalid")</f>
        <v>Valid</v>
      </c>
      <c r="AA1200">
        <v>146.32</v>
      </c>
      <c r="AB120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146.32</v>
      </c>
      <c r="AC1200">
        <f>IF(Transaction[[#This Row],[DiscountAmount_Check2]]="Invalid",Transaction[[#This Row],[GrossRevenue_Analytical]]-Transaction[[#This Row],[NetRevenue_Analytical]],Transaction[[#This Row],[DiscountAmount_Clean]])</f>
        <v>146.32</v>
      </c>
      <c r="AD1200">
        <v>833.68</v>
      </c>
      <c r="AE1200" t="str">
        <f>IF(ROUND(Transaction[[#This Row],[GrossRevenue_Analytical]]-Transaction[[#This Row],[NetRevenue_Analytical]],2)=ROUND(Transaction[[#This Row],[DiscountAmount_Clean]],2),"Valid","Invalid")</f>
        <v>Valid</v>
      </c>
      <c r="AF1200">
        <f>VALUE(IF(ISNUMBER(Transaction[[#This Row],[NetRevenue]]),Transaction[[#This Row],[NetRevenue]],IFERROR(IF(FIND("$",Transaction[[#This Row],[NetRevenue]])&gt;0,MID(Transaction[[#This Row],[NetRevenue]],2,10)),Transaction[[#This Row],[NetRevenue]])))</f>
        <v>833.68</v>
      </c>
      <c r="AG1200">
        <f>IF(Transaction[[#This Row],[NetRevenue_Check]]="Invalid",(Transaction[[#This Row],[Quantity]]*Transaction[[#This Row],[UnitPrice_Clean]]),Transaction[[#This Row],[NetRevenue_Clean]])</f>
        <v>833.68</v>
      </c>
      <c r="AH1200" t="str">
        <f>IF(Transaction[[#This Row],[Quantity]]*Transaction[[#This Row],[UnitPrice_Clean]]=Transaction[[#This Row],[NetRevenue_Clean]],"Valid","Invalid")</f>
        <v>Valid</v>
      </c>
      <c r="AI1200" t="s">
        <v>23</v>
      </c>
      <c r="AJ1200" t="s">
        <v>78</v>
      </c>
      <c r="AK1200" t="str">
        <f>IF(Transaction[[#This Row],[Salesperson]]="","Missing Value",TRIM(PROPER(Transaction[[#This Row],[Salesperson]])))</f>
        <v>Taylor-Ap</v>
      </c>
      <c r="AL1200" t="s">
        <v>25</v>
      </c>
      <c r="AM1200" t="str">
        <f>IF(Transaction[[#This Row],[ContractType]]="","Missing Value",Transaction[[#This Row],[ContractType]])</f>
        <v>Frame Agreement</v>
      </c>
      <c r="AN1200" t="s">
        <v>65</v>
      </c>
    </row>
    <row r="1201" spans="1:40" x14ac:dyDescent="0.25">
      <c r="A1201" t="s">
        <v>395</v>
      </c>
      <c r="B1201" s="1">
        <v>45828</v>
      </c>
      <c r="C120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20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120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01" s="2">
        <f>IFERROR(DATE(Transaction[[#This Row],[TransactionDateY]],Transaction[[#This Row],[TransactionDateM]],Transaction[[#This Row],[TransactionDateD]]),"Missing Value")</f>
        <v>45828</v>
      </c>
      <c r="G1201" t="s">
        <v>396</v>
      </c>
      <c r="H1201" t="str">
        <f>IFERROR(VLOOKUP(Transaction[[#This Row],[CustomerID]],Custumer[],1,0),IF(LEN(Transaction[[#This Row],[CustomerID]])=7,LEFT(Transaction[[#This Row],[CustomerID]],6),"Invalid ID"))</f>
        <v>C-1142</v>
      </c>
      <c r="I1201" t="s">
        <v>58</v>
      </c>
      <c r="J1201" t="str">
        <f>TRIM(UPPER(Transaction[[#This Row],[ProductID]]))</f>
        <v>P-SI-005</v>
      </c>
      <c r="K1201" t="str">
        <f>IFERROR(VLOOKUP(Transaction[[#This Row],[ProductID_Clean]],Product[],1,FALSE),"Invalid ID")</f>
        <v>P-SI-005</v>
      </c>
      <c r="L1201" t="str">
        <f>TRIM(SUBSTITUTE(SUBSTITUTE(SUBSTITUTE(SUBSTITUTE(UPPER(Transaction[[#This Row],[Region]]),"EMEA REGION","EMEA"),"APAC REGION","APAC"),"NORTH AMERICA","N. AMERICA"),"N .AMERICA","N.AMERICA"))</f>
        <v>N. AMERICA</v>
      </c>
      <c r="M1201" t="s">
        <v>20</v>
      </c>
      <c r="N1201" t="s">
        <v>53</v>
      </c>
      <c r="O120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01" t="s">
        <v>22</v>
      </c>
      <c r="Q1201" t="str">
        <f>IF(TRIM(Transaction[[#This Row],[SalesChannel]])="","Missing Value",TRIM(Transaction[[#This Row],[SalesChannel]]))</f>
        <v>Direct</v>
      </c>
      <c r="R1201" s="4">
        <v>1</v>
      </c>
      <c r="S1201" s="4" t="str">
        <f>IF(Transaction[[#This Row],[Quantity]]&lt;0,"Negative-review","Valid")</f>
        <v>Valid</v>
      </c>
      <c r="T1201">
        <v>1135.04</v>
      </c>
      <c r="U120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1135.04</v>
      </c>
      <c r="V1201">
        <v>1120</v>
      </c>
      <c r="W1201">
        <v>1120</v>
      </c>
      <c r="X120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1120</v>
      </c>
      <c r="Y1201">
        <f>IF(Transaction[[#This Row],[GrossRevenue_Check]]="Invalid",Transaction[[#This Row],[ListPrice]]*Transaction[[#This Row],[Quantity]],Transaction[[#This Row],[GrossRevenue_Clean]])</f>
        <v>1120</v>
      </c>
      <c r="Z1201" t="str">
        <f>IF(Transaction[[#This Row],[GrossRevenue_Clean]]=Transaction[[#This Row],[ListPrice]]*Transaction[[#This Row],[Quantity]],"Valid","Invalid")</f>
        <v>Valid</v>
      </c>
      <c r="AA1201">
        <v>-15.04</v>
      </c>
      <c r="AB120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-15.04</v>
      </c>
      <c r="AC1201">
        <f>IF(Transaction[[#This Row],[DiscountAmount_Check2]]="Invalid",Transaction[[#This Row],[GrossRevenue_Analytical]]-Transaction[[#This Row],[NetRevenue_Analytical]],Transaction[[#This Row],[DiscountAmount_Clean]])</f>
        <v>-15.04</v>
      </c>
      <c r="AD1201">
        <v>1135.04</v>
      </c>
      <c r="AE1201" t="str">
        <f>IF(ROUND(Transaction[[#This Row],[GrossRevenue_Analytical]]-Transaction[[#This Row],[NetRevenue_Analytical]],2)=ROUND(Transaction[[#This Row],[DiscountAmount_Clean]],2),"Valid","Invalid")</f>
        <v>Valid</v>
      </c>
      <c r="AF120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1135.04</v>
      </c>
      <c r="AG1201">
        <f>IF(Transaction[[#This Row],[NetRevenue_Check]]="Invalid",(Transaction[[#This Row],[Quantity]]*Transaction[[#This Row],[UnitPrice_Clean]]),Transaction[[#This Row],[NetRevenue_Clean]])</f>
        <v>1135.04</v>
      </c>
      <c r="AH1201" t="str">
        <f>IF(Transaction[[#This Row],[Quantity]]*Transaction[[#This Row],[UnitPrice_Clean]]=Transaction[[#This Row],[NetRevenue_Clean]],"Valid","Invalid")</f>
        <v>Valid</v>
      </c>
      <c r="AI1201" t="s">
        <v>23</v>
      </c>
      <c r="AJ1201" t="s">
        <v>397</v>
      </c>
      <c r="AK1201" t="str">
        <f>IF(Transaction[[#This Row],[Salesperson]]="","Missing Value",TRIM(PROPER(Transaction[[#This Row],[Salesperson]])))</f>
        <v>Turner</v>
      </c>
      <c r="AL1201" t="s">
        <v>42</v>
      </c>
      <c r="AM1201" t="str">
        <f>IF(Transaction[[#This Row],[ContractType]]="","Missing Value",Transaction[[#This Row],[ContractType]])</f>
        <v>Standard PO</v>
      </c>
      <c r="AN1201" t="s">
        <v>65</v>
      </c>
    </row>
    <row r="1202" spans="1:40" x14ac:dyDescent="0.25">
      <c r="A1202" t="s">
        <v>1391</v>
      </c>
      <c r="B1202" s="1">
        <v>45700</v>
      </c>
      <c r="C120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20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120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02" s="2">
        <f>IFERROR(DATE(Transaction[[#This Row],[TransactionDateY]],Transaction[[#This Row],[TransactionDateM]],Transaction[[#This Row],[TransactionDateD]]),"Missing Value")</f>
        <v>45700</v>
      </c>
      <c r="G1202" t="s">
        <v>1152</v>
      </c>
      <c r="H1202" t="str">
        <f>IFERROR(VLOOKUP(Transaction[[#This Row],[CustomerID]],Custumer[],1,0),IF(LEN(Transaction[[#This Row],[CustomerID]])=7,LEFT(Transaction[[#This Row],[CustomerID]],6),"Invalid ID"))</f>
        <v>C-1178</v>
      </c>
      <c r="I1202" t="s">
        <v>97</v>
      </c>
      <c r="J1202" t="str">
        <f>TRIM(UPPER(Transaction[[#This Row],[ProductID]]))</f>
        <v>P-SI-001</v>
      </c>
      <c r="K1202" t="str">
        <f>IFERROR(VLOOKUP(Transaction[[#This Row],[ProductID_Clean]],Product[],1,FALSE),"Invalid ID")</f>
        <v>P-SI-001</v>
      </c>
      <c r="L1202" t="str">
        <f>TRIM(SUBSTITUTE(SUBSTITUTE(SUBSTITUTE(SUBSTITUTE(UPPER(Transaction[[#This Row],[Region]]),"EMEA REGION","EMEA"),"APAC REGION","APAC"),"NORTH AMERICA","N. AMERICA"),"N .AMERICA","N.AMERICA"))</f>
        <v>EMEA</v>
      </c>
      <c r="M1202" t="s">
        <v>87</v>
      </c>
      <c r="N1202" t="s">
        <v>98</v>
      </c>
      <c r="O120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02" t="s">
        <v>22</v>
      </c>
      <c r="Q1202" t="str">
        <f>IF(TRIM(Transaction[[#This Row],[SalesChannel]])="","Missing Value",TRIM(Transaction[[#This Row],[SalesChannel]]))</f>
        <v>Direct</v>
      </c>
      <c r="R1202" s="4">
        <v>5</v>
      </c>
      <c r="S1202" s="4" t="str">
        <f>IF(Transaction[[#This Row],[Quantity]]&lt;0,"Negative-review","Valid")</f>
        <v>Valid</v>
      </c>
      <c r="T1202">
        <v>452.6</v>
      </c>
      <c r="U120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452.6</v>
      </c>
      <c r="V1202">
        <v>485</v>
      </c>
      <c r="W1202">
        <v>2425</v>
      </c>
      <c r="X120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2425</v>
      </c>
      <c r="Y1202">
        <f>IF(Transaction[[#This Row],[GrossRevenue_Check]]="Invalid",Transaction[[#This Row],[ListPrice]]*Transaction[[#This Row],[Quantity]],Transaction[[#This Row],[GrossRevenue_Clean]])</f>
        <v>2425</v>
      </c>
      <c r="Z1202" t="str">
        <f>IF(Transaction[[#This Row],[GrossRevenue_Clean]]=Transaction[[#This Row],[ListPrice]]*Transaction[[#This Row],[Quantity]],"Valid","Invalid")</f>
        <v>Valid</v>
      </c>
      <c r="AA1202">
        <v>162</v>
      </c>
      <c r="AB120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162</v>
      </c>
      <c r="AC1202">
        <f>IF(Transaction[[#This Row],[DiscountAmount_Check2]]="Invalid",Transaction[[#This Row],[GrossRevenue_Analytical]]-Transaction[[#This Row],[NetRevenue_Analytical]],Transaction[[#This Row],[DiscountAmount_Clean]])</f>
        <v>162</v>
      </c>
      <c r="AD1202" t="s">
        <v>1392</v>
      </c>
      <c r="AE1202" t="str">
        <f>IF(ROUND(Transaction[[#This Row],[GrossRevenue_Analytical]]-Transaction[[#This Row],[NetRevenue_Analytical]],2)=ROUND(Transaction[[#This Row],[DiscountAmount_Clean]],2),"Valid","Invalid")</f>
        <v>Valid</v>
      </c>
      <c r="AF1202">
        <f>VALUE(IF(ISNUMBER(Transaction[[#This Row],[NetRevenue]]),Transaction[[#This Row],[NetRevenue]],IFERROR(IF(FIND("$",Transaction[[#This Row],[NetRevenue]])&gt;0,MID(Transaction[[#This Row],[NetRevenue]],2,10)),Transaction[[#This Row],[NetRevenue]])))</f>
        <v>2263</v>
      </c>
      <c r="AG1202">
        <f>IF(Transaction[[#This Row],[NetRevenue_Check]]="Invalid",(Transaction[[#This Row],[Quantity]]*Transaction[[#This Row],[UnitPrice_Clean]]),Transaction[[#This Row],[NetRevenue_Clean]])</f>
        <v>2263</v>
      </c>
      <c r="AH1202" t="str">
        <f>IF(Transaction[[#This Row],[Quantity]]*Transaction[[#This Row],[UnitPrice_Clean]]=Transaction[[#This Row],[NetRevenue_Clean]],"Valid","Invalid")</f>
        <v>Valid</v>
      </c>
      <c r="AI1202" t="s">
        <v>23</v>
      </c>
      <c r="AJ1202" t="s">
        <v>1393</v>
      </c>
      <c r="AK1202" t="str">
        <f>IF(Transaction[[#This Row],[Salesperson]]="","Missing Value",TRIM(PROPER(Transaction[[#This Row],[Salesperson]])))</f>
        <v>King-Ap</v>
      </c>
      <c r="AL1202" t="s">
        <v>42</v>
      </c>
      <c r="AM1202" t="str">
        <f>IF(Transaction[[#This Row],[ContractType]]="","Missing Value",Transaction[[#This Row],[ContractType]])</f>
        <v>Standard PO</v>
      </c>
      <c r="AN1202" t="s">
        <v>49</v>
      </c>
    </row>
    <row r="1203" spans="1:40" x14ac:dyDescent="0.25">
      <c r="A1203" t="s">
        <v>2876</v>
      </c>
      <c r="B1203" t="s">
        <v>2877</v>
      </c>
      <c r="C120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120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06</v>
      </c>
      <c r="E120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03" s="2">
        <f>IFERROR(DATE(Transaction[[#This Row],[TransactionDateY]],Transaction[[#This Row],[TransactionDateM]],Transaction[[#This Row],[TransactionDateD]]),"Missing Value")</f>
        <v>45814</v>
      </c>
      <c r="G1203" t="s">
        <v>1417</v>
      </c>
      <c r="H1203" t="str">
        <f>IFERROR(VLOOKUP(Transaction[[#This Row],[CustomerID]],Custumer[],1,0),IF(LEN(Transaction[[#This Row],[CustomerID]])=7,LEFT(Transaction[[#This Row],[CustomerID]],6),"Invalid ID"))</f>
        <v>C-1050</v>
      </c>
      <c r="I1203" t="s">
        <v>97</v>
      </c>
      <c r="J1203" t="str">
        <f>TRIM(UPPER(Transaction[[#This Row],[ProductID]]))</f>
        <v>P-SI-001</v>
      </c>
      <c r="K1203" t="str">
        <f>IFERROR(VLOOKUP(Transaction[[#This Row],[ProductID_Clean]],Product[],1,FALSE),"Invalid ID")</f>
        <v>P-SI-001</v>
      </c>
      <c r="L1203" t="str">
        <f>TRIM(SUBSTITUTE(SUBSTITUTE(SUBSTITUTE(SUBSTITUTE(UPPER(Transaction[[#This Row],[Region]]),"EMEA REGION","EMEA"),"APAC REGION","APAC"),"NORTH AMERICA","N. AMERICA"),"N .AMERICA","N.AMERICA"))</f>
        <v>EMEA</v>
      </c>
      <c r="M1203" t="s">
        <v>76</v>
      </c>
      <c r="N1203" t="s">
        <v>53</v>
      </c>
      <c r="O120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03" t="s">
        <v>22</v>
      </c>
      <c r="Q1203" t="str">
        <f>IF(TRIM(Transaction[[#This Row],[SalesChannel]])="","Missing Value",TRIM(Transaction[[#This Row],[SalesChannel]]))</f>
        <v>Direct</v>
      </c>
      <c r="R1203" s="4">
        <v>1</v>
      </c>
      <c r="S1203" s="4" t="str">
        <f>IF(Transaction[[#This Row],[Quantity]]&lt;0,"Negative-review","Valid")</f>
        <v>Valid</v>
      </c>
      <c r="T1203">
        <v>485.52</v>
      </c>
      <c r="U120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485.52</v>
      </c>
      <c r="V1203">
        <v>485</v>
      </c>
      <c r="W1203">
        <v>485</v>
      </c>
      <c r="X120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1203">
        <f>IF(Transaction[[#This Row],[GrossRevenue_Check]]="Invalid",Transaction[[#This Row],[ListPrice]]*Transaction[[#This Row],[Quantity]],Transaction[[#This Row],[GrossRevenue_Clean]])</f>
        <v>485</v>
      </c>
      <c r="Z1203" t="str">
        <f>IF(Transaction[[#This Row],[GrossRevenue_Clean]]=Transaction[[#This Row],[ListPrice]]*Transaction[[#This Row],[Quantity]],"Valid","Invalid")</f>
        <v>Valid</v>
      </c>
      <c r="AA1203">
        <v>-0.52</v>
      </c>
      <c r="AB120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-0.52</v>
      </c>
      <c r="AC1203">
        <f>IF(Transaction[[#This Row],[DiscountAmount_Check2]]="Invalid",Transaction[[#This Row],[GrossRevenue_Analytical]]-Transaction[[#This Row],[NetRevenue_Analytical]],Transaction[[#This Row],[DiscountAmount_Clean]])</f>
        <v>-0.52</v>
      </c>
      <c r="AD1203">
        <v>485.52</v>
      </c>
      <c r="AE1203" t="str">
        <f>IF(ROUND(Transaction[[#This Row],[GrossRevenue_Analytical]]-Transaction[[#This Row],[NetRevenue_Analytical]],2)=ROUND(Transaction[[#This Row],[DiscountAmount_Clean]],2),"Valid","Invalid")</f>
        <v>Valid</v>
      </c>
      <c r="AF1203">
        <f>VALUE(IF(ISNUMBER(Transaction[[#This Row],[NetRevenue]]),Transaction[[#This Row],[NetRevenue]],IFERROR(IF(FIND("$",Transaction[[#This Row],[NetRevenue]])&gt;0,MID(Transaction[[#This Row],[NetRevenue]],2,10)),Transaction[[#This Row],[NetRevenue]])))</f>
        <v>485.52</v>
      </c>
      <c r="AG1203">
        <f>IF(Transaction[[#This Row],[NetRevenue_Check]]="Invalid",(Transaction[[#This Row],[Quantity]]*Transaction[[#This Row],[UnitPrice_Clean]]),Transaction[[#This Row],[NetRevenue_Clean]])</f>
        <v>485.52</v>
      </c>
      <c r="AH1203" t="str">
        <f>IF(Transaction[[#This Row],[Quantity]]*Transaction[[#This Row],[UnitPrice_Clean]]=Transaction[[#This Row],[NetRevenue_Clean]],"Valid","Invalid")</f>
        <v>Valid</v>
      </c>
      <c r="AI1203" t="s">
        <v>23</v>
      </c>
      <c r="AJ1203" t="s">
        <v>614</v>
      </c>
      <c r="AK1203" t="str">
        <f>IF(Transaction[[#This Row],[Salesperson]]="","Missing Value",TRIM(PROPER(Transaction[[#This Row],[Salesperson]])))</f>
        <v>Moore</v>
      </c>
      <c r="AL1203" t="s">
        <v>42</v>
      </c>
      <c r="AM1203" t="str">
        <f>IF(Transaction[[#This Row],[ContractType]]="","Missing Value",Transaction[[#This Row],[ContractType]])</f>
        <v>Standard PO</v>
      </c>
      <c r="AN1203" t="s">
        <v>65</v>
      </c>
    </row>
    <row r="1204" spans="1:40" x14ac:dyDescent="0.25">
      <c r="A1204" t="s">
        <v>220</v>
      </c>
      <c r="B1204" t="s">
        <v>221</v>
      </c>
      <c r="C120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120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120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04" s="2">
        <f>IFERROR(DATE(Transaction[[#This Row],[TransactionDateY]],Transaction[[#This Row],[TransactionDateM]],Transaction[[#This Row],[TransactionDateD]]),"Missing Value")</f>
        <v>45802</v>
      </c>
      <c r="G1204" t="s">
        <v>208</v>
      </c>
      <c r="H1204" t="str">
        <f>IFERROR(VLOOKUP(Transaction[[#This Row],[CustomerID]],Custumer[],1,0),IF(LEN(Transaction[[#This Row],[CustomerID]])=7,LEFT(Transaction[[#This Row],[CustomerID]],6),"Invalid ID"))</f>
        <v>C-1076</v>
      </c>
      <c r="I1204" t="s">
        <v>222</v>
      </c>
      <c r="J1204" t="str">
        <f>TRIM(UPPER(Transaction[[#This Row],[ProductID]]))</f>
        <v>P-FS-003</v>
      </c>
      <c r="K1204" t="str">
        <f>IFERROR(VLOOKUP(Transaction[[#This Row],[ProductID_Clean]],Product[],1,FALSE),"Invalid ID")</f>
        <v>P-FS-003</v>
      </c>
      <c r="L1204" t="str">
        <f>TRIM(SUBSTITUTE(SUBSTITUTE(SUBSTITUTE(SUBSTITUTE(UPPER(Transaction[[#This Row],[Region]]),"EMEA REGION","EMEA"),"APAC REGION","APAC"),"NORTH AMERICA","N. AMERICA"),"N .AMERICA","N.AMERICA"))</f>
        <v>APAC</v>
      </c>
      <c r="M1204" t="s">
        <v>30</v>
      </c>
      <c r="N1204" t="s">
        <v>21</v>
      </c>
      <c r="O120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204" t="s">
        <v>181</v>
      </c>
      <c r="Q1204" t="str">
        <f>IF(TRIM(Transaction[[#This Row],[SalesChannel]])="","Missing Value",TRIM(Transaction[[#This Row],[SalesChannel]]))</f>
        <v>Partner Portal</v>
      </c>
      <c r="R1204" s="4">
        <v>1</v>
      </c>
      <c r="S1204" s="4" t="str">
        <f>IF(Transaction[[#This Row],[Quantity]]&lt;0,"Negative-review","Valid")</f>
        <v>Valid</v>
      </c>
      <c r="T1204">
        <v>3051.74</v>
      </c>
      <c r="U120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3051.74</v>
      </c>
      <c r="V1204">
        <v>4100</v>
      </c>
      <c r="W1204">
        <v>4100</v>
      </c>
      <c r="X120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4100</v>
      </c>
      <c r="Y1204">
        <f>IF(Transaction[[#This Row],[GrossRevenue_Check]]="Invalid",Transaction[[#This Row],[ListPrice]]*Transaction[[#This Row],[Quantity]],Transaction[[#This Row],[GrossRevenue_Clean]])</f>
        <v>4100</v>
      </c>
      <c r="Z1204" t="str">
        <f>IF(Transaction[[#This Row],[GrossRevenue_Clean]]=Transaction[[#This Row],[ListPrice]]*Transaction[[#This Row],[Quantity]],"Valid","Invalid")</f>
        <v>Valid</v>
      </c>
      <c r="AA1204">
        <v>1048.26</v>
      </c>
      <c r="AB120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1048.26</v>
      </c>
      <c r="AC1204">
        <f>IF(Transaction[[#This Row],[DiscountAmount_Check2]]="Invalid",Transaction[[#This Row],[GrossRevenue_Analytical]]-Transaction[[#This Row],[NetRevenue_Analytical]],Transaction[[#This Row],[DiscountAmount_Clean]])</f>
        <v>1048.26</v>
      </c>
      <c r="AD1204">
        <v>3051.74</v>
      </c>
      <c r="AE1204" t="str">
        <f>IF(ROUND(Transaction[[#This Row],[GrossRevenue_Analytical]]-Transaction[[#This Row],[NetRevenue_Analytical]],2)=ROUND(Transaction[[#This Row],[DiscountAmount_Clean]],2),"Valid","Invalid")</f>
        <v>Valid</v>
      </c>
      <c r="AF1204">
        <f>VALUE(IF(ISNUMBER(Transaction[[#This Row],[NetRevenue]]),Transaction[[#This Row],[NetRevenue]],IFERROR(IF(FIND("$",Transaction[[#This Row],[NetRevenue]])&gt;0,MID(Transaction[[#This Row],[NetRevenue]],2,10)),Transaction[[#This Row],[NetRevenue]])))</f>
        <v>3051.74</v>
      </c>
      <c r="AG1204">
        <f>IF(Transaction[[#This Row],[NetRevenue_Check]]="Invalid",(Transaction[[#This Row],[Quantity]]*Transaction[[#This Row],[UnitPrice_Clean]]),Transaction[[#This Row],[NetRevenue_Clean]])</f>
        <v>3051.74</v>
      </c>
      <c r="AH1204" t="str">
        <f>IF(Transaction[[#This Row],[Quantity]]*Transaction[[#This Row],[UnitPrice_Clean]]=Transaction[[#This Row],[NetRevenue_Clean]],"Valid","Invalid")</f>
        <v>Valid</v>
      </c>
      <c r="AI1204" t="s">
        <v>23</v>
      </c>
      <c r="AJ1204" t="s">
        <v>223</v>
      </c>
      <c r="AK1204" t="str">
        <f>IF(Transaction[[#This Row],[Salesperson]]="","Missing Value",TRIM(PROPER(Transaction[[#This Row],[Salesperson]])))</f>
        <v>Henderson-Ap</v>
      </c>
      <c r="AL1204" t="s">
        <v>224</v>
      </c>
      <c r="AM1204" t="str">
        <f>IF(Transaction[[#This Row],[ContractType]]="","Missing Value",Transaction[[#This Row],[ContractType]])</f>
        <v>Annual</v>
      </c>
      <c r="AN1204" t="s">
        <v>49</v>
      </c>
    </row>
    <row r="1205" spans="1:40" x14ac:dyDescent="0.25">
      <c r="A1205" t="s">
        <v>2643</v>
      </c>
      <c r="B1205" t="s">
        <v>2644</v>
      </c>
      <c r="C120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120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120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05" s="2">
        <f>IFERROR(DATE(Transaction[[#This Row],[TransactionDateY]],Transaction[[#This Row],[TransactionDateM]],Transaction[[#This Row],[TransactionDateD]]),"Missing Value")</f>
        <v>45831</v>
      </c>
      <c r="G1205" t="s">
        <v>913</v>
      </c>
      <c r="H1205" t="str">
        <f>IFERROR(VLOOKUP(Transaction[[#This Row],[CustomerID]],Custumer[],1,0),IF(LEN(Transaction[[#This Row],[CustomerID]])=7,LEFT(Transaction[[#This Row],[CustomerID]],6),"Invalid ID"))</f>
        <v>C-1073</v>
      </c>
      <c r="I1205" t="s">
        <v>39</v>
      </c>
      <c r="J1205" t="str">
        <f>TRIM(UPPER(Transaction[[#This Row],[ProductID]]))</f>
        <v>P-FS-006</v>
      </c>
      <c r="K1205" t="str">
        <f>IFERROR(VLOOKUP(Transaction[[#This Row],[ProductID_Clean]],Product[],1,FALSE),"Invalid ID")</f>
        <v>P-FS-006</v>
      </c>
      <c r="L1205" t="str">
        <f>TRIM(SUBSTITUTE(SUBSTITUTE(SUBSTITUTE(SUBSTITUTE(UPPER(Transaction[[#This Row],[Region]]),"EMEA REGION","EMEA"),"APAC REGION","APAC"),"NORTH AMERICA","N. AMERICA"),"N .AMERICA","N.AMERICA"))</f>
        <v>EMEA</v>
      </c>
      <c r="M1205" t="s">
        <v>76</v>
      </c>
      <c r="N1205" t="s">
        <v>244</v>
      </c>
      <c r="O120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205" t="s">
        <v>40</v>
      </c>
      <c r="Q1205" t="str">
        <f>IF(TRIM(Transaction[[#This Row],[SalesChannel]])="","Missing Value",TRIM(Transaction[[#This Row],[SalesChannel]]))</f>
        <v>Distributor</v>
      </c>
      <c r="R1205" s="4">
        <v>1</v>
      </c>
      <c r="S1205" s="4" t="str">
        <f>IF(Transaction[[#This Row],[Quantity]]&lt;0,"Negative-review","Valid")</f>
        <v>Valid</v>
      </c>
      <c r="T1205">
        <v>1209.4100000000001</v>
      </c>
      <c r="U120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1209.4100000000001</v>
      </c>
      <c r="V1205">
        <v>1450</v>
      </c>
      <c r="W1205">
        <v>1450</v>
      </c>
      <c r="X120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1205">
        <f>IF(Transaction[[#This Row],[GrossRevenue_Check]]="Invalid",Transaction[[#This Row],[ListPrice]]*Transaction[[#This Row],[Quantity]],Transaction[[#This Row],[GrossRevenue_Clean]])</f>
        <v>1450</v>
      </c>
      <c r="Z1205" t="str">
        <f>IF(Transaction[[#This Row],[GrossRevenue_Clean]]=Transaction[[#This Row],[ListPrice]]*Transaction[[#This Row],[Quantity]],"Valid","Invalid")</f>
        <v>Valid</v>
      </c>
      <c r="AA1205" t="s">
        <v>2645</v>
      </c>
      <c r="AB120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240.59</v>
      </c>
      <c r="AC1205">
        <f>IF(Transaction[[#This Row],[DiscountAmount_Check2]]="Invalid",Transaction[[#This Row],[GrossRevenue_Analytical]]-Transaction[[#This Row],[NetRevenue_Analytical]],Transaction[[#This Row],[DiscountAmount_Clean]])</f>
        <v>240.59</v>
      </c>
      <c r="AD1205">
        <v>1209.4100000000001</v>
      </c>
      <c r="AE1205" t="str">
        <f>IF(ROUND(Transaction[[#This Row],[GrossRevenue_Analytical]]-Transaction[[#This Row],[NetRevenue_Analytical]],2)=ROUND(Transaction[[#This Row],[DiscountAmount_Clean]],2),"Valid","Invalid")</f>
        <v>Valid</v>
      </c>
      <c r="AF120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1209.4100000000001</v>
      </c>
      <c r="AG1205">
        <f>IF(Transaction[[#This Row],[NetRevenue_Check]]="Invalid",(Transaction[[#This Row],[Quantity]]*Transaction[[#This Row],[UnitPrice_Clean]]),Transaction[[#This Row],[NetRevenue_Clean]])</f>
        <v>1209.4100000000001</v>
      </c>
      <c r="AH1205" t="str">
        <f>IF(Transaction[[#This Row],[Quantity]]*Transaction[[#This Row],[UnitPrice_Clean]]=Transaction[[#This Row],[NetRevenue_Clean]],"Valid","Invalid")</f>
        <v>Valid</v>
      </c>
      <c r="AI1205" t="s">
        <v>23</v>
      </c>
      <c r="AJ1205" t="s">
        <v>2542</v>
      </c>
      <c r="AK1205" t="str">
        <f>IF(Transaction[[#This Row],[Salesperson]]="","Missing Value",TRIM(PROPER(Transaction[[#This Row],[Salesperson]])))</f>
        <v>Bennett-Ap</v>
      </c>
      <c r="AL1205" t="s">
        <v>42</v>
      </c>
      <c r="AM1205" t="str">
        <f>IF(Transaction[[#This Row],[ContractType]]="","Missing Value",Transaction[[#This Row],[ContractType]])</f>
        <v>Standard PO</v>
      </c>
      <c r="AN1205" t="s">
        <v>43</v>
      </c>
    </row>
    <row r="1206" spans="1:40" x14ac:dyDescent="0.25">
      <c r="A1206" t="s">
        <v>1213</v>
      </c>
      <c r="B1206" t="s">
        <v>1214</v>
      </c>
      <c r="C120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120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120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06" s="2">
        <f>IFERROR(DATE(Transaction[[#This Row],[TransactionDateY]],Transaction[[#This Row],[TransactionDateM]],Transaction[[#This Row],[TransactionDateD]]),"Missing Value")</f>
        <v>45760</v>
      </c>
      <c r="G1206" t="s">
        <v>203</v>
      </c>
      <c r="H1206" t="str">
        <f>IFERROR(VLOOKUP(Transaction[[#This Row],[CustomerID]],Custumer[],1,0),IF(LEN(Transaction[[#This Row],[CustomerID]])=7,LEFT(Transaction[[#This Row],[CustomerID]],6),"Invalid ID"))</f>
        <v>C-1005</v>
      </c>
      <c r="I1206" t="s">
        <v>75</v>
      </c>
      <c r="J1206" t="str">
        <f>TRIM(UPPER(Transaction[[#This Row],[ProductID]]))</f>
        <v>P-SA-005</v>
      </c>
      <c r="K1206" t="str">
        <f>IFERROR(VLOOKUP(Transaction[[#This Row],[ProductID_Clean]],Product[],1,FALSE),"Invalid ID")</f>
        <v>P-SA-005</v>
      </c>
      <c r="L1206" t="str">
        <f>TRIM(SUBSTITUTE(SUBSTITUTE(SUBSTITUTE(SUBSTITUTE(UPPER(Transaction[[#This Row],[Region]]),"EMEA REGION","EMEA"),"APAC REGION","APAC"),"NORTH AMERICA","N. AMERICA"),"N .AMERICA","N.AMERICA"))</f>
        <v>N. AMERICA</v>
      </c>
      <c r="M1206" t="s">
        <v>20</v>
      </c>
      <c r="N1206" t="s">
        <v>31</v>
      </c>
      <c r="O120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06" t="s">
        <v>22</v>
      </c>
      <c r="Q1206" t="str">
        <f>IF(TRIM(Transaction[[#This Row],[SalesChannel]])="","Missing Value",TRIM(Transaction[[#This Row],[SalesChannel]]))</f>
        <v>Direct</v>
      </c>
      <c r="R1206" s="4">
        <v>1</v>
      </c>
      <c r="S1206" s="4" t="str">
        <f>IF(Transaction[[#This Row],[Quantity]]&lt;0,"Negative-review","Valid")</f>
        <v>Valid</v>
      </c>
      <c r="T1206">
        <v>2817.16</v>
      </c>
      <c r="U120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2817.16</v>
      </c>
      <c r="V1206">
        <v>3200</v>
      </c>
      <c r="W1206">
        <v>3200</v>
      </c>
      <c r="X120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1206">
        <f>IF(Transaction[[#This Row],[GrossRevenue_Check]]="Invalid",Transaction[[#This Row],[ListPrice]]*Transaction[[#This Row],[Quantity]],Transaction[[#This Row],[GrossRevenue_Clean]])</f>
        <v>3200</v>
      </c>
      <c r="Z1206" t="str">
        <f>IF(Transaction[[#This Row],[GrossRevenue_Clean]]=Transaction[[#This Row],[ListPrice]]*Transaction[[#This Row],[Quantity]],"Valid","Invalid")</f>
        <v>Valid</v>
      </c>
      <c r="AA1206">
        <v>382.84</v>
      </c>
      <c r="AB120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382.84</v>
      </c>
      <c r="AC1206">
        <f>IF(Transaction[[#This Row],[DiscountAmount_Check2]]="Invalid",Transaction[[#This Row],[GrossRevenue_Analytical]]-Transaction[[#This Row],[NetRevenue_Analytical]],Transaction[[#This Row],[DiscountAmount_Clean]])</f>
        <v>382.84</v>
      </c>
      <c r="AD1206">
        <v>2817.16</v>
      </c>
      <c r="AE1206" t="str">
        <f>IF(ROUND(Transaction[[#This Row],[GrossRevenue_Analytical]]-Transaction[[#This Row],[NetRevenue_Analytical]],2)=ROUND(Transaction[[#This Row],[DiscountAmount_Clean]],2),"Valid","Invalid")</f>
        <v>Valid</v>
      </c>
      <c r="AF1206">
        <f>VALUE(IF(ISNUMBER(Transaction[[#This Row],[NetRevenue]]),Transaction[[#This Row],[NetRevenue]],IFERROR(IF(FIND("$",Transaction[[#This Row],[NetRevenue]])&gt;0,MID(Transaction[[#This Row],[NetRevenue]],2,10)),Transaction[[#This Row],[NetRevenue]])))</f>
        <v>2817.16</v>
      </c>
      <c r="AG1206">
        <f>IF(Transaction[[#This Row],[NetRevenue_Check]]="Invalid",(Transaction[[#This Row],[Quantity]]*Transaction[[#This Row],[UnitPrice_Clean]]),Transaction[[#This Row],[NetRevenue_Clean]])</f>
        <v>2817.16</v>
      </c>
      <c r="AH1206" t="str">
        <f>IF(Transaction[[#This Row],[Quantity]]*Transaction[[#This Row],[UnitPrice_Clean]]=Transaction[[#This Row],[NetRevenue_Clean]],"Valid","Invalid")</f>
        <v>Valid</v>
      </c>
      <c r="AI1206" t="s">
        <v>23</v>
      </c>
      <c r="AJ1206" t="s">
        <v>368</v>
      </c>
      <c r="AK1206" t="str">
        <f>IF(Transaction[[#This Row],[Salesperson]]="","Missing Value",TRIM(PROPER(Transaction[[#This Row],[Salesperson]])))</f>
        <v>Cole</v>
      </c>
      <c r="AL1206" t="s">
        <v>113</v>
      </c>
      <c r="AM1206" t="str">
        <f>IF(Transaction[[#This Row],[ContractType]]="","Missing Value",Transaction[[#This Row],[ContractType]])</f>
        <v>Subscription</v>
      </c>
      <c r="AN1206" t="s">
        <v>35</v>
      </c>
    </row>
    <row r="1207" spans="1:40" x14ac:dyDescent="0.25">
      <c r="A1207" t="s">
        <v>2096</v>
      </c>
      <c r="B1207" s="1">
        <v>45768</v>
      </c>
      <c r="C120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20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120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07" s="2">
        <f>IFERROR(DATE(Transaction[[#This Row],[TransactionDateY]],Transaction[[#This Row],[TransactionDateM]],Transaction[[#This Row],[TransactionDateD]]),"Missing Value")</f>
        <v>45768</v>
      </c>
      <c r="G1207" t="s">
        <v>67</v>
      </c>
      <c r="H1207" t="str">
        <f>IFERROR(VLOOKUP(Transaction[[#This Row],[CustomerID]],Custumer[],1,0),IF(LEN(Transaction[[#This Row],[CustomerID]])=7,LEFT(Transaction[[#This Row],[CustomerID]],6),"Invalid ID"))</f>
        <v>C-1175</v>
      </c>
      <c r="I1207" t="s">
        <v>39</v>
      </c>
      <c r="J1207" t="str">
        <f>TRIM(UPPER(Transaction[[#This Row],[ProductID]]))</f>
        <v>P-FS-006</v>
      </c>
      <c r="K1207" t="str">
        <f>IFERROR(VLOOKUP(Transaction[[#This Row],[ProductID_Clean]],Product[],1,FALSE),"Invalid ID")</f>
        <v>P-FS-006</v>
      </c>
      <c r="L1207" t="str">
        <f>TRIM(SUBSTITUTE(SUBSTITUTE(SUBSTITUTE(SUBSTITUTE(UPPER(Transaction[[#This Row],[Region]]),"EMEA REGION","EMEA"),"APAC REGION","APAC"),"NORTH AMERICA","N. AMERICA"),"N .AMERICA","N.AMERICA"))</f>
        <v>N. AMERICA</v>
      </c>
      <c r="M1207" t="s">
        <v>20</v>
      </c>
      <c r="N1207" t="s">
        <v>244</v>
      </c>
      <c r="O1207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207" t="s">
        <v>181</v>
      </c>
      <c r="Q1207" t="str">
        <f>IF(TRIM(Transaction[[#This Row],[SalesChannel]])="","Missing Value",TRIM(Transaction[[#This Row],[SalesChannel]]))</f>
        <v>Partner Portal</v>
      </c>
      <c r="R1207" s="4">
        <v>1</v>
      </c>
      <c r="S1207" s="4" t="str">
        <f>IF(Transaction[[#This Row],[Quantity]]&lt;0,"Negative-review","Valid")</f>
        <v>Valid</v>
      </c>
      <c r="T1207">
        <v>1253.74</v>
      </c>
      <c r="U120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1253.74</v>
      </c>
      <c r="V1207">
        <v>1450</v>
      </c>
      <c r="W1207">
        <v>1450</v>
      </c>
      <c r="X120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1207">
        <f>IF(Transaction[[#This Row],[GrossRevenue_Check]]="Invalid",Transaction[[#This Row],[ListPrice]]*Transaction[[#This Row],[Quantity]],Transaction[[#This Row],[GrossRevenue_Clean]])</f>
        <v>1450</v>
      </c>
      <c r="Z1207" t="str">
        <f>IF(Transaction[[#This Row],[GrossRevenue_Clean]]=Transaction[[#This Row],[ListPrice]]*Transaction[[#This Row],[Quantity]],"Valid","Invalid")</f>
        <v>Valid</v>
      </c>
      <c r="AA1207">
        <v>196.26</v>
      </c>
      <c r="AB120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196.26</v>
      </c>
      <c r="AC1207">
        <f>IF(Transaction[[#This Row],[DiscountAmount_Check2]]="Invalid",Transaction[[#This Row],[GrossRevenue_Analytical]]-Transaction[[#This Row],[NetRevenue_Analytical]],Transaction[[#This Row],[DiscountAmount_Clean]])</f>
        <v>196.26</v>
      </c>
      <c r="AD1207">
        <v>1253.74</v>
      </c>
      <c r="AE1207" t="str">
        <f>IF(ROUND(Transaction[[#This Row],[GrossRevenue_Analytical]]-Transaction[[#This Row],[NetRevenue_Analytical]],2)=ROUND(Transaction[[#This Row],[DiscountAmount_Clean]],2),"Valid","Invalid")</f>
        <v>Valid</v>
      </c>
      <c r="AF120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1253.74</v>
      </c>
      <c r="AG1207">
        <f>IF(Transaction[[#This Row],[NetRevenue_Check]]="Invalid",(Transaction[[#This Row],[Quantity]]*Transaction[[#This Row],[UnitPrice_Clean]]),Transaction[[#This Row],[NetRevenue_Clean]])</f>
        <v>1253.74</v>
      </c>
      <c r="AH1207" t="str">
        <f>IF(Transaction[[#This Row],[Quantity]]*Transaction[[#This Row],[UnitPrice_Clean]]=Transaction[[#This Row],[NetRevenue_Clean]],"Valid","Invalid")</f>
        <v>Valid</v>
      </c>
      <c r="AI1207" t="s">
        <v>23</v>
      </c>
      <c r="AJ1207" t="s">
        <v>2097</v>
      </c>
      <c r="AK1207" t="str">
        <f>IF(Transaction[[#This Row],[Salesperson]]="","Missing Value",TRIM(PROPER(Transaction[[#This Row],[Salesperson]])))</f>
        <v>Harper</v>
      </c>
      <c r="AL1207" t="s">
        <v>25</v>
      </c>
      <c r="AM1207" t="str">
        <f>IF(Transaction[[#This Row],[ContractType]]="","Missing Value",Transaction[[#This Row],[ContractType]])</f>
        <v>Frame Agreement</v>
      </c>
      <c r="AN1207" t="s">
        <v>43</v>
      </c>
    </row>
    <row r="1208" spans="1:40" x14ac:dyDescent="0.25">
      <c r="A1208" t="s">
        <v>1756</v>
      </c>
      <c r="B1208" t="s">
        <v>1757</v>
      </c>
      <c r="C120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01</v>
      </c>
      <c r="D120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03</v>
      </c>
      <c r="E120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08" s="2">
        <f>IFERROR(DATE(Transaction[[#This Row],[TransactionDateY]],Transaction[[#This Row],[TransactionDateM]],Transaction[[#This Row],[TransactionDateD]]),"Missing Value")</f>
        <v>45660</v>
      </c>
      <c r="G1208" t="s">
        <v>360</v>
      </c>
      <c r="H1208" t="str">
        <f>IFERROR(VLOOKUP(Transaction[[#This Row],[CustomerID]],Custumer[],1,0),IF(LEN(Transaction[[#This Row],[CustomerID]])=7,LEFT(Transaction[[#This Row],[CustomerID]],6),"Invalid ID"))</f>
        <v>C-1067</v>
      </c>
      <c r="I1208" t="s">
        <v>92</v>
      </c>
      <c r="J1208" t="str">
        <f>TRIM(UPPER(Transaction[[#This Row],[ProductID]]))</f>
        <v>P-SI-008</v>
      </c>
      <c r="K1208" t="str">
        <f>IFERROR(VLOOKUP(Transaction[[#This Row],[ProductID_Clean]],Product[],1,FALSE),"Invalid ID")</f>
        <v>P-SI-008</v>
      </c>
      <c r="L1208" t="str">
        <f>TRIM(SUBSTITUTE(SUBSTITUTE(SUBSTITUTE(SUBSTITUTE(UPPER(Transaction[[#This Row],[Region]]),"EMEA REGION","EMEA"),"APAC REGION","APAC"),"NORTH AMERICA","N. AMERICA"),"N .AMERICA","N.AMERICA"))</f>
        <v>APAC</v>
      </c>
      <c r="M1208" t="s">
        <v>30</v>
      </c>
      <c r="N1208" t="s">
        <v>53</v>
      </c>
      <c r="O120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08" t="s">
        <v>22</v>
      </c>
      <c r="Q1208" t="str">
        <f>IF(TRIM(Transaction[[#This Row],[SalesChannel]])="","Missing Value",TRIM(Transaction[[#This Row],[SalesChannel]]))</f>
        <v>Direct</v>
      </c>
      <c r="R1208" s="4">
        <v>8</v>
      </c>
      <c r="S1208" s="4" t="str">
        <f>IF(Transaction[[#This Row],[Quantity]]&lt;0,"Negative-review","Valid")</f>
        <v>Valid</v>
      </c>
      <c r="T1208">
        <v>733.7</v>
      </c>
      <c r="U120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733.7</v>
      </c>
      <c r="V1208">
        <v>950</v>
      </c>
      <c r="W1208">
        <v>7600</v>
      </c>
      <c r="X120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7600</v>
      </c>
      <c r="Y1208">
        <f>IF(Transaction[[#This Row],[GrossRevenue_Check]]="Invalid",Transaction[[#This Row],[ListPrice]]*Transaction[[#This Row],[Quantity]],Transaction[[#This Row],[GrossRevenue_Clean]])</f>
        <v>7600</v>
      </c>
      <c r="Z1208" t="str">
        <f>IF(Transaction[[#This Row],[GrossRevenue_Clean]]=Transaction[[#This Row],[ListPrice]]*Transaction[[#This Row],[Quantity]],"Valid","Invalid")</f>
        <v>Valid</v>
      </c>
      <c r="AA1208">
        <v>1730.4</v>
      </c>
      <c r="AB120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1730.4</v>
      </c>
      <c r="AC1208">
        <f>IF(Transaction[[#This Row],[DiscountAmount_Check2]]="Invalid",Transaction[[#This Row],[GrossRevenue_Analytical]]-Transaction[[#This Row],[NetRevenue_Analytical]],Transaction[[#This Row],[DiscountAmount_Clean]])</f>
        <v>1730.4</v>
      </c>
      <c r="AD1208">
        <v>5869.6</v>
      </c>
      <c r="AE1208" t="str">
        <f>IF(ROUND(Transaction[[#This Row],[GrossRevenue_Analytical]]-Transaction[[#This Row],[NetRevenue_Analytical]],2)=ROUND(Transaction[[#This Row],[DiscountAmount_Clean]],2),"Valid","Invalid")</f>
        <v>Valid</v>
      </c>
      <c r="AF1208">
        <f>VALUE(IF(ISNUMBER(Transaction[[#This Row],[NetRevenue]]),Transaction[[#This Row],[NetRevenue]],IFERROR(IF(FIND("$",Transaction[[#This Row],[NetRevenue]])&gt;0,MID(Transaction[[#This Row],[NetRevenue]],2,10)),Transaction[[#This Row],[NetRevenue]])))</f>
        <v>5869.6</v>
      </c>
      <c r="AG1208">
        <f>IF(Transaction[[#This Row],[NetRevenue_Check]]="Invalid",(Transaction[[#This Row],[Quantity]]*Transaction[[#This Row],[UnitPrice_Clean]]),Transaction[[#This Row],[NetRevenue_Clean]])</f>
        <v>5869.6</v>
      </c>
      <c r="AH1208" t="str">
        <f>IF(Transaction[[#This Row],[Quantity]]*Transaction[[#This Row],[UnitPrice_Clean]]=Transaction[[#This Row],[NetRevenue_Clean]],"Valid","Invalid")</f>
        <v>Valid</v>
      </c>
      <c r="AI1208" t="s">
        <v>99</v>
      </c>
      <c r="AJ1208" t="s">
        <v>1758</v>
      </c>
      <c r="AK1208" t="str">
        <f>IF(Transaction[[#This Row],[Salesperson]]="","Missing Value",TRIM(PROPER(Transaction[[#This Row],[Salesperson]])))</f>
        <v>Aguilar</v>
      </c>
      <c r="AL1208" t="s">
        <v>42</v>
      </c>
      <c r="AM1208" t="str">
        <f>IF(Transaction[[#This Row],[ContractType]]="","Missing Value",Transaction[[#This Row],[ContractType]])</f>
        <v>Standard PO</v>
      </c>
      <c r="AN1208" t="s">
        <v>43</v>
      </c>
    </row>
    <row r="1209" spans="1:40" x14ac:dyDescent="0.25">
      <c r="A1209" t="s">
        <v>672</v>
      </c>
      <c r="B1209" s="1">
        <v>45724</v>
      </c>
      <c r="C120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20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8</v>
      </c>
      <c r="E120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09" s="2">
        <f>IFERROR(DATE(Transaction[[#This Row],[TransactionDateY]],Transaction[[#This Row],[TransactionDateM]],Transaction[[#This Row],[TransactionDateD]]),"Missing Value")</f>
        <v>45724</v>
      </c>
      <c r="G1209" t="s">
        <v>167</v>
      </c>
      <c r="H1209" t="str">
        <f>IFERROR(VLOOKUP(Transaction[[#This Row],[CustomerID]],Custumer[],1,0),IF(LEN(Transaction[[#This Row],[CustomerID]])=7,LEFT(Transaction[[#This Row],[CustomerID]],6),"Invalid ID"))</f>
        <v>C-1008</v>
      </c>
      <c r="I1209" t="s">
        <v>71</v>
      </c>
      <c r="J1209" t="str">
        <f>TRIM(UPPER(Transaction[[#This Row],[ProductID]]))</f>
        <v>P-SI-003</v>
      </c>
      <c r="K1209" t="str">
        <f>IFERROR(VLOOKUP(Transaction[[#This Row],[ProductID_Clean]],Product[],1,FALSE),"Invalid ID")</f>
        <v>P-SI-003</v>
      </c>
      <c r="L1209" t="str">
        <f>TRIM(SUBSTITUTE(SUBSTITUTE(SUBSTITUTE(SUBSTITUTE(UPPER(Transaction[[#This Row],[Region]]),"EMEA REGION","EMEA"),"APAC REGION","APAC"),"NORTH AMERICA","N. AMERICA"),"N .AMERICA","N.AMERICA"))</f>
        <v>N. AMERICA</v>
      </c>
      <c r="M1209" t="s">
        <v>20</v>
      </c>
      <c r="N1209" t="s">
        <v>53</v>
      </c>
      <c r="O120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09" t="s">
        <v>22</v>
      </c>
      <c r="Q1209" t="str">
        <f>IF(TRIM(Transaction[[#This Row],[SalesChannel]])="","Missing Value",TRIM(Transaction[[#This Row],[SalesChannel]]))</f>
        <v>Direct</v>
      </c>
      <c r="R1209" s="4">
        <v>2</v>
      </c>
      <c r="S1209" s="4" t="str">
        <f>IF(Transaction[[#This Row],[Quantity]]&lt;0,"Negative-review","Valid")</f>
        <v>Valid</v>
      </c>
      <c r="T1209">
        <v>1557.82</v>
      </c>
      <c r="U120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1557.82</v>
      </c>
      <c r="V1209">
        <v>1890</v>
      </c>
      <c r="W1209">
        <v>3780</v>
      </c>
      <c r="X120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3780</v>
      </c>
      <c r="Y1209">
        <f>IF(Transaction[[#This Row],[GrossRevenue_Check]]="Invalid",Transaction[[#This Row],[ListPrice]]*Transaction[[#This Row],[Quantity]],Transaction[[#This Row],[GrossRevenue_Clean]])</f>
        <v>3780</v>
      </c>
      <c r="Z1209" t="str">
        <f>IF(Transaction[[#This Row],[GrossRevenue_Clean]]=Transaction[[#This Row],[ListPrice]]*Transaction[[#This Row],[Quantity]],"Valid","Invalid")</f>
        <v>Valid</v>
      </c>
      <c r="AA1209">
        <v>664.36</v>
      </c>
      <c r="AB120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664.36</v>
      </c>
      <c r="AC1209">
        <f>IF(Transaction[[#This Row],[DiscountAmount_Check2]]="Invalid",Transaction[[#This Row],[GrossRevenue_Analytical]]-Transaction[[#This Row],[NetRevenue_Analytical]],Transaction[[#This Row],[DiscountAmount_Clean]])</f>
        <v>664.36</v>
      </c>
      <c r="AD1209">
        <v>3115.64</v>
      </c>
      <c r="AE1209" t="str">
        <f>IF(ROUND(Transaction[[#This Row],[GrossRevenue_Analytical]]-Transaction[[#This Row],[NetRevenue_Analytical]],2)=ROUND(Transaction[[#This Row],[DiscountAmount_Clean]],2),"Valid","Invalid")</f>
        <v>Valid</v>
      </c>
      <c r="AF1209">
        <f>VALUE(IF(ISNUMBER(Transaction[[#This Row],[NetRevenue]]),Transaction[[#This Row],[NetRevenue]],IFERROR(IF(FIND("$",Transaction[[#This Row],[NetRevenue]])&gt;0,MID(Transaction[[#This Row],[NetRevenue]],2,10)),Transaction[[#This Row],[NetRevenue]])))</f>
        <v>3115.64</v>
      </c>
      <c r="AG1209">
        <f>IF(Transaction[[#This Row],[NetRevenue_Check]]="Invalid",(Transaction[[#This Row],[Quantity]]*Transaction[[#This Row],[UnitPrice_Clean]]),Transaction[[#This Row],[NetRevenue_Clean]])</f>
        <v>3115.64</v>
      </c>
      <c r="AH1209" t="str">
        <f>IF(Transaction[[#This Row],[Quantity]]*Transaction[[#This Row],[UnitPrice_Clean]]=Transaction[[#This Row],[NetRevenue_Clean]],"Valid","Invalid")</f>
        <v>Valid</v>
      </c>
      <c r="AI1209" t="s">
        <v>23</v>
      </c>
      <c r="AJ1209" t="s">
        <v>673</v>
      </c>
      <c r="AK1209" t="str">
        <f>IF(Transaction[[#This Row],[Salesperson]]="","Missing Value",TRIM(PROPER(Transaction[[#This Row],[Salesperson]])))</f>
        <v>Ferguson</v>
      </c>
      <c r="AL1209" t="s">
        <v>42</v>
      </c>
      <c r="AM1209" t="str">
        <f>IF(Transaction[[#This Row],[ContractType]]="","Missing Value",Transaction[[#This Row],[ContractType]])</f>
        <v>Standard PO</v>
      </c>
      <c r="AN1209" t="s">
        <v>26</v>
      </c>
    </row>
    <row r="1210" spans="1:40" x14ac:dyDescent="0.25">
      <c r="A1210" t="s">
        <v>2818</v>
      </c>
      <c r="B1210" s="1">
        <v>45788</v>
      </c>
      <c r="C121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21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121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10" s="2">
        <f>IFERROR(DATE(Transaction[[#This Row],[TransactionDateY]],Transaction[[#This Row],[TransactionDateM]],Transaction[[#This Row],[TransactionDateD]]),"Missing Value")</f>
        <v>45788</v>
      </c>
      <c r="G1210" t="s">
        <v>507</v>
      </c>
      <c r="H1210" t="str">
        <f>IFERROR(VLOOKUP(Transaction[[#This Row],[CustomerID]],Custumer[],1,0),IF(LEN(Transaction[[#This Row],[CustomerID]])=7,LEFT(Transaction[[#This Row],[CustomerID]],6),"Invalid ID"))</f>
        <v>C-1091</v>
      </c>
      <c r="I1210" t="s">
        <v>62</v>
      </c>
      <c r="J1210" t="str">
        <f>TRIM(UPPER(Transaction[[#This Row],[ProductID]]))</f>
        <v>P-SI-004</v>
      </c>
      <c r="K1210" t="str">
        <f>IFERROR(VLOOKUP(Transaction[[#This Row],[ProductID_Clean]],Product[],1,FALSE),"Invalid ID")</f>
        <v>P-SI-004</v>
      </c>
      <c r="L1210" t="str">
        <f>TRIM(SUBSTITUTE(SUBSTITUTE(SUBSTITUTE(SUBSTITUTE(UPPER(Transaction[[#This Row],[Region]]),"EMEA REGION","EMEA"),"APAC REGION","APAC"),"NORTH AMERICA","N. AMERICA"),"N .AMERICA","N.AMERICA"))</f>
        <v>EMEA</v>
      </c>
      <c r="M1210" t="s">
        <v>76</v>
      </c>
      <c r="N1210" t="s">
        <v>53</v>
      </c>
      <c r="O121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10" t="s">
        <v>22</v>
      </c>
      <c r="Q1210" t="str">
        <f>IF(TRIM(Transaction[[#This Row],[SalesChannel]])="","Missing Value",TRIM(Transaction[[#This Row],[SalesChannel]]))</f>
        <v>Direct</v>
      </c>
      <c r="R1210" s="4">
        <v>12</v>
      </c>
      <c r="S1210" s="4" t="str">
        <f>IF(Transaction[[#This Row],[Quantity]]&lt;0,"Negative-review","Valid")</f>
        <v>Valid</v>
      </c>
      <c r="T1210">
        <v>2258.88</v>
      </c>
      <c r="U121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2258.88</v>
      </c>
      <c r="V1210">
        <v>2450</v>
      </c>
      <c r="W1210">
        <v>29400</v>
      </c>
      <c r="X121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29400</v>
      </c>
      <c r="Y1210">
        <f>IF(Transaction[[#This Row],[GrossRevenue_Check]]="Invalid",Transaction[[#This Row],[ListPrice]]*Transaction[[#This Row],[Quantity]],Transaction[[#This Row],[GrossRevenue_Clean]])</f>
        <v>29400</v>
      </c>
      <c r="Z1210" t="str">
        <f>IF(Transaction[[#This Row],[GrossRevenue_Clean]]=Transaction[[#This Row],[ListPrice]]*Transaction[[#This Row],[Quantity]],"Valid","Invalid")</f>
        <v>Valid</v>
      </c>
      <c r="AA1210">
        <v>2293.44</v>
      </c>
      <c r="AB121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2293.44</v>
      </c>
      <c r="AC1210">
        <f>IF(Transaction[[#This Row],[DiscountAmount_Check2]]="Invalid",Transaction[[#This Row],[GrossRevenue_Analytical]]-Transaction[[#This Row],[NetRevenue_Analytical]],Transaction[[#This Row],[DiscountAmount_Clean]])</f>
        <v>2293.44</v>
      </c>
      <c r="AD1210">
        <v>27106.560000000001</v>
      </c>
      <c r="AE1210" t="str">
        <f>IF(ROUND(Transaction[[#This Row],[GrossRevenue_Analytical]]-Transaction[[#This Row],[NetRevenue_Analytical]],2)=ROUND(Transaction[[#This Row],[DiscountAmount_Clean]],2),"Valid","Invalid")</f>
        <v>Valid</v>
      </c>
      <c r="AF121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27106.560000000001</v>
      </c>
      <c r="AG1210">
        <f>IF(Transaction[[#This Row],[NetRevenue_Check]]="Invalid",(Transaction[[#This Row],[Quantity]]*Transaction[[#This Row],[UnitPrice_Clean]]),Transaction[[#This Row],[NetRevenue_Clean]])</f>
        <v>27106.560000000001</v>
      </c>
      <c r="AH1210" t="str">
        <f>IF(Transaction[[#This Row],[Quantity]]*Transaction[[#This Row],[UnitPrice_Clean]]=Transaction[[#This Row],[NetRevenue_Clean]],"Valid","Invalid")</f>
        <v>Valid</v>
      </c>
      <c r="AI1210" t="s">
        <v>23</v>
      </c>
      <c r="AJ1210" t="s">
        <v>1783</v>
      </c>
      <c r="AK1210" t="str">
        <f>IF(Transaction[[#This Row],[Salesperson]]="","Missing Value",TRIM(PROPER(Transaction[[#This Row],[Salesperson]])))</f>
        <v>Mclean-Ap</v>
      </c>
      <c r="AL1210" t="s">
        <v>42</v>
      </c>
      <c r="AM1210" t="str">
        <f>IF(Transaction[[#This Row],[ContractType]]="","Missing Value",Transaction[[#This Row],[ContractType]])</f>
        <v>Standard PO</v>
      </c>
      <c r="AN1210" t="s">
        <v>26</v>
      </c>
    </row>
    <row r="1211" spans="1:40" x14ac:dyDescent="0.25">
      <c r="A1211" t="s">
        <v>1763</v>
      </c>
      <c r="C121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121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121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1211" s="2" t="str">
        <f>IFERROR(DATE(Transaction[[#This Row],[TransactionDateY]],Transaction[[#This Row],[TransactionDateM]],Transaction[[#This Row],[TransactionDateD]]),"Missing Value")</f>
        <v>Missing Value</v>
      </c>
      <c r="G1211" t="s">
        <v>935</v>
      </c>
      <c r="H1211" t="str">
        <f>IFERROR(VLOOKUP(Transaction[[#This Row],[CustomerID]],Custumer[],1,0),IF(LEN(Transaction[[#This Row],[CustomerID]])=7,LEFT(Transaction[[#This Row],[CustomerID]],6),"Invalid ID"))</f>
        <v>C-1052</v>
      </c>
      <c r="I1211" t="s">
        <v>1764</v>
      </c>
      <c r="J1211" t="str">
        <f>TRIM(UPPER(Transaction[[#This Row],[ProductID]]))</f>
        <v>P-SI-008</v>
      </c>
      <c r="K1211" t="str">
        <f>IFERROR(VLOOKUP(Transaction[[#This Row],[ProductID_Clean]],Product[],1,FALSE),"Invalid ID")</f>
        <v>P-SI-008</v>
      </c>
      <c r="L1211" t="str">
        <f>TRIM(SUBSTITUTE(SUBSTITUTE(SUBSTITUTE(SUBSTITUTE(UPPER(Transaction[[#This Row],[Region]]),"EMEA REGION","EMEA"),"APAC REGION","APAC"),"NORTH AMERICA","N. AMERICA"),"N .AMERICA","N.AMERICA"))</f>
        <v>LATIN AMERICA</v>
      </c>
      <c r="M1211" t="s">
        <v>82</v>
      </c>
      <c r="N1211" t="s">
        <v>53</v>
      </c>
      <c r="O121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11" t="s">
        <v>22</v>
      </c>
      <c r="Q1211" t="str">
        <f>IF(TRIM(Transaction[[#This Row],[SalesChannel]])="","Missing Value",TRIM(Transaction[[#This Row],[SalesChannel]]))</f>
        <v>Direct</v>
      </c>
      <c r="R1211" s="4">
        <v>5</v>
      </c>
      <c r="S1211" s="4" t="str">
        <f>IF(Transaction[[#This Row],[Quantity]]&lt;0,"Negative-review","Valid")</f>
        <v>Valid</v>
      </c>
      <c r="T1211">
        <v>840.18</v>
      </c>
      <c r="U121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840.18</v>
      </c>
      <c r="V1211">
        <v>950</v>
      </c>
      <c r="W1211" t="s">
        <v>1765</v>
      </c>
      <c r="X121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4750</v>
      </c>
      <c r="Y1211">
        <f>IF(Transaction[[#This Row],[GrossRevenue_Check]]="Invalid",Transaction[[#This Row],[ListPrice]]*Transaction[[#This Row],[Quantity]],Transaction[[#This Row],[GrossRevenue_Clean]])</f>
        <v>4750</v>
      </c>
      <c r="Z1211" t="str">
        <f>IF(Transaction[[#This Row],[GrossRevenue_Clean]]=Transaction[[#This Row],[ListPrice]]*Transaction[[#This Row],[Quantity]],"Valid","Invalid")</f>
        <v>Valid</v>
      </c>
      <c r="AA1211" t="s">
        <v>1766</v>
      </c>
      <c r="AB121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549.1</v>
      </c>
      <c r="AC1211">
        <f>IF(Transaction[[#This Row],[DiscountAmount_Check2]]="Invalid",Transaction[[#This Row],[GrossRevenue_Analytical]]-Transaction[[#This Row],[NetRevenue_Analytical]],Transaction[[#This Row],[DiscountAmount_Clean]])</f>
        <v>549.1</v>
      </c>
      <c r="AD1211" t="s">
        <v>1767</v>
      </c>
      <c r="AE1211" t="str">
        <f>IF(ROUND(Transaction[[#This Row],[GrossRevenue_Analytical]]-Transaction[[#This Row],[NetRevenue_Analytical]],2)=ROUND(Transaction[[#This Row],[DiscountAmount_Clean]],2),"Valid","Invalid")</f>
        <v>Valid</v>
      </c>
      <c r="AF1211">
        <f>VALUE(IF(ISNUMBER(Transaction[[#This Row],[NetRevenue]]),Transaction[[#This Row],[NetRevenue]],IFERROR(IF(FIND("$",Transaction[[#This Row],[NetRevenue]])&gt;0,MID(Transaction[[#This Row],[NetRevenue]],2,10)),Transaction[[#This Row],[NetRevenue]])))</f>
        <v>4200.8999999999996</v>
      </c>
      <c r="AG1211">
        <f>IF(Transaction[[#This Row],[NetRevenue_Check]]="Invalid",(Transaction[[#This Row],[Quantity]]*Transaction[[#This Row],[UnitPrice_Clean]]),Transaction[[#This Row],[NetRevenue_Clean]])</f>
        <v>4200.8999999999996</v>
      </c>
      <c r="AH1211" t="str">
        <f>IF(Transaction[[#This Row],[Quantity]]*Transaction[[#This Row],[UnitPrice_Clean]]=Transaction[[#This Row],[NetRevenue_Clean]],"Valid","Invalid")</f>
        <v>Valid</v>
      </c>
      <c r="AI1211" t="s">
        <v>99</v>
      </c>
      <c r="AJ1211" t="s">
        <v>1768</v>
      </c>
      <c r="AK1211" t="str">
        <f>IF(Transaction[[#This Row],[Salesperson]]="","Missing Value",TRIM(PROPER(Transaction[[#This Row],[Salesperson]])))</f>
        <v>Kane-Em</v>
      </c>
      <c r="AL1211" t="s">
        <v>55</v>
      </c>
      <c r="AM1211" t="str">
        <f>IF(Transaction[[#This Row],[ContractType]]="","Missing Value",Transaction[[#This Row],[ContractType]])</f>
        <v>Spot</v>
      </c>
      <c r="AN1211" t="s">
        <v>35</v>
      </c>
    </row>
    <row r="1212" spans="1:40" x14ac:dyDescent="0.25">
      <c r="A1212" t="s">
        <v>2422</v>
      </c>
      <c r="B1212" t="s">
        <v>2423</v>
      </c>
      <c r="C121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121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29</v>
      </c>
      <c r="E121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12" s="2">
        <f>IFERROR(DATE(Transaction[[#This Row],[TransactionDateY]],Transaction[[#This Row],[TransactionDateM]],Transaction[[#This Row],[TransactionDateD]]),"Missing Value")</f>
        <v>45806</v>
      </c>
      <c r="G1212" t="s">
        <v>195</v>
      </c>
      <c r="H1212" t="str">
        <f>IFERROR(VLOOKUP(Transaction[[#This Row],[CustomerID]],Custumer[],1,0),IF(LEN(Transaction[[#This Row],[CustomerID]])=7,LEFT(Transaction[[#This Row],[CustomerID]],6),"Invalid ID"))</f>
        <v>C-1015</v>
      </c>
      <c r="I1212" t="s">
        <v>52</v>
      </c>
      <c r="J1212" t="str">
        <f>TRIM(UPPER(Transaction[[#This Row],[ProductID]]))</f>
        <v>P-SI-002</v>
      </c>
      <c r="K1212" t="str">
        <f>IFERROR(VLOOKUP(Transaction[[#This Row],[ProductID_Clean]],Product[],1,FALSE),"Invalid ID")</f>
        <v>P-SI-002</v>
      </c>
      <c r="L1212" t="str">
        <f>TRIM(SUBSTITUTE(SUBSTITUTE(SUBSTITUTE(SUBSTITUTE(UPPER(Transaction[[#This Row],[Region]]),"EMEA REGION","EMEA"),"APAC REGION","APAC"),"NORTH AMERICA","N. AMERICA"),"N .AMERICA","N.AMERICA"))</f>
        <v>N. AMERICA</v>
      </c>
      <c r="M1212" t="s">
        <v>204</v>
      </c>
      <c r="N1212" t="s">
        <v>53</v>
      </c>
      <c r="O121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12" t="s">
        <v>22</v>
      </c>
      <c r="Q1212" t="str">
        <f>IF(TRIM(Transaction[[#This Row],[SalesChannel]])="","Missing Value",TRIM(Transaction[[#This Row],[SalesChannel]]))</f>
        <v>Direct</v>
      </c>
      <c r="R1212" s="4">
        <v>3</v>
      </c>
      <c r="S1212" s="4" t="str">
        <f>IF(Transaction[[#This Row],[Quantity]]&lt;0,"Negative-review","Valid")</f>
        <v>Valid</v>
      </c>
      <c r="T1212">
        <v>646.95000000000005</v>
      </c>
      <c r="U121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646.95000000000005</v>
      </c>
      <c r="V1212">
        <v>725</v>
      </c>
      <c r="W1212">
        <v>2175</v>
      </c>
      <c r="X121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2175</v>
      </c>
      <c r="Y1212">
        <f>IF(Transaction[[#This Row],[GrossRevenue_Check]]="Invalid",Transaction[[#This Row],[ListPrice]]*Transaction[[#This Row],[Quantity]],Transaction[[#This Row],[GrossRevenue_Clean]])</f>
        <v>2175</v>
      </c>
      <c r="Z1212" t="str">
        <f>IF(Transaction[[#This Row],[GrossRevenue_Clean]]=Transaction[[#This Row],[ListPrice]]*Transaction[[#This Row],[Quantity]],"Valid","Invalid")</f>
        <v>Valid</v>
      </c>
      <c r="AA1212">
        <v>234.15</v>
      </c>
      <c r="AB121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234.15</v>
      </c>
      <c r="AC1212">
        <f>IF(Transaction[[#This Row],[DiscountAmount_Check2]]="Invalid",Transaction[[#This Row],[GrossRevenue_Analytical]]-Transaction[[#This Row],[NetRevenue_Analytical]],Transaction[[#This Row],[DiscountAmount_Clean]])</f>
        <v>234.15</v>
      </c>
      <c r="AD1212">
        <v>1940.85</v>
      </c>
      <c r="AE1212" t="str">
        <f>IF(ROUND(Transaction[[#This Row],[GrossRevenue_Analytical]]-Transaction[[#This Row],[NetRevenue_Analytical]],2)=ROUND(Transaction[[#This Row],[DiscountAmount_Clean]],2),"Valid","Invalid")</f>
        <v>Valid</v>
      </c>
      <c r="AF121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1940.85</v>
      </c>
      <c r="AG1212">
        <f>IF(Transaction[[#This Row],[NetRevenue_Check]]="Invalid",(Transaction[[#This Row],[Quantity]]*Transaction[[#This Row],[UnitPrice_Clean]]),Transaction[[#This Row],[NetRevenue_Clean]])</f>
        <v>1940.85</v>
      </c>
      <c r="AH1212" t="str">
        <f>IF(Transaction[[#This Row],[Quantity]]*Transaction[[#This Row],[UnitPrice_Clean]]=Transaction[[#This Row],[NetRevenue_Clean]],"Valid","Invalid")</f>
        <v>Valid</v>
      </c>
      <c r="AI1212" t="s">
        <v>128</v>
      </c>
      <c r="AJ1212" t="s">
        <v>1418</v>
      </c>
      <c r="AK1212" t="str">
        <f>IF(Transaction[[#This Row],[Salesperson]]="","Missing Value",TRIM(PROPER(Transaction[[#This Row],[Salesperson]])))</f>
        <v>Barnes</v>
      </c>
      <c r="AL1212" t="s">
        <v>25</v>
      </c>
      <c r="AM1212" t="str">
        <f>IF(Transaction[[#This Row],[ContractType]]="","Missing Value",Transaction[[#This Row],[ContractType]])</f>
        <v>Frame Agreement</v>
      </c>
      <c r="AN1212" t="s">
        <v>26</v>
      </c>
    </row>
    <row r="1213" spans="1:40" x14ac:dyDescent="0.25">
      <c r="A1213" t="s">
        <v>2841</v>
      </c>
      <c r="B1213" s="1">
        <v>45772</v>
      </c>
      <c r="C121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21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121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13" s="2">
        <f>IFERROR(DATE(Transaction[[#This Row],[TransactionDateY]],Transaction[[#This Row],[TransactionDateM]],Transaction[[#This Row],[TransactionDateD]]),"Missing Value")</f>
        <v>45772</v>
      </c>
      <c r="G1213" t="s">
        <v>388</v>
      </c>
      <c r="H1213" t="str">
        <f>IFERROR(VLOOKUP(Transaction[[#This Row],[CustomerID]],Custumer[],1,0),IF(LEN(Transaction[[#This Row],[CustomerID]])=7,LEFT(Transaction[[#This Row],[CustomerID]],6),"Invalid ID"))</f>
        <v>C-1184</v>
      </c>
      <c r="I1213" t="s">
        <v>46</v>
      </c>
      <c r="J1213" t="str">
        <f>TRIM(UPPER(Transaction[[#This Row],[ProductID]]))</f>
        <v>P-SI-006</v>
      </c>
      <c r="K1213" t="str">
        <f>IFERROR(VLOOKUP(Transaction[[#This Row],[ProductID_Clean]],Product[],1,FALSE),"Invalid ID")</f>
        <v>P-SI-006</v>
      </c>
      <c r="L1213" t="str">
        <f>TRIM(SUBSTITUTE(SUBSTITUTE(SUBSTITUTE(SUBSTITUTE(UPPER(Transaction[[#This Row],[Region]]),"EMEA REGION","EMEA"),"APAC REGION","APAC"),"NORTH AMERICA","N. AMERICA"),"N .AMERICA","N.AMERICA"))</f>
        <v>N. AMERICA</v>
      </c>
      <c r="M1213" t="s">
        <v>20</v>
      </c>
      <c r="N1213" t="s">
        <v>53</v>
      </c>
      <c r="O121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13" t="s">
        <v>22</v>
      </c>
      <c r="Q1213" t="str">
        <f>IF(TRIM(Transaction[[#This Row],[SalesChannel]])="","Missing Value",TRIM(Transaction[[#This Row],[SalesChannel]]))</f>
        <v>Direct</v>
      </c>
      <c r="R1213" s="4">
        <v>3</v>
      </c>
      <c r="S1213" s="4" t="str">
        <f>IF(Transaction[[#This Row],[Quantity]]&lt;0,"Negative-review","Valid")</f>
        <v>Valid</v>
      </c>
      <c r="T1213">
        <v>170.54</v>
      </c>
      <c r="U121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170.54</v>
      </c>
      <c r="V1213">
        <v>215</v>
      </c>
      <c r="W1213">
        <v>645</v>
      </c>
      <c r="X121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1213">
        <f>IF(Transaction[[#This Row],[GrossRevenue_Check]]="Invalid",Transaction[[#This Row],[ListPrice]]*Transaction[[#This Row],[Quantity]],Transaction[[#This Row],[GrossRevenue_Clean]])</f>
        <v>645</v>
      </c>
      <c r="Z1213" t="str">
        <f>IF(Transaction[[#This Row],[GrossRevenue_Clean]]=Transaction[[#This Row],[ListPrice]]*Transaction[[#This Row],[Quantity]],"Valid","Invalid")</f>
        <v>Valid</v>
      </c>
      <c r="AA1213">
        <v>133.38</v>
      </c>
      <c r="AB121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133.38</v>
      </c>
      <c r="AC1213">
        <f>IF(Transaction[[#This Row],[DiscountAmount_Check2]]="Invalid",Transaction[[#This Row],[GrossRevenue_Analytical]]-Transaction[[#This Row],[NetRevenue_Analytical]],Transaction[[#This Row],[DiscountAmount_Clean]])</f>
        <v>133.38</v>
      </c>
      <c r="AD1213">
        <v>511.62</v>
      </c>
      <c r="AE1213" t="str">
        <f>IF(ROUND(Transaction[[#This Row],[GrossRevenue_Analytical]]-Transaction[[#This Row],[NetRevenue_Analytical]],2)=ROUND(Transaction[[#This Row],[DiscountAmount_Clean]],2),"Valid","Invalid")</f>
        <v>Valid</v>
      </c>
      <c r="AF1213">
        <f>VALUE(IF(ISNUMBER(Transaction[[#This Row],[NetRevenue]]),Transaction[[#This Row],[NetRevenue]],IFERROR(IF(FIND("$",Transaction[[#This Row],[NetRevenue]])&gt;0,MID(Transaction[[#This Row],[NetRevenue]],2,10)),Transaction[[#This Row],[NetRevenue]])))</f>
        <v>511.62</v>
      </c>
      <c r="AG1213">
        <f>IF(Transaction[[#This Row],[NetRevenue_Check]]="Invalid",(Transaction[[#This Row],[Quantity]]*Transaction[[#This Row],[UnitPrice_Clean]]),Transaction[[#This Row],[NetRevenue_Clean]])</f>
        <v>511.62</v>
      </c>
      <c r="AH1213" t="str">
        <f>IF(Transaction[[#This Row],[Quantity]]*Transaction[[#This Row],[UnitPrice_Clean]]=Transaction[[#This Row],[NetRevenue_Clean]],"Valid","Invalid")</f>
        <v>Valid</v>
      </c>
      <c r="AI1213" t="s">
        <v>23</v>
      </c>
      <c r="AJ1213" t="s">
        <v>828</v>
      </c>
      <c r="AK1213" t="str">
        <f>IF(Transaction[[#This Row],[Salesperson]]="","Missing Value",TRIM(PROPER(Transaction[[#This Row],[Salesperson]])))</f>
        <v>Johnson</v>
      </c>
      <c r="AM1213" t="str">
        <f>IF(Transaction[[#This Row],[ContractType]]="","Missing Value",Transaction[[#This Row],[ContractType]])</f>
        <v>Missing Value</v>
      </c>
      <c r="AN1213" t="s">
        <v>43</v>
      </c>
    </row>
    <row r="1214" spans="1:40" x14ac:dyDescent="0.25">
      <c r="A1214" t="s">
        <v>754</v>
      </c>
      <c r="B1214" s="1">
        <v>45758</v>
      </c>
      <c r="C121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21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121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14" s="2">
        <f>IFERROR(DATE(Transaction[[#This Row],[TransactionDateY]],Transaction[[#This Row],[TransactionDateM]],Transaction[[#This Row],[TransactionDateD]]),"Missing Value")</f>
        <v>45758</v>
      </c>
      <c r="G1214" t="s">
        <v>755</v>
      </c>
      <c r="H1214" t="str">
        <f>IFERROR(VLOOKUP(Transaction[[#This Row],[CustomerID]],Custumer[],1,0),IF(LEN(Transaction[[#This Row],[CustomerID]])=7,LEFT(Transaction[[#This Row],[CustomerID]],6),"Invalid ID"))</f>
        <v>C-1013</v>
      </c>
      <c r="I1214" t="s">
        <v>226</v>
      </c>
      <c r="J1214" t="str">
        <f>TRIM(UPPER(Transaction[[#This Row],[ProductID]]))</f>
        <v>P-SA-002</v>
      </c>
      <c r="K1214" t="str">
        <f>IFERROR(VLOOKUP(Transaction[[#This Row],[ProductID_Clean]],Product[],1,FALSE),"Invalid ID")</f>
        <v>P-SA-002</v>
      </c>
      <c r="L1214" t="str">
        <f>TRIM(SUBSTITUTE(SUBSTITUTE(SUBSTITUTE(SUBSTITUTE(UPPER(Transaction[[#This Row],[Region]]),"EMEA REGION","EMEA"),"APAC REGION","APAC"),"NORTH AMERICA","N. AMERICA"),"N .AMERICA","N.AMERICA"))</f>
        <v>N. AMERICA</v>
      </c>
      <c r="M1214" t="s">
        <v>20</v>
      </c>
      <c r="N1214" t="s">
        <v>31</v>
      </c>
      <c r="O121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14" t="s">
        <v>22</v>
      </c>
      <c r="Q1214" t="str">
        <f>IF(TRIM(Transaction[[#This Row],[SalesChannel]])="","Missing Value",TRIM(Transaction[[#This Row],[SalesChannel]]))</f>
        <v>Direct</v>
      </c>
      <c r="R1214" s="4">
        <v>1</v>
      </c>
      <c r="S1214" s="4" t="str">
        <f>IF(Transaction[[#This Row],[Quantity]]&lt;0,"Negative-review","Valid")</f>
        <v>Valid</v>
      </c>
      <c r="T1214">
        <v>9235.6</v>
      </c>
      <c r="U121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9235.6</v>
      </c>
      <c r="V1214">
        <v>9800</v>
      </c>
      <c r="W1214">
        <v>9800</v>
      </c>
      <c r="X121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1214">
        <f>IF(Transaction[[#This Row],[GrossRevenue_Check]]="Invalid",Transaction[[#This Row],[ListPrice]]*Transaction[[#This Row],[Quantity]],Transaction[[#This Row],[GrossRevenue_Clean]])</f>
        <v>9800</v>
      </c>
      <c r="Z1214" t="str">
        <f>IF(Transaction[[#This Row],[GrossRevenue_Clean]]=Transaction[[#This Row],[ListPrice]]*Transaction[[#This Row],[Quantity]],"Valid","Invalid")</f>
        <v>Valid</v>
      </c>
      <c r="AA1214">
        <v>564.4</v>
      </c>
      <c r="AB121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564.4</v>
      </c>
      <c r="AC1214">
        <f>IF(Transaction[[#This Row],[DiscountAmount_Check2]]="Invalid",Transaction[[#This Row],[GrossRevenue_Analytical]]-Transaction[[#This Row],[NetRevenue_Analytical]],Transaction[[#This Row],[DiscountAmount_Clean]])</f>
        <v>564.4</v>
      </c>
      <c r="AD1214">
        <v>9235.6</v>
      </c>
      <c r="AE1214" t="str">
        <f>IF(ROUND(Transaction[[#This Row],[GrossRevenue_Analytical]]-Transaction[[#This Row],[NetRevenue_Analytical]],2)=ROUND(Transaction[[#This Row],[DiscountAmount_Clean]],2),"Valid","Invalid")</f>
        <v>Valid</v>
      </c>
      <c r="AF1214">
        <f>VALUE(IF(ISNUMBER(Transaction[[#This Row],[NetRevenue]]),Transaction[[#This Row],[NetRevenue]],IFERROR(IF(FIND("$",Transaction[[#This Row],[NetRevenue]])&gt;0,MID(Transaction[[#This Row],[NetRevenue]],2,10)),Transaction[[#This Row],[NetRevenue]])))</f>
        <v>9235.6</v>
      </c>
      <c r="AG1214">
        <f>IF(Transaction[[#This Row],[NetRevenue_Check]]="Invalid",(Transaction[[#This Row],[Quantity]]*Transaction[[#This Row],[UnitPrice_Clean]]),Transaction[[#This Row],[NetRevenue_Clean]])</f>
        <v>9235.6</v>
      </c>
      <c r="AH1214" t="str">
        <f>IF(Transaction[[#This Row],[Quantity]]*Transaction[[#This Row],[UnitPrice_Clean]]=Transaction[[#This Row],[NetRevenue_Clean]],"Valid","Invalid")</f>
        <v>Valid</v>
      </c>
      <c r="AI1214" t="s">
        <v>23</v>
      </c>
      <c r="AJ1214" t="s">
        <v>1873</v>
      </c>
      <c r="AK1214" t="str">
        <f>IF(Transaction[[#This Row],[Salesperson]]="","Missing Value",TRIM(PROPER(Transaction[[#This Row],[Salesperson]])))</f>
        <v>Schmitt-Na</v>
      </c>
      <c r="AL1214" t="s">
        <v>34</v>
      </c>
      <c r="AM1214" t="str">
        <f>IF(Transaction[[#This Row],[ContractType]]="","Missing Value",Transaction[[#This Row],[ContractType]])</f>
        <v>Annual License</v>
      </c>
      <c r="AN1214" t="s">
        <v>43</v>
      </c>
    </row>
    <row r="1215" spans="1:40" x14ac:dyDescent="0.25">
      <c r="A1215" t="s">
        <v>2278</v>
      </c>
      <c r="B1215" s="1">
        <v>45831</v>
      </c>
      <c r="C121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21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121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15" s="2">
        <f>IFERROR(DATE(Transaction[[#This Row],[TransactionDateY]],Transaction[[#This Row],[TransactionDateM]],Transaction[[#This Row],[TransactionDateD]]),"Missing Value")</f>
        <v>45831</v>
      </c>
      <c r="G1215" t="s">
        <v>374</v>
      </c>
      <c r="H1215" t="str">
        <f>IFERROR(VLOOKUP(Transaction[[#This Row],[CustomerID]],Custumer[],1,0),IF(LEN(Transaction[[#This Row],[CustomerID]])=7,LEFT(Transaction[[#This Row],[CustomerID]],6),"Invalid ID"))</f>
        <v>C-1102</v>
      </c>
      <c r="I1215" t="s">
        <v>46</v>
      </c>
      <c r="J1215" t="str">
        <f>TRIM(UPPER(Transaction[[#This Row],[ProductID]]))</f>
        <v>P-SI-006</v>
      </c>
      <c r="K1215" t="str">
        <f>IFERROR(VLOOKUP(Transaction[[#This Row],[ProductID_Clean]],Product[],1,FALSE),"Invalid ID")</f>
        <v>P-SI-006</v>
      </c>
      <c r="L1215" t="str">
        <f>TRIM(SUBSTITUTE(SUBSTITUTE(SUBSTITUTE(SUBSTITUTE(UPPER(Transaction[[#This Row],[Region]]),"EMEA REGION","EMEA"),"APAC REGION","APAC"),"NORTH AMERICA","N. AMERICA"),"N .AMERICA","N.AMERICA"))</f>
        <v>LATIN AMERICA</v>
      </c>
      <c r="M1215" t="s">
        <v>82</v>
      </c>
      <c r="N1215" t="s">
        <v>272</v>
      </c>
      <c r="O121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Q1215" t="str">
        <f>IF(TRIM(Transaction[[#This Row],[SalesChannel]])="","Missing Value",TRIM(Transaction[[#This Row],[SalesChannel]]))</f>
        <v>Missing Value</v>
      </c>
      <c r="R1215" s="4">
        <v>1</v>
      </c>
      <c r="S1215" s="4" t="str">
        <f>IF(Transaction[[#This Row],[Quantity]]&lt;0,"Negative-review","Valid")</f>
        <v>Valid</v>
      </c>
      <c r="T1215">
        <v>177.32</v>
      </c>
      <c r="U121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177.32</v>
      </c>
      <c r="V1215">
        <v>215</v>
      </c>
      <c r="W1215">
        <v>215</v>
      </c>
      <c r="X121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1215">
        <f>IF(Transaction[[#This Row],[GrossRevenue_Check]]="Invalid",Transaction[[#This Row],[ListPrice]]*Transaction[[#This Row],[Quantity]],Transaction[[#This Row],[GrossRevenue_Clean]])</f>
        <v>215</v>
      </c>
      <c r="Z1215" t="str">
        <f>IF(Transaction[[#This Row],[GrossRevenue_Clean]]=Transaction[[#This Row],[ListPrice]]*Transaction[[#This Row],[Quantity]],"Valid","Invalid")</f>
        <v>Valid</v>
      </c>
      <c r="AA1215" t="s">
        <v>2279</v>
      </c>
      <c r="AB121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37.68</v>
      </c>
      <c r="AC1215">
        <f>IF(Transaction[[#This Row],[DiscountAmount_Check2]]="Invalid",Transaction[[#This Row],[GrossRevenue_Analytical]]-Transaction[[#This Row],[NetRevenue_Analytical]],Transaction[[#This Row],[DiscountAmount_Clean]])</f>
        <v>37.68</v>
      </c>
      <c r="AD1215">
        <v>177.32</v>
      </c>
      <c r="AE1215" t="str">
        <f>IF(ROUND(Transaction[[#This Row],[GrossRevenue_Analytical]]-Transaction[[#This Row],[NetRevenue_Analytical]],2)=ROUND(Transaction[[#This Row],[DiscountAmount_Clean]],2),"Valid","Invalid")</f>
        <v>Valid</v>
      </c>
      <c r="AF121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177.32</v>
      </c>
      <c r="AG1215">
        <f>IF(Transaction[[#This Row],[NetRevenue_Check]]="Invalid",(Transaction[[#This Row],[Quantity]]*Transaction[[#This Row],[UnitPrice_Clean]]),Transaction[[#This Row],[NetRevenue_Clean]])</f>
        <v>177.32</v>
      </c>
      <c r="AH1215" t="str">
        <f>IF(Transaction[[#This Row],[Quantity]]*Transaction[[#This Row],[UnitPrice_Clean]]=Transaction[[#This Row],[NetRevenue_Clean]],"Valid","Invalid")</f>
        <v>Valid</v>
      </c>
      <c r="AI1215" t="s">
        <v>23</v>
      </c>
      <c r="AJ1215" t="s">
        <v>2280</v>
      </c>
      <c r="AK1215" t="str">
        <f>IF(Transaction[[#This Row],[Salesperson]]="","Missing Value",TRIM(PROPER(Transaction[[#This Row],[Salesperson]])))</f>
        <v>Miles-Em</v>
      </c>
      <c r="AL1215" t="s">
        <v>42</v>
      </c>
      <c r="AM1215" t="str">
        <f>IF(Transaction[[#This Row],[ContractType]]="","Missing Value",Transaction[[#This Row],[ContractType]])</f>
        <v>Standard PO</v>
      </c>
      <c r="AN1215" t="s">
        <v>49</v>
      </c>
    </row>
    <row r="1216" spans="1:40" x14ac:dyDescent="0.25">
      <c r="A1216" t="s">
        <v>1048</v>
      </c>
      <c r="B1216" s="1">
        <v>45834</v>
      </c>
      <c r="C121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21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121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16" s="2">
        <f>IFERROR(DATE(Transaction[[#This Row],[TransactionDateY]],Transaction[[#This Row],[TransactionDateM]],Transaction[[#This Row],[TransactionDateD]]),"Missing Value")</f>
        <v>45834</v>
      </c>
      <c r="G1216" t="s">
        <v>289</v>
      </c>
      <c r="H1216" t="str">
        <f>IFERROR(VLOOKUP(Transaction[[#This Row],[CustomerID]],Custumer[],1,0),IF(LEN(Transaction[[#This Row],[CustomerID]])=7,LEFT(Transaction[[#This Row],[CustomerID]],6),"Invalid ID"))</f>
        <v>C-1081</v>
      </c>
      <c r="I1216" t="s">
        <v>226</v>
      </c>
      <c r="J1216" t="str">
        <f>TRIM(UPPER(Transaction[[#This Row],[ProductID]]))</f>
        <v>P-SA-002</v>
      </c>
      <c r="K1216" t="str">
        <f>IFERROR(VLOOKUP(Transaction[[#This Row],[ProductID_Clean]],Product[],1,FALSE),"Invalid ID")</f>
        <v>P-SA-002</v>
      </c>
      <c r="L1216" t="str">
        <f>TRIM(SUBSTITUTE(SUBSTITUTE(SUBSTITUTE(SUBSTITUTE(UPPER(Transaction[[#This Row],[Region]]),"EMEA REGION","EMEA"),"APAC REGION","APAC"),"NORTH AMERICA","N. AMERICA"),"N .AMERICA","N.AMERICA"))</f>
        <v>LATIN AMERICA</v>
      </c>
      <c r="M1216" t="s">
        <v>82</v>
      </c>
      <c r="N1216" t="s">
        <v>31</v>
      </c>
      <c r="O121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16" t="s">
        <v>40</v>
      </c>
      <c r="Q1216" t="str">
        <f>IF(TRIM(Transaction[[#This Row],[SalesChannel]])="","Missing Value",TRIM(Transaction[[#This Row],[SalesChannel]]))</f>
        <v>Distributor</v>
      </c>
      <c r="R1216" s="4">
        <v>1</v>
      </c>
      <c r="S1216" s="4" t="str">
        <f>IF(Transaction[[#This Row],[Quantity]]&lt;0,"Negative-review","Valid")</f>
        <v>Valid</v>
      </c>
      <c r="T1216">
        <v>8198.15</v>
      </c>
      <c r="U121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8198.15</v>
      </c>
      <c r="V1216">
        <v>9800</v>
      </c>
      <c r="W1216">
        <v>9800</v>
      </c>
      <c r="X121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1216">
        <f>IF(Transaction[[#This Row],[GrossRevenue_Check]]="Invalid",Transaction[[#This Row],[ListPrice]]*Transaction[[#This Row],[Quantity]],Transaction[[#This Row],[GrossRevenue_Clean]])</f>
        <v>9800</v>
      </c>
      <c r="Z1216" t="str">
        <f>IF(Transaction[[#This Row],[GrossRevenue_Clean]]=Transaction[[#This Row],[ListPrice]]*Transaction[[#This Row],[Quantity]],"Valid","Invalid")</f>
        <v>Valid</v>
      </c>
      <c r="AA1216">
        <v>1601.85</v>
      </c>
      <c r="AB121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1601.85</v>
      </c>
      <c r="AC1216">
        <f>IF(Transaction[[#This Row],[DiscountAmount_Check2]]="Invalid",Transaction[[#This Row],[GrossRevenue_Analytical]]-Transaction[[#This Row],[NetRevenue_Analytical]],Transaction[[#This Row],[DiscountAmount_Clean]])</f>
        <v>1601.85</v>
      </c>
      <c r="AD1216">
        <v>8198.15</v>
      </c>
      <c r="AE1216" t="str">
        <f>IF(ROUND(Transaction[[#This Row],[GrossRevenue_Analytical]]-Transaction[[#This Row],[NetRevenue_Analytical]],2)=ROUND(Transaction[[#This Row],[DiscountAmount_Clean]],2),"Valid","Invalid")</f>
        <v>Valid</v>
      </c>
      <c r="AF1216">
        <f>VALUE(IF(ISNUMBER(Transaction[[#This Row],[NetRevenue]]),Transaction[[#This Row],[NetRevenue]],IFERROR(IF(FIND("$",Transaction[[#This Row],[NetRevenue]])&gt;0,MID(Transaction[[#This Row],[NetRevenue]],2,10)),Transaction[[#This Row],[NetRevenue]])))</f>
        <v>8198.15</v>
      </c>
      <c r="AG1216">
        <f>IF(Transaction[[#This Row],[NetRevenue_Check]]="Invalid",(Transaction[[#This Row],[Quantity]]*Transaction[[#This Row],[UnitPrice_Clean]]),Transaction[[#This Row],[NetRevenue_Clean]])</f>
        <v>8198.15</v>
      </c>
      <c r="AH1216" t="str">
        <f>IF(Transaction[[#This Row],[Quantity]]*Transaction[[#This Row],[UnitPrice_Clean]]=Transaction[[#This Row],[NetRevenue_Clean]],"Valid","Invalid")</f>
        <v>Valid</v>
      </c>
      <c r="AI1216" t="s">
        <v>23</v>
      </c>
      <c r="AJ1216" t="s">
        <v>1049</v>
      </c>
      <c r="AK1216" t="str">
        <f>IF(Transaction[[#This Row],[Salesperson]]="","Missing Value",TRIM(PROPER(Transaction[[#This Row],[Salesperson]])))</f>
        <v>Burnett</v>
      </c>
      <c r="AL1216" t="s">
        <v>34</v>
      </c>
      <c r="AM1216" t="str">
        <f>IF(Transaction[[#This Row],[ContractType]]="","Missing Value",Transaction[[#This Row],[ContractType]])</f>
        <v>Annual License</v>
      </c>
      <c r="AN1216" t="s">
        <v>49</v>
      </c>
    </row>
    <row r="1217" spans="1:40" x14ac:dyDescent="0.25">
      <c r="A1217" t="s">
        <v>3062</v>
      </c>
      <c r="B1217" t="s">
        <v>3063</v>
      </c>
      <c r="C121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21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121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17" s="2">
        <f>IFERROR(DATE(Transaction[[#This Row],[TransactionDateY]],Transaction[[#This Row],[TransactionDateM]],Transaction[[#This Row],[TransactionDateD]]),"Missing Value")</f>
        <v>45664</v>
      </c>
      <c r="G1217" t="s">
        <v>91</v>
      </c>
      <c r="H1217" t="str">
        <f>IFERROR(VLOOKUP(Transaction[[#This Row],[CustomerID]],Custumer[],1,0),IF(LEN(Transaction[[#This Row],[CustomerID]])=7,LEFT(Transaction[[#This Row],[CustomerID]],6),"Invalid ID"))</f>
        <v>C-1147</v>
      </c>
      <c r="I1217" t="s">
        <v>52</v>
      </c>
      <c r="J1217" t="str">
        <f>TRIM(UPPER(Transaction[[#This Row],[ProductID]]))</f>
        <v>P-SI-002</v>
      </c>
      <c r="K1217" t="str">
        <f>IFERROR(VLOOKUP(Transaction[[#This Row],[ProductID_Clean]],Product[],1,FALSE),"Invalid ID")</f>
        <v>P-SI-002</v>
      </c>
      <c r="L1217" t="str">
        <f>TRIM(SUBSTITUTE(SUBSTITUTE(SUBSTITUTE(SUBSTITUTE(UPPER(Transaction[[#This Row],[Region]]),"EMEA REGION","EMEA"),"APAC REGION","APAC"),"NORTH AMERICA","N. AMERICA"),"N .AMERICA","N.AMERICA"))</f>
        <v>APAC</v>
      </c>
      <c r="M1217" t="s">
        <v>30</v>
      </c>
      <c r="N1217" t="s">
        <v>53</v>
      </c>
      <c r="O121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17" t="s">
        <v>22</v>
      </c>
      <c r="Q1217" t="str">
        <f>IF(TRIM(Transaction[[#This Row],[SalesChannel]])="","Missing Value",TRIM(Transaction[[#This Row],[SalesChannel]]))</f>
        <v>Direct</v>
      </c>
      <c r="R1217" s="4">
        <v>1</v>
      </c>
      <c r="S1217" s="4" t="str">
        <f>IF(Transaction[[#This Row],[Quantity]]&lt;0,"Negative-review","Valid")</f>
        <v>Valid</v>
      </c>
      <c r="T1217">
        <v>703.98</v>
      </c>
      <c r="U121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703.98</v>
      </c>
      <c r="V1217">
        <v>725</v>
      </c>
      <c r="W1217">
        <v>725</v>
      </c>
      <c r="X121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725</v>
      </c>
      <c r="Y1217">
        <f>IF(Transaction[[#This Row],[GrossRevenue_Check]]="Invalid",Transaction[[#This Row],[ListPrice]]*Transaction[[#This Row],[Quantity]],Transaction[[#This Row],[GrossRevenue_Clean]])</f>
        <v>725</v>
      </c>
      <c r="Z1217" t="str">
        <f>IF(Transaction[[#This Row],[GrossRevenue_Clean]]=Transaction[[#This Row],[ListPrice]]*Transaction[[#This Row],[Quantity]],"Valid","Invalid")</f>
        <v>Valid</v>
      </c>
      <c r="AA1217">
        <v>21.02</v>
      </c>
      <c r="AB121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21.02</v>
      </c>
      <c r="AC1217">
        <f>IF(Transaction[[#This Row],[DiscountAmount_Check2]]="Invalid",Transaction[[#This Row],[GrossRevenue_Analytical]]-Transaction[[#This Row],[NetRevenue_Analytical]],Transaction[[#This Row],[DiscountAmount_Clean]])</f>
        <v>21.02</v>
      </c>
      <c r="AD1217">
        <v>703.98</v>
      </c>
      <c r="AE1217" t="str">
        <f>IF(ROUND(Transaction[[#This Row],[GrossRevenue_Analytical]]-Transaction[[#This Row],[NetRevenue_Analytical]],2)=ROUND(Transaction[[#This Row],[DiscountAmount_Clean]],2),"Valid","Invalid")</f>
        <v>Valid</v>
      </c>
      <c r="AF1217">
        <f>VALUE(IF(ISNUMBER(Transaction[[#This Row],[NetRevenue]]),Transaction[[#This Row],[NetRevenue]],IFERROR(IF(FIND("$",Transaction[[#This Row],[NetRevenue]])&gt;0,MID(Transaction[[#This Row],[NetRevenue]],2,10)),Transaction[[#This Row],[NetRevenue]])))</f>
        <v>703.98</v>
      </c>
      <c r="AG1217">
        <f>IF(Transaction[[#This Row],[NetRevenue_Check]]="Invalid",(Transaction[[#This Row],[Quantity]]*Transaction[[#This Row],[UnitPrice_Clean]]),Transaction[[#This Row],[NetRevenue_Clean]])</f>
        <v>703.98</v>
      </c>
      <c r="AH1217" t="str">
        <f>IF(Transaction[[#This Row],[Quantity]]*Transaction[[#This Row],[UnitPrice_Clean]]=Transaction[[#This Row],[NetRevenue_Clean]],"Valid","Invalid")</f>
        <v>Valid</v>
      </c>
      <c r="AI1217" t="s">
        <v>23</v>
      </c>
      <c r="AJ1217" t="s">
        <v>636</v>
      </c>
      <c r="AK1217" t="str">
        <f>IF(Transaction[[#This Row],[Salesperson]]="","Missing Value",TRIM(PROPER(Transaction[[#This Row],[Salesperson]])))</f>
        <v>Wheeler-Na</v>
      </c>
      <c r="AM1217" t="str">
        <f>IF(Transaction[[#This Row],[ContractType]]="","Missing Value",Transaction[[#This Row],[ContractType]])</f>
        <v>Missing Value</v>
      </c>
      <c r="AN1217" t="s">
        <v>49</v>
      </c>
    </row>
    <row r="1218" spans="1:40" x14ac:dyDescent="0.25">
      <c r="A1218" t="s">
        <v>79</v>
      </c>
      <c r="B1218" t="s">
        <v>80</v>
      </c>
      <c r="C121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21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121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18" s="2">
        <f>IFERROR(DATE(Transaction[[#This Row],[TransactionDateY]],Transaction[[#This Row],[TransactionDateM]],Transaction[[#This Row],[TransactionDateD]]),"Missing Value")</f>
        <v>45684</v>
      </c>
      <c r="G1218" t="s">
        <v>81</v>
      </c>
      <c r="H1218" t="str">
        <f>IFERROR(VLOOKUP(Transaction[[#This Row],[CustomerID]],Custumer[],1,0),IF(LEN(Transaction[[#This Row],[CustomerID]])=7,LEFT(Transaction[[#This Row],[CustomerID]],6),"Invalid ID"))</f>
        <v>C-1039</v>
      </c>
      <c r="I1218" t="s">
        <v>46</v>
      </c>
      <c r="J1218" t="str">
        <f>TRIM(UPPER(Transaction[[#This Row],[ProductID]]))</f>
        <v>P-SI-006</v>
      </c>
      <c r="K1218" t="str">
        <f>IFERROR(VLOOKUP(Transaction[[#This Row],[ProductID_Clean]],Product[],1,FALSE),"Invalid ID")</f>
        <v>P-SI-006</v>
      </c>
      <c r="L1218" t="str">
        <f>TRIM(SUBSTITUTE(SUBSTITUTE(SUBSTITUTE(SUBSTITUTE(UPPER(Transaction[[#This Row],[Region]]),"EMEA REGION","EMEA"),"APAC REGION","APAC"),"NORTH AMERICA","N. AMERICA"),"N .AMERICA","N.AMERICA"))</f>
        <v>LATIN AMERICA</v>
      </c>
      <c r="M1218" t="s">
        <v>82</v>
      </c>
      <c r="N1218" t="s">
        <v>47</v>
      </c>
      <c r="O121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18" t="s">
        <v>40</v>
      </c>
      <c r="Q1218" t="str">
        <f>IF(TRIM(Transaction[[#This Row],[SalesChannel]])="","Missing Value",TRIM(Transaction[[#This Row],[SalesChannel]]))</f>
        <v>Distributor</v>
      </c>
      <c r="R1218" s="4">
        <v>3</v>
      </c>
      <c r="S1218" s="4" t="str">
        <f>IF(Transaction[[#This Row],[Quantity]]&lt;0,"Negative-review","Valid")</f>
        <v>Valid</v>
      </c>
      <c r="T1218">
        <v>146.54</v>
      </c>
      <c r="U121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146.54</v>
      </c>
      <c r="V1218">
        <v>215</v>
      </c>
      <c r="W1218">
        <v>645</v>
      </c>
      <c r="X121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1218">
        <f>IF(Transaction[[#This Row],[GrossRevenue_Check]]="Invalid",Transaction[[#This Row],[ListPrice]]*Transaction[[#This Row],[Quantity]],Transaction[[#This Row],[GrossRevenue_Clean]])</f>
        <v>645</v>
      </c>
      <c r="Z1218" t="str">
        <f>IF(Transaction[[#This Row],[GrossRevenue_Clean]]=Transaction[[#This Row],[ListPrice]]*Transaction[[#This Row],[Quantity]],"Valid","Invalid")</f>
        <v>Valid</v>
      </c>
      <c r="AA1218">
        <v>205.38</v>
      </c>
      <c r="AB121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205.38</v>
      </c>
      <c r="AC1218">
        <f>IF(Transaction[[#This Row],[DiscountAmount_Check2]]="Invalid",Transaction[[#This Row],[GrossRevenue_Analytical]]-Transaction[[#This Row],[NetRevenue_Analytical]],Transaction[[#This Row],[DiscountAmount_Clean]])</f>
        <v>205.38</v>
      </c>
      <c r="AD1218">
        <v>439.62</v>
      </c>
      <c r="AE1218" t="str">
        <f>IF(ROUND(Transaction[[#This Row],[GrossRevenue_Analytical]]-Transaction[[#This Row],[NetRevenue_Analytical]],2)=ROUND(Transaction[[#This Row],[DiscountAmount_Clean]],2),"Valid","Invalid")</f>
        <v>Valid</v>
      </c>
      <c r="AF1218">
        <f>VALUE(IF(ISNUMBER(Transaction[[#This Row],[NetRevenue]]),Transaction[[#This Row],[NetRevenue]],IFERROR(IF(FIND("$",Transaction[[#This Row],[NetRevenue]])&gt;0,MID(Transaction[[#This Row],[NetRevenue]],2,10)),Transaction[[#This Row],[NetRevenue]])))</f>
        <v>439.62</v>
      </c>
      <c r="AG1218">
        <f>IF(Transaction[[#This Row],[NetRevenue_Check]]="Invalid",(Transaction[[#This Row],[Quantity]]*Transaction[[#This Row],[UnitPrice_Clean]]),Transaction[[#This Row],[NetRevenue_Clean]])</f>
        <v>439.62</v>
      </c>
      <c r="AH1218" t="str">
        <f>IF(Transaction[[#This Row],[Quantity]]*Transaction[[#This Row],[UnitPrice_Clean]]=Transaction[[#This Row],[NetRevenue_Clean]],"Valid","Invalid")</f>
        <v>Valid</v>
      </c>
      <c r="AI1218" t="s">
        <v>23</v>
      </c>
      <c r="AJ1218" t="s">
        <v>83</v>
      </c>
      <c r="AK1218" t="str">
        <f>IF(Transaction[[#This Row],[Salesperson]]="","Missing Value",TRIM(PROPER(Transaction[[#This Row],[Salesperson]])))</f>
        <v>Rocha</v>
      </c>
      <c r="AL1218" t="s">
        <v>42</v>
      </c>
      <c r="AM1218" t="str">
        <f>IF(Transaction[[#This Row],[ContractType]]="","Missing Value",Transaction[[#This Row],[ContractType]])</f>
        <v>Standard PO</v>
      </c>
      <c r="AN1218" t="s">
        <v>49</v>
      </c>
    </row>
    <row r="1219" spans="1:40" x14ac:dyDescent="0.25">
      <c r="A1219" t="s">
        <v>1176</v>
      </c>
      <c r="C121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121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121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1219" s="2" t="str">
        <f>IFERROR(DATE(Transaction[[#This Row],[TransactionDateY]],Transaction[[#This Row],[TransactionDateM]],Transaction[[#This Row],[TransactionDateD]]),"Missing Value")</f>
        <v>Missing Value</v>
      </c>
      <c r="G1219" t="s">
        <v>357</v>
      </c>
      <c r="H1219" t="str">
        <f>IFERROR(VLOOKUP(Transaction[[#This Row],[CustomerID]],Custumer[],1,0),IF(LEN(Transaction[[#This Row],[CustomerID]])=7,LEFT(Transaction[[#This Row],[CustomerID]],6),"Invalid ID"))</f>
        <v>C-1078</v>
      </c>
      <c r="I1219" t="s">
        <v>29</v>
      </c>
      <c r="J1219" t="str">
        <f>TRIM(UPPER(Transaction[[#This Row],[ProductID]]))</f>
        <v>P-SA-001</v>
      </c>
      <c r="K1219" t="str">
        <f>IFERROR(VLOOKUP(Transaction[[#This Row],[ProductID_Clean]],Product[],1,FALSE),"Invalid ID")</f>
        <v>P-SA-001</v>
      </c>
      <c r="L1219" t="str">
        <f>TRIM(SUBSTITUTE(SUBSTITUTE(SUBSTITUTE(SUBSTITUTE(UPPER(Transaction[[#This Row],[Region]]),"EMEA REGION","EMEA"),"APAC REGION","APAC"),"NORTH AMERICA","N. AMERICA"),"N .AMERICA","N.AMERICA"))</f>
        <v>N. AMERICA</v>
      </c>
      <c r="M1219" t="s">
        <v>20</v>
      </c>
      <c r="N1219" t="s">
        <v>31</v>
      </c>
      <c r="O121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19" t="s">
        <v>22</v>
      </c>
      <c r="Q1219" t="str">
        <f>IF(TRIM(Transaction[[#This Row],[SalesChannel]])="","Missing Value",TRIM(Transaction[[#This Row],[SalesChannel]]))</f>
        <v>Direct</v>
      </c>
      <c r="R1219" s="4">
        <v>1</v>
      </c>
      <c r="S1219" s="4" t="str">
        <f>IF(Transaction[[#This Row],[Quantity]]&lt;0,"Negative-review","Valid")</f>
        <v>Valid</v>
      </c>
      <c r="T1219">
        <v>3892.24</v>
      </c>
      <c r="U121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3892.24</v>
      </c>
      <c r="V1219">
        <v>4200</v>
      </c>
      <c r="W1219">
        <v>4200</v>
      </c>
      <c r="X121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1219">
        <f>IF(Transaction[[#This Row],[GrossRevenue_Check]]="Invalid",Transaction[[#This Row],[ListPrice]]*Transaction[[#This Row],[Quantity]],Transaction[[#This Row],[GrossRevenue_Clean]])</f>
        <v>4200</v>
      </c>
      <c r="Z1219" t="str">
        <f>IF(Transaction[[#This Row],[GrossRevenue_Clean]]=Transaction[[#This Row],[ListPrice]]*Transaction[[#This Row],[Quantity]],"Valid","Invalid")</f>
        <v>Valid</v>
      </c>
      <c r="AA1219">
        <v>307.76</v>
      </c>
      <c r="AB121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307.76</v>
      </c>
      <c r="AC1219">
        <f>IF(Transaction[[#This Row],[DiscountAmount_Check2]]="Invalid",Transaction[[#This Row],[GrossRevenue_Analytical]]-Transaction[[#This Row],[NetRevenue_Analytical]],Transaction[[#This Row],[DiscountAmount_Clean]])</f>
        <v>307.76</v>
      </c>
      <c r="AD1219">
        <v>3892.24</v>
      </c>
      <c r="AE1219" t="str">
        <f>IF(ROUND(Transaction[[#This Row],[GrossRevenue_Analytical]]-Transaction[[#This Row],[NetRevenue_Analytical]],2)=ROUND(Transaction[[#This Row],[DiscountAmount_Clean]],2),"Valid","Invalid")</f>
        <v>Valid</v>
      </c>
      <c r="AF1219">
        <f>VALUE(IF(ISNUMBER(Transaction[[#This Row],[NetRevenue]]),Transaction[[#This Row],[NetRevenue]],IFERROR(IF(FIND("$",Transaction[[#This Row],[NetRevenue]])&gt;0,MID(Transaction[[#This Row],[NetRevenue]],2,10)),Transaction[[#This Row],[NetRevenue]])))</f>
        <v>3892.24</v>
      </c>
      <c r="AG1219">
        <f>IF(Transaction[[#This Row],[NetRevenue_Check]]="Invalid",(Transaction[[#This Row],[Quantity]]*Transaction[[#This Row],[UnitPrice_Clean]]),Transaction[[#This Row],[NetRevenue_Clean]])</f>
        <v>3892.24</v>
      </c>
      <c r="AH1219" t="str">
        <f>IF(Transaction[[#This Row],[Quantity]]*Transaction[[#This Row],[UnitPrice_Clean]]=Transaction[[#This Row],[NetRevenue_Clean]],"Valid","Invalid")</f>
        <v>Valid</v>
      </c>
      <c r="AI1219" t="s">
        <v>23</v>
      </c>
      <c r="AJ1219" t="s">
        <v>1177</v>
      </c>
      <c r="AK1219" t="str">
        <f>IF(Transaction[[#This Row],[Salesperson]]="","Missing Value",TRIM(PROPER(Transaction[[#This Row],[Salesperson]])))</f>
        <v>Rodriguez-Ap</v>
      </c>
      <c r="AL1219" t="s">
        <v>34</v>
      </c>
      <c r="AM1219" t="str">
        <f>IF(Transaction[[#This Row],[ContractType]]="","Missing Value",Transaction[[#This Row],[ContractType]])</f>
        <v>Annual License</v>
      </c>
      <c r="AN1219" t="s">
        <v>26</v>
      </c>
    </row>
    <row r="1220" spans="1:40" x14ac:dyDescent="0.25">
      <c r="A1220" t="s">
        <v>2589</v>
      </c>
      <c r="B1220" t="s">
        <v>803</v>
      </c>
      <c r="C122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22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122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20" s="2">
        <f>IFERROR(DATE(Transaction[[#This Row],[TransactionDateY]],Transaction[[#This Row],[TransactionDateM]],Transaction[[#This Row],[TransactionDateD]]),"Missing Value")</f>
        <v>45694</v>
      </c>
      <c r="G1220" t="s">
        <v>247</v>
      </c>
      <c r="H1220" t="str">
        <f>IFERROR(VLOOKUP(Transaction[[#This Row],[CustomerID]],Custumer[],1,0),IF(LEN(Transaction[[#This Row],[CustomerID]])=7,LEFT(Transaction[[#This Row],[CustomerID]],6),"Invalid ID"))</f>
        <v>C-1045</v>
      </c>
      <c r="I1220" t="s">
        <v>71</v>
      </c>
      <c r="J1220" t="str">
        <f>TRIM(UPPER(Transaction[[#This Row],[ProductID]]))</f>
        <v>P-SI-003</v>
      </c>
      <c r="K1220" t="str">
        <f>IFERROR(VLOOKUP(Transaction[[#This Row],[ProductID_Clean]],Product[],1,FALSE),"Invalid ID")</f>
        <v>P-SI-003</v>
      </c>
      <c r="L1220" t="str">
        <f>TRIM(SUBSTITUTE(SUBSTITUTE(SUBSTITUTE(SUBSTITUTE(UPPER(Transaction[[#This Row],[Region]]),"EMEA REGION","EMEA"),"APAC REGION","APAC"),"NORTH AMERICA","N. AMERICA"),"N .AMERICA","N.AMERICA"))</f>
        <v>EMEA</v>
      </c>
      <c r="M1220" t="s">
        <v>76</v>
      </c>
      <c r="N1220" t="s">
        <v>53</v>
      </c>
      <c r="O122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20" t="s">
        <v>22</v>
      </c>
      <c r="Q1220" t="str">
        <f>IF(TRIM(Transaction[[#This Row],[SalesChannel]])="","Missing Value",TRIM(Transaction[[#This Row],[SalesChannel]]))</f>
        <v>Direct</v>
      </c>
      <c r="R1220" s="4">
        <v>15</v>
      </c>
      <c r="S1220" s="4" t="str">
        <f>IF(Transaction[[#This Row],[Quantity]]&lt;0,"Negative-review","Valid")</f>
        <v>Valid</v>
      </c>
      <c r="T1220">
        <v>1660.85</v>
      </c>
      <c r="U122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1660.85</v>
      </c>
      <c r="V1220">
        <v>1890</v>
      </c>
      <c r="W1220">
        <v>28350</v>
      </c>
      <c r="X122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28350</v>
      </c>
      <c r="Y1220">
        <f>IF(Transaction[[#This Row],[GrossRevenue_Check]]="Invalid",Transaction[[#This Row],[ListPrice]]*Transaction[[#This Row],[Quantity]],Transaction[[#This Row],[GrossRevenue_Clean]])</f>
        <v>28350</v>
      </c>
      <c r="Z1220" t="str">
        <f>IF(Transaction[[#This Row],[GrossRevenue_Clean]]=Transaction[[#This Row],[ListPrice]]*Transaction[[#This Row],[Quantity]],"Valid","Invalid")</f>
        <v>Valid</v>
      </c>
      <c r="AA1220">
        <v>3437.25</v>
      </c>
      <c r="AB122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3437.25</v>
      </c>
      <c r="AC1220">
        <f>IF(Transaction[[#This Row],[DiscountAmount_Check2]]="Invalid",Transaction[[#This Row],[GrossRevenue_Analytical]]-Transaction[[#This Row],[NetRevenue_Analytical]],Transaction[[#This Row],[DiscountAmount_Clean]])</f>
        <v>3437.25</v>
      </c>
      <c r="AD1220">
        <v>24912.75</v>
      </c>
      <c r="AE1220" t="str">
        <f>IF(ROUND(Transaction[[#This Row],[GrossRevenue_Analytical]]-Transaction[[#This Row],[NetRevenue_Analytical]],2)=ROUND(Transaction[[#This Row],[DiscountAmount_Clean]],2),"Valid","Invalid")</f>
        <v>Valid</v>
      </c>
      <c r="AF1220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24912.75</v>
      </c>
      <c r="AG1220">
        <f>IF(Transaction[[#This Row],[NetRevenue_Check]]="Invalid",(Transaction[[#This Row],[Quantity]]*Transaction[[#This Row],[UnitPrice_Clean]]),Transaction[[#This Row],[NetRevenue_Clean]])</f>
        <v>24912.75</v>
      </c>
      <c r="AH1220" t="str">
        <f>IF(Transaction[[#This Row],[Quantity]]*Transaction[[#This Row],[UnitPrice_Clean]]=Transaction[[#This Row],[NetRevenue_Clean]],"Valid","Invalid")</f>
        <v>Valid</v>
      </c>
      <c r="AI1220" t="s">
        <v>23</v>
      </c>
      <c r="AJ1220" t="s">
        <v>2590</v>
      </c>
      <c r="AK1220" t="str">
        <f>IF(Transaction[[#This Row],[Salesperson]]="","Missing Value",TRIM(PROPER(Transaction[[#This Row],[Salesperson]])))</f>
        <v>Wright</v>
      </c>
      <c r="AL1220" t="s">
        <v>55</v>
      </c>
      <c r="AM1220" t="str">
        <f>IF(Transaction[[#This Row],[ContractType]]="","Missing Value",Transaction[[#This Row],[ContractType]])</f>
        <v>Spot</v>
      </c>
      <c r="AN1220" t="s">
        <v>35</v>
      </c>
    </row>
    <row r="1221" spans="1:40" x14ac:dyDescent="0.25">
      <c r="A1221" t="s">
        <v>1938</v>
      </c>
      <c r="B1221" s="1">
        <v>45737</v>
      </c>
      <c r="C122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22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21</v>
      </c>
      <c r="E122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21" s="2">
        <f>IFERROR(DATE(Transaction[[#This Row],[TransactionDateY]],Transaction[[#This Row],[TransactionDateM]],Transaction[[#This Row],[TransactionDateD]]),"Missing Value")</f>
        <v>45737</v>
      </c>
      <c r="G1221" t="s">
        <v>1026</v>
      </c>
      <c r="H1221" t="str">
        <f>IFERROR(VLOOKUP(Transaction[[#This Row],[CustomerID]],Custumer[],1,0),IF(LEN(Transaction[[#This Row],[CustomerID]])=7,LEFT(Transaction[[#This Row],[CustomerID]],6),"Invalid ID"))</f>
        <v>C-1056</v>
      </c>
      <c r="I1221" t="s">
        <v>92</v>
      </c>
      <c r="J1221" t="str">
        <f>TRIM(UPPER(Transaction[[#This Row],[ProductID]]))</f>
        <v>P-SI-008</v>
      </c>
      <c r="K1221" t="str">
        <f>IFERROR(VLOOKUP(Transaction[[#This Row],[ProductID_Clean]],Product[],1,FALSE),"Invalid ID")</f>
        <v>P-SI-008</v>
      </c>
      <c r="L1221" t="str">
        <f>TRIM(SUBSTITUTE(SUBSTITUTE(SUBSTITUTE(SUBSTITUTE(UPPER(Transaction[[#This Row],[Region]]),"EMEA REGION","EMEA"),"APAC REGION","APAC"),"NORTH AMERICA","N. AMERICA"),"N .AMERICA","N.AMERICA"))</f>
        <v>APAC</v>
      </c>
      <c r="M1221" t="s">
        <v>63</v>
      </c>
      <c r="N1221" t="s">
        <v>53</v>
      </c>
      <c r="O1221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21" t="s">
        <v>40</v>
      </c>
      <c r="Q1221" t="str">
        <f>IF(TRIM(Transaction[[#This Row],[SalesChannel]])="","Missing Value",TRIM(Transaction[[#This Row],[SalesChannel]]))</f>
        <v>Distributor</v>
      </c>
      <c r="R1221" s="4">
        <v>4</v>
      </c>
      <c r="S1221" s="4" t="str">
        <f>IF(Transaction[[#This Row],[Quantity]]&lt;0,"Negative-review","Valid")</f>
        <v>Valid</v>
      </c>
      <c r="T1221">
        <v>670.94</v>
      </c>
      <c r="U122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670.94</v>
      </c>
      <c r="V1221">
        <v>950</v>
      </c>
      <c r="W1221">
        <v>3800</v>
      </c>
      <c r="X122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3800</v>
      </c>
      <c r="Y1221">
        <f>IF(Transaction[[#This Row],[GrossRevenue_Check]]="Invalid",Transaction[[#This Row],[ListPrice]]*Transaction[[#This Row],[Quantity]],Transaction[[#This Row],[GrossRevenue_Clean]])</f>
        <v>3800</v>
      </c>
      <c r="Z1221" t="str">
        <f>IF(Transaction[[#This Row],[GrossRevenue_Clean]]=Transaction[[#This Row],[ListPrice]]*Transaction[[#This Row],[Quantity]],"Valid","Invalid")</f>
        <v>Valid</v>
      </c>
      <c r="AA1221">
        <v>1116.24</v>
      </c>
      <c r="AB122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1116.24</v>
      </c>
      <c r="AC1221">
        <f>IF(Transaction[[#This Row],[DiscountAmount_Check2]]="Invalid",Transaction[[#This Row],[GrossRevenue_Analytical]]-Transaction[[#This Row],[NetRevenue_Analytical]],Transaction[[#This Row],[DiscountAmount_Clean]])</f>
        <v>1116.24</v>
      </c>
      <c r="AD1221">
        <v>2683.76</v>
      </c>
      <c r="AE1221" t="str">
        <f>IF(ROUND(Transaction[[#This Row],[GrossRevenue_Analytical]]-Transaction[[#This Row],[NetRevenue_Analytical]],2)=ROUND(Transaction[[#This Row],[DiscountAmount_Clean]],2),"Valid","Invalid")</f>
        <v>Valid</v>
      </c>
      <c r="AF1221">
        <f>VALUE(IF(ISNUMBER(Transaction[[#This Row],[NetRevenue]]),Transaction[[#This Row],[NetRevenue]],IFERROR(IF(FIND("$",Transaction[[#This Row],[NetRevenue]])&gt;0,MID(Transaction[[#This Row],[NetRevenue]],2,10)),Transaction[[#This Row],[NetRevenue]])))</f>
        <v>2683.76</v>
      </c>
      <c r="AG1221">
        <f>IF(Transaction[[#This Row],[NetRevenue_Check]]="Invalid",(Transaction[[#This Row],[Quantity]]*Transaction[[#This Row],[UnitPrice_Clean]]),Transaction[[#This Row],[NetRevenue_Clean]])</f>
        <v>2683.76</v>
      </c>
      <c r="AH1221" t="str">
        <f>IF(Transaction[[#This Row],[Quantity]]*Transaction[[#This Row],[UnitPrice_Clean]]=Transaction[[#This Row],[NetRevenue_Clean]],"Valid","Invalid")</f>
        <v>Valid</v>
      </c>
      <c r="AI1221" t="s">
        <v>23</v>
      </c>
      <c r="AJ1221" t="s">
        <v>1939</v>
      </c>
      <c r="AK1221" t="str">
        <f>IF(Transaction[[#This Row],[Salesperson]]="","Missing Value",TRIM(PROPER(Transaction[[#This Row],[Salesperson]])))</f>
        <v>Ortega</v>
      </c>
      <c r="AL1221" t="s">
        <v>42</v>
      </c>
      <c r="AM1221" t="str">
        <f>IF(Transaction[[#This Row],[ContractType]]="","Missing Value",Transaction[[#This Row],[ContractType]])</f>
        <v>Standard PO</v>
      </c>
      <c r="AN1221" t="s">
        <v>43</v>
      </c>
    </row>
    <row r="1222" spans="1:40" x14ac:dyDescent="0.25">
      <c r="A1222" t="s">
        <v>2045</v>
      </c>
      <c r="B1222" s="1">
        <v>45774</v>
      </c>
      <c r="C122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22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122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22" s="2">
        <f>IFERROR(DATE(Transaction[[#This Row],[TransactionDateY]],Transaction[[#This Row],[TransactionDateM]],Transaction[[#This Row],[TransactionDateD]]),"Missing Value")</f>
        <v>45774</v>
      </c>
      <c r="G1222" t="s">
        <v>262</v>
      </c>
      <c r="H1222" t="str">
        <f>IFERROR(VLOOKUP(Transaction[[#This Row],[CustomerID]],Custumer[],1,0),IF(LEN(Transaction[[#This Row],[CustomerID]])=7,LEFT(Transaction[[#This Row],[CustomerID]],6),"Invalid ID"))</f>
        <v>C-1148</v>
      </c>
      <c r="I1222" t="s">
        <v>97</v>
      </c>
      <c r="J1222" t="str">
        <f>TRIM(UPPER(Transaction[[#This Row],[ProductID]]))</f>
        <v>P-SI-001</v>
      </c>
      <c r="K1222" t="str">
        <f>IFERROR(VLOOKUP(Transaction[[#This Row],[ProductID_Clean]],Product[],1,FALSE),"Invalid ID")</f>
        <v>P-SI-001</v>
      </c>
      <c r="L1222" t="str">
        <f>TRIM(SUBSTITUTE(SUBSTITUTE(SUBSTITUTE(SUBSTITUTE(UPPER(Transaction[[#This Row],[Region]]),"EMEA REGION","EMEA"),"APAC REGION","APAC"),"NORTH AMERICA","N. AMERICA"),"N .AMERICA","N.AMERICA"))</f>
        <v>N. AMERICA</v>
      </c>
      <c r="M1222" t="s">
        <v>20</v>
      </c>
      <c r="N1222" t="s">
        <v>53</v>
      </c>
      <c r="O122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22" t="s">
        <v>22</v>
      </c>
      <c r="Q1222" t="str">
        <f>IF(TRIM(Transaction[[#This Row],[SalesChannel]])="","Missing Value",TRIM(Transaction[[#This Row],[SalesChannel]]))</f>
        <v>Direct</v>
      </c>
      <c r="R1222" s="4">
        <v>20</v>
      </c>
      <c r="S1222" s="4" t="str">
        <f>IF(Transaction[[#This Row],[Quantity]]&lt;0,"Negative-review","Valid")</f>
        <v>Valid</v>
      </c>
      <c r="T1222">
        <v>485.02</v>
      </c>
      <c r="U122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485.02</v>
      </c>
      <c r="V1222">
        <v>485</v>
      </c>
      <c r="W1222" t="s">
        <v>2046</v>
      </c>
      <c r="X122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9700</v>
      </c>
      <c r="Y1222">
        <f>IF(Transaction[[#This Row],[GrossRevenue_Check]]="Invalid",Transaction[[#This Row],[ListPrice]]*Transaction[[#This Row],[Quantity]],Transaction[[#This Row],[GrossRevenue_Clean]])</f>
        <v>9700</v>
      </c>
      <c r="Z1222" t="str">
        <f>IF(Transaction[[#This Row],[GrossRevenue_Clean]]=Transaction[[#This Row],[ListPrice]]*Transaction[[#This Row],[Quantity]],"Valid","Invalid")</f>
        <v>Valid</v>
      </c>
      <c r="AA1222">
        <v>-0.4</v>
      </c>
      <c r="AB122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-0.4</v>
      </c>
      <c r="AC1222">
        <f>IF(Transaction[[#This Row],[DiscountAmount_Check2]]="Invalid",Transaction[[#This Row],[GrossRevenue_Analytical]]-Transaction[[#This Row],[NetRevenue_Analytical]],Transaction[[#This Row],[DiscountAmount_Clean]])</f>
        <v>-0.4</v>
      </c>
      <c r="AD1222">
        <v>9700.4</v>
      </c>
      <c r="AE1222" t="str">
        <f>IF(ROUND(Transaction[[#This Row],[GrossRevenue_Analytical]]-Transaction[[#This Row],[NetRevenue_Analytical]],2)=ROUND(Transaction[[#This Row],[DiscountAmount_Clean]],2),"Valid","Invalid")</f>
        <v>Valid</v>
      </c>
      <c r="AF1222">
        <f>VALUE(IF(ISNUMBER(Transaction[[#This Row],[NetRevenue]]),Transaction[[#This Row],[NetRevenue]],IFERROR(IF(FIND("$",Transaction[[#This Row],[NetRevenue]])&gt;0,MID(Transaction[[#This Row],[NetRevenue]],2,10)),Transaction[[#This Row],[NetRevenue]])))</f>
        <v>9700.4</v>
      </c>
      <c r="AG1222">
        <f>IF(Transaction[[#This Row],[NetRevenue_Check]]="Invalid",(Transaction[[#This Row],[Quantity]]*Transaction[[#This Row],[UnitPrice_Clean]]),Transaction[[#This Row],[NetRevenue_Clean]])</f>
        <v>9700.4</v>
      </c>
      <c r="AH1222" t="str">
        <f>IF(Transaction[[#This Row],[Quantity]]*Transaction[[#This Row],[UnitPrice_Clean]]=Transaction[[#This Row],[NetRevenue_Clean]],"Valid","Invalid")</f>
        <v>Valid</v>
      </c>
      <c r="AI1222" t="s">
        <v>23</v>
      </c>
      <c r="AJ1222" t="s">
        <v>2047</v>
      </c>
      <c r="AK1222" t="str">
        <f>IF(Transaction[[#This Row],[Salesperson]]="","Missing Value",TRIM(PROPER(Transaction[[#This Row],[Salesperson]])))</f>
        <v>Jackson-Em</v>
      </c>
      <c r="AL1222" t="s">
        <v>42</v>
      </c>
      <c r="AM1222" t="str">
        <f>IF(Transaction[[#This Row],[ContractType]]="","Missing Value",Transaction[[#This Row],[ContractType]])</f>
        <v>Standard PO</v>
      </c>
      <c r="AN1222" t="s">
        <v>65</v>
      </c>
    </row>
    <row r="1223" spans="1:40" x14ac:dyDescent="0.25">
      <c r="A1223" t="s">
        <v>1383</v>
      </c>
      <c r="B1223" t="s">
        <v>1384</v>
      </c>
      <c r="C122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122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04</v>
      </c>
      <c r="E122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23" s="2">
        <f>IFERROR(DATE(Transaction[[#This Row],[TransactionDateY]],Transaction[[#This Row],[TransactionDateM]],Transaction[[#This Row],[TransactionDateD]]),"Missing Value")</f>
        <v>45781</v>
      </c>
      <c r="G1223" t="s">
        <v>1385</v>
      </c>
      <c r="H1223" t="str">
        <f>IFERROR(VLOOKUP(Transaction[[#This Row],[CustomerID]],Custumer[],1,0),IF(LEN(Transaction[[#This Row],[CustomerID]])=7,LEFT(Transaction[[#This Row],[CustomerID]],6),"Invalid ID"))</f>
        <v>C-1022</v>
      </c>
      <c r="I1223" t="s">
        <v>946</v>
      </c>
      <c r="J1223" t="str">
        <f>TRIM(UPPER(Transaction[[#This Row],[ProductID]]))</f>
        <v>P-SI-006</v>
      </c>
      <c r="K1223" t="str">
        <f>IFERROR(VLOOKUP(Transaction[[#This Row],[ProductID_Clean]],Product[],1,FALSE),"Invalid ID")</f>
        <v>P-SI-006</v>
      </c>
      <c r="L1223" t="str">
        <f>TRIM(SUBSTITUTE(SUBSTITUTE(SUBSTITUTE(SUBSTITUTE(UPPER(Transaction[[#This Row],[Region]]),"EMEA REGION","EMEA"),"APAC REGION","APAC"),"NORTH AMERICA","N. AMERICA"),"N .AMERICA","N.AMERICA"))</f>
        <v>N. AMERICA</v>
      </c>
      <c r="M1223" t="s">
        <v>20</v>
      </c>
      <c r="N1223" t="s">
        <v>53</v>
      </c>
      <c r="O122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23" t="s">
        <v>22</v>
      </c>
      <c r="Q1223" t="str">
        <f>IF(TRIM(Transaction[[#This Row],[SalesChannel]])="","Missing Value",TRIM(Transaction[[#This Row],[SalesChannel]]))</f>
        <v>Direct</v>
      </c>
      <c r="R1223" s="4">
        <v>1</v>
      </c>
      <c r="S1223" s="4" t="str">
        <f>IF(Transaction[[#This Row],[Quantity]]&lt;0,"Negative-review","Valid")</f>
        <v>Valid</v>
      </c>
      <c r="T1223">
        <v>191.06</v>
      </c>
      <c r="U122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191.06</v>
      </c>
      <c r="V1223">
        <v>215</v>
      </c>
      <c r="W1223">
        <v>215</v>
      </c>
      <c r="X122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215</v>
      </c>
      <c r="Y1223">
        <f>IF(Transaction[[#This Row],[GrossRevenue_Check]]="Invalid",Transaction[[#This Row],[ListPrice]]*Transaction[[#This Row],[Quantity]],Transaction[[#This Row],[GrossRevenue_Clean]])</f>
        <v>215</v>
      </c>
      <c r="Z1223" t="str">
        <f>IF(Transaction[[#This Row],[GrossRevenue_Clean]]=Transaction[[#This Row],[ListPrice]]*Transaction[[#This Row],[Quantity]],"Valid","Invalid")</f>
        <v>Valid</v>
      </c>
      <c r="AA1223">
        <v>23.94</v>
      </c>
      <c r="AB122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23.94</v>
      </c>
      <c r="AC1223">
        <f>IF(Transaction[[#This Row],[DiscountAmount_Check2]]="Invalid",Transaction[[#This Row],[GrossRevenue_Analytical]]-Transaction[[#This Row],[NetRevenue_Analytical]],Transaction[[#This Row],[DiscountAmount_Clean]])</f>
        <v>23.94</v>
      </c>
      <c r="AD1223">
        <v>191.06</v>
      </c>
      <c r="AE1223" t="str">
        <f>IF(ROUND(Transaction[[#This Row],[GrossRevenue_Analytical]]-Transaction[[#This Row],[NetRevenue_Analytical]],2)=ROUND(Transaction[[#This Row],[DiscountAmount_Clean]],2),"Valid","Invalid")</f>
        <v>Valid</v>
      </c>
      <c r="AF122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191.06</v>
      </c>
      <c r="AG1223">
        <f>IF(Transaction[[#This Row],[NetRevenue_Check]]="Invalid",(Transaction[[#This Row],[Quantity]]*Transaction[[#This Row],[UnitPrice_Clean]]),Transaction[[#This Row],[NetRevenue_Clean]])</f>
        <v>191.06</v>
      </c>
      <c r="AH1223" t="str">
        <f>IF(Transaction[[#This Row],[Quantity]]*Transaction[[#This Row],[UnitPrice_Clean]]=Transaction[[#This Row],[NetRevenue_Clean]],"Valid","Invalid")</f>
        <v>Valid</v>
      </c>
      <c r="AI1223" t="s">
        <v>23</v>
      </c>
      <c r="AJ1223" t="s">
        <v>1386</v>
      </c>
      <c r="AK1223" t="str">
        <f>IF(Transaction[[#This Row],[Salesperson]]="","Missing Value",TRIM(PROPER(Transaction[[#This Row],[Salesperson]])))</f>
        <v>Salazar</v>
      </c>
      <c r="AL1223" t="s">
        <v>42</v>
      </c>
      <c r="AM1223" t="str">
        <f>IF(Transaction[[#This Row],[ContractType]]="","Missing Value",Transaction[[#This Row],[ContractType]])</f>
        <v>Standard PO</v>
      </c>
      <c r="AN1223" t="s">
        <v>49</v>
      </c>
    </row>
    <row r="1224" spans="1:40" x14ac:dyDescent="0.25">
      <c r="A1224" t="s">
        <v>1724</v>
      </c>
      <c r="B1224" s="1">
        <v>45779</v>
      </c>
      <c r="C122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22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122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24" s="2">
        <f>IFERROR(DATE(Transaction[[#This Row],[TransactionDateY]],Transaction[[#This Row],[TransactionDateM]],Transaction[[#This Row],[TransactionDateD]]),"Missing Value")</f>
        <v>45779</v>
      </c>
      <c r="G1224" t="s">
        <v>1336</v>
      </c>
      <c r="H1224" t="str">
        <f>IFERROR(VLOOKUP(Transaction[[#This Row],[CustomerID]],Custumer[],1,0),IF(LEN(Transaction[[#This Row],[CustomerID]])=7,LEFT(Transaction[[#This Row],[CustomerID]],6),"Invalid ID"))</f>
        <v>Invalid ID</v>
      </c>
      <c r="I1224" t="s">
        <v>97</v>
      </c>
      <c r="J1224" t="str">
        <f>TRIM(UPPER(Transaction[[#This Row],[ProductID]]))</f>
        <v>P-SI-001</v>
      </c>
      <c r="K1224" t="str">
        <f>IFERROR(VLOOKUP(Transaction[[#This Row],[ProductID_Clean]],Product[],1,FALSE),"Invalid ID")</f>
        <v>P-SI-001</v>
      </c>
      <c r="L1224" t="str">
        <f>TRIM(SUBSTITUTE(SUBSTITUTE(SUBSTITUTE(SUBSTITUTE(UPPER(Transaction[[#This Row],[Region]]),"EMEA REGION","EMEA"),"APAC REGION","APAC"),"NORTH AMERICA","N. AMERICA"),"N .AMERICA","N.AMERICA"))</f>
        <v>EMEA</v>
      </c>
      <c r="M1224" t="s">
        <v>683</v>
      </c>
      <c r="N1224" t="s">
        <v>98</v>
      </c>
      <c r="O122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24" t="s">
        <v>181</v>
      </c>
      <c r="Q1224" t="str">
        <f>IF(TRIM(Transaction[[#This Row],[SalesChannel]])="","Missing Value",TRIM(Transaction[[#This Row],[SalesChannel]]))</f>
        <v>Partner Portal</v>
      </c>
      <c r="R1224" s="4">
        <v>1</v>
      </c>
      <c r="S1224" s="4" t="str">
        <f>IF(Transaction[[#This Row],[Quantity]]&lt;0,"Negative-review","Valid")</f>
        <v>Valid</v>
      </c>
      <c r="T1224">
        <v>361.28</v>
      </c>
      <c r="U122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361.28</v>
      </c>
      <c r="V1224">
        <v>485</v>
      </c>
      <c r="W1224">
        <v>485</v>
      </c>
      <c r="X122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1224">
        <f>IF(Transaction[[#This Row],[GrossRevenue_Check]]="Invalid",Transaction[[#This Row],[ListPrice]]*Transaction[[#This Row],[Quantity]],Transaction[[#This Row],[GrossRevenue_Clean]])</f>
        <v>485</v>
      </c>
      <c r="Z1224" t="str">
        <f>IF(Transaction[[#This Row],[GrossRevenue_Clean]]=Transaction[[#This Row],[ListPrice]]*Transaction[[#This Row],[Quantity]],"Valid","Invalid")</f>
        <v>Valid</v>
      </c>
      <c r="AA1224">
        <v>123.72</v>
      </c>
      <c r="AB122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123.72</v>
      </c>
      <c r="AC1224">
        <f>IF(Transaction[[#This Row],[DiscountAmount_Check2]]="Invalid",Transaction[[#This Row],[GrossRevenue_Analytical]]-Transaction[[#This Row],[NetRevenue_Analytical]],Transaction[[#This Row],[DiscountAmount_Clean]])</f>
        <v>123.72</v>
      </c>
      <c r="AD1224">
        <v>361.28</v>
      </c>
      <c r="AE1224" t="str">
        <f>IF(ROUND(Transaction[[#This Row],[GrossRevenue_Analytical]]-Transaction[[#This Row],[NetRevenue_Analytical]],2)=ROUND(Transaction[[#This Row],[DiscountAmount_Clean]],2),"Valid","Invalid")</f>
        <v>Valid</v>
      </c>
      <c r="AF1224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361.28</v>
      </c>
      <c r="AG1224">
        <f>IF(Transaction[[#This Row],[NetRevenue_Check]]="Invalid",(Transaction[[#This Row],[Quantity]]*Transaction[[#This Row],[UnitPrice_Clean]]),Transaction[[#This Row],[NetRevenue_Clean]])</f>
        <v>361.28</v>
      </c>
      <c r="AH1224" t="str">
        <f>IF(Transaction[[#This Row],[Quantity]]*Transaction[[#This Row],[UnitPrice_Clean]]=Transaction[[#This Row],[NetRevenue_Clean]],"Valid","Invalid")</f>
        <v>Valid</v>
      </c>
      <c r="AI1224" t="s">
        <v>23</v>
      </c>
      <c r="AK1224" t="str">
        <f>IF(Transaction[[#This Row],[Salesperson]]="","Missing Value",TRIM(PROPER(Transaction[[#This Row],[Salesperson]])))</f>
        <v>Missing Value</v>
      </c>
      <c r="AM1224" t="str">
        <f>IF(Transaction[[#This Row],[ContractType]]="","Missing Value",Transaction[[#This Row],[ContractType]])</f>
        <v>Missing Value</v>
      </c>
      <c r="AN1224" t="s">
        <v>49</v>
      </c>
    </row>
    <row r="1225" spans="1:40" x14ac:dyDescent="0.25">
      <c r="A1225" t="s">
        <v>1371</v>
      </c>
      <c r="B1225" s="1">
        <v>45770</v>
      </c>
      <c r="C122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22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122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25" s="2">
        <f>IFERROR(DATE(Transaction[[#This Row],[TransactionDateY]],Transaction[[#This Row],[TransactionDateM]],Transaction[[#This Row],[TransactionDateD]]),"Missing Value")</f>
        <v>45770</v>
      </c>
      <c r="G1225" t="s">
        <v>374</v>
      </c>
      <c r="H1225" t="str">
        <f>IFERROR(VLOOKUP(Transaction[[#This Row],[CustomerID]],Custumer[],1,0),IF(LEN(Transaction[[#This Row],[CustomerID]])=7,LEFT(Transaction[[#This Row],[CustomerID]],6),"Invalid ID"))</f>
        <v>C-1102</v>
      </c>
      <c r="I1225" t="s">
        <v>71</v>
      </c>
      <c r="J1225" t="str">
        <f>TRIM(UPPER(Transaction[[#This Row],[ProductID]]))</f>
        <v>P-SI-003</v>
      </c>
      <c r="K1225" t="str">
        <f>IFERROR(VLOOKUP(Transaction[[#This Row],[ProductID_Clean]],Product[],1,FALSE),"Invalid ID")</f>
        <v>P-SI-003</v>
      </c>
      <c r="L1225" t="str">
        <f>TRIM(SUBSTITUTE(SUBSTITUTE(SUBSTITUTE(SUBSTITUTE(UPPER(Transaction[[#This Row],[Region]]),"EMEA REGION","EMEA"),"APAC REGION","APAC"),"NORTH AMERICA","N. AMERICA"),"N .AMERICA","N.AMERICA"))</f>
        <v>LATIN AMERICA</v>
      </c>
      <c r="M1225" t="s">
        <v>780</v>
      </c>
      <c r="N1225" t="s">
        <v>47</v>
      </c>
      <c r="O122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25" t="s">
        <v>181</v>
      </c>
      <c r="Q1225" t="str">
        <f>IF(TRIM(Transaction[[#This Row],[SalesChannel]])="","Missing Value",TRIM(Transaction[[#This Row],[SalesChannel]]))</f>
        <v>Partner Portal</v>
      </c>
      <c r="R1225" s="4">
        <v>5</v>
      </c>
      <c r="S1225" s="4" t="str">
        <f>IF(Transaction[[#This Row],[Quantity]]&lt;0,"Negative-review","Valid")</f>
        <v>Valid</v>
      </c>
      <c r="T1225">
        <v>1675.26</v>
      </c>
      <c r="U122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1675.26</v>
      </c>
      <c r="V1225">
        <v>1890</v>
      </c>
      <c r="W1225">
        <v>9450</v>
      </c>
      <c r="X122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9450</v>
      </c>
      <c r="Y1225">
        <f>IF(Transaction[[#This Row],[GrossRevenue_Check]]="Invalid",Transaction[[#This Row],[ListPrice]]*Transaction[[#This Row],[Quantity]],Transaction[[#This Row],[GrossRevenue_Clean]])</f>
        <v>9450</v>
      </c>
      <c r="Z1225" t="str">
        <f>IF(Transaction[[#This Row],[GrossRevenue_Clean]]=Transaction[[#This Row],[ListPrice]]*Transaction[[#This Row],[Quantity]],"Valid","Invalid")</f>
        <v>Valid</v>
      </c>
      <c r="AA1225">
        <v>1073.7</v>
      </c>
      <c r="AB122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1073.7</v>
      </c>
      <c r="AC1225">
        <f>IF(Transaction[[#This Row],[DiscountAmount_Check2]]="Invalid",Transaction[[#This Row],[GrossRevenue_Analytical]]-Transaction[[#This Row],[NetRevenue_Analytical]],Transaction[[#This Row],[DiscountAmount_Clean]])</f>
        <v>1073.7</v>
      </c>
      <c r="AD1225">
        <v>8376.2999999999993</v>
      </c>
      <c r="AE1225" t="str">
        <f>IF(ROUND(Transaction[[#This Row],[GrossRevenue_Analytical]]-Transaction[[#This Row],[NetRevenue_Analytical]],2)=ROUND(Transaction[[#This Row],[DiscountAmount_Clean]],2),"Valid","Invalid")</f>
        <v>Valid</v>
      </c>
      <c r="AF1225">
        <f>VALUE(IF(ISNUMBER(Transaction[[#This Row],[NetRevenue]]),Transaction[[#This Row],[NetRevenue]],IFERROR(IF(FIND("$",Transaction[[#This Row],[NetRevenue]])&gt;0,MID(Transaction[[#This Row],[NetRevenue]],2,10)),Transaction[[#This Row],[NetRevenue]])))</f>
        <v>8376.2999999999993</v>
      </c>
      <c r="AG1225">
        <f>IF(Transaction[[#This Row],[NetRevenue_Check]]="Invalid",(Transaction[[#This Row],[Quantity]]*Transaction[[#This Row],[UnitPrice_Clean]]),Transaction[[#This Row],[NetRevenue_Clean]])</f>
        <v>8376.2999999999993</v>
      </c>
      <c r="AH1225" t="str">
        <f>IF(Transaction[[#This Row],[Quantity]]*Transaction[[#This Row],[UnitPrice_Clean]]=Transaction[[#This Row],[NetRevenue_Clean]],"Valid","Invalid")</f>
        <v>Valid</v>
      </c>
      <c r="AI1225" t="s">
        <v>23</v>
      </c>
      <c r="AJ1225" t="s">
        <v>1372</v>
      </c>
      <c r="AK1225" t="str">
        <f>IF(Transaction[[#This Row],[Salesperson]]="","Missing Value",TRIM(PROPER(Transaction[[#This Row],[Salesperson]])))</f>
        <v>Newman-Ap</v>
      </c>
      <c r="AL1225" t="s">
        <v>25</v>
      </c>
      <c r="AM1225" t="str">
        <f>IF(Transaction[[#This Row],[ContractType]]="","Missing Value",Transaction[[#This Row],[ContractType]])</f>
        <v>Frame Agreement</v>
      </c>
      <c r="AN1225" t="s">
        <v>49</v>
      </c>
    </row>
    <row r="1226" spans="1:40" x14ac:dyDescent="0.25">
      <c r="A1226" t="s">
        <v>1769</v>
      </c>
      <c r="B1226" s="1">
        <v>45801</v>
      </c>
      <c r="C122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22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122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26" s="2">
        <f>IFERROR(DATE(Transaction[[#This Row],[TransactionDateY]],Transaction[[#This Row],[TransactionDateM]],Transaction[[#This Row],[TransactionDateD]]),"Missing Value")</f>
        <v>45801</v>
      </c>
      <c r="G1226" t="s">
        <v>1235</v>
      </c>
      <c r="H1226" t="str">
        <f>IFERROR(VLOOKUP(Transaction[[#This Row],[CustomerID]],Custumer[],1,0),IF(LEN(Transaction[[#This Row],[CustomerID]])=7,LEFT(Transaction[[#This Row],[CustomerID]],6),"Invalid ID"))</f>
        <v>C-1032</v>
      </c>
      <c r="I1226" t="s">
        <v>62</v>
      </c>
      <c r="J1226" t="str">
        <f>TRIM(UPPER(Transaction[[#This Row],[ProductID]]))</f>
        <v>P-SI-004</v>
      </c>
      <c r="K1226" t="str">
        <f>IFERROR(VLOOKUP(Transaction[[#This Row],[ProductID_Clean]],Product[],1,FALSE),"Invalid ID")</f>
        <v>P-SI-004</v>
      </c>
      <c r="L1226" t="str">
        <f>TRIM(SUBSTITUTE(SUBSTITUTE(SUBSTITUTE(SUBSTITUTE(UPPER(Transaction[[#This Row],[Region]]),"EMEA REGION","EMEA"),"APAC REGION","APAC"),"NORTH AMERICA","N. AMERICA"),"N .AMERICA","N.AMERICA"))</f>
        <v>EMEA</v>
      </c>
      <c r="M1226" t="s">
        <v>87</v>
      </c>
      <c r="N1226" t="s">
        <v>53</v>
      </c>
      <c r="O122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26" t="s">
        <v>22</v>
      </c>
      <c r="Q1226" t="str">
        <f>IF(TRIM(Transaction[[#This Row],[SalesChannel]])="","Missing Value",TRIM(Transaction[[#This Row],[SalesChannel]]))</f>
        <v>Direct</v>
      </c>
      <c r="R1226" s="4">
        <v>1</v>
      </c>
      <c r="S1226" s="4" t="str">
        <f>IF(Transaction[[#This Row],[Quantity]]&lt;0,"Negative-review","Valid")</f>
        <v>Valid</v>
      </c>
      <c r="T1226" t="s">
        <v>1770</v>
      </c>
      <c r="U122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2414.34</v>
      </c>
      <c r="V1226">
        <v>2450</v>
      </c>
      <c r="W1226">
        <v>2450</v>
      </c>
      <c r="X122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2450</v>
      </c>
      <c r="Y1226">
        <f>IF(Transaction[[#This Row],[GrossRevenue_Check]]="Invalid",Transaction[[#This Row],[ListPrice]]*Transaction[[#This Row],[Quantity]],Transaction[[#This Row],[GrossRevenue_Clean]])</f>
        <v>2450</v>
      </c>
      <c r="Z1226" t="str">
        <f>IF(Transaction[[#This Row],[GrossRevenue_Clean]]=Transaction[[#This Row],[ListPrice]]*Transaction[[#This Row],[Quantity]],"Valid","Invalid")</f>
        <v>Valid</v>
      </c>
      <c r="AB122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1226">
        <f>IF(Transaction[[#This Row],[DiscountAmount_Check2]]="Invalid",Transaction[[#This Row],[GrossRevenue_Analytical]]-Transaction[[#This Row],[NetRevenue_Analytical]],Transaction[[#This Row],[DiscountAmount_Clean]])</f>
        <v>35.659999999999854</v>
      </c>
      <c r="AD1226">
        <v>2414.34</v>
      </c>
      <c r="AE1226" t="str">
        <f>IF(ROUND(Transaction[[#This Row],[GrossRevenue_Analytical]]-Transaction[[#This Row],[NetRevenue_Analytical]],2)=ROUND(Transaction[[#This Row],[DiscountAmount_Clean]],2),"Valid","Invalid")</f>
        <v>Invalid</v>
      </c>
      <c r="AF1226">
        <f>VALUE(IF(ISNUMBER(Transaction[[#This Row],[NetRevenue]]),Transaction[[#This Row],[NetRevenue]],IFERROR(IF(FIND("$",Transaction[[#This Row],[NetRevenue]])&gt;0,MID(Transaction[[#This Row],[NetRevenue]],2,10)),Transaction[[#This Row],[NetRevenue]])))</f>
        <v>2414.34</v>
      </c>
      <c r="AG1226">
        <f>IF(Transaction[[#This Row],[NetRevenue_Check]]="Invalid",(Transaction[[#This Row],[Quantity]]*Transaction[[#This Row],[UnitPrice_Clean]]),Transaction[[#This Row],[NetRevenue_Clean]])</f>
        <v>2414.34</v>
      </c>
      <c r="AH1226" t="str">
        <f>IF(Transaction[[#This Row],[Quantity]]*Transaction[[#This Row],[UnitPrice_Clean]]=Transaction[[#This Row],[NetRevenue_Clean]],"Valid","Invalid")</f>
        <v>Valid</v>
      </c>
      <c r="AI1226" t="s">
        <v>23</v>
      </c>
      <c r="AJ1226" t="s">
        <v>1771</v>
      </c>
      <c r="AK1226" t="str">
        <f>IF(Transaction[[#This Row],[Salesperson]]="","Missing Value",TRIM(PROPER(Transaction[[#This Row],[Salesperson]])))</f>
        <v>Cole-Na</v>
      </c>
      <c r="AL1226" t="s">
        <v>25</v>
      </c>
      <c r="AM1226" t="str">
        <f>IF(Transaction[[#This Row],[ContractType]]="","Missing Value",Transaction[[#This Row],[ContractType]])</f>
        <v>Frame Agreement</v>
      </c>
      <c r="AN1226" t="s">
        <v>49</v>
      </c>
    </row>
    <row r="1227" spans="1:40" x14ac:dyDescent="0.25">
      <c r="A1227" t="s">
        <v>1574</v>
      </c>
      <c r="B1227" s="1">
        <v>45734</v>
      </c>
      <c r="C122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22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122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27" s="2">
        <f>IFERROR(DATE(Transaction[[#This Row],[TransactionDateY]],Transaction[[#This Row],[TransactionDateM]],Transaction[[#This Row],[TransactionDateD]]),"Missing Value")</f>
        <v>45734</v>
      </c>
      <c r="G1227" t="s">
        <v>218</v>
      </c>
      <c r="H1227" t="str">
        <f>IFERROR(VLOOKUP(Transaction[[#This Row],[CustomerID]],Custumer[],1,0),IF(LEN(Transaction[[#This Row],[CustomerID]])=7,LEFT(Transaction[[#This Row],[CustomerID]],6),"Invalid ID"))</f>
        <v>C-1098</v>
      </c>
      <c r="I1227" t="s">
        <v>97</v>
      </c>
      <c r="J1227" t="str">
        <f>TRIM(UPPER(Transaction[[#This Row],[ProductID]]))</f>
        <v>P-SI-001</v>
      </c>
      <c r="K1227" t="str">
        <f>IFERROR(VLOOKUP(Transaction[[#This Row],[ProductID_Clean]],Product[],1,FALSE),"Invalid ID")</f>
        <v>P-SI-001</v>
      </c>
      <c r="L1227" t="str">
        <f>TRIM(SUBSTITUTE(SUBSTITUTE(SUBSTITUTE(SUBSTITUTE(UPPER(Transaction[[#This Row],[Region]]),"EMEA REGION","EMEA"),"APAC REGION","APAC"),"NORTH AMERICA","N. AMERICA"),"N .AMERICA","N.AMERICA"))</f>
        <v>N. AMERICA</v>
      </c>
      <c r="M1227" t="s">
        <v>20</v>
      </c>
      <c r="N1227" t="s">
        <v>53</v>
      </c>
      <c r="O122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27" t="s">
        <v>22</v>
      </c>
      <c r="Q1227" t="str">
        <f>IF(TRIM(Transaction[[#This Row],[SalesChannel]])="","Missing Value",TRIM(Transaction[[#This Row],[SalesChannel]]))</f>
        <v>Direct</v>
      </c>
      <c r="R1227" s="4">
        <v>3</v>
      </c>
      <c r="S1227" s="4" t="str">
        <f>IF(Transaction[[#This Row],[Quantity]]&lt;0,"Negative-review","Valid")</f>
        <v>Valid</v>
      </c>
      <c r="T1227">
        <v>417.46</v>
      </c>
      <c r="U122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417.46</v>
      </c>
      <c r="V1227">
        <v>485</v>
      </c>
      <c r="W1227">
        <v>1455</v>
      </c>
      <c r="X122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1455</v>
      </c>
      <c r="Y1227">
        <f>IF(Transaction[[#This Row],[GrossRevenue_Check]]="Invalid",Transaction[[#This Row],[ListPrice]]*Transaction[[#This Row],[Quantity]],Transaction[[#This Row],[GrossRevenue_Clean]])</f>
        <v>1455</v>
      </c>
      <c r="Z1227" t="str">
        <f>IF(Transaction[[#This Row],[GrossRevenue_Clean]]=Transaction[[#This Row],[ListPrice]]*Transaction[[#This Row],[Quantity]],"Valid","Invalid")</f>
        <v>Valid</v>
      </c>
      <c r="AA1227">
        <v>202.62</v>
      </c>
      <c r="AB122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202.62</v>
      </c>
      <c r="AC1227">
        <f>IF(Transaction[[#This Row],[DiscountAmount_Check2]]="Invalid",Transaction[[#This Row],[GrossRevenue_Analytical]]-Transaction[[#This Row],[NetRevenue_Analytical]],Transaction[[#This Row],[DiscountAmount_Clean]])</f>
        <v>202.62</v>
      </c>
      <c r="AD1227">
        <v>1252.3800000000001</v>
      </c>
      <c r="AE1227" t="str">
        <f>IF(ROUND(Transaction[[#This Row],[GrossRevenue_Analytical]]-Transaction[[#This Row],[NetRevenue_Analytical]],2)=ROUND(Transaction[[#This Row],[DiscountAmount_Clean]],2),"Valid","Invalid")</f>
        <v>Valid</v>
      </c>
      <c r="AF122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1252.3800000000001</v>
      </c>
      <c r="AG1227">
        <f>IF(Transaction[[#This Row],[NetRevenue_Check]]="Invalid",(Transaction[[#This Row],[Quantity]]*Transaction[[#This Row],[UnitPrice_Clean]]),Transaction[[#This Row],[NetRevenue_Clean]])</f>
        <v>1252.3800000000001</v>
      </c>
      <c r="AH1227" t="str">
        <f>IF(Transaction[[#This Row],[Quantity]]*Transaction[[#This Row],[UnitPrice_Clean]]=Transaction[[#This Row],[NetRevenue_Clean]],"Valid","Invalid")</f>
        <v>Valid</v>
      </c>
      <c r="AI1227" t="s">
        <v>23</v>
      </c>
      <c r="AJ1227" t="s">
        <v>1575</v>
      </c>
      <c r="AK1227" t="str">
        <f>IF(Transaction[[#This Row],[Salesperson]]="","Missing Value",TRIM(PROPER(Transaction[[#This Row],[Salesperson]])))</f>
        <v>Rasmussen</v>
      </c>
      <c r="AL1227" t="s">
        <v>42</v>
      </c>
      <c r="AM1227" t="str">
        <f>IF(Transaction[[#This Row],[ContractType]]="","Missing Value",Transaction[[#This Row],[ContractType]])</f>
        <v>Standard PO</v>
      </c>
      <c r="AN1227" t="s">
        <v>65</v>
      </c>
    </row>
    <row r="1228" spans="1:40" x14ac:dyDescent="0.25">
      <c r="A1228" t="s">
        <v>2139</v>
      </c>
      <c r="B1228" t="s">
        <v>2140</v>
      </c>
      <c r="C122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22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122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28" s="2">
        <f>IFERROR(DATE(Transaction[[#This Row],[TransactionDateY]],Transaction[[#This Row],[TransactionDateM]],Transaction[[#This Row],[TransactionDateD]]),"Missing Value")</f>
        <v>45687</v>
      </c>
      <c r="G1228" t="s">
        <v>405</v>
      </c>
      <c r="H1228" t="str">
        <f>IFERROR(VLOOKUP(Transaction[[#This Row],[CustomerID]],Custumer[],1,0),IF(LEN(Transaction[[#This Row],[CustomerID]])=7,LEFT(Transaction[[#This Row],[CustomerID]],6),"Invalid ID"))</f>
        <v>C-1163</v>
      </c>
      <c r="I1228" t="s">
        <v>29</v>
      </c>
      <c r="J1228" t="str">
        <f>TRIM(UPPER(Transaction[[#This Row],[ProductID]]))</f>
        <v>P-SA-001</v>
      </c>
      <c r="K1228" t="str">
        <f>IFERROR(VLOOKUP(Transaction[[#This Row],[ProductID_Clean]],Product[],1,FALSE),"Invalid ID")</f>
        <v>P-SA-001</v>
      </c>
      <c r="L1228" t="str">
        <f>TRIM(SUBSTITUTE(SUBSTITUTE(SUBSTITUTE(SUBSTITUTE(UPPER(Transaction[[#This Row],[Region]]),"EMEA REGION","EMEA"),"APAC REGION","APAC"),"NORTH AMERICA","N. AMERICA"),"N .AMERICA","N.AMERICA"))</f>
        <v>APAC</v>
      </c>
      <c r="M1228" t="s">
        <v>30</v>
      </c>
      <c r="N1228" t="s">
        <v>31</v>
      </c>
      <c r="O122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28" t="s">
        <v>181</v>
      </c>
      <c r="Q1228" t="str">
        <f>IF(TRIM(Transaction[[#This Row],[SalesChannel]])="","Missing Value",TRIM(Transaction[[#This Row],[SalesChannel]]))</f>
        <v>Partner Portal</v>
      </c>
      <c r="R1228" s="4">
        <v>5</v>
      </c>
      <c r="S1228" s="4" t="str">
        <f>IF(Transaction[[#This Row],[Quantity]]&lt;0,"Negative-review","Valid")</f>
        <v>Valid</v>
      </c>
      <c r="T1228">
        <v>3612.54</v>
      </c>
      <c r="U122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3612.54</v>
      </c>
      <c r="V1228">
        <v>4200</v>
      </c>
      <c r="W1228">
        <v>21000</v>
      </c>
      <c r="X122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21000</v>
      </c>
      <c r="Y1228">
        <f>IF(Transaction[[#This Row],[GrossRevenue_Check]]="Invalid",Transaction[[#This Row],[ListPrice]]*Transaction[[#This Row],[Quantity]],Transaction[[#This Row],[GrossRevenue_Clean]])</f>
        <v>21000</v>
      </c>
      <c r="Z1228" t="str">
        <f>IF(Transaction[[#This Row],[GrossRevenue_Clean]]=Transaction[[#This Row],[ListPrice]]*Transaction[[#This Row],[Quantity]],"Valid","Invalid")</f>
        <v>Valid</v>
      </c>
      <c r="AA1228">
        <v>2937.3</v>
      </c>
      <c r="AB122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2937.3</v>
      </c>
      <c r="AC1228">
        <f>IF(Transaction[[#This Row],[DiscountAmount_Check2]]="Invalid",Transaction[[#This Row],[GrossRevenue_Analytical]]-Transaction[[#This Row],[NetRevenue_Analytical]],Transaction[[#This Row],[DiscountAmount_Clean]])</f>
        <v>2937.3</v>
      </c>
      <c r="AD1228" t="s">
        <v>2141</v>
      </c>
      <c r="AE1228" t="str">
        <f>IF(ROUND(Transaction[[#This Row],[GrossRevenue_Analytical]]-Transaction[[#This Row],[NetRevenue_Analytical]],2)=ROUND(Transaction[[#This Row],[DiscountAmount_Clean]],2),"Valid","Invalid")</f>
        <v>Valid</v>
      </c>
      <c r="AF122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18062.7</v>
      </c>
      <c r="AG1228">
        <f>IF(Transaction[[#This Row],[NetRevenue_Check]]="Invalid",(Transaction[[#This Row],[Quantity]]*Transaction[[#This Row],[UnitPrice_Clean]]),Transaction[[#This Row],[NetRevenue_Clean]])</f>
        <v>18062.7</v>
      </c>
      <c r="AH1228" t="str">
        <f>IF(Transaction[[#This Row],[Quantity]]*Transaction[[#This Row],[UnitPrice_Clean]]=Transaction[[#This Row],[NetRevenue_Clean]],"Valid","Invalid")</f>
        <v>Valid</v>
      </c>
      <c r="AI1228" t="s">
        <v>99</v>
      </c>
      <c r="AJ1228" t="s">
        <v>488</v>
      </c>
      <c r="AK1228" t="str">
        <f>IF(Transaction[[#This Row],[Salesperson]]="","Missing Value",TRIM(PROPER(Transaction[[#This Row],[Salesperson]])))</f>
        <v>Rivera</v>
      </c>
      <c r="AL1228" t="s">
        <v>34</v>
      </c>
      <c r="AM1228" t="str">
        <f>IF(Transaction[[#This Row],[ContractType]]="","Missing Value",Transaction[[#This Row],[ContractType]])</f>
        <v>Annual License</v>
      </c>
      <c r="AN1228" t="s">
        <v>65</v>
      </c>
    </row>
    <row r="1229" spans="1:40" x14ac:dyDescent="0.25">
      <c r="A1229" t="s">
        <v>2212</v>
      </c>
      <c r="B1229" s="1">
        <v>45823</v>
      </c>
      <c r="C122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22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122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29" s="2">
        <f>IFERROR(DATE(Transaction[[#This Row],[TransactionDateY]],Transaction[[#This Row],[TransactionDateM]],Transaction[[#This Row],[TransactionDateD]]),"Missing Value")</f>
        <v>45823</v>
      </c>
      <c r="G1229" t="s">
        <v>665</v>
      </c>
      <c r="H1229" t="str">
        <f>IFERROR(VLOOKUP(Transaction[[#This Row],[CustomerID]],Custumer[],1,0),IF(LEN(Transaction[[#This Row],[CustomerID]])=7,LEFT(Transaction[[#This Row],[CustomerID]],6),"Invalid ID"))</f>
        <v>C-1162</v>
      </c>
      <c r="I1229" t="s">
        <v>258</v>
      </c>
      <c r="J1229" t="str">
        <f>TRIM(UPPER(Transaction[[#This Row],[ProductID]]))</f>
        <v>P-SA-003</v>
      </c>
      <c r="K1229" t="str">
        <f>IFERROR(VLOOKUP(Transaction[[#This Row],[ProductID_Clean]],Product[],1,FALSE),"Invalid ID")</f>
        <v>P-SA-003</v>
      </c>
      <c r="L1229" t="str">
        <f>TRIM(SUBSTITUTE(SUBSTITUTE(SUBSTITUTE(SUBSTITUTE(UPPER(Transaction[[#This Row],[Region]]),"EMEA REGION","EMEA"),"APAC REGION","APAC"),"NORTH AMERICA","N. AMERICA"),"N .AMERICA","N.AMERICA"))</f>
        <v>LATIN AMERICA</v>
      </c>
      <c r="M1229" t="s">
        <v>82</v>
      </c>
      <c r="N1229" t="s">
        <v>205</v>
      </c>
      <c r="O122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29" t="s">
        <v>22</v>
      </c>
      <c r="Q1229" t="str">
        <f>IF(TRIM(Transaction[[#This Row],[SalesChannel]])="","Missing Value",TRIM(Transaction[[#This Row],[SalesChannel]]))</f>
        <v>Direct</v>
      </c>
      <c r="R1229" s="4">
        <v>1</v>
      </c>
      <c r="S1229" s="4" t="str">
        <f>IF(Transaction[[#This Row],[Quantity]]&lt;0,"Negative-review","Valid")</f>
        <v>Valid</v>
      </c>
      <c r="T1229">
        <v>2522.27</v>
      </c>
      <c r="U122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2522.27</v>
      </c>
      <c r="V1229">
        <v>2750</v>
      </c>
      <c r="W1229">
        <v>2750</v>
      </c>
      <c r="X122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1229">
        <f>IF(Transaction[[#This Row],[GrossRevenue_Check]]="Invalid",Transaction[[#This Row],[ListPrice]]*Transaction[[#This Row],[Quantity]],Transaction[[#This Row],[GrossRevenue_Clean]])</f>
        <v>2750</v>
      </c>
      <c r="Z1229" t="str">
        <f>IF(Transaction[[#This Row],[GrossRevenue_Clean]]=Transaction[[#This Row],[ListPrice]]*Transaction[[#This Row],[Quantity]],"Valid","Invalid")</f>
        <v>Valid</v>
      </c>
      <c r="AA1229">
        <v>227.73</v>
      </c>
      <c r="AB122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227.73</v>
      </c>
      <c r="AC1229">
        <f>IF(Transaction[[#This Row],[DiscountAmount_Check2]]="Invalid",Transaction[[#This Row],[GrossRevenue_Analytical]]-Transaction[[#This Row],[NetRevenue_Analytical]],Transaction[[#This Row],[DiscountAmount_Clean]])</f>
        <v>227.73</v>
      </c>
      <c r="AD1229">
        <v>2522.27</v>
      </c>
      <c r="AE1229" t="str">
        <f>IF(ROUND(Transaction[[#This Row],[GrossRevenue_Analytical]]-Transaction[[#This Row],[NetRevenue_Analytical]],2)=ROUND(Transaction[[#This Row],[DiscountAmount_Clean]],2),"Valid","Invalid")</f>
        <v>Valid</v>
      </c>
      <c r="AF122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2522.27</v>
      </c>
      <c r="AG1229">
        <f>IF(Transaction[[#This Row],[NetRevenue_Check]]="Invalid",(Transaction[[#This Row],[Quantity]]*Transaction[[#This Row],[UnitPrice_Clean]]),Transaction[[#This Row],[NetRevenue_Clean]])</f>
        <v>2522.27</v>
      </c>
      <c r="AH1229" t="str">
        <f>IF(Transaction[[#This Row],[Quantity]]*Transaction[[#This Row],[UnitPrice_Clean]]=Transaction[[#This Row],[NetRevenue_Clean]],"Valid","Invalid")</f>
        <v>Valid</v>
      </c>
      <c r="AI1229" t="s">
        <v>99</v>
      </c>
      <c r="AJ1229" t="s">
        <v>2213</v>
      </c>
      <c r="AK1229" t="str">
        <f>IF(Transaction[[#This Row],[Salesperson]]="","Missing Value",TRIM(PROPER(Transaction[[#This Row],[Salesperson]])))</f>
        <v>Hogan</v>
      </c>
      <c r="AL1229" t="s">
        <v>113</v>
      </c>
      <c r="AM1229" t="str">
        <f>IF(Transaction[[#This Row],[ContractType]]="","Missing Value",Transaction[[#This Row],[ContractType]])</f>
        <v>Subscription</v>
      </c>
      <c r="AN1229" t="s">
        <v>26</v>
      </c>
    </row>
    <row r="1230" spans="1:40" x14ac:dyDescent="0.25">
      <c r="A1230" t="s">
        <v>202</v>
      </c>
      <c r="B1230" s="1">
        <v>45831</v>
      </c>
      <c r="C123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23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123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30" s="2">
        <f>IFERROR(DATE(Transaction[[#This Row],[TransactionDateY]],Transaction[[#This Row],[TransactionDateM]],Transaction[[#This Row],[TransactionDateD]]),"Missing Value")</f>
        <v>45831</v>
      </c>
      <c r="G1230" t="s">
        <v>203</v>
      </c>
      <c r="H1230" t="str">
        <f>IFERROR(VLOOKUP(Transaction[[#This Row],[CustomerID]],Custumer[],1,0),IF(LEN(Transaction[[#This Row],[CustomerID]])=7,LEFT(Transaction[[#This Row],[CustomerID]],6),"Invalid ID"))</f>
        <v>C-1005</v>
      </c>
      <c r="I1230" t="s">
        <v>75</v>
      </c>
      <c r="J1230" t="str">
        <f>TRIM(UPPER(Transaction[[#This Row],[ProductID]]))</f>
        <v>P-SA-005</v>
      </c>
      <c r="K1230" t="str">
        <f>IFERROR(VLOOKUP(Transaction[[#This Row],[ProductID_Clean]],Product[],1,FALSE),"Invalid ID")</f>
        <v>P-SA-005</v>
      </c>
      <c r="L1230" t="str">
        <f>TRIM(SUBSTITUTE(SUBSTITUTE(SUBSTITUTE(SUBSTITUTE(UPPER(Transaction[[#This Row],[Region]]),"EMEA REGION","EMEA"),"APAC REGION","APAC"),"NORTH AMERICA","N. AMERICA"),"N .AMERICA","N.AMERICA"))</f>
        <v>N. AMERICA</v>
      </c>
      <c r="M1230" t="s">
        <v>204</v>
      </c>
      <c r="N1230" t="s">
        <v>205</v>
      </c>
      <c r="O1230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30" t="s">
        <v>22</v>
      </c>
      <c r="Q1230" t="str">
        <f>IF(TRIM(Transaction[[#This Row],[SalesChannel]])="","Missing Value",TRIM(Transaction[[#This Row],[SalesChannel]]))</f>
        <v>Direct</v>
      </c>
      <c r="R1230" s="4">
        <v>3</v>
      </c>
      <c r="S1230" s="4" t="str">
        <f>IF(Transaction[[#This Row],[Quantity]]&lt;0,"Negative-review","Valid")</f>
        <v>Valid</v>
      </c>
      <c r="T1230">
        <v>2740.74</v>
      </c>
      <c r="U123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2740.74</v>
      </c>
      <c r="V1230">
        <v>3200</v>
      </c>
      <c r="W1230">
        <v>9600</v>
      </c>
      <c r="X123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9600</v>
      </c>
      <c r="Y1230">
        <f>IF(Transaction[[#This Row],[GrossRevenue_Check]]="Invalid",Transaction[[#This Row],[ListPrice]]*Transaction[[#This Row],[Quantity]],Transaction[[#This Row],[GrossRevenue_Clean]])</f>
        <v>9600</v>
      </c>
      <c r="Z1230" t="str">
        <f>IF(Transaction[[#This Row],[GrossRevenue_Clean]]=Transaction[[#This Row],[ListPrice]]*Transaction[[#This Row],[Quantity]],"Valid","Invalid")</f>
        <v>Valid</v>
      </c>
      <c r="AA1230">
        <v>1377.78</v>
      </c>
      <c r="AB123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1377.78</v>
      </c>
      <c r="AC1230">
        <f>IF(Transaction[[#This Row],[DiscountAmount_Check2]]="Invalid",Transaction[[#This Row],[GrossRevenue_Analytical]]-Transaction[[#This Row],[NetRevenue_Analytical]],Transaction[[#This Row],[DiscountAmount_Clean]])</f>
        <v>1377.78</v>
      </c>
      <c r="AD1230">
        <v>8222.2199999999993</v>
      </c>
      <c r="AE1230" t="str">
        <f>IF(ROUND(Transaction[[#This Row],[GrossRevenue_Analytical]]-Transaction[[#This Row],[NetRevenue_Analytical]],2)=ROUND(Transaction[[#This Row],[DiscountAmount_Clean]],2),"Valid","Invalid")</f>
        <v>Valid</v>
      </c>
      <c r="AF1230">
        <f>VALUE(IF(ISNUMBER(Transaction[[#This Row],[NetRevenue]]),Transaction[[#This Row],[NetRevenue]],IFERROR(IF(FIND("$",Transaction[[#This Row],[NetRevenue]])&gt;0,MID(Transaction[[#This Row],[NetRevenue]],2,10)),Transaction[[#This Row],[NetRevenue]])))</f>
        <v>8222.2199999999993</v>
      </c>
      <c r="AG1230">
        <f>IF(Transaction[[#This Row],[NetRevenue_Check]]="Invalid",(Transaction[[#This Row],[Quantity]]*Transaction[[#This Row],[UnitPrice_Clean]]),Transaction[[#This Row],[NetRevenue_Clean]])</f>
        <v>8222.2199999999993</v>
      </c>
      <c r="AH1230" t="str">
        <f>IF(Transaction[[#This Row],[Quantity]]*Transaction[[#This Row],[UnitPrice_Clean]]=Transaction[[#This Row],[NetRevenue_Clean]],"Valid","Invalid")</f>
        <v>Valid</v>
      </c>
      <c r="AI1230" t="s">
        <v>23</v>
      </c>
      <c r="AJ1230" t="s">
        <v>206</v>
      </c>
      <c r="AK1230" t="str">
        <f>IF(Transaction[[#This Row],[Salesperson]]="","Missing Value",TRIM(PROPER(Transaction[[#This Row],[Salesperson]])))</f>
        <v>Rodriguez</v>
      </c>
      <c r="AL1230" t="s">
        <v>34</v>
      </c>
      <c r="AM1230" t="str">
        <f>IF(Transaction[[#This Row],[ContractType]]="","Missing Value",Transaction[[#This Row],[ContractType]])</f>
        <v>Annual License</v>
      </c>
      <c r="AN1230" t="s">
        <v>35</v>
      </c>
    </row>
    <row r="1231" spans="1:40" x14ac:dyDescent="0.25">
      <c r="A1231" t="s">
        <v>2736</v>
      </c>
      <c r="B1231" t="s">
        <v>2737</v>
      </c>
      <c r="C1231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1231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04</v>
      </c>
      <c r="E1231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31" s="2">
        <f>IFERROR(DATE(Transaction[[#This Row],[TransactionDateY]],Transaction[[#This Row],[TransactionDateM]],Transaction[[#This Row],[TransactionDateD]]),"Missing Value")</f>
        <v>45720</v>
      </c>
      <c r="G1231" t="s">
        <v>271</v>
      </c>
      <c r="H1231" t="str">
        <f>IFERROR(VLOOKUP(Transaction[[#This Row],[CustomerID]],Custumer[],1,0),IF(LEN(Transaction[[#This Row],[CustomerID]])=7,LEFT(Transaction[[#This Row],[CustomerID]],6),"Invalid ID"))</f>
        <v>C-1113</v>
      </c>
      <c r="I1231" t="s">
        <v>39</v>
      </c>
      <c r="J1231" t="str">
        <f>TRIM(UPPER(Transaction[[#This Row],[ProductID]]))</f>
        <v>P-FS-006</v>
      </c>
      <c r="K1231" t="str">
        <f>IFERROR(VLOOKUP(Transaction[[#This Row],[ProductID_Clean]],Product[],1,FALSE),"Invalid ID")</f>
        <v>P-FS-006</v>
      </c>
      <c r="L1231" t="str">
        <f>TRIM(SUBSTITUTE(SUBSTITUTE(SUBSTITUTE(SUBSTITUTE(UPPER(Transaction[[#This Row],[Region]]),"EMEA REGION","EMEA"),"APAC REGION","APAC"),"NORTH AMERICA","N. AMERICA"),"N .AMERICA","N.AMERICA"))</f>
        <v>N. AMERICA</v>
      </c>
      <c r="M1231" t="s">
        <v>204</v>
      </c>
      <c r="N1231" t="s">
        <v>771</v>
      </c>
      <c r="O1231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231" t="s">
        <v>40</v>
      </c>
      <c r="Q1231" t="str">
        <f>IF(TRIM(Transaction[[#This Row],[SalesChannel]])="","Missing Value",TRIM(Transaction[[#This Row],[SalesChannel]]))</f>
        <v>Distributor</v>
      </c>
      <c r="R1231" s="4">
        <v>1</v>
      </c>
      <c r="S1231" s="4" t="str">
        <f>IF(Transaction[[#This Row],[Quantity]]&lt;0,"Negative-review","Valid")</f>
        <v>Valid</v>
      </c>
      <c r="T1231">
        <v>1193.57</v>
      </c>
      <c r="U123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1193.57</v>
      </c>
      <c r="V1231">
        <v>1450</v>
      </c>
      <c r="W1231">
        <v>1450</v>
      </c>
      <c r="X123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1231">
        <f>IF(Transaction[[#This Row],[GrossRevenue_Check]]="Invalid",Transaction[[#This Row],[ListPrice]]*Transaction[[#This Row],[Quantity]],Transaction[[#This Row],[GrossRevenue_Clean]])</f>
        <v>1450</v>
      </c>
      <c r="Z1231" t="str">
        <f>IF(Transaction[[#This Row],[GrossRevenue_Clean]]=Transaction[[#This Row],[ListPrice]]*Transaction[[#This Row],[Quantity]],"Valid","Invalid")</f>
        <v>Valid</v>
      </c>
      <c r="AA1231">
        <v>256.43</v>
      </c>
      <c r="AB123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256.43</v>
      </c>
      <c r="AC1231">
        <f>IF(Transaction[[#This Row],[DiscountAmount_Check2]]="Invalid",Transaction[[#This Row],[GrossRevenue_Analytical]]-Transaction[[#This Row],[NetRevenue_Analytical]],Transaction[[#This Row],[DiscountAmount_Clean]])</f>
        <v>256.43</v>
      </c>
      <c r="AD1231">
        <v>1193.57</v>
      </c>
      <c r="AE1231" t="str">
        <f>IF(ROUND(Transaction[[#This Row],[GrossRevenue_Analytical]]-Transaction[[#This Row],[NetRevenue_Analytical]],2)=ROUND(Transaction[[#This Row],[DiscountAmount_Clean]],2),"Valid","Invalid")</f>
        <v>Valid</v>
      </c>
      <c r="AF123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1193.57</v>
      </c>
      <c r="AG1231">
        <f>IF(Transaction[[#This Row],[NetRevenue_Check]]="Invalid",(Transaction[[#This Row],[Quantity]]*Transaction[[#This Row],[UnitPrice_Clean]]),Transaction[[#This Row],[NetRevenue_Clean]])</f>
        <v>1193.57</v>
      </c>
      <c r="AH1231" t="str">
        <f>IF(Transaction[[#This Row],[Quantity]]*Transaction[[#This Row],[UnitPrice_Clean]]=Transaction[[#This Row],[NetRevenue_Clean]],"Valid","Invalid")</f>
        <v>Valid</v>
      </c>
      <c r="AI1231" t="s">
        <v>23</v>
      </c>
      <c r="AJ1231" t="s">
        <v>2738</v>
      </c>
      <c r="AK1231" t="str">
        <f>IF(Transaction[[#This Row],[Salesperson]]="","Missing Value",TRIM(PROPER(Transaction[[#This Row],[Salesperson]])))</f>
        <v>Garcia-Em</v>
      </c>
      <c r="AL1231" t="s">
        <v>25</v>
      </c>
      <c r="AM1231" t="str">
        <f>IF(Transaction[[#This Row],[ContractType]]="","Missing Value",Transaction[[#This Row],[ContractType]])</f>
        <v>Frame Agreement</v>
      </c>
      <c r="AN1231" t="s">
        <v>35</v>
      </c>
    </row>
    <row r="1232" spans="1:40" x14ac:dyDescent="0.25">
      <c r="A1232" t="s">
        <v>2086</v>
      </c>
      <c r="B1232" t="s">
        <v>2087</v>
      </c>
      <c r="C123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123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14</v>
      </c>
      <c r="E123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32" s="2">
        <f>IFERROR(DATE(Transaction[[#This Row],[TransactionDateY]],Transaction[[#This Row],[TransactionDateM]],Transaction[[#This Row],[TransactionDateD]]),"Missing Value")</f>
        <v>45702</v>
      </c>
      <c r="G1232" t="s">
        <v>1143</v>
      </c>
      <c r="H1232" t="str">
        <f>IFERROR(VLOOKUP(Transaction[[#This Row],[CustomerID]],Custumer[],1,0),IF(LEN(Transaction[[#This Row],[CustomerID]])=7,LEFT(Transaction[[#This Row],[CustomerID]],6),"Invalid ID"))</f>
        <v>C-1114</v>
      </c>
      <c r="I1232" t="s">
        <v>121</v>
      </c>
      <c r="J1232" t="str">
        <f>TRIM(UPPER(Transaction[[#This Row],[ProductID]]))</f>
        <v>P-FS-001</v>
      </c>
      <c r="K1232" t="str">
        <f>IFERROR(VLOOKUP(Transaction[[#This Row],[ProductID_Clean]],Product[],1,FALSE),"Invalid ID")</f>
        <v>P-FS-001</v>
      </c>
      <c r="L1232" t="str">
        <f>TRIM(SUBSTITUTE(SUBSTITUTE(SUBSTITUTE(SUBSTITUTE(UPPER(Transaction[[#This Row],[Region]]),"EMEA REGION","EMEA"),"APAC REGION","APAC"),"NORTH AMERICA","N. AMERICA"),"N .AMERICA","N.AMERICA"))</f>
        <v>N. AMERICA</v>
      </c>
      <c r="M1232" t="s">
        <v>20</v>
      </c>
      <c r="N1232" t="s">
        <v>244</v>
      </c>
      <c r="O1232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232" t="s">
        <v>22</v>
      </c>
      <c r="Q1232" t="str">
        <f>IF(TRIM(Transaction[[#This Row],[SalesChannel]])="","Missing Value",TRIM(Transaction[[#This Row],[SalesChannel]]))</f>
        <v>Direct</v>
      </c>
      <c r="R1232" s="4">
        <v>1</v>
      </c>
      <c r="S1232" s="4" t="str">
        <f>IF(Transaction[[#This Row],[Quantity]]&lt;0,"Negative-review","Valid")</f>
        <v>Valid</v>
      </c>
      <c r="T1232">
        <v>1777.79</v>
      </c>
      <c r="U123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1777.79</v>
      </c>
      <c r="V1232">
        <v>1850</v>
      </c>
      <c r="W1232">
        <v>1850</v>
      </c>
      <c r="X123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1232">
        <f>IF(Transaction[[#This Row],[GrossRevenue_Check]]="Invalid",Transaction[[#This Row],[ListPrice]]*Transaction[[#This Row],[Quantity]],Transaction[[#This Row],[GrossRevenue_Clean]])</f>
        <v>1850</v>
      </c>
      <c r="Z1232" t="str">
        <f>IF(Transaction[[#This Row],[GrossRevenue_Clean]]=Transaction[[#This Row],[ListPrice]]*Transaction[[#This Row],[Quantity]],"Valid","Invalid")</f>
        <v>Valid</v>
      </c>
      <c r="AA1232">
        <v>72.209999999999994</v>
      </c>
      <c r="AB123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72.209999999999994</v>
      </c>
      <c r="AC1232">
        <f>IF(Transaction[[#This Row],[DiscountAmount_Check2]]="Invalid",Transaction[[#This Row],[GrossRevenue_Analytical]]-Transaction[[#This Row],[NetRevenue_Analytical]],Transaction[[#This Row],[DiscountAmount_Clean]])</f>
        <v>72.209999999999994</v>
      </c>
      <c r="AD1232">
        <v>1777.79</v>
      </c>
      <c r="AE1232" t="str">
        <f>IF(ROUND(Transaction[[#This Row],[GrossRevenue_Analytical]]-Transaction[[#This Row],[NetRevenue_Analytical]],2)=ROUND(Transaction[[#This Row],[DiscountAmount_Clean]],2),"Valid","Invalid")</f>
        <v>Valid</v>
      </c>
      <c r="AF123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1777.79</v>
      </c>
      <c r="AG1232">
        <f>IF(Transaction[[#This Row],[NetRevenue_Check]]="Invalid",(Transaction[[#This Row],[Quantity]]*Transaction[[#This Row],[UnitPrice_Clean]]),Transaction[[#This Row],[NetRevenue_Clean]])</f>
        <v>1777.79</v>
      </c>
      <c r="AH1232" t="str">
        <f>IF(Transaction[[#This Row],[Quantity]]*Transaction[[#This Row],[UnitPrice_Clean]]=Transaction[[#This Row],[NetRevenue_Clean]],"Valid","Invalid")</f>
        <v>Valid</v>
      </c>
      <c r="AI1232" t="s">
        <v>23</v>
      </c>
      <c r="AJ1232" t="s">
        <v>2088</v>
      </c>
      <c r="AK1232" t="str">
        <f>IF(Transaction[[#This Row],[Salesperson]]="","Missing Value",TRIM(PROPER(Transaction[[#This Row],[Salesperson]])))</f>
        <v>Walker-Em</v>
      </c>
      <c r="AL1232" t="s">
        <v>42</v>
      </c>
      <c r="AM1232" t="str">
        <f>IF(Transaction[[#This Row],[ContractType]]="","Missing Value",Transaction[[#This Row],[ContractType]])</f>
        <v>Standard PO</v>
      </c>
      <c r="AN1232" t="s">
        <v>35</v>
      </c>
    </row>
    <row r="1233" spans="1:40" x14ac:dyDescent="0.25">
      <c r="A1233" t="s">
        <v>1978</v>
      </c>
      <c r="B1233" s="1">
        <v>45803</v>
      </c>
      <c r="C123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23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123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33" s="2">
        <f>IFERROR(DATE(Transaction[[#This Row],[TransactionDateY]],Transaction[[#This Row],[TransactionDateM]],Transaction[[#This Row],[TransactionDateD]]),"Missing Value")</f>
        <v>45803</v>
      </c>
      <c r="G1233" t="s">
        <v>297</v>
      </c>
      <c r="H1233" t="str">
        <f>IFERROR(VLOOKUP(Transaction[[#This Row],[CustomerID]],Custumer[],1,0),IF(LEN(Transaction[[#This Row],[CustomerID]])=7,LEFT(Transaction[[#This Row],[CustomerID]],6),"Invalid ID"))</f>
        <v>C-1181</v>
      </c>
      <c r="I1233" t="s">
        <v>52</v>
      </c>
      <c r="J1233" t="str">
        <f>TRIM(UPPER(Transaction[[#This Row],[ProductID]]))</f>
        <v>P-SI-002</v>
      </c>
      <c r="K1233" t="str">
        <f>IFERROR(VLOOKUP(Transaction[[#This Row],[ProductID_Clean]],Product[],1,FALSE),"Invalid ID")</f>
        <v>P-SI-002</v>
      </c>
      <c r="L1233" t="str">
        <f>TRIM(SUBSTITUTE(SUBSTITUTE(SUBSTITUTE(SUBSTITUTE(UPPER(Transaction[[#This Row],[Region]]),"EMEA REGION","EMEA"),"APAC REGION","APAC"),"NORTH AMERICA","N. AMERICA"),"N .AMERICA","N.AMERICA"))</f>
        <v>N. AMERICA</v>
      </c>
      <c r="M1233" t="s">
        <v>20</v>
      </c>
      <c r="N1233" t="s">
        <v>53</v>
      </c>
      <c r="O123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33" t="s">
        <v>93</v>
      </c>
      <c r="Q1233" t="str">
        <f>IF(TRIM(Transaction[[#This Row],[SalesChannel]])="","Missing Value",TRIM(Transaction[[#This Row],[SalesChannel]]))</f>
        <v>direct</v>
      </c>
      <c r="R1233" s="4">
        <v>4</v>
      </c>
      <c r="S1233" s="4" t="str">
        <f>IF(Transaction[[#This Row],[Quantity]]&lt;0,"Negative-review","Valid")</f>
        <v>Valid</v>
      </c>
      <c r="T1233">
        <v>36.25</v>
      </c>
      <c r="U123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36.25</v>
      </c>
      <c r="V1233">
        <v>725</v>
      </c>
      <c r="W1233">
        <v>2900</v>
      </c>
      <c r="X123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2900</v>
      </c>
      <c r="Y1233">
        <f>IF(Transaction[[#This Row],[GrossRevenue_Check]]="Invalid",Transaction[[#This Row],[ListPrice]]*Transaction[[#This Row],[Quantity]],Transaction[[#This Row],[GrossRevenue_Clean]])</f>
        <v>2900</v>
      </c>
      <c r="Z1233" t="str">
        <f>IF(Transaction[[#This Row],[GrossRevenue_Clean]]=Transaction[[#This Row],[ListPrice]]*Transaction[[#This Row],[Quantity]],"Valid","Invalid")</f>
        <v>Valid</v>
      </c>
      <c r="AA1233">
        <v>239.28</v>
      </c>
      <c r="AB123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239.28</v>
      </c>
      <c r="AC1233">
        <f>IF(Transaction[[#This Row],[DiscountAmount_Check2]]="Invalid",Transaction[[#This Row],[GrossRevenue_Analytical]]-Transaction[[#This Row],[NetRevenue_Analytical]],Transaction[[#This Row],[DiscountAmount_Clean]])</f>
        <v>2755</v>
      </c>
      <c r="AD1233">
        <v>2660.72</v>
      </c>
      <c r="AE1233" t="str">
        <f>IF(ROUND(Transaction[[#This Row],[GrossRevenue_Analytical]]-Transaction[[#This Row],[NetRevenue_Analytical]],2)=ROUND(Transaction[[#This Row],[DiscountAmount_Clean]],2),"Valid","Invalid")</f>
        <v>Invalid</v>
      </c>
      <c r="AF1233">
        <f>VALUE(IF(ISNUMBER(Transaction[[#This Row],[NetRevenue]]),Transaction[[#This Row],[NetRevenue]],IFERROR(IF(FIND("$",Transaction[[#This Row],[NetRevenue]])&gt;0,MID(Transaction[[#This Row],[NetRevenue]],2,10)),Transaction[[#This Row],[NetRevenue]])))</f>
        <v>2660.72</v>
      </c>
      <c r="AG1233">
        <f>IF(Transaction[[#This Row],[NetRevenue_Check]]="Invalid",(Transaction[[#This Row],[Quantity]]*Transaction[[#This Row],[UnitPrice_Clean]]),Transaction[[#This Row],[NetRevenue_Clean]])</f>
        <v>145</v>
      </c>
      <c r="AH1233" t="str">
        <f>IF(Transaction[[#This Row],[Quantity]]*Transaction[[#This Row],[UnitPrice_Clean]]=Transaction[[#This Row],[NetRevenue_Clean]],"Valid","Invalid")</f>
        <v>Invalid</v>
      </c>
      <c r="AI1233" t="s">
        <v>23</v>
      </c>
      <c r="AJ1233" t="s">
        <v>1979</v>
      </c>
      <c r="AK1233" t="str">
        <f>IF(Transaction[[#This Row],[Salesperson]]="","Missing Value",TRIM(PROPER(Transaction[[#This Row],[Salesperson]])))</f>
        <v>Jimenez-Na</v>
      </c>
      <c r="AL1233" t="s">
        <v>25</v>
      </c>
      <c r="AM1233" t="str">
        <f>IF(Transaction[[#This Row],[ContractType]]="","Missing Value",Transaction[[#This Row],[ContractType]])</f>
        <v>Frame Agreement</v>
      </c>
      <c r="AN1233" t="s">
        <v>49</v>
      </c>
    </row>
    <row r="1234" spans="1:40" x14ac:dyDescent="0.25">
      <c r="A1234" t="s">
        <v>2774</v>
      </c>
      <c r="B1234" s="1">
        <v>45801</v>
      </c>
      <c r="C123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23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123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34" s="2">
        <f>IFERROR(DATE(Transaction[[#This Row],[TransactionDateY]],Transaction[[#This Row],[TransactionDateM]],Transaction[[#This Row],[TransactionDateD]]),"Missing Value")</f>
        <v>45801</v>
      </c>
      <c r="G1234" t="s">
        <v>1026</v>
      </c>
      <c r="H1234" t="str">
        <f>IFERROR(VLOOKUP(Transaction[[#This Row],[CustomerID]],Custumer[],1,0),IF(LEN(Transaction[[#This Row],[CustomerID]])=7,LEFT(Transaction[[#This Row],[CustomerID]],6),"Invalid ID"))</f>
        <v>C-1056</v>
      </c>
      <c r="I1234" t="s">
        <v>97</v>
      </c>
      <c r="J1234" t="str">
        <f>TRIM(UPPER(Transaction[[#This Row],[ProductID]]))</f>
        <v>P-SI-001</v>
      </c>
      <c r="K1234" t="str">
        <f>IFERROR(VLOOKUP(Transaction[[#This Row],[ProductID_Clean]],Product[],1,FALSE),"Invalid ID")</f>
        <v>P-SI-001</v>
      </c>
      <c r="L1234" t="str">
        <f>TRIM(SUBSTITUTE(SUBSTITUTE(SUBSTITUTE(SUBSTITUTE(UPPER(Transaction[[#This Row],[Region]]),"EMEA REGION","EMEA"),"APAC REGION","APAC"),"NORTH AMERICA","N. AMERICA"),"N .AMERICA","N.AMERICA"))</f>
        <v>APAC</v>
      </c>
      <c r="M1234" t="s">
        <v>30</v>
      </c>
      <c r="N1234" t="s">
        <v>47</v>
      </c>
      <c r="O123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Q1234" t="str">
        <f>IF(TRIM(Transaction[[#This Row],[SalesChannel]])="","Missing Value",TRIM(Transaction[[#This Row],[SalesChannel]]))</f>
        <v>Missing Value</v>
      </c>
      <c r="R1234" s="4">
        <v>10</v>
      </c>
      <c r="S1234" s="4" t="str">
        <f>IF(Transaction[[#This Row],[Quantity]]&lt;0,"Negative-review","Valid")</f>
        <v>Valid</v>
      </c>
      <c r="T1234">
        <v>428.44</v>
      </c>
      <c r="U123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428.44</v>
      </c>
      <c r="V1234">
        <v>485</v>
      </c>
      <c r="W1234">
        <v>4850</v>
      </c>
      <c r="X123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4850</v>
      </c>
      <c r="Y1234">
        <f>IF(Transaction[[#This Row],[GrossRevenue_Check]]="Invalid",Transaction[[#This Row],[ListPrice]]*Transaction[[#This Row],[Quantity]],Transaction[[#This Row],[GrossRevenue_Clean]])</f>
        <v>4850</v>
      </c>
      <c r="Z1234" t="str">
        <f>IF(Transaction[[#This Row],[GrossRevenue_Clean]]=Transaction[[#This Row],[ListPrice]]*Transaction[[#This Row],[Quantity]],"Valid","Invalid")</f>
        <v>Valid</v>
      </c>
      <c r="AA1234">
        <v>565.6</v>
      </c>
      <c r="AB123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565.6</v>
      </c>
      <c r="AC1234">
        <f>IF(Transaction[[#This Row],[DiscountAmount_Check2]]="Invalid",Transaction[[#This Row],[GrossRevenue_Analytical]]-Transaction[[#This Row],[NetRevenue_Analytical]],Transaction[[#This Row],[DiscountAmount_Clean]])</f>
        <v>565.6</v>
      </c>
      <c r="AD1234">
        <v>4284.3999999999996</v>
      </c>
      <c r="AE1234" t="str">
        <f>IF(ROUND(Transaction[[#This Row],[GrossRevenue_Analytical]]-Transaction[[#This Row],[NetRevenue_Analytical]],2)=ROUND(Transaction[[#This Row],[DiscountAmount_Clean]],2),"Valid","Invalid")</f>
        <v>Valid</v>
      </c>
      <c r="AF1234">
        <f>VALUE(IF(ISNUMBER(Transaction[[#This Row],[NetRevenue]]),Transaction[[#This Row],[NetRevenue]],IFERROR(IF(FIND("$",Transaction[[#This Row],[NetRevenue]])&gt;0,MID(Transaction[[#This Row],[NetRevenue]],2,10)),Transaction[[#This Row],[NetRevenue]])))</f>
        <v>4284.3999999999996</v>
      </c>
      <c r="AG1234">
        <f>IF(Transaction[[#This Row],[NetRevenue_Check]]="Invalid",(Transaction[[#This Row],[Quantity]]*Transaction[[#This Row],[UnitPrice_Clean]]),Transaction[[#This Row],[NetRevenue_Clean]])</f>
        <v>4284.3999999999996</v>
      </c>
      <c r="AH1234" t="str">
        <f>IF(Transaction[[#This Row],[Quantity]]*Transaction[[#This Row],[UnitPrice_Clean]]=Transaction[[#This Row],[NetRevenue_Clean]],"Valid","Invalid")</f>
        <v>Valid</v>
      </c>
      <c r="AI1234" t="s">
        <v>23</v>
      </c>
      <c r="AJ1234" t="s">
        <v>2775</v>
      </c>
      <c r="AK1234" t="str">
        <f>IF(Transaction[[#This Row],[Salesperson]]="","Missing Value",TRIM(PROPER(Transaction[[#This Row],[Salesperson]])))</f>
        <v>Grant-Na</v>
      </c>
      <c r="AL1234" t="s">
        <v>25</v>
      </c>
      <c r="AM1234" t="str">
        <f>IF(Transaction[[#This Row],[ContractType]]="","Missing Value",Transaction[[#This Row],[ContractType]])</f>
        <v>Frame Agreement</v>
      </c>
      <c r="AN1234" t="s">
        <v>43</v>
      </c>
    </row>
    <row r="1235" spans="1:40" x14ac:dyDescent="0.25">
      <c r="A1235" t="s">
        <v>2612</v>
      </c>
      <c r="B1235" t="s">
        <v>940</v>
      </c>
      <c r="C123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04</v>
      </c>
      <c r="D123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29</v>
      </c>
      <c r="E123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35" s="2">
        <f>IFERROR(DATE(Transaction[[#This Row],[TransactionDateY]],Transaction[[#This Row],[TransactionDateM]],Transaction[[#This Row],[TransactionDateD]]),"Missing Value")</f>
        <v>45776</v>
      </c>
      <c r="G1235" t="s">
        <v>1808</v>
      </c>
      <c r="H1235" t="str">
        <f>IFERROR(VLOOKUP(Transaction[[#This Row],[CustomerID]],Custumer[],1,0),IF(LEN(Transaction[[#This Row],[CustomerID]])=7,LEFT(Transaction[[#This Row],[CustomerID]],6),"Invalid ID"))</f>
        <v>C-1127</v>
      </c>
      <c r="I1235" t="s">
        <v>258</v>
      </c>
      <c r="J1235" t="str">
        <f>TRIM(UPPER(Transaction[[#This Row],[ProductID]]))</f>
        <v>P-SA-003</v>
      </c>
      <c r="K1235" t="str">
        <f>IFERROR(VLOOKUP(Transaction[[#This Row],[ProductID_Clean]],Product[],1,FALSE),"Invalid ID")</f>
        <v>P-SA-003</v>
      </c>
      <c r="L1235" t="str">
        <f>TRIM(SUBSTITUTE(SUBSTITUTE(SUBSTITUTE(SUBSTITUTE(UPPER(Transaction[[#This Row],[Region]]),"EMEA REGION","EMEA"),"APAC REGION","APAC"),"NORTH AMERICA","N. AMERICA"),"N .AMERICA","N.AMERICA"))</f>
        <v>LATIN AMERICA</v>
      </c>
      <c r="M1235" t="s">
        <v>82</v>
      </c>
      <c r="N1235" t="s">
        <v>205</v>
      </c>
      <c r="O1235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35" t="s">
        <v>22</v>
      </c>
      <c r="Q1235" t="str">
        <f>IF(TRIM(Transaction[[#This Row],[SalesChannel]])="","Missing Value",TRIM(Transaction[[#This Row],[SalesChannel]]))</f>
        <v>Direct</v>
      </c>
      <c r="R1235" s="4">
        <v>1</v>
      </c>
      <c r="S1235" s="4" t="str">
        <f>IF(Transaction[[#This Row],[Quantity]]&lt;0,"Negative-review","Valid")</f>
        <v>Valid</v>
      </c>
      <c r="T1235">
        <v>2632.21</v>
      </c>
      <c r="U123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2632.21</v>
      </c>
      <c r="V1235">
        <v>2750</v>
      </c>
      <c r="W1235">
        <v>2750</v>
      </c>
      <c r="X123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1235">
        <f>IF(Transaction[[#This Row],[GrossRevenue_Check]]="Invalid",Transaction[[#This Row],[ListPrice]]*Transaction[[#This Row],[Quantity]],Transaction[[#This Row],[GrossRevenue_Clean]])</f>
        <v>2750</v>
      </c>
      <c r="Z1235" t="str">
        <f>IF(Transaction[[#This Row],[GrossRevenue_Clean]]=Transaction[[#This Row],[ListPrice]]*Transaction[[#This Row],[Quantity]],"Valid","Invalid")</f>
        <v>Valid</v>
      </c>
      <c r="AA1235">
        <v>117.79</v>
      </c>
      <c r="AB123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117.79</v>
      </c>
      <c r="AC1235">
        <f>IF(Transaction[[#This Row],[DiscountAmount_Check2]]="Invalid",Transaction[[#This Row],[GrossRevenue_Analytical]]-Transaction[[#This Row],[NetRevenue_Analytical]],Transaction[[#This Row],[DiscountAmount_Clean]])</f>
        <v>117.79</v>
      </c>
      <c r="AD1235">
        <v>2632.21</v>
      </c>
      <c r="AE1235" t="str">
        <f>IF(ROUND(Transaction[[#This Row],[GrossRevenue_Analytical]]-Transaction[[#This Row],[NetRevenue_Analytical]],2)=ROUND(Transaction[[#This Row],[DiscountAmount_Clean]],2),"Valid","Invalid")</f>
        <v>Valid</v>
      </c>
      <c r="AF1235">
        <f>VALUE(IF(ISNUMBER(Transaction[[#This Row],[NetRevenue]]),Transaction[[#This Row],[NetRevenue]],IFERROR(IF(FIND("$",Transaction[[#This Row],[NetRevenue]])&gt;0,MID(Transaction[[#This Row],[NetRevenue]],2,10)),Transaction[[#This Row],[NetRevenue]])))</f>
        <v>2632.21</v>
      </c>
      <c r="AG1235">
        <f>IF(Transaction[[#This Row],[NetRevenue_Check]]="Invalid",(Transaction[[#This Row],[Quantity]]*Transaction[[#This Row],[UnitPrice_Clean]]),Transaction[[#This Row],[NetRevenue_Clean]])</f>
        <v>2632.21</v>
      </c>
      <c r="AH1235" t="str">
        <f>IF(Transaction[[#This Row],[Quantity]]*Transaction[[#This Row],[UnitPrice_Clean]]=Transaction[[#This Row],[NetRevenue_Clean]],"Valid","Invalid")</f>
        <v>Valid</v>
      </c>
      <c r="AI1235" t="s">
        <v>23</v>
      </c>
      <c r="AJ1235" t="s">
        <v>2613</v>
      </c>
      <c r="AK1235" t="str">
        <f>IF(Transaction[[#This Row],[Salesperson]]="","Missing Value",TRIM(PROPER(Transaction[[#This Row],[Salesperson]])))</f>
        <v>Watts-Na</v>
      </c>
      <c r="AL1235" t="s">
        <v>210</v>
      </c>
      <c r="AM1235" t="str">
        <f>IF(Transaction[[#This Row],[ContractType]]="","Missing Value",Transaction[[#This Row],[ContractType]])</f>
        <v>Perpetual</v>
      </c>
      <c r="AN1235" t="s">
        <v>35</v>
      </c>
    </row>
    <row r="1236" spans="1:40" x14ac:dyDescent="0.25">
      <c r="A1236" t="s">
        <v>2720</v>
      </c>
      <c r="B1236" s="1">
        <v>45819</v>
      </c>
      <c r="C123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23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11</v>
      </c>
      <c r="E123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36" s="2">
        <f>IFERROR(DATE(Transaction[[#This Row],[TransactionDateY]],Transaction[[#This Row],[TransactionDateM]],Transaction[[#This Row],[TransactionDateD]]),"Missing Value")</f>
        <v>45819</v>
      </c>
      <c r="G1236" t="s">
        <v>214</v>
      </c>
      <c r="H1236" t="str">
        <f>IFERROR(VLOOKUP(Transaction[[#This Row],[CustomerID]],Custumer[],1,0),IF(LEN(Transaction[[#This Row],[CustomerID]])=7,LEFT(Transaction[[#This Row],[CustomerID]],6),"Invalid ID"))</f>
        <v>C-1169</v>
      </c>
      <c r="I1236" t="s">
        <v>222</v>
      </c>
      <c r="J1236" t="str">
        <f>TRIM(UPPER(Transaction[[#This Row],[ProductID]]))</f>
        <v>P-FS-003</v>
      </c>
      <c r="K1236" t="str">
        <f>IFERROR(VLOOKUP(Transaction[[#This Row],[ProductID_Clean]],Product[],1,FALSE),"Invalid ID")</f>
        <v>P-FS-003</v>
      </c>
      <c r="L1236" t="str">
        <f>TRIM(SUBSTITUTE(SUBSTITUTE(SUBSTITUTE(SUBSTITUTE(UPPER(Transaction[[#This Row],[Region]]),"EMEA REGION","EMEA"),"APAC REGION","APAC"),"NORTH AMERICA","N. AMERICA"),"N .AMERICA","N.AMERICA"))</f>
        <v>EMEA</v>
      </c>
      <c r="M1236" t="s">
        <v>76</v>
      </c>
      <c r="N1236" t="s">
        <v>244</v>
      </c>
      <c r="O123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236" t="s">
        <v>181</v>
      </c>
      <c r="Q1236" t="str">
        <f>IF(TRIM(Transaction[[#This Row],[SalesChannel]])="","Missing Value",TRIM(Transaction[[#This Row],[SalesChannel]]))</f>
        <v>Partner Portal</v>
      </c>
      <c r="R1236" s="4">
        <v>2</v>
      </c>
      <c r="S1236" s="4" t="str">
        <f>IF(Transaction[[#This Row],[Quantity]]&lt;0,"Negative-review","Valid")</f>
        <v>Valid</v>
      </c>
      <c r="T1236">
        <v>3451.08</v>
      </c>
      <c r="U123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3451.08</v>
      </c>
      <c r="V1236">
        <v>4100</v>
      </c>
      <c r="W1236">
        <v>8200</v>
      </c>
      <c r="X123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8200</v>
      </c>
      <c r="Y1236">
        <f>IF(Transaction[[#This Row],[GrossRevenue_Check]]="Invalid",Transaction[[#This Row],[ListPrice]]*Transaction[[#This Row],[Quantity]],Transaction[[#This Row],[GrossRevenue_Clean]])</f>
        <v>8200</v>
      </c>
      <c r="Z1236" t="str">
        <f>IF(Transaction[[#This Row],[GrossRevenue_Clean]]=Transaction[[#This Row],[ListPrice]]*Transaction[[#This Row],[Quantity]],"Valid","Invalid")</f>
        <v>Valid</v>
      </c>
      <c r="AA1236" t="s">
        <v>2721</v>
      </c>
      <c r="AB123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1297.8399999999999</v>
      </c>
      <c r="AC1236">
        <f>IF(Transaction[[#This Row],[DiscountAmount_Check2]]="Invalid",Transaction[[#This Row],[GrossRevenue_Analytical]]-Transaction[[#This Row],[NetRevenue_Analytical]],Transaction[[#This Row],[DiscountAmount_Clean]])</f>
        <v>1297.8399999999999</v>
      </c>
      <c r="AD1236">
        <v>6902.16</v>
      </c>
      <c r="AE1236" t="str">
        <f>IF(ROUND(Transaction[[#This Row],[GrossRevenue_Analytical]]-Transaction[[#This Row],[NetRevenue_Analytical]],2)=ROUND(Transaction[[#This Row],[DiscountAmount_Clean]],2),"Valid","Invalid")</f>
        <v>Valid</v>
      </c>
      <c r="AF1236">
        <f>VALUE(IF(ISNUMBER(Transaction[[#This Row],[NetRevenue]]),Transaction[[#This Row],[NetRevenue]],IFERROR(IF(FIND("$",Transaction[[#This Row],[NetRevenue]])&gt;0,MID(Transaction[[#This Row],[NetRevenue]],2,10)),Transaction[[#This Row],[NetRevenue]])))</f>
        <v>6902.16</v>
      </c>
      <c r="AG1236">
        <f>IF(Transaction[[#This Row],[NetRevenue_Check]]="Invalid",(Transaction[[#This Row],[Quantity]]*Transaction[[#This Row],[UnitPrice_Clean]]),Transaction[[#This Row],[NetRevenue_Clean]])</f>
        <v>6902.16</v>
      </c>
      <c r="AH1236" t="str">
        <f>IF(Transaction[[#This Row],[Quantity]]*Transaction[[#This Row],[UnitPrice_Clean]]=Transaction[[#This Row],[NetRevenue_Clean]],"Valid","Invalid")</f>
        <v>Valid</v>
      </c>
      <c r="AI1236" t="s">
        <v>23</v>
      </c>
      <c r="AJ1236" t="s">
        <v>980</v>
      </c>
      <c r="AK1236" t="str">
        <f>IF(Transaction[[#This Row],[Salesperson]]="","Missing Value",TRIM(PROPER(Transaction[[#This Row],[Salesperson]])))</f>
        <v>Walker</v>
      </c>
      <c r="AL1236" t="s">
        <v>295</v>
      </c>
      <c r="AM1236" t="str">
        <f>IF(Transaction[[#This Row],[ContractType]]="","Missing Value",Transaction[[#This Row],[ContractType]])</f>
        <v>Multi-Year</v>
      </c>
      <c r="AN1236" t="s">
        <v>49</v>
      </c>
    </row>
    <row r="1237" spans="1:40" x14ac:dyDescent="0.25">
      <c r="A1237" t="s">
        <v>1253</v>
      </c>
      <c r="B1237" t="s">
        <v>1254</v>
      </c>
      <c r="C123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02</v>
      </c>
      <c r="D123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123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37" s="2">
        <f>IFERROR(DATE(Transaction[[#This Row],[TransactionDateY]],Transaction[[#This Row],[TransactionDateM]],Transaction[[#This Row],[TransactionDateD]]),"Missing Value")</f>
        <v>45705</v>
      </c>
      <c r="G1237" t="s">
        <v>473</v>
      </c>
      <c r="H1237" t="str">
        <f>IFERROR(VLOOKUP(Transaction[[#This Row],[CustomerID]],Custumer[],1,0),IF(LEN(Transaction[[#This Row],[CustomerID]])=7,LEFT(Transaction[[#This Row],[CustomerID]],6),"Invalid ID"))</f>
        <v>C-1016</v>
      </c>
      <c r="I1237" t="s">
        <v>1255</v>
      </c>
      <c r="J1237" t="str">
        <f>TRIM(UPPER(Transaction[[#This Row],[ProductID]]))</f>
        <v>P-FS-006</v>
      </c>
      <c r="K1237" t="str">
        <f>IFERROR(VLOOKUP(Transaction[[#This Row],[ProductID_Clean]],Product[],1,FALSE),"Invalid ID")</f>
        <v>P-FS-006</v>
      </c>
      <c r="L1237" t="str">
        <f>TRIM(SUBSTITUTE(SUBSTITUTE(SUBSTITUTE(SUBSTITUTE(UPPER(Transaction[[#This Row],[Region]]),"EMEA REGION","EMEA"),"APAC REGION","APAC"),"NORTH AMERICA","N. AMERICA"),"N .AMERICA","N.AMERICA"))</f>
        <v>APAC</v>
      </c>
      <c r="M1237" t="s">
        <v>30</v>
      </c>
      <c r="N1237" t="s">
        <v>21</v>
      </c>
      <c r="O1237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237" t="s">
        <v>22</v>
      </c>
      <c r="Q1237" t="str">
        <f>IF(TRIM(Transaction[[#This Row],[SalesChannel]])="","Missing Value",TRIM(Transaction[[#This Row],[SalesChannel]]))</f>
        <v>Direct</v>
      </c>
      <c r="R1237" s="4">
        <v>1</v>
      </c>
      <c r="S1237" s="4" t="str">
        <f>IF(Transaction[[#This Row],[Quantity]]&lt;0,"Negative-review","Valid")</f>
        <v>Valid</v>
      </c>
      <c r="T1237">
        <v>1124.8399999999999</v>
      </c>
      <c r="U123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1124.8399999999999</v>
      </c>
      <c r="V1237">
        <v>1450</v>
      </c>
      <c r="W1237">
        <v>1450</v>
      </c>
      <c r="X123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1237">
        <f>IF(Transaction[[#This Row],[GrossRevenue_Check]]="Invalid",Transaction[[#This Row],[ListPrice]]*Transaction[[#This Row],[Quantity]],Transaction[[#This Row],[GrossRevenue_Clean]])</f>
        <v>1450</v>
      </c>
      <c r="Z1237" t="str">
        <f>IF(Transaction[[#This Row],[GrossRevenue_Clean]]=Transaction[[#This Row],[ListPrice]]*Transaction[[#This Row],[Quantity]],"Valid","Invalid")</f>
        <v>Valid</v>
      </c>
      <c r="AA1237">
        <v>325.16000000000003</v>
      </c>
      <c r="AB123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325.16000000000003</v>
      </c>
      <c r="AC1237">
        <f>IF(Transaction[[#This Row],[DiscountAmount_Check2]]="Invalid",Transaction[[#This Row],[GrossRevenue_Analytical]]-Transaction[[#This Row],[NetRevenue_Analytical]],Transaction[[#This Row],[DiscountAmount_Clean]])</f>
        <v>325.16000000000003</v>
      </c>
      <c r="AD1237">
        <v>1124.8399999999999</v>
      </c>
      <c r="AE1237" t="str">
        <f>IF(ROUND(Transaction[[#This Row],[GrossRevenue_Analytical]]-Transaction[[#This Row],[NetRevenue_Analytical]],2)=ROUND(Transaction[[#This Row],[DiscountAmount_Clean]],2),"Valid","Invalid")</f>
        <v>Valid</v>
      </c>
      <c r="AF1237">
        <f>VALUE(IF(ISNUMBER(Transaction[[#This Row],[NetRevenue]]),Transaction[[#This Row],[NetRevenue]],IFERROR(IF(FIND("$",Transaction[[#This Row],[NetRevenue]])&gt;0,MID(Transaction[[#This Row],[NetRevenue]],2,10)),Transaction[[#This Row],[NetRevenue]])))</f>
        <v>1124.8399999999999</v>
      </c>
      <c r="AG1237">
        <f>IF(Transaction[[#This Row],[NetRevenue_Check]]="Invalid",(Transaction[[#This Row],[Quantity]]*Transaction[[#This Row],[UnitPrice_Clean]]),Transaction[[#This Row],[NetRevenue_Clean]])</f>
        <v>1124.8399999999999</v>
      </c>
      <c r="AH1237" t="str">
        <f>IF(Transaction[[#This Row],[Quantity]]*Transaction[[#This Row],[UnitPrice_Clean]]=Transaction[[#This Row],[NetRevenue_Clean]],"Valid","Invalid")</f>
        <v>Valid</v>
      </c>
      <c r="AI1237" t="s">
        <v>23</v>
      </c>
      <c r="AJ1237" t="s">
        <v>1256</v>
      </c>
      <c r="AK1237" t="str">
        <f>IF(Transaction[[#This Row],[Salesperson]]="","Missing Value",TRIM(PROPER(Transaction[[#This Row],[Salesperson]])))</f>
        <v>Brooks-Ap</v>
      </c>
      <c r="AL1237" t="s">
        <v>42</v>
      </c>
      <c r="AM1237" t="str">
        <f>IF(Transaction[[#This Row],[ContractType]]="","Missing Value",Transaction[[#This Row],[ContractType]])</f>
        <v>Standard PO</v>
      </c>
      <c r="AN1237" t="s">
        <v>26</v>
      </c>
    </row>
    <row r="1238" spans="1:40" x14ac:dyDescent="0.25">
      <c r="A1238" t="s">
        <v>1040</v>
      </c>
      <c r="B1238" s="1">
        <v>45826</v>
      </c>
      <c r="C123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23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123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38" s="2">
        <f>IFERROR(DATE(Transaction[[#This Row],[TransactionDateY]],Transaction[[#This Row],[TransactionDateM]],Transaction[[#This Row],[TransactionDateD]]),"Missing Value")</f>
        <v>45826</v>
      </c>
      <c r="G1238" t="s">
        <v>284</v>
      </c>
      <c r="H1238" t="str">
        <f>IFERROR(VLOOKUP(Transaction[[#This Row],[CustomerID]],Custumer[],1,0),IF(LEN(Transaction[[#This Row],[CustomerID]])=7,LEFT(Transaction[[#This Row],[CustomerID]],6),"Invalid ID"))</f>
        <v>C-1101</v>
      </c>
      <c r="I1238" t="s">
        <v>97</v>
      </c>
      <c r="J1238" t="str">
        <f>TRIM(UPPER(Transaction[[#This Row],[ProductID]]))</f>
        <v>P-SI-001</v>
      </c>
      <c r="K1238" t="str">
        <f>IFERROR(VLOOKUP(Transaction[[#This Row],[ProductID_Clean]],Product[],1,FALSE),"Invalid ID")</f>
        <v>P-SI-001</v>
      </c>
      <c r="L1238" t="str">
        <f>TRIM(SUBSTITUTE(SUBSTITUTE(SUBSTITUTE(SUBSTITUTE(UPPER(Transaction[[#This Row],[Region]]),"EMEA REGION","EMEA"),"APAC REGION","APAC"),"NORTH AMERICA","N. AMERICA"),"N .AMERICA","N.AMERICA"))</f>
        <v>EMEA</v>
      </c>
      <c r="M1238" t="s">
        <v>76</v>
      </c>
      <c r="N1238" t="s">
        <v>53</v>
      </c>
      <c r="O123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38" t="s">
        <v>22</v>
      </c>
      <c r="Q1238" t="str">
        <f>IF(TRIM(Transaction[[#This Row],[SalesChannel]])="","Missing Value",TRIM(Transaction[[#This Row],[SalesChannel]]))</f>
        <v>Direct</v>
      </c>
      <c r="R1238" s="4">
        <v>1</v>
      </c>
      <c r="S1238" s="4" t="str">
        <f>IF(Transaction[[#This Row],[Quantity]]&lt;0,"Negative-review","Valid")</f>
        <v>Valid</v>
      </c>
      <c r="T1238">
        <v>447.1</v>
      </c>
      <c r="U123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447.1</v>
      </c>
      <c r="V1238">
        <v>485</v>
      </c>
      <c r="W1238">
        <v>485</v>
      </c>
      <c r="X123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1238">
        <f>IF(Transaction[[#This Row],[GrossRevenue_Check]]="Invalid",Transaction[[#This Row],[ListPrice]]*Transaction[[#This Row],[Quantity]],Transaction[[#This Row],[GrossRevenue_Clean]])</f>
        <v>485</v>
      </c>
      <c r="Z1238" t="str">
        <f>IF(Transaction[[#This Row],[GrossRevenue_Clean]]=Transaction[[#This Row],[ListPrice]]*Transaction[[#This Row],[Quantity]],"Valid","Invalid")</f>
        <v>Valid</v>
      </c>
      <c r="AA1238">
        <v>37.9</v>
      </c>
      <c r="AB123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37.9</v>
      </c>
      <c r="AC1238">
        <f>IF(Transaction[[#This Row],[DiscountAmount_Check2]]="Invalid",Transaction[[#This Row],[GrossRevenue_Analytical]]-Transaction[[#This Row],[NetRevenue_Analytical]],Transaction[[#This Row],[DiscountAmount_Clean]])</f>
        <v>37.9</v>
      </c>
      <c r="AD1238">
        <v>447.1</v>
      </c>
      <c r="AE1238" t="str">
        <f>IF(ROUND(Transaction[[#This Row],[GrossRevenue_Analytical]]-Transaction[[#This Row],[NetRevenue_Analytical]],2)=ROUND(Transaction[[#This Row],[DiscountAmount_Clean]],2),"Valid","Invalid")</f>
        <v>Valid</v>
      </c>
      <c r="AF1238">
        <f>VALUE(IF(ISNUMBER(Transaction[[#This Row],[NetRevenue]]),Transaction[[#This Row],[NetRevenue]],IFERROR(IF(FIND("$",Transaction[[#This Row],[NetRevenue]])&gt;0,MID(Transaction[[#This Row],[NetRevenue]],2,10)),Transaction[[#This Row],[NetRevenue]])))</f>
        <v>447.1</v>
      </c>
      <c r="AG1238">
        <f>IF(Transaction[[#This Row],[NetRevenue_Check]]="Invalid",(Transaction[[#This Row],[Quantity]]*Transaction[[#This Row],[UnitPrice_Clean]]),Transaction[[#This Row],[NetRevenue_Clean]])</f>
        <v>447.1</v>
      </c>
      <c r="AH1238" t="str">
        <f>IF(Transaction[[#This Row],[Quantity]]*Transaction[[#This Row],[UnitPrice_Clean]]=Transaction[[#This Row],[NetRevenue_Clean]],"Valid","Invalid")</f>
        <v>Valid</v>
      </c>
      <c r="AI1238" t="s">
        <v>23</v>
      </c>
      <c r="AJ1238" t="s">
        <v>1041</v>
      </c>
      <c r="AK1238" t="str">
        <f>IF(Transaction[[#This Row],[Salesperson]]="","Missing Value",TRIM(PROPER(Transaction[[#This Row],[Salesperson]])))</f>
        <v>Ford-Na</v>
      </c>
      <c r="AL1238" t="s">
        <v>42</v>
      </c>
      <c r="AM1238" t="str">
        <f>IF(Transaction[[#This Row],[ContractType]]="","Missing Value",Transaction[[#This Row],[ContractType]])</f>
        <v>Standard PO</v>
      </c>
      <c r="AN1238" t="s">
        <v>35</v>
      </c>
    </row>
    <row r="1239" spans="1:40" x14ac:dyDescent="0.25">
      <c r="A1239" t="s">
        <v>2707</v>
      </c>
      <c r="B1239" s="1">
        <v>45759</v>
      </c>
      <c r="C123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23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12</v>
      </c>
      <c r="E123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39" s="2">
        <f>IFERROR(DATE(Transaction[[#This Row],[TransactionDateY]],Transaction[[#This Row],[TransactionDateM]],Transaction[[#This Row],[TransactionDateD]]),"Missing Value")</f>
        <v>45759</v>
      </c>
      <c r="G1239" t="s">
        <v>647</v>
      </c>
      <c r="H1239" t="str">
        <f>IFERROR(VLOOKUP(Transaction[[#This Row],[CustomerID]],Custumer[],1,0),IF(LEN(Transaction[[#This Row],[CustomerID]])=7,LEFT(Transaction[[#This Row],[CustomerID]],6),"Invalid ID"))</f>
        <v>C-1085</v>
      </c>
      <c r="I1239" t="s">
        <v>97</v>
      </c>
      <c r="J1239" t="str">
        <f>TRIM(UPPER(Transaction[[#This Row],[ProductID]]))</f>
        <v>P-SI-001</v>
      </c>
      <c r="K1239" t="str">
        <f>IFERROR(VLOOKUP(Transaction[[#This Row],[ProductID_Clean]],Product[],1,FALSE),"Invalid ID")</f>
        <v>P-SI-001</v>
      </c>
      <c r="L1239" t="str">
        <f>TRIM(SUBSTITUTE(SUBSTITUTE(SUBSTITUTE(SUBSTITUTE(UPPER(Transaction[[#This Row],[Region]]),"EMEA REGION","EMEA"),"APAC REGION","APAC"),"NORTH AMERICA","N. AMERICA"),"N .AMERICA","N.AMERICA"))</f>
        <v>APAC</v>
      </c>
      <c r="M1239" t="s">
        <v>30</v>
      </c>
      <c r="N1239" t="s">
        <v>47</v>
      </c>
      <c r="O123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39" t="s">
        <v>181</v>
      </c>
      <c r="Q1239" t="str">
        <f>IF(TRIM(Transaction[[#This Row],[SalesChannel]])="","Missing Value",TRIM(Transaction[[#This Row],[SalesChannel]]))</f>
        <v>Partner Portal</v>
      </c>
      <c r="R1239" s="4">
        <v>1</v>
      </c>
      <c r="S1239" s="4" t="str">
        <f>IF(Transaction[[#This Row],[Quantity]]&lt;0,"Negative-review","Valid")</f>
        <v>Valid</v>
      </c>
      <c r="T1239">
        <v>361.65</v>
      </c>
      <c r="U123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361.65</v>
      </c>
      <c r="V1239">
        <v>485</v>
      </c>
      <c r="W1239">
        <v>485</v>
      </c>
      <c r="X123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1239">
        <f>IF(Transaction[[#This Row],[GrossRevenue_Check]]="Invalid",Transaction[[#This Row],[ListPrice]]*Transaction[[#This Row],[Quantity]],Transaction[[#This Row],[GrossRevenue_Clean]])</f>
        <v>485</v>
      </c>
      <c r="Z1239" t="str">
        <f>IF(Transaction[[#This Row],[GrossRevenue_Clean]]=Transaction[[#This Row],[ListPrice]]*Transaction[[#This Row],[Quantity]],"Valid","Invalid")</f>
        <v>Valid</v>
      </c>
      <c r="AA1239">
        <v>123.35</v>
      </c>
      <c r="AB123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123.35</v>
      </c>
      <c r="AC1239">
        <f>IF(Transaction[[#This Row],[DiscountAmount_Check2]]="Invalid",Transaction[[#This Row],[GrossRevenue_Analytical]]-Transaction[[#This Row],[NetRevenue_Analytical]],Transaction[[#This Row],[DiscountAmount_Clean]])</f>
        <v>123.35</v>
      </c>
      <c r="AD1239">
        <v>361.65</v>
      </c>
      <c r="AE1239" t="str">
        <f>IF(ROUND(Transaction[[#This Row],[GrossRevenue_Analytical]]-Transaction[[#This Row],[NetRevenue_Analytical]],2)=ROUND(Transaction[[#This Row],[DiscountAmount_Clean]],2),"Valid","Invalid")</f>
        <v>Valid</v>
      </c>
      <c r="AF1239">
        <f>VALUE(IF(ISNUMBER(Transaction[[#This Row],[NetRevenue]]),Transaction[[#This Row],[NetRevenue]],IFERROR(IF(FIND("$",Transaction[[#This Row],[NetRevenue]])&gt;0,MID(Transaction[[#This Row],[NetRevenue]],2,10)),Transaction[[#This Row],[NetRevenue]])))</f>
        <v>361.65</v>
      </c>
      <c r="AG1239">
        <f>IF(Transaction[[#This Row],[NetRevenue_Check]]="Invalid",(Transaction[[#This Row],[Quantity]]*Transaction[[#This Row],[UnitPrice_Clean]]),Transaction[[#This Row],[NetRevenue_Clean]])</f>
        <v>361.65</v>
      </c>
      <c r="AH1239" t="str">
        <f>IF(Transaction[[#This Row],[Quantity]]*Transaction[[#This Row],[UnitPrice_Clean]]=Transaction[[#This Row],[NetRevenue_Clean]],"Valid","Invalid")</f>
        <v>Valid</v>
      </c>
      <c r="AI1239" t="s">
        <v>23</v>
      </c>
      <c r="AJ1239" t="s">
        <v>1669</v>
      </c>
      <c r="AK1239" t="str">
        <f>IF(Transaction[[#This Row],[Salesperson]]="","Missing Value",TRIM(PROPER(Transaction[[#This Row],[Salesperson]])))</f>
        <v>Frazier</v>
      </c>
      <c r="AL1239" t="s">
        <v>42</v>
      </c>
      <c r="AM1239" t="str">
        <f>IF(Transaction[[#This Row],[ContractType]]="","Missing Value",Transaction[[#This Row],[ContractType]])</f>
        <v>Standard PO</v>
      </c>
      <c r="AN1239" t="s">
        <v>26</v>
      </c>
    </row>
    <row r="1240" spans="1:40" x14ac:dyDescent="0.25">
      <c r="A1240" t="s">
        <v>3077</v>
      </c>
      <c r="B1240" s="1">
        <v>45815</v>
      </c>
      <c r="C124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24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7</v>
      </c>
      <c r="E124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40" s="2">
        <f>IFERROR(DATE(Transaction[[#This Row],[TransactionDateY]],Transaction[[#This Row],[TransactionDateM]],Transaction[[#This Row],[TransactionDateD]]),"Missing Value")</f>
        <v>45815</v>
      </c>
      <c r="G1240" t="s">
        <v>370</v>
      </c>
      <c r="H1240" t="str">
        <f>IFERROR(VLOOKUP(Transaction[[#This Row],[CustomerID]],Custumer[],1,0),IF(LEN(Transaction[[#This Row],[CustomerID]])=7,LEFT(Transaction[[#This Row],[CustomerID]],6),"Invalid ID"))</f>
        <v>C-1130</v>
      </c>
      <c r="I1240" t="s">
        <v>39</v>
      </c>
      <c r="J1240" t="str">
        <f>TRIM(UPPER(Transaction[[#This Row],[ProductID]]))</f>
        <v>P-FS-006</v>
      </c>
      <c r="K1240" t="str">
        <f>IFERROR(VLOOKUP(Transaction[[#This Row],[ProductID_Clean]],Product[],1,FALSE),"Invalid ID")</f>
        <v>P-FS-006</v>
      </c>
      <c r="L1240" t="str">
        <f>TRIM(SUBSTITUTE(SUBSTITUTE(SUBSTITUTE(SUBSTITUTE(UPPER(Transaction[[#This Row],[Region]]),"EMEA REGION","EMEA"),"APAC REGION","APAC"),"NORTH AMERICA","N. AMERICA"),"N .AMERICA","N.AMERICA"))</f>
        <v>EMEA</v>
      </c>
      <c r="M1240" t="s">
        <v>76</v>
      </c>
      <c r="N1240" t="s">
        <v>21</v>
      </c>
      <c r="O1240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240" t="s">
        <v>40</v>
      </c>
      <c r="Q1240" t="str">
        <f>IF(TRIM(Transaction[[#This Row],[SalesChannel]])="","Missing Value",TRIM(Transaction[[#This Row],[SalesChannel]]))</f>
        <v>Distributor</v>
      </c>
      <c r="R1240" s="4">
        <v>1</v>
      </c>
      <c r="S1240" s="4" t="str">
        <f>IF(Transaction[[#This Row],[Quantity]]&lt;0,"Negative-review","Valid")</f>
        <v>Valid</v>
      </c>
      <c r="T1240">
        <v>1305.1500000000001</v>
      </c>
      <c r="U124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1305.1500000000001</v>
      </c>
      <c r="V1240">
        <v>1450</v>
      </c>
      <c r="W1240">
        <v>1450</v>
      </c>
      <c r="X124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1240">
        <f>IF(Transaction[[#This Row],[GrossRevenue_Check]]="Invalid",Transaction[[#This Row],[ListPrice]]*Transaction[[#This Row],[Quantity]],Transaction[[#This Row],[GrossRevenue_Clean]])</f>
        <v>1450</v>
      </c>
      <c r="Z1240" t="str">
        <f>IF(Transaction[[#This Row],[GrossRevenue_Clean]]=Transaction[[#This Row],[ListPrice]]*Transaction[[#This Row],[Quantity]],"Valid","Invalid")</f>
        <v>Valid</v>
      </c>
      <c r="AA1240" t="s">
        <v>3078</v>
      </c>
      <c r="AB124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144.85</v>
      </c>
      <c r="AC1240">
        <f>IF(Transaction[[#This Row],[DiscountAmount_Check2]]="Invalid",Transaction[[#This Row],[GrossRevenue_Analytical]]-Transaction[[#This Row],[NetRevenue_Analytical]],Transaction[[#This Row],[DiscountAmount_Clean]])</f>
        <v>144.85</v>
      </c>
      <c r="AD1240">
        <v>1305.1500000000001</v>
      </c>
      <c r="AE1240" t="str">
        <f>IF(ROUND(Transaction[[#This Row],[GrossRevenue_Analytical]]-Transaction[[#This Row],[NetRevenue_Analytical]],2)=ROUND(Transaction[[#This Row],[DiscountAmount_Clean]],2),"Valid","Invalid")</f>
        <v>Valid</v>
      </c>
      <c r="AF124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1305.1500000000001</v>
      </c>
      <c r="AG1240">
        <f>IF(Transaction[[#This Row],[NetRevenue_Check]]="Invalid",(Transaction[[#This Row],[Quantity]]*Transaction[[#This Row],[UnitPrice_Clean]]),Transaction[[#This Row],[NetRevenue_Clean]])</f>
        <v>1305.1500000000001</v>
      </c>
      <c r="AH1240" t="str">
        <f>IF(Transaction[[#This Row],[Quantity]]*Transaction[[#This Row],[UnitPrice_Clean]]=Transaction[[#This Row],[NetRevenue_Clean]],"Valid","Invalid")</f>
        <v>Valid</v>
      </c>
      <c r="AI1240" t="s">
        <v>128</v>
      </c>
      <c r="AJ1240" t="s">
        <v>3079</v>
      </c>
      <c r="AK1240" t="str">
        <f>IF(Transaction[[#This Row],[Salesperson]]="","Missing Value",TRIM(PROPER(Transaction[[#This Row],[Salesperson]])))</f>
        <v>Vaughn</v>
      </c>
      <c r="AL1240" t="s">
        <v>25</v>
      </c>
      <c r="AM1240" t="str">
        <f>IF(Transaction[[#This Row],[ContractType]]="","Missing Value",Transaction[[#This Row],[ContractType]])</f>
        <v>Frame Agreement</v>
      </c>
      <c r="AN1240" t="s">
        <v>65</v>
      </c>
    </row>
    <row r="1241" spans="1:40" x14ac:dyDescent="0.25">
      <c r="A1241" t="s">
        <v>2691</v>
      </c>
      <c r="B1241" s="1">
        <v>45773</v>
      </c>
      <c r="C124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24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26</v>
      </c>
      <c r="E124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41" s="2">
        <f>IFERROR(DATE(Transaction[[#This Row],[TransactionDateY]],Transaction[[#This Row],[TransactionDateM]],Transaction[[#This Row],[TransactionDateD]]),"Missing Value")</f>
        <v>45773</v>
      </c>
      <c r="G1241" t="s">
        <v>2692</v>
      </c>
      <c r="H1241" t="str">
        <f>IFERROR(VLOOKUP(Transaction[[#This Row],[CustomerID]],Custumer[],1,0),IF(LEN(Transaction[[#This Row],[CustomerID]])=7,LEFT(Transaction[[#This Row],[CustomerID]],6),"Invalid ID"))</f>
        <v>C-1093</v>
      </c>
      <c r="I1241" t="s">
        <v>268</v>
      </c>
      <c r="J1241" t="str">
        <f>TRIM(UPPER(Transaction[[#This Row],[ProductID]]))</f>
        <v>P-FS-002</v>
      </c>
      <c r="K1241" t="str">
        <f>IFERROR(VLOOKUP(Transaction[[#This Row],[ProductID_Clean]],Product[],1,FALSE),"Invalid ID")</f>
        <v>P-FS-002</v>
      </c>
      <c r="L1241" t="str">
        <f>TRIM(SUBSTITUTE(SUBSTITUTE(SUBSTITUTE(SUBSTITUTE(UPPER(Transaction[[#This Row],[Region]]),"EMEA REGION","EMEA"),"APAC REGION","APAC"),"NORTH AMERICA","N. AMERICA"),"N .AMERICA","N.AMERICA"))</f>
        <v>EMEA</v>
      </c>
      <c r="M1241" t="s">
        <v>76</v>
      </c>
      <c r="N1241" t="s">
        <v>21</v>
      </c>
      <c r="O1241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241" t="s">
        <v>22</v>
      </c>
      <c r="Q1241" t="str">
        <f>IF(TRIM(Transaction[[#This Row],[SalesChannel]])="","Missing Value",TRIM(Transaction[[#This Row],[SalesChannel]]))</f>
        <v>Direct</v>
      </c>
      <c r="R1241" s="4">
        <v>2</v>
      </c>
      <c r="S1241" s="4" t="str">
        <f>IF(Transaction[[#This Row],[Quantity]]&lt;0,"Negative-review","Valid")</f>
        <v>Valid</v>
      </c>
      <c r="T1241">
        <v>2210.16</v>
      </c>
      <c r="U124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2210.16</v>
      </c>
      <c r="V1241">
        <v>2400</v>
      </c>
      <c r="W1241">
        <v>4800</v>
      </c>
      <c r="X124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4800</v>
      </c>
      <c r="Y1241">
        <f>IF(Transaction[[#This Row],[GrossRevenue_Check]]="Invalid",Transaction[[#This Row],[ListPrice]]*Transaction[[#This Row],[Quantity]],Transaction[[#This Row],[GrossRevenue_Clean]])</f>
        <v>4800</v>
      </c>
      <c r="Z1241" t="str">
        <f>IF(Transaction[[#This Row],[GrossRevenue_Clean]]=Transaction[[#This Row],[ListPrice]]*Transaction[[#This Row],[Quantity]],"Valid","Invalid")</f>
        <v>Valid</v>
      </c>
      <c r="AA1241">
        <v>379.68</v>
      </c>
      <c r="AB124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379.68</v>
      </c>
      <c r="AC1241">
        <f>IF(Transaction[[#This Row],[DiscountAmount_Check2]]="Invalid",Transaction[[#This Row],[GrossRevenue_Analytical]]-Transaction[[#This Row],[NetRevenue_Analytical]],Transaction[[#This Row],[DiscountAmount_Clean]])</f>
        <v>379.68</v>
      </c>
      <c r="AD1241">
        <v>4420.32</v>
      </c>
      <c r="AE1241" t="str">
        <f>IF(ROUND(Transaction[[#This Row],[GrossRevenue_Analytical]]-Transaction[[#This Row],[NetRevenue_Analytical]],2)=ROUND(Transaction[[#This Row],[DiscountAmount_Clean]],2),"Valid","Invalid")</f>
        <v>Valid</v>
      </c>
      <c r="AF1241">
        <f>VALUE(IF(ISNUMBER(Transaction[[#This Row],[NetRevenue]]),Transaction[[#This Row],[NetRevenue]],IFERROR(IF(FIND("$",Transaction[[#This Row],[NetRevenue]])&gt;0,MID(Transaction[[#This Row],[NetRevenue]],2,10)),Transaction[[#This Row],[NetRevenue]])))</f>
        <v>4420.32</v>
      </c>
      <c r="AG1241">
        <f>IF(Transaction[[#This Row],[NetRevenue_Check]]="Invalid",(Transaction[[#This Row],[Quantity]]*Transaction[[#This Row],[UnitPrice_Clean]]),Transaction[[#This Row],[NetRevenue_Clean]])</f>
        <v>4420.32</v>
      </c>
      <c r="AH1241" t="str">
        <f>IF(Transaction[[#This Row],[Quantity]]*Transaction[[#This Row],[UnitPrice_Clean]]=Transaction[[#This Row],[NetRevenue_Clean]],"Valid","Invalid")</f>
        <v>Valid</v>
      </c>
      <c r="AI1241" t="s">
        <v>23</v>
      </c>
      <c r="AJ1241" t="s">
        <v>2035</v>
      </c>
      <c r="AK1241" t="str">
        <f>IF(Transaction[[#This Row],[Salesperson]]="","Missing Value",TRIM(PROPER(Transaction[[#This Row],[Salesperson]])))</f>
        <v>Hernandez-Na</v>
      </c>
      <c r="AL1241" t="s">
        <v>224</v>
      </c>
      <c r="AM1241" t="str">
        <f>IF(Transaction[[#This Row],[ContractType]]="","Missing Value",Transaction[[#This Row],[ContractType]])</f>
        <v>Annual</v>
      </c>
      <c r="AN1241" t="s">
        <v>49</v>
      </c>
    </row>
    <row r="1242" spans="1:40" x14ac:dyDescent="0.25">
      <c r="A1242" t="s">
        <v>1028</v>
      </c>
      <c r="B1242" s="1">
        <v>45659</v>
      </c>
      <c r="C124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24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124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42" s="2">
        <f>IFERROR(DATE(Transaction[[#This Row],[TransactionDateY]],Transaction[[#This Row],[TransactionDateM]],Transaction[[#This Row],[TransactionDateD]]),"Missing Value")</f>
        <v>45659</v>
      </c>
      <c r="G1242" t="s">
        <v>153</v>
      </c>
      <c r="H1242" t="str">
        <f>IFERROR(VLOOKUP(Transaction[[#This Row],[CustomerID]],Custumer[],1,0),IF(LEN(Transaction[[#This Row],[CustomerID]])=7,LEFT(Transaction[[#This Row],[CustomerID]],6),"Invalid ID"))</f>
        <v>C-1161</v>
      </c>
      <c r="I1242" t="s">
        <v>97</v>
      </c>
      <c r="J1242" t="str">
        <f>TRIM(UPPER(Transaction[[#This Row],[ProductID]]))</f>
        <v>P-SI-001</v>
      </c>
      <c r="K1242" t="str">
        <f>IFERROR(VLOOKUP(Transaction[[#This Row],[ProductID_Clean]],Product[],1,FALSE),"Invalid ID")</f>
        <v>P-SI-001</v>
      </c>
      <c r="L1242" t="str">
        <f>TRIM(SUBSTITUTE(SUBSTITUTE(SUBSTITUTE(SUBSTITUTE(UPPER(Transaction[[#This Row],[Region]]),"EMEA REGION","EMEA"),"APAC REGION","APAC"),"NORTH AMERICA","N. AMERICA"),"N .AMERICA","N.AMERICA"))</f>
        <v>N. AMERICA</v>
      </c>
      <c r="M1242" t="s">
        <v>20</v>
      </c>
      <c r="N1242" t="s">
        <v>53</v>
      </c>
      <c r="O124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42" t="s">
        <v>22</v>
      </c>
      <c r="Q1242" t="str">
        <f>IF(TRIM(Transaction[[#This Row],[SalesChannel]])="","Missing Value",TRIM(Transaction[[#This Row],[SalesChannel]]))</f>
        <v>Direct</v>
      </c>
      <c r="R1242" s="4">
        <v>2</v>
      </c>
      <c r="S1242" s="4" t="str">
        <f>IF(Transaction[[#This Row],[Quantity]]&lt;0,"Negative-review","Valid")</f>
        <v>Valid</v>
      </c>
      <c r="T1242">
        <v>452.56</v>
      </c>
      <c r="U124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452.56</v>
      </c>
      <c r="V1242">
        <v>485</v>
      </c>
      <c r="W1242" t="s">
        <v>154</v>
      </c>
      <c r="X124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1242">
        <f>IF(Transaction[[#This Row],[GrossRevenue_Check]]="Invalid",Transaction[[#This Row],[ListPrice]]*Transaction[[#This Row],[Quantity]],Transaction[[#This Row],[GrossRevenue_Clean]])</f>
        <v>970</v>
      </c>
      <c r="Z1242" t="str">
        <f>IF(Transaction[[#This Row],[GrossRevenue_Clean]]=Transaction[[#This Row],[ListPrice]]*Transaction[[#This Row],[Quantity]],"Valid","Invalid")</f>
        <v>Valid</v>
      </c>
      <c r="AA1242">
        <v>64.88</v>
      </c>
      <c r="AB124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64.88</v>
      </c>
      <c r="AC1242">
        <f>IF(Transaction[[#This Row],[DiscountAmount_Check2]]="Invalid",Transaction[[#This Row],[GrossRevenue_Analytical]]-Transaction[[#This Row],[NetRevenue_Analytical]],Transaction[[#This Row],[DiscountAmount_Clean]])</f>
        <v>64.88</v>
      </c>
      <c r="AD1242">
        <v>905.12</v>
      </c>
      <c r="AE1242" t="str">
        <f>IF(ROUND(Transaction[[#This Row],[GrossRevenue_Analytical]]-Transaction[[#This Row],[NetRevenue_Analytical]],2)=ROUND(Transaction[[#This Row],[DiscountAmount_Clean]],2),"Valid","Invalid")</f>
        <v>Valid</v>
      </c>
      <c r="AF1242">
        <f>VALUE(IF(ISNUMBER(Transaction[[#This Row],[NetRevenue]]),Transaction[[#This Row],[NetRevenue]],IFERROR(IF(FIND("$",Transaction[[#This Row],[NetRevenue]])&gt;0,MID(Transaction[[#This Row],[NetRevenue]],2,10)),Transaction[[#This Row],[NetRevenue]])))</f>
        <v>905.12</v>
      </c>
      <c r="AG1242">
        <f>IF(Transaction[[#This Row],[NetRevenue_Check]]="Invalid",(Transaction[[#This Row],[Quantity]]*Transaction[[#This Row],[UnitPrice_Clean]]),Transaction[[#This Row],[NetRevenue_Clean]])</f>
        <v>905.12</v>
      </c>
      <c r="AH1242" t="str">
        <f>IF(Transaction[[#This Row],[Quantity]]*Transaction[[#This Row],[UnitPrice_Clean]]=Transaction[[#This Row],[NetRevenue_Clean]],"Valid","Invalid")</f>
        <v>Valid</v>
      </c>
      <c r="AI1242" t="s">
        <v>23</v>
      </c>
      <c r="AJ1242" t="s">
        <v>155</v>
      </c>
      <c r="AK1242" t="str">
        <f>IF(Transaction[[#This Row],[Salesperson]]="","Missing Value",TRIM(PROPER(Transaction[[#This Row],[Salesperson]])))</f>
        <v>Cuevas-Ap</v>
      </c>
      <c r="AL1242" t="s">
        <v>42</v>
      </c>
      <c r="AM1242" t="str">
        <f>IF(Transaction[[#This Row],[ContractType]]="","Missing Value",Transaction[[#This Row],[ContractType]])</f>
        <v>Standard PO</v>
      </c>
      <c r="AN1242" t="s">
        <v>35</v>
      </c>
    </row>
    <row r="1243" spans="1:40" x14ac:dyDescent="0.25">
      <c r="A1243" t="s">
        <v>2754</v>
      </c>
      <c r="B1243" s="1">
        <v>45804</v>
      </c>
      <c r="C124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24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124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43" s="2">
        <f>IFERROR(DATE(Transaction[[#This Row],[TransactionDateY]],Transaction[[#This Row],[TransactionDateM]],Transaction[[#This Row],[TransactionDateD]]),"Missing Value")</f>
        <v>45804</v>
      </c>
      <c r="G1243" t="s">
        <v>250</v>
      </c>
      <c r="H1243" t="str">
        <f>IFERROR(VLOOKUP(Transaction[[#This Row],[CustomerID]],Custumer[],1,0),IF(LEN(Transaction[[#This Row],[CustomerID]])=7,LEFT(Transaction[[#This Row],[CustomerID]],6),"Invalid ID"))</f>
        <v>C-1043</v>
      </c>
      <c r="I1243" t="s">
        <v>111</v>
      </c>
      <c r="J1243" t="str">
        <f>TRIM(UPPER(Transaction[[#This Row],[ProductID]]))</f>
        <v>P-SA-004</v>
      </c>
      <c r="K1243" t="str">
        <f>IFERROR(VLOOKUP(Transaction[[#This Row],[ProductID_Clean]],Product[],1,FALSE),"Invalid ID")</f>
        <v>P-SA-004</v>
      </c>
      <c r="L1243" t="str">
        <f>TRIM(SUBSTITUTE(SUBSTITUTE(SUBSTITUTE(SUBSTITUTE(UPPER(Transaction[[#This Row],[Region]]),"EMEA REGION","EMEA"),"APAC REGION","APAC"),"NORTH AMERICA","N. AMERICA"),"N .AMERICA","N.AMERICA"))</f>
        <v>EMEA</v>
      </c>
      <c r="M1243" t="s">
        <v>87</v>
      </c>
      <c r="N1243" t="s">
        <v>205</v>
      </c>
      <c r="O1243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43" t="s">
        <v>181</v>
      </c>
      <c r="Q1243" t="str">
        <f>IF(TRIM(Transaction[[#This Row],[SalesChannel]])="","Missing Value",TRIM(Transaction[[#This Row],[SalesChannel]]))</f>
        <v>Partner Portal</v>
      </c>
      <c r="R1243" s="4">
        <v>1</v>
      </c>
      <c r="S1243" s="4" t="str">
        <f>IF(Transaction[[#This Row],[Quantity]]&lt;0,"Negative-review","Valid")</f>
        <v>Valid</v>
      </c>
      <c r="T1243">
        <v>82.5</v>
      </c>
      <c r="U124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82.5</v>
      </c>
      <c r="V1243">
        <v>1650</v>
      </c>
      <c r="W1243">
        <v>1650</v>
      </c>
      <c r="X124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243">
        <f>IF(Transaction[[#This Row],[GrossRevenue_Check]]="Invalid",Transaction[[#This Row],[ListPrice]]*Transaction[[#This Row],[Quantity]],Transaction[[#This Row],[GrossRevenue_Clean]])</f>
        <v>1650</v>
      </c>
      <c r="Z1243" t="str">
        <f>IF(Transaction[[#This Row],[GrossRevenue_Clean]]=Transaction[[#This Row],[ListPrice]]*Transaction[[#This Row],[Quantity]],"Valid","Invalid")</f>
        <v>Valid</v>
      </c>
      <c r="AA1243">
        <v>67.37</v>
      </c>
      <c r="AB124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67.37</v>
      </c>
      <c r="AC1243">
        <f>IF(Transaction[[#This Row],[DiscountAmount_Check2]]="Invalid",Transaction[[#This Row],[GrossRevenue_Analytical]]-Transaction[[#This Row],[NetRevenue_Analytical]],Transaction[[#This Row],[DiscountAmount_Clean]])</f>
        <v>1567.5</v>
      </c>
      <c r="AD1243">
        <v>1582.63</v>
      </c>
      <c r="AE1243" t="str">
        <f>IF(ROUND(Transaction[[#This Row],[GrossRevenue_Analytical]]-Transaction[[#This Row],[NetRevenue_Analytical]],2)=ROUND(Transaction[[#This Row],[DiscountAmount_Clean]],2),"Valid","Invalid")</f>
        <v>Invalid</v>
      </c>
      <c r="AF124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1582.63</v>
      </c>
      <c r="AG1243">
        <f>IF(Transaction[[#This Row],[NetRevenue_Check]]="Invalid",(Transaction[[#This Row],[Quantity]]*Transaction[[#This Row],[UnitPrice_Clean]]),Transaction[[#This Row],[NetRevenue_Clean]])</f>
        <v>82.5</v>
      </c>
      <c r="AH1243" t="str">
        <f>IF(Transaction[[#This Row],[Quantity]]*Transaction[[#This Row],[UnitPrice_Clean]]=Transaction[[#This Row],[NetRevenue_Clean]],"Valid","Invalid")</f>
        <v>Invalid</v>
      </c>
      <c r="AI1243" t="s">
        <v>23</v>
      </c>
      <c r="AJ1243" t="s">
        <v>982</v>
      </c>
      <c r="AK1243" t="str">
        <f>IF(Transaction[[#This Row],[Salesperson]]="","Missing Value",TRIM(PROPER(Transaction[[#This Row],[Salesperson]])))</f>
        <v>Sanchez-Ap</v>
      </c>
      <c r="AL1243" t="s">
        <v>210</v>
      </c>
      <c r="AM1243" t="str">
        <f>IF(Transaction[[#This Row],[ContractType]]="","Missing Value",Transaction[[#This Row],[ContractType]])</f>
        <v>Perpetual</v>
      </c>
      <c r="AN1243" t="s">
        <v>35</v>
      </c>
    </row>
    <row r="1244" spans="1:40" x14ac:dyDescent="0.25">
      <c r="A1244" t="s">
        <v>1361</v>
      </c>
      <c r="B1244" t="s">
        <v>1362</v>
      </c>
      <c r="C1244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03</v>
      </c>
      <c r="D1244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1244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44" s="2">
        <f>IFERROR(DATE(Transaction[[#This Row],[TransactionDateY]],Transaction[[#This Row],[TransactionDateM]],Transaction[[#This Row],[TransactionDateD]]),"Missing Value")</f>
        <v>45729</v>
      </c>
      <c r="G1244" t="s">
        <v>733</v>
      </c>
      <c r="H1244" t="str">
        <f>IFERROR(VLOOKUP(Transaction[[#This Row],[CustomerID]],Custumer[],1,0),IF(LEN(Transaction[[#This Row],[CustomerID]])=7,LEFT(Transaction[[#This Row],[CustomerID]],6),"Invalid ID"))</f>
        <v>C-1017</v>
      </c>
      <c r="I1244" t="s">
        <v>46</v>
      </c>
      <c r="J1244" t="str">
        <f>TRIM(UPPER(Transaction[[#This Row],[ProductID]]))</f>
        <v>P-SI-006</v>
      </c>
      <c r="K1244" t="str">
        <f>IFERROR(VLOOKUP(Transaction[[#This Row],[ProductID_Clean]],Product[],1,FALSE),"Invalid ID")</f>
        <v>P-SI-006</v>
      </c>
      <c r="L1244" t="str">
        <f>TRIM(SUBSTITUTE(SUBSTITUTE(SUBSTITUTE(SUBSTITUTE(UPPER(Transaction[[#This Row],[Region]]),"EMEA REGION","EMEA"),"APAC REGION","APAC"),"NORTH AMERICA","N. AMERICA"),"N .AMERICA","N.AMERICA"))</f>
        <v>EMEA</v>
      </c>
      <c r="M1244" t="s">
        <v>76</v>
      </c>
      <c r="N1244" t="s">
        <v>53</v>
      </c>
      <c r="O124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44" t="s">
        <v>22</v>
      </c>
      <c r="Q1244" t="str">
        <f>IF(TRIM(Transaction[[#This Row],[SalesChannel]])="","Missing Value",TRIM(Transaction[[#This Row],[SalesChannel]]))</f>
        <v>Direct</v>
      </c>
      <c r="R1244" s="4">
        <v>3</v>
      </c>
      <c r="S1244" s="4" t="str">
        <f>IF(Transaction[[#This Row],[Quantity]]&lt;0,"Negative-review","Valid")</f>
        <v>Valid</v>
      </c>
      <c r="T1244">
        <v>183.43</v>
      </c>
      <c r="U124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183.43</v>
      </c>
      <c r="V1244">
        <v>215</v>
      </c>
      <c r="W1244">
        <v>645</v>
      </c>
      <c r="X124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1244">
        <f>IF(Transaction[[#This Row],[GrossRevenue_Check]]="Invalid",Transaction[[#This Row],[ListPrice]]*Transaction[[#This Row],[Quantity]],Transaction[[#This Row],[GrossRevenue_Clean]])</f>
        <v>645</v>
      </c>
      <c r="Z1244" t="str">
        <f>IF(Transaction[[#This Row],[GrossRevenue_Clean]]=Transaction[[#This Row],[ListPrice]]*Transaction[[#This Row],[Quantity]],"Valid","Invalid")</f>
        <v>Valid</v>
      </c>
      <c r="AA1244">
        <v>94.71</v>
      </c>
      <c r="AB124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94.71</v>
      </c>
      <c r="AC1244">
        <f>IF(Transaction[[#This Row],[DiscountAmount_Check2]]="Invalid",Transaction[[#This Row],[GrossRevenue_Analytical]]-Transaction[[#This Row],[NetRevenue_Analytical]],Transaction[[#This Row],[DiscountAmount_Clean]])</f>
        <v>94.71</v>
      </c>
      <c r="AD1244">
        <v>550.29</v>
      </c>
      <c r="AE1244" t="str">
        <f>IF(ROUND(Transaction[[#This Row],[GrossRevenue_Analytical]]-Transaction[[#This Row],[NetRevenue_Analytical]],2)=ROUND(Transaction[[#This Row],[DiscountAmount_Clean]],2),"Valid","Invalid")</f>
        <v>Valid</v>
      </c>
      <c r="AF1244">
        <f>VALUE(IF(ISNUMBER(Transaction[[#This Row],[NetRevenue]]),Transaction[[#This Row],[NetRevenue]],IFERROR(IF(FIND("$",Transaction[[#This Row],[NetRevenue]])&gt;0,MID(Transaction[[#This Row],[NetRevenue]],2,10)),Transaction[[#This Row],[NetRevenue]])))</f>
        <v>550.29</v>
      </c>
      <c r="AG1244">
        <f>IF(Transaction[[#This Row],[NetRevenue_Check]]="Invalid",(Transaction[[#This Row],[Quantity]]*Transaction[[#This Row],[UnitPrice_Clean]]),Transaction[[#This Row],[NetRevenue_Clean]])</f>
        <v>550.29</v>
      </c>
      <c r="AH1244" t="str">
        <f>IF(Transaction[[#This Row],[Quantity]]*Transaction[[#This Row],[UnitPrice_Clean]]=Transaction[[#This Row],[NetRevenue_Clean]],"Valid","Invalid")</f>
        <v>Valid</v>
      </c>
      <c r="AI1244" t="s">
        <v>23</v>
      </c>
      <c r="AJ1244" t="s">
        <v>539</v>
      </c>
      <c r="AK1244" t="str">
        <f>IF(Transaction[[#This Row],[Salesperson]]="","Missing Value",TRIM(PROPER(Transaction[[#This Row],[Salesperson]])))</f>
        <v>Phillips-Ap</v>
      </c>
      <c r="AL1244" t="s">
        <v>42</v>
      </c>
      <c r="AM1244" t="str">
        <f>IF(Transaction[[#This Row],[ContractType]]="","Missing Value",Transaction[[#This Row],[ContractType]])</f>
        <v>Standard PO</v>
      </c>
      <c r="AN1244" t="s">
        <v>26</v>
      </c>
    </row>
    <row r="1245" spans="1:40" x14ac:dyDescent="0.25">
      <c r="A1245" t="s">
        <v>778</v>
      </c>
      <c r="B1245" s="1">
        <v>45808</v>
      </c>
      <c r="C124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24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31</v>
      </c>
      <c r="E124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45" s="2">
        <f>IFERROR(DATE(Transaction[[#This Row],[TransactionDateY]],Transaction[[#This Row],[TransactionDateM]],Transaction[[#This Row],[TransactionDateD]]),"Missing Value")</f>
        <v>45808</v>
      </c>
      <c r="G1245" t="s">
        <v>779</v>
      </c>
      <c r="H1245" t="str">
        <f>IFERROR(VLOOKUP(Transaction[[#This Row],[CustomerID]],Custumer[],1,0),IF(LEN(Transaction[[#This Row],[CustomerID]])=7,LEFT(Transaction[[#This Row],[CustomerID]],6),"Invalid ID"))</f>
        <v>C-1025</v>
      </c>
      <c r="I1245" t="s">
        <v>103</v>
      </c>
      <c r="J1245" t="str">
        <f>TRIM(UPPER(Transaction[[#This Row],[ProductID]]))</f>
        <v>P-FS-005</v>
      </c>
      <c r="K1245" t="str">
        <f>IFERROR(VLOOKUP(Transaction[[#This Row],[ProductID_Clean]],Product[],1,FALSE),"Invalid ID")</f>
        <v>P-FS-005</v>
      </c>
      <c r="L1245" t="str">
        <f>TRIM(SUBSTITUTE(SUBSTITUTE(SUBSTITUTE(SUBSTITUTE(UPPER(Transaction[[#This Row],[Region]]),"EMEA REGION","EMEA"),"APAC REGION","APAC"),"NORTH AMERICA","N. AMERICA"),"N .AMERICA","N.AMERICA"))</f>
        <v>LATIN AMERICA</v>
      </c>
      <c r="M1245" t="s">
        <v>780</v>
      </c>
      <c r="N1245" t="s">
        <v>244</v>
      </c>
      <c r="O124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245" t="s">
        <v>22</v>
      </c>
      <c r="Q1245" t="str">
        <f>IF(TRIM(Transaction[[#This Row],[SalesChannel]])="","Missing Value",TRIM(Transaction[[#This Row],[SalesChannel]]))</f>
        <v>Direct</v>
      </c>
      <c r="R1245" s="4">
        <v>-1</v>
      </c>
      <c r="S1245" s="4" t="str">
        <f>IF(Transaction[[#This Row],[Quantity]]&lt;0,"Negative-review","Valid")</f>
        <v>Negative-review</v>
      </c>
      <c r="T1245">
        <v>746.83</v>
      </c>
      <c r="U124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746.83</v>
      </c>
      <c r="V1245">
        <v>950</v>
      </c>
      <c r="W1245">
        <v>950</v>
      </c>
      <c r="X124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1245">
        <f>IF(Transaction[[#This Row],[GrossRevenue_Check]]="Invalid",Transaction[[#This Row],[ListPrice]]*Transaction[[#This Row],[Quantity]],Transaction[[#This Row],[GrossRevenue_Clean]])</f>
        <v>-950</v>
      </c>
      <c r="Z1245" t="str">
        <f>IF(Transaction[[#This Row],[GrossRevenue_Clean]]=Transaction[[#This Row],[ListPrice]]*Transaction[[#This Row],[Quantity]],"Valid","Invalid")</f>
        <v>Invalid</v>
      </c>
      <c r="AA1245">
        <v>203.17</v>
      </c>
      <c r="AB124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203.17</v>
      </c>
      <c r="AC1245">
        <f>IF(Transaction[[#This Row],[DiscountAmount_Check2]]="Invalid",Transaction[[#This Row],[GrossRevenue_Analytical]]-Transaction[[#This Row],[NetRevenue_Analytical]],Transaction[[#This Row],[DiscountAmount_Clean]])</f>
        <v>-203.16999999999996</v>
      </c>
      <c r="AD1245">
        <v>746.83</v>
      </c>
      <c r="AE1245" t="str">
        <f>IF(ROUND(Transaction[[#This Row],[GrossRevenue_Analytical]]-Transaction[[#This Row],[NetRevenue_Analytical]],2)=ROUND(Transaction[[#This Row],[DiscountAmount_Clean]],2),"Valid","Invalid")</f>
        <v>Invalid</v>
      </c>
      <c r="AF1245">
        <f>VALUE(IF(ISNUMBER(Transaction[[#This Row],[NetRevenue]]),Transaction[[#This Row],[NetRevenue]],IFERROR(IF(FIND("$",Transaction[[#This Row],[NetRevenue]])&gt;0,MID(Transaction[[#This Row],[NetRevenue]],2,10)),Transaction[[#This Row],[NetRevenue]])))</f>
        <v>746.83</v>
      </c>
      <c r="AG1245">
        <f>IF(Transaction[[#This Row],[NetRevenue_Check]]="Invalid",(Transaction[[#This Row],[Quantity]]*Transaction[[#This Row],[UnitPrice_Clean]]),Transaction[[#This Row],[NetRevenue_Clean]])</f>
        <v>-746.83</v>
      </c>
      <c r="AH1245" t="str">
        <f>IF(Transaction[[#This Row],[Quantity]]*Transaction[[#This Row],[UnitPrice_Clean]]=Transaction[[#This Row],[NetRevenue_Clean]],"Valid","Invalid")</f>
        <v>Invalid</v>
      </c>
      <c r="AI1245" t="s">
        <v>23</v>
      </c>
      <c r="AJ1245" t="s">
        <v>781</v>
      </c>
      <c r="AK1245" t="str">
        <f>IF(Transaction[[#This Row],[Salesperson]]="","Missing Value",TRIM(PROPER(Transaction[[#This Row],[Salesperson]])))</f>
        <v>Davis</v>
      </c>
      <c r="AL1245" t="s">
        <v>42</v>
      </c>
      <c r="AM1245" t="str">
        <f>IF(Transaction[[#This Row],[ContractType]]="","Missing Value",Transaction[[#This Row],[ContractType]])</f>
        <v>Standard PO</v>
      </c>
      <c r="AN1245" t="s">
        <v>26</v>
      </c>
    </row>
    <row r="1246" spans="1:40" x14ac:dyDescent="0.25">
      <c r="A1246" t="s">
        <v>2772</v>
      </c>
      <c r="B1246" s="1">
        <v>45684</v>
      </c>
      <c r="C124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24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27</v>
      </c>
      <c r="E124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46" s="2">
        <f>IFERROR(DATE(Transaction[[#This Row],[TransactionDateY]],Transaction[[#This Row],[TransactionDateM]],Transaction[[#This Row],[TransactionDateD]]),"Missing Value")</f>
        <v>45684</v>
      </c>
      <c r="G1246" t="s">
        <v>195</v>
      </c>
      <c r="H1246" t="str">
        <f>IFERROR(VLOOKUP(Transaction[[#This Row],[CustomerID]],Custumer[],1,0),IF(LEN(Transaction[[#This Row],[CustomerID]])=7,LEFT(Transaction[[#This Row],[CustomerID]],6),"Invalid ID"))</f>
        <v>C-1015</v>
      </c>
      <c r="I1246" t="s">
        <v>71</v>
      </c>
      <c r="J1246" t="str">
        <f>TRIM(UPPER(Transaction[[#This Row],[ProductID]]))</f>
        <v>P-SI-003</v>
      </c>
      <c r="K1246" t="str">
        <f>IFERROR(VLOOKUP(Transaction[[#This Row],[ProductID_Clean]],Product[],1,FALSE),"Invalid ID")</f>
        <v>P-SI-003</v>
      </c>
      <c r="L1246" t="str">
        <f>TRIM(SUBSTITUTE(SUBSTITUTE(SUBSTITUTE(SUBSTITUTE(UPPER(Transaction[[#This Row],[Region]]),"EMEA REGION","EMEA"),"APAC REGION","APAC"),"NORTH AMERICA","N. AMERICA"),"N .AMERICA","N.AMERICA"))</f>
        <v>N. AMERICA</v>
      </c>
      <c r="M1246" t="s">
        <v>20</v>
      </c>
      <c r="N1246" t="s">
        <v>53</v>
      </c>
      <c r="O124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46" t="s">
        <v>181</v>
      </c>
      <c r="Q1246" t="str">
        <f>IF(TRIM(Transaction[[#This Row],[SalesChannel]])="","Missing Value",TRIM(Transaction[[#This Row],[SalesChannel]]))</f>
        <v>Partner Portal</v>
      </c>
      <c r="R1246" s="4">
        <v>5</v>
      </c>
      <c r="S1246" s="4" t="str">
        <f>IF(Transaction[[#This Row],[Quantity]]&lt;0,"Negative-review","Valid")</f>
        <v>Valid</v>
      </c>
      <c r="T1246">
        <v>1543.09</v>
      </c>
      <c r="U124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1543.09</v>
      </c>
      <c r="V1246">
        <v>1890</v>
      </c>
      <c r="W1246" t="s">
        <v>2773</v>
      </c>
      <c r="X124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9450</v>
      </c>
      <c r="Y1246">
        <f>IF(Transaction[[#This Row],[GrossRevenue_Check]]="Invalid",Transaction[[#This Row],[ListPrice]]*Transaction[[#This Row],[Quantity]],Transaction[[#This Row],[GrossRevenue_Clean]])</f>
        <v>9450</v>
      </c>
      <c r="Z1246" t="str">
        <f>IF(Transaction[[#This Row],[GrossRevenue_Clean]]=Transaction[[#This Row],[ListPrice]]*Transaction[[#This Row],[Quantity]],"Valid","Invalid")</f>
        <v>Valid</v>
      </c>
      <c r="AA1246">
        <v>1734.55</v>
      </c>
      <c r="AB124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1734.55</v>
      </c>
      <c r="AC1246">
        <f>IF(Transaction[[#This Row],[DiscountAmount_Check2]]="Invalid",Transaction[[#This Row],[GrossRevenue_Analytical]]-Transaction[[#This Row],[NetRevenue_Analytical]],Transaction[[#This Row],[DiscountAmount_Clean]])</f>
        <v>1734.55</v>
      </c>
      <c r="AD1246">
        <v>7715.45</v>
      </c>
      <c r="AE1246" t="str">
        <f>IF(ROUND(Transaction[[#This Row],[GrossRevenue_Analytical]]-Transaction[[#This Row],[NetRevenue_Analytical]],2)=ROUND(Transaction[[#This Row],[DiscountAmount_Clean]],2),"Valid","Invalid")</f>
        <v>Valid</v>
      </c>
      <c r="AF1246">
        <f>VALUE(IF(ISNUMBER(Transaction[[#This Row],[NetRevenue]]),Transaction[[#This Row],[NetRevenue]],IFERROR(IF(FIND("$",Transaction[[#This Row],[NetRevenue]])&gt;0,MID(Transaction[[#This Row],[NetRevenue]],2,10)),Transaction[[#This Row],[NetRevenue]])))</f>
        <v>7715.45</v>
      </c>
      <c r="AG1246">
        <f>IF(Transaction[[#This Row],[NetRevenue_Check]]="Invalid",(Transaction[[#This Row],[Quantity]]*Transaction[[#This Row],[UnitPrice_Clean]]),Transaction[[#This Row],[NetRevenue_Clean]])</f>
        <v>7715.45</v>
      </c>
      <c r="AH1246" t="str">
        <f>IF(Transaction[[#This Row],[Quantity]]*Transaction[[#This Row],[UnitPrice_Clean]]=Transaction[[#This Row],[NetRevenue_Clean]],"Valid","Invalid")</f>
        <v>Valid</v>
      </c>
      <c r="AI1246" t="s">
        <v>23</v>
      </c>
      <c r="AJ1246" t="s">
        <v>1374</v>
      </c>
      <c r="AK1246" t="str">
        <f>IF(Transaction[[#This Row],[Salesperson]]="","Missing Value",TRIM(PROPER(Transaction[[#This Row],[Salesperson]])))</f>
        <v>Miller-Em</v>
      </c>
      <c r="AL1246" t="s">
        <v>42</v>
      </c>
      <c r="AM1246" t="str">
        <f>IF(Transaction[[#This Row],[ContractType]]="","Missing Value",Transaction[[#This Row],[ContractType]])</f>
        <v>Standard PO</v>
      </c>
      <c r="AN1246" t="s">
        <v>26</v>
      </c>
    </row>
    <row r="1247" spans="1:40" x14ac:dyDescent="0.25">
      <c r="A1247" t="s">
        <v>1828</v>
      </c>
      <c r="B1247" s="1">
        <v>45705</v>
      </c>
      <c r="C124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24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124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47" s="2">
        <f>IFERROR(DATE(Transaction[[#This Row],[TransactionDateY]],Transaction[[#This Row],[TransactionDateM]],Transaction[[#This Row],[TransactionDateD]]),"Missing Value")</f>
        <v>45705</v>
      </c>
      <c r="G1247" t="s">
        <v>86</v>
      </c>
      <c r="H1247" t="str">
        <f>IFERROR(VLOOKUP(Transaction[[#This Row],[CustomerID]],Custumer[],1,0),IF(LEN(Transaction[[#This Row],[CustomerID]])=7,LEFT(Transaction[[#This Row],[CustomerID]],6),"Invalid ID"))</f>
        <v>C-1177</v>
      </c>
      <c r="I1247" t="s">
        <v>58</v>
      </c>
      <c r="J1247" t="str">
        <f>TRIM(UPPER(Transaction[[#This Row],[ProductID]]))</f>
        <v>P-SI-005</v>
      </c>
      <c r="K1247" t="str">
        <f>IFERROR(VLOOKUP(Transaction[[#This Row],[ProductID_Clean]],Product[],1,FALSE),"Invalid ID")</f>
        <v>P-SI-005</v>
      </c>
      <c r="L1247" t="str">
        <f>TRIM(SUBSTITUTE(SUBSTITUTE(SUBSTITUTE(SUBSTITUTE(UPPER(Transaction[[#This Row],[Region]]),"EMEA REGION","EMEA"),"APAC REGION","APAC"),"NORTH AMERICA","N. AMERICA"),"N .AMERICA","N.AMERICA"))</f>
        <v>EMEA</v>
      </c>
      <c r="M1247" t="s">
        <v>76</v>
      </c>
      <c r="N1247" t="s">
        <v>53</v>
      </c>
      <c r="O124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47" t="s">
        <v>22</v>
      </c>
      <c r="Q1247" t="str">
        <f>IF(TRIM(Transaction[[#This Row],[SalesChannel]])="","Missing Value",TRIM(Transaction[[#This Row],[SalesChannel]]))</f>
        <v>Direct</v>
      </c>
      <c r="R1247" s="4">
        <v>8</v>
      </c>
      <c r="S1247" s="4" t="str">
        <f>IF(Transaction[[#This Row],[Quantity]]&lt;0,"Negative-review","Valid")</f>
        <v>Valid</v>
      </c>
      <c r="T1247">
        <v>901.96</v>
      </c>
      <c r="U124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901.96</v>
      </c>
      <c r="V1247">
        <v>1120</v>
      </c>
      <c r="W1247">
        <v>8960</v>
      </c>
      <c r="X124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8960</v>
      </c>
      <c r="Y1247">
        <f>IF(Transaction[[#This Row],[GrossRevenue_Check]]="Invalid",Transaction[[#This Row],[ListPrice]]*Transaction[[#This Row],[Quantity]],Transaction[[#This Row],[GrossRevenue_Clean]])</f>
        <v>8960</v>
      </c>
      <c r="Z1247" t="str">
        <f>IF(Transaction[[#This Row],[GrossRevenue_Clean]]=Transaction[[#This Row],[ListPrice]]*Transaction[[#This Row],[Quantity]],"Valid","Invalid")</f>
        <v>Valid</v>
      </c>
      <c r="AA1247">
        <v>1744.32</v>
      </c>
      <c r="AB124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1744.32</v>
      </c>
      <c r="AC1247">
        <f>IF(Transaction[[#This Row],[DiscountAmount_Check2]]="Invalid",Transaction[[#This Row],[GrossRevenue_Analytical]]-Transaction[[#This Row],[NetRevenue_Analytical]],Transaction[[#This Row],[DiscountAmount_Clean]])</f>
        <v>1744.32</v>
      </c>
      <c r="AD1247">
        <v>7215.68</v>
      </c>
      <c r="AE1247" t="str">
        <f>IF(ROUND(Transaction[[#This Row],[GrossRevenue_Analytical]]-Transaction[[#This Row],[NetRevenue_Analytical]],2)=ROUND(Transaction[[#This Row],[DiscountAmount_Clean]],2),"Valid","Invalid")</f>
        <v>Valid</v>
      </c>
      <c r="AF1247">
        <f>VALUE(IF(ISNUMBER(Transaction[[#This Row],[NetRevenue]]),Transaction[[#This Row],[NetRevenue]],IFERROR(IF(FIND("$",Transaction[[#This Row],[NetRevenue]])&gt;0,MID(Transaction[[#This Row],[NetRevenue]],2,10)),Transaction[[#This Row],[NetRevenue]])))</f>
        <v>7215.68</v>
      </c>
      <c r="AG1247">
        <f>IF(Transaction[[#This Row],[NetRevenue_Check]]="Invalid",(Transaction[[#This Row],[Quantity]]*Transaction[[#This Row],[UnitPrice_Clean]]),Transaction[[#This Row],[NetRevenue_Clean]])</f>
        <v>7215.68</v>
      </c>
      <c r="AH1247" t="str">
        <f>IF(Transaction[[#This Row],[Quantity]]*Transaction[[#This Row],[UnitPrice_Clean]]=Transaction[[#This Row],[NetRevenue_Clean]],"Valid","Invalid")</f>
        <v>Valid</v>
      </c>
      <c r="AI1247" t="s">
        <v>23</v>
      </c>
      <c r="AJ1247" t="s">
        <v>322</v>
      </c>
      <c r="AK1247" t="str">
        <f>IF(Transaction[[#This Row],[Salesperson]]="","Missing Value",TRIM(PROPER(Transaction[[#This Row],[Salesperson]])))</f>
        <v>Guerra</v>
      </c>
      <c r="AL1247" t="s">
        <v>42</v>
      </c>
      <c r="AM1247" t="str">
        <f>IF(Transaction[[#This Row],[ContractType]]="","Missing Value",Transaction[[#This Row],[ContractType]])</f>
        <v>Standard PO</v>
      </c>
      <c r="AN1247" t="s">
        <v>49</v>
      </c>
    </row>
    <row r="1248" spans="1:40" x14ac:dyDescent="0.25">
      <c r="A1248" t="s">
        <v>1686</v>
      </c>
      <c r="B1248" s="1">
        <v>45741</v>
      </c>
      <c r="C124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24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25</v>
      </c>
      <c r="E124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48" s="2">
        <f>IFERROR(DATE(Transaction[[#This Row],[TransactionDateY]],Transaction[[#This Row],[TransactionDateM]],Transaction[[#This Row],[TransactionDateD]]),"Missing Value")</f>
        <v>45741</v>
      </c>
      <c r="G1248" t="s">
        <v>380</v>
      </c>
      <c r="H1248" t="str">
        <f>IFERROR(VLOOKUP(Transaction[[#This Row],[CustomerID]],Custumer[],1,0),IF(LEN(Transaction[[#This Row],[CustomerID]])=7,LEFT(Transaction[[#This Row],[CustomerID]],6),"Invalid ID"))</f>
        <v>C-1029</v>
      </c>
      <c r="I1248" t="s">
        <v>97</v>
      </c>
      <c r="J1248" t="str">
        <f>TRIM(UPPER(Transaction[[#This Row],[ProductID]]))</f>
        <v>P-SI-001</v>
      </c>
      <c r="K1248" t="str">
        <f>IFERROR(VLOOKUP(Transaction[[#This Row],[ProductID_Clean]],Product[],1,FALSE),"Invalid ID")</f>
        <v>P-SI-001</v>
      </c>
      <c r="L1248" t="str">
        <f>TRIM(SUBSTITUTE(SUBSTITUTE(SUBSTITUTE(SUBSTITUTE(UPPER(Transaction[[#This Row],[Region]]),"EMEA REGION","EMEA"),"APAC REGION","APAC"),"NORTH AMERICA","N. AMERICA"),"N .AMERICA","N.AMERICA"))</f>
        <v>N. AMERICA</v>
      </c>
      <c r="M1248" t="s">
        <v>20</v>
      </c>
      <c r="N1248" t="s">
        <v>47</v>
      </c>
      <c r="O124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48" t="s">
        <v>181</v>
      </c>
      <c r="Q1248" t="str">
        <f>IF(TRIM(Transaction[[#This Row],[SalesChannel]])="","Missing Value",TRIM(Transaction[[#This Row],[SalesChannel]]))</f>
        <v>Partner Portal</v>
      </c>
      <c r="R1248" s="4">
        <v>2</v>
      </c>
      <c r="S1248" s="4" t="str">
        <f>IF(Transaction[[#This Row],[Quantity]]&lt;0,"Negative-review","Valid")</f>
        <v>Valid</v>
      </c>
      <c r="T1248">
        <v>428.25</v>
      </c>
      <c r="U124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428.25</v>
      </c>
      <c r="V1248">
        <v>485</v>
      </c>
      <c r="W1248">
        <v>970</v>
      </c>
      <c r="X124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970</v>
      </c>
      <c r="Y1248">
        <f>IF(Transaction[[#This Row],[GrossRevenue_Check]]="Invalid",Transaction[[#This Row],[ListPrice]]*Transaction[[#This Row],[Quantity]],Transaction[[#This Row],[GrossRevenue_Clean]])</f>
        <v>970</v>
      </c>
      <c r="Z1248" t="str">
        <f>IF(Transaction[[#This Row],[GrossRevenue_Clean]]=Transaction[[#This Row],[ListPrice]]*Transaction[[#This Row],[Quantity]],"Valid","Invalid")</f>
        <v>Valid</v>
      </c>
      <c r="AA1248">
        <v>113.5</v>
      </c>
      <c r="AB124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113.5</v>
      </c>
      <c r="AC1248">
        <f>IF(Transaction[[#This Row],[DiscountAmount_Check2]]="Invalid",Transaction[[#This Row],[GrossRevenue_Analytical]]-Transaction[[#This Row],[NetRevenue_Analytical]],Transaction[[#This Row],[DiscountAmount_Clean]])</f>
        <v>113.5</v>
      </c>
      <c r="AD1248">
        <v>856.5</v>
      </c>
      <c r="AE1248" t="str">
        <f>IF(ROUND(Transaction[[#This Row],[GrossRevenue_Analytical]]-Transaction[[#This Row],[NetRevenue_Analytical]],2)=ROUND(Transaction[[#This Row],[DiscountAmount_Clean]],2),"Valid","Invalid")</f>
        <v>Valid</v>
      </c>
      <c r="AF1248">
        <f>VALUE(IF(ISNUMBER(Transaction[[#This Row],[NetRevenue]]),Transaction[[#This Row],[NetRevenue]],IFERROR(IF(FIND("$",Transaction[[#This Row],[NetRevenue]])&gt;0,MID(Transaction[[#This Row],[NetRevenue]],2,10)),Transaction[[#This Row],[NetRevenue]])))</f>
        <v>856.5</v>
      </c>
      <c r="AG1248">
        <f>IF(Transaction[[#This Row],[NetRevenue_Check]]="Invalid",(Transaction[[#This Row],[Quantity]]*Transaction[[#This Row],[UnitPrice_Clean]]),Transaction[[#This Row],[NetRevenue_Clean]])</f>
        <v>856.5</v>
      </c>
      <c r="AH1248" t="str">
        <f>IF(Transaction[[#This Row],[Quantity]]*Transaction[[#This Row],[UnitPrice_Clean]]=Transaction[[#This Row],[NetRevenue_Clean]],"Valid","Invalid")</f>
        <v>Valid</v>
      </c>
      <c r="AI1248" t="s">
        <v>23</v>
      </c>
      <c r="AJ1248" t="s">
        <v>1687</v>
      </c>
      <c r="AK1248" t="str">
        <f>IF(Transaction[[#This Row],[Salesperson]]="","Missing Value",TRIM(PROPER(Transaction[[#This Row],[Salesperson]])))</f>
        <v>Cross</v>
      </c>
      <c r="AL1248" t="s">
        <v>42</v>
      </c>
      <c r="AM1248" t="str">
        <f>IF(Transaction[[#This Row],[ContractType]]="","Missing Value",Transaction[[#This Row],[ContractType]])</f>
        <v>Standard PO</v>
      </c>
      <c r="AN1248" t="s">
        <v>65</v>
      </c>
    </row>
    <row r="1249" spans="1:40" x14ac:dyDescent="0.25">
      <c r="A1249" t="s">
        <v>1434</v>
      </c>
      <c r="B1249" s="1">
        <v>45810</v>
      </c>
      <c r="C124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24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124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49" s="2">
        <f>IFERROR(DATE(Transaction[[#This Row],[TransactionDateY]],Transaction[[#This Row],[TransactionDateM]],Transaction[[#This Row],[TransactionDateD]]),"Missing Value")</f>
        <v>45810</v>
      </c>
      <c r="G1249" t="s">
        <v>271</v>
      </c>
      <c r="H1249" t="str">
        <f>IFERROR(VLOOKUP(Transaction[[#This Row],[CustomerID]],Custumer[],1,0),IF(LEN(Transaction[[#This Row],[CustomerID]])=7,LEFT(Transaction[[#This Row],[CustomerID]],6),"Invalid ID"))</f>
        <v>C-1113</v>
      </c>
      <c r="I1249" t="s">
        <v>92</v>
      </c>
      <c r="J1249" t="str">
        <f>TRIM(UPPER(Transaction[[#This Row],[ProductID]]))</f>
        <v>P-SI-008</v>
      </c>
      <c r="K1249" t="str">
        <f>IFERROR(VLOOKUP(Transaction[[#This Row],[ProductID_Clean]],Product[],1,FALSE),"Invalid ID")</f>
        <v>P-SI-008</v>
      </c>
      <c r="L1249" t="str">
        <f>TRIM(SUBSTITUTE(SUBSTITUTE(SUBSTITUTE(SUBSTITUTE(UPPER(Transaction[[#This Row],[Region]]),"EMEA REGION","EMEA"),"APAC REGION","APAC"),"NORTH AMERICA","N. AMERICA"),"N .AMERICA","N.AMERICA"))</f>
        <v>N. AMERICA</v>
      </c>
      <c r="M1249" t="s">
        <v>20</v>
      </c>
      <c r="N1249" t="s">
        <v>53</v>
      </c>
      <c r="O124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49" t="s">
        <v>40</v>
      </c>
      <c r="Q1249" t="str">
        <f>IF(TRIM(Transaction[[#This Row],[SalesChannel]])="","Missing Value",TRIM(Transaction[[#This Row],[SalesChannel]]))</f>
        <v>Distributor</v>
      </c>
      <c r="R1249" s="4">
        <v>1</v>
      </c>
      <c r="S1249" s="4" t="str">
        <f>IF(Transaction[[#This Row],[Quantity]]&lt;0,"Negative-review","Valid")</f>
        <v>Valid</v>
      </c>
      <c r="T1249" t="s">
        <v>1435</v>
      </c>
      <c r="U124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772.84</v>
      </c>
      <c r="V1249">
        <v>950</v>
      </c>
      <c r="W1249">
        <v>950</v>
      </c>
      <c r="X124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1249">
        <f>IF(Transaction[[#This Row],[GrossRevenue_Check]]="Invalid",Transaction[[#This Row],[ListPrice]]*Transaction[[#This Row],[Quantity]],Transaction[[#This Row],[GrossRevenue_Clean]])</f>
        <v>950</v>
      </c>
      <c r="Z1249" t="str">
        <f>IF(Transaction[[#This Row],[GrossRevenue_Clean]]=Transaction[[#This Row],[ListPrice]]*Transaction[[#This Row],[Quantity]],"Valid","Invalid")</f>
        <v>Valid</v>
      </c>
      <c r="AB124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1249">
        <f>IF(Transaction[[#This Row],[DiscountAmount_Check2]]="Invalid",Transaction[[#This Row],[GrossRevenue_Analytical]]-Transaction[[#This Row],[NetRevenue_Analytical]],Transaction[[#This Row],[DiscountAmount_Clean]])</f>
        <v>177.15999999999997</v>
      </c>
      <c r="AD1249" t="s">
        <v>1436</v>
      </c>
      <c r="AE1249" t="str">
        <f>IF(ROUND(Transaction[[#This Row],[GrossRevenue_Analytical]]-Transaction[[#This Row],[NetRevenue_Analytical]],2)=ROUND(Transaction[[#This Row],[DiscountAmount_Clean]],2),"Valid","Invalid")</f>
        <v>Invalid</v>
      </c>
      <c r="AF1249">
        <f>VALUE(IF(ISNUMBER(Transaction[[#This Row],[NetRevenue]]),Transaction[[#This Row],[NetRevenue]],IFERROR(IF(FIND("$",Transaction[[#This Row],[NetRevenue]])&gt;0,MID(Transaction[[#This Row],[NetRevenue]],2,10)),Transaction[[#This Row],[NetRevenue]])))</f>
        <v>772.84</v>
      </c>
      <c r="AG1249">
        <f>IF(Transaction[[#This Row],[NetRevenue_Check]]="Invalid",(Transaction[[#This Row],[Quantity]]*Transaction[[#This Row],[UnitPrice_Clean]]),Transaction[[#This Row],[NetRevenue_Clean]])</f>
        <v>772.84</v>
      </c>
      <c r="AH1249" t="str">
        <f>IF(Transaction[[#This Row],[Quantity]]*Transaction[[#This Row],[UnitPrice_Clean]]=Transaction[[#This Row],[NetRevenue_Clean]],"Valid","Invalid")</f>
        <v>Valid</v>
      </c>
      <c r="AI1249" t="s">
        <v>23</v>
      </c>
      <c r="AJ1249" t="s">
        <v>1437</v>
      </c>
      <c r="AK1249" t="str">
        <f>IF(Transaction[[#This Row],[Salesperson]]="","Missing Value",TRIM(PROPER(Transaction[[#This Row],[Salesperson]])))</f>
        <v>Spears</v>
      </c>
      <c r="AL1249" t="s">
        <v>42</v>
      </c>
      <c r="AM1249" t="str">
        <f>IF(Transaction[[#This Row],[ContractType]]="","Missing Value",Transaction[[#This Row],[ContractType]])</f>
        <v>Standard PO</v>
      </c>
      <c r="AN1249" t="s">
        <v>35</v>
      </c>
    </row>
    <row r="1250" spans="1:40" x14ac:dyDescent="0.25">
      <c r="A1250" t="s">
        <v>2564</v>
      </c>
      <c r="B1250" s="1">
        <v>45783</v>
      </c>
      <c r="C125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25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125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50" s="2">
        <f>IFERROR(DATE(Transaction[[#This Row],[TransactionDateY]],Transaction[[#This Row],[TransactionDateM]],Transaction[[#This Row],[TransactionDateD]]),"Missing Value")</f>
        <v>45783</v>
      </c>
      <c r="G1250" t="s">
        <v>247</v>
      </c>
      <c r="H1250" t="str">
        <f>IFERROR(VLOOKUP(Transaction[[#This Row],[CustomerID]],Custumer[],1,0),IF(LEN(Transaction[[#This Row],[CustomerID]])=7,LEFT(Transaction[[#This Row],[CustomerID]],6),"Invalid ID"))</f>
        <v>C-1045</v>
      </c>
      <c r="I1250" t="s">
        <v>121</v>
      </c>
      <c r="J1250" t="str">
        <f>TRIM(UPPER(Transaction[[#This Row],[ProductID]]))</f>
        <v>P-FS-001</v>
      </c>
      <c r="K1250" t="str">
        <f>IFERROR(VLOOKUP(Transaction[[#This Row],[ProductID_Clean]],Product[],1,FALSE),"Invalid ID")</f>
        <v>P-FS-001</v>
      </c>
      <c r="L1250" t="str">
        <f>TRIM(SUBSTITUTE(SUBSTITUTE(SUBSTITUTE(SUBSTITUTE(UPPER(Transaction[[#This Row],[Region]]),"EMEA REGION","EMEA"),"APAC REGION","APAC"),"NORTH AMERICA","N. AMERICA"),"N .AMERICA","N.AMERICA"))</f>
        <v>EMEA</v>
      </c>
      <c r="M1250" t="s">
        <v>87</v>
      </c>
      <c r="N1250" t="s">
        <v>21</v>
      </c>
      <c r="O1250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250" t="s">
        <v>40</v>
      </c>
      <c r="Q1250" t="str">
        <f>IF(TRIM(Transaction[[#This Row],[SalesChannel]])="","Missing Value",TRIM(Transaction[[#This Row],[SalesChannel]]))</f>
        <v>Distributor</v>
      </c>
      <c r="R1250" s="4">
        <v>1</v>
      </c>
      <c r="S1250" s="4" t="str">
        <f>IF(Transaction[[#This Row],[Quantity]]&lt;0,"Negative-review","Valid")</f>
        <v>Valid</v>
      </c>
      <c r="T1250">
        <v>1342.24</v>
      </c>
      <c r="U125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1342.24</v>
      </c>
      <c r="V1250">
        <v>1850</v>
      </c>
      <c r="W1250">
        <v>1850</v>
      </c>
      <c r="X125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1250">
        <f>IF(Transaction[[#This Row],[GrossRevenue_Check]]="Invalid",Transaction[[#This Row],[ListPrice]]*Transaction[[#This Row],[Quantity]],Transaction[[#This Row],[GrossRevenue_Clean]])</f>
        <v>1850</v>
      </c>
      <c r="Z1250" t="str">
        <f>IF(Transaction[[#This Row],[GrossRevenue_Clean]]=Transaction[[#This Row],[ListPrice]]*Transaction[[#This Row],[Quantity]],"Valid","Invalid")</f>
        <v>Valid</v>
      </c>
      <c r="AA1250">
        <v>507.76</v>
      </c>
      <c r="AB125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507.76</v>
      </c>
      <c r="AC1250">
        <f>IF(Transaction[[#This Row],[DiscountAmount_Check2]]="Invalid",Transaction[[#This Row],[GrossRevenue_Analytical]]-Transaction[[#This Row],[NetRevenue_Analytical]],Transaction[[#This Row],[DiscountAmount_Clean]])</f>
        <v>507.76</v>
      </c>
      <c r="AD1250">
        <v>1342.24</v>
      </c>
      <c r="AE1250" t="str">
        <f>IF(ROUND(Transaction[[#This Row],[GrossRevenue_Analytical]]-Transaction[[#This Row],[NetRevenue_Analytical]],2)=ROUND(Transaction[[#This Row],[DiscountAmount_Clean]],2),"Valid","Invalid")</f>
        <v>Valid</v>
      </c>
      <c r="AF125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1342.24</v>
      </c>
      <c r="AG1250">
        <f>IF(Transaction[[#This Row],[NetRevenue_Check]]="Invalid",(Transaction[[#This Row],[Quantity]]*Transaction[[#This Row],[UnitPrice_Clean]]),Transaction[[#This Row],[NetRevenue_Clean]])</f>
        <v>1342.24</v>
      </c>
      <c r="AH1250" t="str">
        <f>IF(Transaction[[#This Row],[Quantity]]*Transaction[[#This Row],[UnitPrice_Clean]]=Transaction[[#This Row],[NetRevenue_Clean]],"Valid","Invalid")</f>
        <v>Valid</v>
      </c>
      <c r="AI1250" t="s">
        <v>23</v>
      </c>
      <c r="AJ1250" t="s">
        <v>2565</v>
      </c>
      <c r="AK1250" t="str">
        <f>IF(Transaction[[#This Row],[Salesperson]]="","Missing Value",TRIM(PROPER(Transaction[[#This Row],[Salesperson]])))</f>
        <v>Cooper-Em</v>
      </c>
      <c r="AL1250" t="s">
        <v>25</v>
      </c>
      <c r="AM1250" t="str">
        <f>IF(Transaction[[#This Row],[ContractType]]="","Missing Value",Transaction[[#This Row],[ContractType]])</f>
        <v>Frame Agreement</v>
      </c>
      <c r="AN1250" t="s">
        <v>35</v>
      </c>
    </row>
    <row r="1251" spans="1:40" x14ac:dyDescent="0.25">
      <c r="A1251" t="s">
        <v>955</v>
      </c>
      <c r="B1251" s="1">
        <v>45821</v>
      </c>
      <c r="C125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25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13</v>
      </c>
      <c r="E125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51" s="2">
        <f>IFERROR(DATE(Transaction[[#This Row],[TransactionDateY]],Transaction[[#This Row],[TransactionDateM]],Transaction[[#This Row],[TransactionDateD]]),"Missing Value")</f>
        <v>45821</v>
      </c>
      <c r="G1251" t="s">
        <v>956</v>
      </c>
      <c r="H1251" t="str">
        <f>IFERROR(VLOOKUP(Transaction[[#This Row],[CustomerID]],Custumer[],1,0),IF(LEN(Transaction[[#This Row],[CustomerID]])=7,LEFT(Transaction[[#This Row],[CustomerID]],6),"Invalid ID"))</f>
        <v>C-1072</v>
      </c>
      <c r="I1251" t="s">
        <v>957</v>
      </c>
      <c r="J1251" t="str">
        <f>TRIM(UPPER(Transaction[[#This Row],[ProductID]]))</f>
        <v>P-FS-006</v>
      </c>
      <c r="K1251" t="str">
        <f>IFERROR(VLOOKUP(Transaction[[#This Row],[ProductID_Clean]],Product[],1,FALSE),"Invalid ID")</f>
        <v>P-FS-006</v>
      </c>
      <c r="L1251" t="str">
        <f>TRIM(SUBSTITUTE(SUBSTITUTE(SUBSTITUTE(SUBSTITUTE(UPPER(Transaction[[#This Row],[Region]]),"EMEA REGION","EMEA"),"APAC REGION","APAC"),"NORTH AMERICA","N. AMERICA"),"N .AMERICA","N.AMERICA"))</f>
        <v>N. AMERICA</v>
      </c>
      <c r="M1251" t="s">
        <v>20</v>
      </c>
      <c r="N1251" t="s">
        <v>21</v>
      </c>
      <c r="O1251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251" t="s">
        <v>22</v>
      </c>
      <c r="Q1251" t="str">
        <f>IF(TRIM(Transaction[[#This Row],[SalesChannel]])="","Missing Value",TRIM(Transaction[[#This Row],[SalesChannel]]))</f>
        <v>Direct</v>
      </c>
      <c r="R1251" s="4">
        <v>1</v>
      </c>
      <c r="S1251" s="4" t="str">
        <f>IF(Transaction[[#This Row],[Quantity]]&lt;0,"Negative-review","Valid")</f>
        <v>Valid</v>
      </c>
      <c r="T1251">
        <v>1421.7</v>
      </c>
      <c r="U125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1421.7</v>
      </c>
      <c r="V1251">
        <v>1450</v>
      </c>
      <c r="W1251">
        <v>1450</v>
      </c>
      <c r="X125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1251">
        <f>IF(Transaction[[#This Row],[GrossRevenue_Check]]="Invalid",Transaction[[#This Row],[ListPrice]]*Transaction[[#This Row],[Quantity]],Transaction[[#This Row],[GrossRevenue_Clean]])</f>
        <v>1450</v>
      </c>
      <c r="Z1251" t="str">
        <f>IF(Transaction[[#This Row],[GrossRevenue_Clean]]=Transaction[[#This Row],[ListPrice]]*Transaction[[#This Row],[Quantity]],"Valid","Invalid")</f>
        <v>Valid</v>
      </c>
      <c r="AA1251">
        <v>28.3</v>
      </c>
      <c r="AB125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28.3</v>
      </c>
      <c r="AC1251">
        <f>IF(Transaction[[#This Row],[DiscountAmount_Check2]]="Invalid",Transaction[[#This Row],[GrossRevenue_Analytical]]-Transaction[[#This Row],[NetRevenue_Analytical]],Transaction[[#This Row],[DiscountAmount_Clean]])</f>
        <v>28.3</v>
      </c>
      <c r="AD1251">
        <v>1421.7</v>
      </c>
      <c r="AE1251" t="str">
        <f>IF(ROUND(Transaction[[#This Row],[GrossRevenue_Analytical]]-Transaction[[#This Row],[NetRevenue_Analytical]],2)=ROUND(Transaction[[#This Row],[DiscountAmount_Clean]],2),"Valid","Invalid")</f>
        <v>Valid</v>
      </c>
      <c r="AF125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1421.7</v>
      </c>
      <c r="AG1251">
        <f>IF(Transaction[[#This Row],[NetRevenue_Check]]="Invalid",(Transaction[[#This Row],[Quantity]]*Transaction[[#This Row],[UnitPrice_Clean]]),Transaction[[#This Row],[NetRevenue_Clean]])</f>
        <v>1421.7</v>
      </c>
      <c r="AH1251" t="str">
        <f>IF(Transaction[[#This Row],[Quantity]]*Transaction[[#This Row],[UnitPrice_Clean]]=Transaction[[#This Row],[NetRevenue_Clean]],"Valid","Invalid")</f>
        <v>Valid</v>
      </c>
      <c r="AI1251" t="s">
        <v>23</v>
      </c>
      <c r="AJ1251" t="s">
        <v>958</v>
      </c>
      <c r="AK1251" t="str">
        <f>IF(Transaction[[#This Row],[Salesperson]]="","Missing Value",TRIM(PROPER(Transaction[[#This Row],[Salesperson]])))</f>
        <v>Mueller</v>
      </c>
      <c r="AL1251" t="s">
        <v>25</v>
      </c>
      <c r="AM1251" t="str">
        <f>IF(Transaction[[#This Row],[ContractType]]="","Missing Value",Transaction[[#This Row],[ContractType]])</f>
        <v>Frame Agreement</v>
      </c>
      <c r="AN1251" t="s">
        <v>35</v>
      </c>
    </row>
    <row r="1252" spans="1:40" x14ac:dyDescent="0.25">
      <c r="A1252" t="s">
        <v>1824</v>
      </c>
      <c r="B1252" s="1">
        <v>45810</v>
      </c>
      <c r="C125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25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125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52" s="2">
        <f>IFERROR(DATE(Transaction[[#This Row],[TransactionDateY]],Transaction[[#This Row],[TransactionDateM]],Transaction[[#This Row],[TransactionDateD]]),"Missing Value")</f>
        <v>45810</v>
      </c>
      <c r="G1252" t="s">
        <v>1343</v>
      </c>
      <c r="H1252" t="str">
        <f>IFERROR(VLOOKUP(Transaction[[#This Row],[CustomerID]],Custumer[],1,0),IF(LEN(Transaction[[#This Row],[CustomerID]])=7,LEFT(Transaction[[#This Row],[CustomerID]],6),"Invalid ID"))</f>
        <v>C-1135</v>
      </c>
      <c r="I1252" t="s">
        <v>117</v>
      </c>
      <c r="J1252" t="str">
        <f>TRIM(UPPER(Transaction[[#This Row],[ProductID]]))</f>
        <v>P-SI-007</v>
      </c>
      <c r="K1252" t="str">
        <f>IFERROR(VLOOKUP(Transaction[[#This Row],[ProductID_Clean]],Product[],1,FALSE),"Invalid ID")</f>
        <v>P-SI-007</v>
      </c>
      <c r="L1252" t="str">
        <f>TRIM(SUBSTITUTE(SUBSTITUTE(SUBSTITUTE(SUBSTITUTE(UPPER(Transaction[[#This Row],[Region]]),"EMEA REGION","EMEA"),"APAC REGION","APAC"),"NORTH AMERICA","N. AMERICA"),"N .AMERICA","N.AMERICA"))</f>
        <v>LATIN AMERICA</v>
      </c>
      <c r="M1252" t="s">
        <v>82</v>
      </c>
      <c r="N1252" t="s">
        <v>53</v>
      </c>
      <c r="O125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52" t="s">
        <v>22</v>
      </c>
      <c r="Q1252" t="str">
        <f>IF(TRIM(Transaction[[#This Row],[SalesChannel]])="","Missing Value",TRIM(Transaction[[#This Row],[SalesChannel]]))</f>
        <v>Direct</v>
      </c>
      <c r="R1252" s="4">
        <v>5</v>
      </c>
      <c r="S1252" s="4" t="str">
        <f>IF(Transaction[[#This Row],[Quantity]]&lt;0,"Negative-review","Valid")</f>
        <v>Valid</v>
      </c>
      <c r="T1252">
        <v>803.12</v>
      </c>
      <c r="U125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803.12</v>
      </c>
      <c r="V1252">
        <v>980</v>
      </c>
      <c r="W1252">
        <v>4900</v>
      </c>
      <c r="X125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4900</v>
      </c>
      <c r="Y1252">
        <f>IF(Transaction[[#This Row],[GrossRevenue_Check]]="Invalid",Transaction[[#This Row],[ListPrice]]*Transaction[[#This Row],[Quantity]],Transaction[[#This Row],[GrossRevenue_Clean]])</f>
        <v>4900</v>
      </c>
      <c r="Z1252" t="str">
        <f>IF(Transaction[[#This Row],[GrossRevenue_Clean]]=Transaction[[#This Row],[ListPrice]]*Transaction[[#This Row],[Quantity]],"Valid","Invalid")</f>
        <v>Valid</v>
      </c>
      <c r="AA1252">
        <v>884.4</v>
      </c>
      <c r="AB125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884.4</v>
      </c>
      <c r="AC1252">
        <f>IF(Transaction[[#This Row],[DiscountAmount_Check2]]="Invalid",Transaction[[#This Row],[GrossRevenue_Analytical]]-Transaction[[#This Row],[NetRevenue_Analytical]],Transaction[[#This Row],[DiscountAmount_Clean]])</f>
        <v>884.4</v>
      </c>
      <c r="AD1252">
        <v>4015.6</v>
      </c>
      <c r="AE1252" t="str">
        <f>IF(ROUND(Transaction[[#This Row],[GrossRevenue_Analytical]]-Transaction[[#This Row],[NetRevenue_Analytical]],2)=ROUND(Transaction[[#This Row],[DiscountAmount_Clean]],2),"Valid","Invalid")</f>
        <v>Valid</v>
      </c>
      <c r="AF1252">
        <f>VALUE(IF(ISNUMBER(Transaction[[#This Row],[NetRevenue]]),Transaction[[#This Row],[NetRevenue]],IFERROR(IF(FIND("$",Transaction[[#This Row],[NetRevenue]])&gt;0,MID(Transaction[[#This Row],[NetRevenue]],2,10)),Transaction[[#This Row],[NetRevenue]])))</f>
        <v>4015.6</v>
      </c>
      <c r="AG1252">
        <f>IF(Transaction[[#This Row],[NetRevenue_Check]]="Invalid",(Transaction[[#This Row],[Quantity]]*Transaction[[#This Row],[UnitPrice_Clean]]),Transaction[[#This Row],[NetRevenue_Clean]])</f>
        <v>4015.6</v>
      </c>
      <c r="AH1252" t="str">
        <f>IF(Transaction[[#This Row],[Quantity]]*Transaction[[#This Row],[UnitPrice_Clean]]=Transaction[[#This Row],[NetRevenue_Clean]],"Valid","Invalid")</f>
        <v>Valid</v>
      </c>
      <c r="AI1252" t="s">
        <v>23</v>
      </c>
      <c r="AJ1252" t="s">
        <v>1825</v>
      </c>
      <c r="AK1252" t="str">
        <f>IF(Transaction[[#This Row],[Salesperson]]="","Missing Value",TRIM(PROPER(Transaction[[#This Row],[Salesperson]])))</f>
        <v>Boyd-Na</v>
      </c>
      <c r="AL1252" t="s">
        <v>25</v>
      </c>
      <c r="AM1252" t="str">
        <f>IF(Transaction[[#This Row],[ContractType]]="","Missing Value",Transaction[[#This Row],[ContractType]])</f>
        <v>Frame Agreement</v>
      </c>
      <c r="AN1252" t="s">
        <v>49</v>
      </c>
    </row>
    <row r="1253" spans="1:40" x14ac:dyDescent="0.25">
      <c r="A1253" t="s">
        <v>2790</v>
      </c>
      <c r="B1253" t="s">
        <v>2791</v>
      </c>
      <c r="C125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06</v>
      </c>
      <c r="D125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06</v>
      </c>
      <c r="E125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53" s="2">
        <f>IFERROR(DATE(Transaction[[#This Row],[TransactionDateY]],Transaction[[#This Row],[TransactionDateM]],Transaction[[#This Row],[TransactionDateD]]),"Missing Value")</f>
        <v>45814</v>
      </c>
      <c r="G1253" t="s">
        <v>795</v>
      </c>
      <c r="H1253" t="str">
        <f>IFERROR(VLOOKUP(Transaction[[#This Row],[CustomerID]],Custumer[],1,0),IF(LEN(Transaction[[#This Row],[CustomerID]])=7,LEFT(Transaction[[#This Row],[CustomerID]],6),"Invalid ID"))</f>
        <v>C-1118</v>
      </c>
      <c r="I1253" t="s">
        <v>222</v>
      </c>
      <c r="J1253" t="str">
        <f>TRIM(UPPER(Transaction[[#This Row],[ProductID]]))</f>
        <v>P-FS-003</v>
      </c>
      <c r="K1253" t="str">
        <f>IFERROR(VLOOKUP(Transaction[[#This Row],[ProductID_Clean]],Product[],1,FALSE),"Invalid ID")</f>
        <v>P-FS-003</v>
      </c>
      <c r="L1253" t="str">
        <f>TRIM(SUBSTITUTE(SUBSTITUTE(SUBSTITUTE(SUBSTITUTE(UPPER(Transaction[[#This Row],[Region]]),"EMEA REGION","EMEA"),"APAC REGION","APAC"),"NORTH AMERICA","N. AMERICA"),"N .AMERICA","N.AMERICA"))</f>
        <v>N. AMERICA</v>
      </c>
      <c r="M1253" t="s">
        <v>20</v>
      </c>
      <c r="N1253" t="s">
        <v>21</v>
      </c>
      <c r="O125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253" t="s">
        <v>181</v>
      </c>
      <c r="Q1253" t="str">
        <f>IF(TRIM(Transaction[[#This Row],[SalesChannel]])="","Missing Value",TRIM(Transaction[[#This Row],[SalesChannel]]))</f>
        <v>Partner Portal</v>
      </c>
      <c r="R1253" s="4">
        <v>1</v>
      </c>
      <c r="S1253" s="4" t="str">
        <f>IF(Transaction[[#This Row],[Quantity]]&lt;0,"Negative-review","Valid")</f>
        <v>Valid</v>
      </c>
      <c r="T1253">
        <v>3475.35</v>
      </c>
      <c r="U125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3475.35</v>
      </c>
      <c r="V1253">
        <v>4100</v>
      </c>
      <c r="W1253" t="s">
        <v>2792</v>
      </c>
      <c r="X125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4100</v>
      </c>
      <c r="Y1253">
        <f>IF(Transaction[[#This Row],[GrossRevenue_Check]]="Invalid",Transaction[[#This Row],[ListPrice]]*Transaction[[#This Row],[Quantity]],Transaction[[#This Row],[GrossRevenue_Clean]])</f>
        <v>4100</v>
      </c>
      <c r="Z1253" t="str">
        <f>IF(Transaction[[#This Row],[GrossRevenue_Clean]]=Transaction[[#This Row],[ListPrice]]*Transaction[[#This Row],[Quantity]],"Valid","Invalid")</f>
        <v>Valid</v>
      </c>
      <c r="AA1253">
        <v>624.65</v>
      </c>
      <c r="AB125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624.65</v>
      </c>
      <c r="AC1253">
        <f>IF(Transaction[[#This Row],[DiscountAmount_Check2]]="Invalid",Transaction[[#This Row],[GrossRevenue_Analytical]]-Transaction[[#This Row],[NetRevenue_Analytical]],Transaction[[#This Row],[DiscountAmount_Clean]])</f>
        <v>624.65</v>
      </c>
      <c r="AD1253">
        <v>3475.35</v>
      </c>
      <c r="AE1253" t="str">
        <f>IF(ROUND(Transaction[[#This Row],[GrossRevenue_Analytical]]-Transaction[[#This Row],[NetRevenue_Analytical]],2)=ROUND(Transaction[[#This Row],[DiscountAmount_Clean]],2),"Valid","Invalid")</f>
        <v>Valid</v>
      </c>
      <c r="AF1253">
        <f>VALUE(IF(ISNUMBER(Transaction[[#This Row],[NetRevenue]]),Transaction[[#This Row],[NetRevenue]],IFERROR(IF(FIND("$",Transaction[[#This Row],[NetRevenue]])&gt;0,MID(Transaction[[#This Row],[NetRevenue]],2,10)),Transaction[[#This Row],[NetRevenue]])))</f>
        <v>3475.35</v>
      </c>
      <c r="AG1253">
        <f>IF(Transaction[[#This Row],[NetRevenue_Check]]="Invalid",(Transaction[[#This Row],[Quantity]]*Transaction[[#This Row],[UnitPrice_Clean]]),Transaction[[#This Row],[NetRevenue_Clean]])</f>
        <v>3475.35</v>
      </c>
      <c r="AH1253" t="str">
        <f>IF(Transaction[[#This Row],[Quantity]]*Transaction[[#This Row],[UnitPrice_Clean]]=Transaction[[#This Row],[NetRevenue_Clean]],"Valid","Invalid")</f>
        <v>Valid</v>
      </c>
      <c r="AI1253" t="s">
        <v>23</v>
      </c>
      <c r="AJ1253" t="s">
        <v>2793</v>
      </c>
      <c r="AK1253" t="str">
        <f>IF(Transaction[[#This Row],[Salesperson]]="","Missing Value",TRIM(PROPER(Transaction[[#This Row],[Salesperson]])))</f>
        <v>Bailey-Na</v>
      </c>
      <c r="AL1253" t="s">
        <v>224</v>
      </c>
      <c r="AM1253" t="str">
        <f>IF(Transaction[[#This Row],[ContractType]]="","Missing Value",Transaction[[#This Row],[ContractType]])</f>
        <v>Annual</v>
      </c>
      <c r="AN1253" t="s">
        <v>49</v>
      </c>
    </row>
    <row r="1254" spans="1:40" x14ac:dyDescent="0.25">
      <c r="A1254" t="s">
        <v>2551</v>
      </c>
      <c r="B1254" s="1">
        <v>45818</v>
      </c>
      <c r="C125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25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125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54" s="2">
        <f>IFERROR(DATE(Transaction[[#This Row],[TransactionDateY]],Transaction[[#This Row],[TransactionDateM]],Transaction[[#This Row],[TransactionDateD]]),"Missing Value")</f>
        <v>45818</v>
      </c>
      <c r="G1254" t="s">
        <v>518</v>
      </c>
      <c r="H1254" t="str">
        <f>IFERROR(VLOOKUP(Transaction[[#This Row],[CustomerID]],Custumer[],1,0),IF(LEN(Transaction[[#This Row],[CustomerID]])=7,LEFT(Transaction[[#This Row],[CustomerID]],6),"Invalid ID"))</f>
        <v>C-1173</v>
      </c>
      <c r="I1254" t="s">
        <v>58</v>
      </c>
      <c r="J1254" t="str">
        <f>TRIM(UPPER(Transaction[[#This Row],[ProductID]]))</f>
        <v>P-SI-005</v>
      </c>
      <c r="K1254" t="str">
        <f>IFERROR(VLOOKUP(Transaction[[#This Row],[ProductID_Clean]],Product[],1,FALSE),"Invalid ID")</f>
        <v>P-SI-005</v>
      </c>
      <c r="L1254" t="str">
        <f>TRIM(SUBSTITUTE(SUBSTITUTE(SUBSTITUTE(SUBSTITUTE(UPPER(Transaction[[#This Row],[Region]]),"EMEA REGION","EMEA"),"APAC REGION","APAC"),"NORTH AMERICA","N. AMERICA"),"N .AMERICA","N.AMERICA"))</f>
        <v>EMEA</v>
      </c>
      <c r="M1254" t="s">
        <v>683</v>
      </c>
      <c r="N1254" t="s">
        <v>98</v>
      </c>
      <c r="O1254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54" t="s">
        <v>22</v>
      </c>
      <c r="Q1254" t="str">
        <f>IF(TRIM(Transaction[[#This Row],[SalesChannel]])="","Missing Value",TRIM(Transaction[[#This Row],[SalesChannel]]))</f>
        <v>Direct</v>
      </c>
      <c r="R1254" s="4">
        <v>15</v>
      </c>
      <c r="S1254" s="4" t="str">
        <f>IF(Transaction[[#This Row],[Quantity]]&lt;0,"Negative-review","Valid")</f>
        <v>Valid</v>
      </c>
      <c r="T1254">
        <v>1036.83</v>
      </c>
      <c r="U125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1036.83</v>
      </c>
      <c r="V1254">
        <v>1120</v>
      </c>
      <c r="W1254">
        <v>16800</v>
      </c>
      <c r="X125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16800</v>
      </c>
      <c r="Y1254">
        <f>IF(Transaction[[#This Row],[GrossRevenue_Check]]="Invalid",Transaction[[#This Row],[ListPrice]]*Transaction[[#This Row],[Quantity]],Transaction[[#This Row],[GrossRevenue_Clean]])</f>
        <v>16800</v>
      </c>
      <c r="Z1254" t="str">
        <f>IF(Transaction[[#This Row],[GrossRevenue_Clean]]=Transaction[[#This Row],[ListPrice]]*Transaction[[#This Row],[Quantity]],"Valid","Invalid")</f>
        <v>Valid</v>
      </c>
      <c r="AB125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1254">
        <f>IF(Transaction[[#This Row],[DiscountAmount_Check2]]="Invalid",Transaction[[#This Row],[GrossRevenue_Analytical]]-Transaction[[#This Row],[NetRevenue_Analytical]],Transaction[[#This Row],[DiscountAmount_Clean]])</f>
        <v>1247.5499999999993</v>
      </c>
      <c r="AD1254">
        <v>15552.45</v>
      </c>
      <c r="AE1254" t="str">
        <f>IF(ROUND(Transaction[[#This Row],[GrossRevenue_Analytical]]-Transaction[[#This Row],[NetRevenue_Analytical]],2)=ROUND(Transaction[[#This Row],[DiscountAmount_Clean]],2),"Valid","Invalid")</f>
        <v>Invalid</v>
      </c>
      <c r="AF125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15552.45</v>
      </c>
      <c r="AG1254">
        <f>IF(Transaction[[#This Row],[NetRevenue_Check]]="Invalid",(Transaction[[#This Row],[Quantity]]*Transaction[[#This Row],[UnitPrice_Clean]]),Transaction[[#This Row],[NetRevenue_Clean]])</f>
        <v>15552.45</v>
      </c>
      <c r="AH1254" t="str">
        <f>IF(Transaction[[#This Row],[Quantity]]*Transaction[[#This Row],[UnitPrice_Clean]]=Transaction[[#This Row],[NetRevenue_Clean]],"Valid","Invalid")</f>
        <v>Valid</v>
      </c>
      <c r="AI1254" t="s">
        <v>23</v>
      </c>
      <c r="AK1254" t="str">
        <f>IF(Transaction[[#This Row],[Salesperson]]="","Missing Value",TRIM(PROPER(Transaction[[#This Row],[Salesperson]])))</f>
        <v>Missing Value</v>
      </c>
      <c r="AL1254" t="s">
        <v>42</v>
      </c>
      <c r="AM1254" t="str">
        <f>IF(Transaction[[#This Row],[ContractType]]="","Missing Value",Transaction[[#This Row],[ContractType]])</f>
        <v>Standard PO</v>
      </c>
      <c r="AN1254" t="s">
        <v>26</v>
      </c>
    </row>
    <row r="1255" spans="1:40" x14ac:dyDescent="0.25">
      <c r="A1255" t="s">
        <v>2170</v>
      </c>
      <c r="B1255" s="1">
        <v>45775</v>
      </c>
      <c r="C125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25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125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55" s="2">
        <f>IFERROR(DATE(Transaction[[#This Row],[TransactionDateY]],Transaction[[#This Row],[TransactionDateM]],Transaction[[#This Row],[TransactionDateD]]),"Missing Value")</f>
        <v>45775</v>
      </c>
      <c r="G1255" t="s">
        <v>2171</v>
      </c>
      <c r="H1255" t="str">
        <f>IFERROR(VLOOKUP(Transaction[[#This Row],[CustomerID]],Custumer[],1,0),IF(LEN(Transaction[[#This Row],[CustomerID]])=7,LEFT(Transaction[[#This Row],[CustomerID]],6),"Invalid ID"))</f>
        <v>C-1009</v>
      </c>
      <c r="I1255" t="s">
        <v>71</v>
      </c>
      <c r="J1255" t="str">
        <f>TRIM(UPPER(Transaction[[#This Row],[ProductID]]))</f>
        <v>P-SI-003</v>
      </c>
      <c r="K1255" t="str">
        <f>IFERROR(VLOOKUP(Transaction[[#This Row],[ProductID_Clean]],Product[],1,FALSE),"Invalid ID")</f>
        <v>P-SI-003</v>
      </c>
      <c r="L1255" t="str">
        <f>TRIM(SUBSTITUTE(SUBSTITUTE(SUBSTITUTE(SUBSTITUTE(UPPER(Transaction[[#This Row],[Region]]),"EMEA REGION","EMEA"),"APAC REGION","APAC"),"NORTH AMERICA","N. AMERICA"),"N .AMERICA","N.AMERICA"))</f>
        <v>EMEA</v>
      </c>
      <c r="M1255" t="s">
        <v>76</v>
      </c>
      <c r="N1255" t="s">
        <v>47</v>
      </c>
      <c r="O125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55" t="s">
        <v>40</v>
      </c>
      <c r="Q1255" t="str">
        <f>IF(TRIM(Transaction[[#This Row],[SalesChannel]])="","Missing Value",TRIM(Transaction[[#This Row],[SalesChannel]]))</f>
        <v>Distributor</v>
      </c>
      <c r="R1255" s="4">
        <v>1</v>
      </c>
      <c r="S1255" s="4" t="str">
        <f>IF(Transaction[[#This Row],[Quantity]]&lt;0,"Negative-review","Valid")</f>
        <v>Valid</v>
      </c>
      <c r="T1255">
        <v>1499.64</v>
      </c>
      <c r="U125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1499.64</v>
      </c>
      <c r="V1255">
        <v>1890</v>
      </c>
      <c r="W1255">
        <v>1890</v>
      </c>
      <c r="X125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1255">
        <f>IF(Transaction[[#This Row],[GrossRevenue_Check]]="Invalid",Transaction[[#This Row],[ListPrice]]*Transaction[[#This Row],[Quantity]],Transaction[[#This Row],[GrossRevenue_Clean]])</f>
        <v>1890</v>
      </c>
      <c r="Z1255" t="str">
        <f>IF(Transaction[[#This Row],[GrossRevenue_Clean]]=Transaction[[#This Row],[ListPrice]]*Transaction[[#This Row],[Quantity]],"Valid","Invalid")</f>
        <v>Valid</v>
      </c>
      <c r="AA1255">
        <v>390.36</v>
      </c>
      <c r="AB125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390.36</v>
      </c>
      <c r="AC1255">
        <f>IF(Transaction[[#This Row],[DiscountAmount_Check2]]="Invalid",Transaction[[#This Row],[GrossRevenue_Analytical]]-Transaction[[#This Row],[NetRevenue_Analytical]],Transaction[[#This Row],[DiscountAmount_Clean]])</f>
        <v>390.36</v>
      </c>
      <c r="AD1255" t="s">
        <v>2172</v>
      </c>
      <c r="AE1255" t="str">
        <f>IF(ROUND(Transaction[[#This Row],[GrossRevenue_Analytical]]-Transaction[[#This Row],[NetRevenue_Analytical]],2)=ROUND(Transaction[[#This Row],[DiscountAmount_Clean]],2),"Valid","Invalid")</f>
        <v>Valid</v>
      </c>
      <c r="AF125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1499.64</v>
      </c>
      <c r="AG1255">
        <f>IF(Transaction[[#This Row],[NetRevenue_Check]]="Invalid",(Transaction[[#This Row],[Quantity]]*Transaction[[#This Row],[UnitPrice_Clean]]),Transaction[[#This Row],[NetRevenue_Clean]])</f>
        <v>1499.64</v>
      </c>
      <c r="AH1255" t="str">
        <f>IF(Transaction[[#This Row],[Quantity]]*Transaction[[#This Row],[UnitPrice_Clean]]=Transaction[[#This Row],[NetRevenue_Clean]],"Valid","Invalid")</f>
        <v>Valid</v>
      </c>
      <c r="AI1255" t="s">
        <v>23</v>
      </c>
      <c r="AJ1255" t="s">
        <v>2173</v>
      </c>
      <c r="AK1255" t="str">
        <f>IF(Transaction[[#This Row],[Salesperson]]="","Missing Value",TRIM(PROPER(Transaction[[#This Row],[Salesperson]])))</f>
        <v>Bowen-Ap</v>
      </c>
      <c r="AL1255" t="s">
        <v>42</v>
      </c>
      <c r="AM1255" t="str">
        <f>IF(Transaction[[#This Row],[ContractType]]="","Missing Value",Transaction[[#This Row],[ContractType]])</f>
        <v>Standard PO</v>
      </c>
      <c r="AN1255" t="s">
        <v>49</v>
      </c>
    </row>
    <row r="1256" spans="1:40" x14ac:dyDescent="0.25">
      <c r="A1256" t="s">
        <v>2507</v>
      </c>
      <c r="B1256" s="1">
        <v>45838</v>
      </c>
      <c r="C125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25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125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56" s="2">
        <f>IFERROR(DATE(Transaction[[#This Row],[TransactionDateY]],Transaction[[#This Row],[TransactionDateM]],Transaction[[#This Row],[TransactionDateD]]),"Missing Value")</f>
        <v>45838</v>
      </c>
      <c r="G1256" t="s">
        <v>247</v>
      </c>
      <c r="H1256" t="str">
        <f>IFERROR(VLOOKUP(Transaction[[#This Row],[CustomerID]],Custumer[],1,0),IF(LEN(Transaction[[#This Row],[CustomerID]])=7,LEFT(Transaction[[#This Row],[CustomerID]],6),"Invalid ID"))</f>
        <v>C-1045</v>
      </c>
      <c r="I1256" t="s">
        <v>52</v>
      </c>
      <c r="J1256" t="str">
        <f>TRIM(UPPER(Transaction[[#This Row],[ProductID]]))</f>
        <v>P-SI-002</v>
      </c>
      <c r="K1256" t="str">
        <f>IFERROR(VLOOKUP(Transaction[[#This Row],[ProductID_Clean]],Product[],1,FALSE),"Invalid ID")</f>
        <v>P-SI-002</v>
      </c>
      <c r="L1256" t="str">
        <f>TRIM(SUBSTITUTE(SUBSTITUTE(SUBSTITUTE(SUBSTITUTE(UPPER(Transaction[[#This Row],[Region]]),"EMEA REGION","EMEA"),"APAC REGION","APAC"),"NORTH AMERICA","N. AMERICA"),"N .AMERICA","N.AMERICA"))</f>
        <v>EMEA</v>
      </c>
      <c r="M1256" t="s">
        <v>76</v>
      </c>
      <c r="N1256" t="s">
        <v>98</v>
      </c>
      <c r="O1256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56" t="s">
        <v>22</v>
      </c>
      <c r="Q1256" t="str">
        <f>IF(TRIM(Transaction[[#This Row],[SalesChannel]])="","Missing Value",TRIM(Transaction[[#This Row],[SalesChannel]]))</f>
        <v>Direct</v>
      </c>
      <c r="R1256" s="4">
        <v>8</v>
      </c>
      <c r="S1256" s="4" t="str">
        <f>IF(Transaction[[#This Row],[Quantity]]&lt;0,"Negative-review","Valid")</f>
        <v>Valid</v>
      </c>
      <c r="T1256">
        <v>596.62</v>
      </c>
      <c r="U125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596.62</v>
      </c>
      <c r="V1256">
        <v>725</v>
      </c>
      <c r="W1256">
        <v>5800</v>
      </c>
      <c r="X125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5800</v>
      </c>
      <c r="Y1256">
        <f>IF(Transaction[[#This Row],[GrossRevenue_Check]]="Invalid",Transaction[[#This Row],[ListPrice]]*Transaction[[#This Row],[Quantity]],Transaction[[#This Row],[GrossRevenue_Clean]])</f>
        <v>5800</v>
      </c>
      <c r="Z1256" t="str">
        <f>IF(Transaction[[#This Row],[GrossRevenue_Clean]]=Transaction[[#This Row],[ListPrice]]*Transaction[[#This Row],[Quantity]],"Valid","Invalid")</f>
        <v>Valid</v>
      </c>
      <c r="AA1256">
        <v>1027.04</v>
      </c>
      <c r="AB125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1027.04</v>
      </c>
      <c r="AC1256">
        <f>IF(Transaction[[#This Row],[DiscountAmount_Check2]]="Invalid",Transaction[[#This Row],[GrossRevenue_Analytical]]-Transaction[[#This Row],[NetRevenue_Analytical]],Transaction[[#This Row],[DiscountAmount_Clean]])</f>
        <v>1027.04</v>
      </c>
      <c r="AD1256">
        <v>4772.96</v>
      </c>
      <c r="AE1256" t="str">
        <f>IF(ROUND(Transaction[[#This Row],[GrossRevenue_Analytical]]-Transaction[[#This Row],[NetRevenue_Analytical]],2)=ROUND(Transaction[[#This Row],[DiscountAmount_Clean]],2),"Valid","Invalid")</f>
        <v>Valid</v>
      </c>
      <c r="AF1256">
        <f>VALUE(IF(ISNUMBER(Transaction[[#This Row],[NetRevenue]]),Transaction[[#This Row],[NetRevenue]],IFERROR(IF(FIND("$",Transaction[[#This Row],[NetRevenue]])&gt;0,MID(Transaction[[#This Row],[NetRevenue]],2,10)),Transaction[[#This Row],[NetRevenue]])))</f>
        <v>4772.96</v>
      </c>
      <c r="AG1256">
        <f>IF(Transaction[[#This Row],[NetRevenue_Check]]="Invalid",(Transaction[[#This Row],[Quantity]]*Transaction[[#This Row],[UnitPrice_Clean]]),Transaction[[#This Row],[NetRevenue_Clean]])</f>
        <v>4772.96</v>
      </c>
      <c r="AH1256" t="str">
        <f>IF(Transaction[[#This Row],[Quantity]]*Transaction[[#This Row],[UnitPrice_Clean]]=Transaction[[#This Row],[NetRevenue_Clean]],"Valid","Invalid")</f>
        <v>Valid</v>
      </c>
      <c r="AI1256" t="s">
        <v>23</v>
      </c>
      <c r="AJ1256" t="s">
        <v>2508</v>
      </c>
      <c r="AK1256" t="str">
        <f>IF(Transaction[[#This Row],[Salesperson]]="","Missing Value",TRIM(PROPER(Transaction[[#This Row],[Salesperson]])))</f>
        <v>Chavez-Em</v>
      </c>
      <c r="AL1256" t="s">
        <v>55</v>
      </c>
      <c r="AM1256" t="str">
        <f>IF(Transaction[[#This Row],[ContractType]]="","Missing Value",Transaction[[#This Row],[ContractType]])</f>
        <v>Spot</v>
      </c>
      <c r="AN1256" t="s">
        <v>35</v>
      </c>
    </row>
    <row r="1257" spans="1:40" x14ac:dyDescent="0.25">
      <c r="A1257" t="s">
        <v>1283</v>
      </c>
      <c r="B1257" s="1">
        <v>45809</v>
      </c>
      <c r="C125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25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</v>
      </c>
      <c r="E125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57" s="2">
        <f>IFERROR(DATE(Transaction[[#This Row],[TransactionDateY]],Transaction[[#This Row],[TransactionDateM]],Transaction[[#This Row],[TransactionDateD]]),"Missing Value")</f>
        <v>45809</v>
      </c>
      <c r="G1257" t="s">
        <v>267</v>
      </c>
      <c r="H1257" t="str">
        <f>IFERROR(VLOOKUP(Transaction[[#This Row],[CustomerID]],Custumer[],1,0),IF(LEN(Transaction[[#This Row],[CustomerID]])=7,LEFT(Transaction[[#This Row],[CustomerID]],6),"Invalid ID"))</f>
        <v>C-1119</v>
      </c>
      <c r="I1257" t="s">
        <v>46</v>
      </c>
      <c r="J1257" t="str">
        <f>TRIM(UPPER(Transaction[[#This Row],[ProductID]]))</f>
        <v>P-SI-006</v>
      </c>
      <c r="K1257" t="str">
        <f>IFERROR(VLOOKUP(Transaction[[#This Row],[ProductID_Clean]],Product[],1,FALSE),"Invalid ID")</f>
        <v>P-SI-006</v>
      </c>
      <c r="L1257" t="str">
        <f>TRIM(SUBSTITUTE(SUBSTITUTE(SUBSTITUTE(SUBSTITUTE(UPPER(Transaction[[#This Row],[Region]]),"EMEA REGION","EMEA"),"APAC REGION","APAC"),"NORTH AMERICA","N. AMERICA"),"N .AMERICA","N.AMERICA"))</f>
        <v>EMEA</v>
      </c>
      <c r="M1257" t="s">
        <v>76</v>
      </c>
      <c r="N1257" t="s">
        <v>53</v>
      </c>
      <c r="O125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57" t="s">
        <v>40</v>
      </c>
      <c r="Q1257" t="str">
        <f>IF(TRIM(Transaction[[#This Row],[SalesChannel]])="","Missing Value",TRIM(Transaction[[#This Row],[SalesChannel]]))</f>
        <v>Distributor</v>
      </c>
      <c r="R1257" s="4">
        <v>2</v>
      </c>
      <c r="S1257" s="4" t="str">
        <f>IF(Transaction[[#This Row],[Quantity]]&lt;0,"Negative-review","Valid")</f>
        <v>Valid</v>
      </c>
      <c r="T1257">
        <v>150.22999999999999</v>
      </c>
      <c r="U125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150.22999999999999</v>
      </c>
      <c r="V1257">
        <v>215</v>
      </c>
      <c r="W1257">
        <v>430</v>
      </c>
      <c r="X125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1257">
        <f>IF(Transaction[[#This Row],[GrossRevenue_Check]]="Invalid",Transaction[[#This Row],[ListPrice]]*Transaction[[#This Row],[Quantity]],Transaction[[#This Row],[GrossRevenue_Clean]])</f>
        <v>430</v>
      </c>
      <c r="Z1257" t="str">
        <f>IF(Transaction[[#This Row],[GrossRevenue_Clean]]=Transaction[[#This Row],[ListPrice]]*Transaction[[#This Row],[Quantity]],"Valid","Invalid")</f>
        <v>Valid</v>
      </c>
      <c r="AA1257">
        <v>129.54</v>
      </c>
      <c r="AB125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129.54</v>
      </c>
      <c r="AC1257">
        <f>IF(Transaction[[#This Row],[DiscountAmount_Check2]]="Invalid",Transaction[[#This Row],[GrossRevenue_Analytical]]-Transaction[[#This Row],[NetRevenue_Analytical]],Transaction[[#This Row],[DiscountAmount_Clean]])</f>
        <v>129.54</v>
      </c>
      <c r="AD1257">
        <v>300.45999999999998</v>
      </c>
      <c r="AE1257" t="str">
        <f>IF(ROUND(Transaction[[#This Row],[GrossRevenue_Analytical]]-Transaction[[#This Row],[NetRevenue_Analytical]],2)=ROUND(Transaction[[#This Row],[DiscountAmount_Clean]],2),"Valid","Invalid")</f>
        <v>Valid</v>
      </c>
      <c r="AF125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300.45999999999998</v>
      </c>
      <c r="AG1257">
        <f>IF(Transaction[[#This Row],[NetRevenue_Check]]="Invalid",(Transaction[[#This Row],[Quantity]]*Transaction[[#This Row],[UnitPrice_Clean]]),Transaction[[#This Row],[NetRevenue_Clean]])</f>
        <v>300.45999999999998</v>
      </c>
      <c r="AH1257" t="str">
        <f>IF(Transaction[[#This Row],[Quantity]]*Transaction[[#This Row],[UnitPrice_Clean]]=Transaction[[#This Row],[NetRevenue_Clean]],"Valid","Invalid")</f>
        <v>Valid</v>
      </c>
      <c r="AI1257" t="s">
        <v>23</v>
      </c>
      <c r="AJ1257" t="s">
        <v>655</v>
      </c>
      <c r="AK1257" t="str">
        <f>IF(Transaction[[#This Row],[Salesperson]]="","Missing Value",TRIM(PROPER(Transaction[[#This Row],[Salesperson]])))</f>
        <v>Jones</v>
      </c>
      <c r="AL1257" t="s">
        <v>42</v>
      </c>
      <c r="AM1257" t="str">
        <f>IF(Transaction[[#This Row],[ContractType]]="","Missing Value",Transaction[[#This Row],[ContractType]])</f>
        <v>Standard PO</v>
      </c>
      <c r="AN1257" t="s">
        <v>49</v>
      </c>
    </row>
    <row r="1258" spans="1:40" x14ac:dyDescent="0.25">
      <c r="A1258" t="s">
        <v>2318</v>
      </c>
      <c r="B1258" t="s">
        <v>2319</v>
      </c>
      <c r="C125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25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125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58" s="2">
        <f>IFERROR(DATE(Transaction[[#This Row],[TransactionDateY]],Transaction[[#This Row],[TransactionDateM]],Transaction[[#This Row],[TransactionDateD]]),"Missing Value")</f>
        <v>45830</v>
      </c>
      <c r="G1258" t="s">
        <v>2320</v>
      </c>
      <c r="H1258" t="str">
        <f>IFERROR(VLOOKUP(Transaction[[#This Row],[CustomerID]],Custumer[],1,0),IF(LEN(Transaction[[#This Row],[CustomerID]])=7,LEFT(Transaction[[#This Row],[CustomerID]],6),"Invalid ID"))</f>
        <v>C-1031</v>
      </c>
      <c r="I1258" t="s">
        <v>52</v>
      </c>
      <c r="J1258" t="str">
        <f>TRIM(UPPER(Transaction[[#This Row],[ProductID]]))</f>
        <v>P-SI-002</v>
      </c>
      <c r="K1258" t="str">
        <f>IFERROR(VLOOKUP(Transaction[[#This Row],[ProductID_Clean]],Product[],1,FALSE),"Invalid ID")</f>
        <v>P-SI-002</v>
      </c>
      <c r="L1258" t="str">
        <f>TRIM(SUBSTITUTE(SUBSTITUTE(SUBSTITUTE(SUBSTITUTE(UPPER(Transaction[[#This Row],[Region]]),"EMEA REGION","EMEA"),"APAC REGION","APAC"),"NORTH AMERICA","N. AMERICA"),"N .AMERICA","N.AMERICA"))</f>
        <v>N. AMERICA</v>
      </c>
      <c r="M1258" t="s">
        <v>204</v>
      </c>
      <c r="N1258" t="s">
        <v>53</v>
      </c>
      <c r="O125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58" t="s">
        <v>40</v>
      </c>
      <c r="Q1258" t="str">
        <f>IF(TRIM(Transaction[[#This Row],[SalesChannel]])="","Missing Value",TRIM(Transaction[[#This Row],[SalesChannel]]))</f>
        <v>Distributor</v>
      </c>
      <c r="R1258" s="4">
        <v>5</v>
      </c>
      <c r="S1258" s="4" t="str">
        <f>IF(Transaction[[#This Row],[Quantity]]&lt;0,"Negative-review","Valid")</f>
        <v>Valid</v>
      </c>
      <c r="T1258" t="s">
        <v>2321</v>
      </c>
      <c r="U125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572.71</v>
      </c>
      <c r="V1258">
        <v>725</v>
      </c>
      <c r="W1258">
        <v>3625</v>
      </c>
      <c r="X125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3625</v>
      </c>
      <c r="Y1258">
        <f>IF(Transaction[[#This Row],[GrossRevenue_Check]]="Invalid",Transaction[[#This Row],[ListPrice]]*Transaction[[#This Row],[Quantity]],Transaction[[#This Row],[GrossRevenue_Clean]])</f>
        <v>3625</v>
      </c>
      <c r="Z1258" t="str">
        <f>IF(Transaction[[#This Row],[GrossRevenue_Clean]]=Transaction[[#This Row],[ListPrice]]*Transaction[[#This Row],[Quantity]],"Valid","Invalid")</f>
        <v>Valid</v>
      </c>
      <c r="AA1258">
        <v>761.45</v>
      </c>
      <c r="AB125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761.45</v>
      </c>
      <c r="AC1258">
        <f>IF(Transaction[[#This Row],[DiscountAmount_Check2]]="Invalid",Transaction[[#This Row],[GrossRevenue_Analytical]]-Transaction[[#This Row],[NetRevenue_Analytical]],Transaction[[#This Row],[DiscountAmount_Clean]])</f>
        <v>761.45</v>
      </c>
      <c r="AD1258">
        <v>2863.55</v>
      </c>
      <c r="AE1258" t="str">
        <f>IF(ROUND(Transaction[[#This Row],[GrossRevenue_Analytical]]-Transaction[[#This Row],[NetRevenue_Analytical]],2)=ROUND(Transaction[[#This Row],[DiscountAmount_Clean]],2),"Valid","Invalid")</f>
        <v>Valid</v>
      </c>
      <c r="AF125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2863.55</v>
      </c>
      <c r="AG1258">
        <f>IF(Transaction[[#This Row],[NetRevenue_Check]]="Invalid",(Transaction[[#This Row],[Quantity]]*Transaction[[#This Row],[UnitPrice_Clean]]),Transaction[[#This Row],[NetRevenue_Clean]])</f>
        <v>2863.55</v>
      </c>
      <c r="AH1258" t="str">
        <f>IF(Transaction[[#This Row],[Quantity]]*Transaction[[#This Row],[UnitPrice_Clean]]=Transaction[[#This Row],[NetRevenue_Clean]],"Valid","Invalid")</f>
        <v>Valid</v>
      </c>
      <c r="AI1258" t="s">
        <v>23</v>
      </c>
      <c r="AJ1258" t="s">
        <v>1165</v>
      </c>
      <c r="AK1258" t="str">
        <f>IF(Transaction[[#This Row],[Salesperson]]="","Missing Value",TRIM(PROPER(Transaction[[#This Row],[Salesperson]])))</f>
        <v>Williams</v>
      </c>
      <c r="AL1258" t="s">
        <v>42</v>
      </c>
      <c r="AM1258" t="str">
        <f>IF(Transaction[[#This Row],[ContractType]]="","Missing Value",Transaction[[#This Row],[ContractType]])</f>
        <v>Standard PO</v>
      </c>
      <c r="AN1258" t="s">
        <v>65</v>
      </c>
    </row>
    <row r="1259" spans="1:40" x14ac:dyDescent="0.25">
      <c r="A1259" t="s">
        <v>2496</v>
      </c>
      <c r="B1259" s="1">
        <v>45738</v>
      </c>
      <c r="C125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25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125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59" s="2">
        <f>IFERROR(DATE(Transaction[[#This Row],[TransactionDateY]],Transaction[[#This Row],[TransactionDateM]],Transaction[[#This Row],[TransactionDateD]]),"Missing Value")</f>
        <v>45738</v>
      </c>
      <c r="G1259" t="s">
        <v>396</v>
      </c>
      <c r="H1259" t="str">
        <f>IFERROR(VLOOKUP(Transaction[[#This Row],[CustomerID]],Custumer[],1,0),IF(LEN(Transaction[[#This Row],[CustomerID]])=7,LEFT(Transaction[[#This Row],[CustomerID]],6),"Invalid ID"))</f>
        <v>C-1142</v>
      </c>
      <c r="I1259" t="s">
        <v>258</v>
      </c>
      <c r="J1259" t="str">
        <f>TRIM(UPPER(Transaction[[#This Row],[ProductID]]))</f>
        <v>P-SA-003</v>
      </c>
      <c r="K1259" t="str">
        <f>IFERROR(VLOOKUP(Transaction[[#This Row],[ProductID_Clean]],Product[],1,FALSE),"Invalid ID")</f>
        <v>P-SA-003</v>
      </c>
      <c r="L1259" t="str">
        <f>TRIM(SUBSTITUTE(SUBSTITUTE(SUBSTITUTE(SUBSTITUTE(UPPER(Transaction[[#This Row],[Region]]),"EMEA REGION","EMEA"),"APAC REGION","APAC"),"NORTH AMERICA","N. AMERICA"),"N .AMERICA","N.AMERICA"))</f>
        <v>N. AMERICA</v>
      </c>
      <c r="M1259" t="s">
        <v>20</v>
      </c>
      <c r="N1259" t="s">
        <v>31</v>
      </c>
      <c r="O1259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59" t="s">
        <v>173</v>
      </c>
      <c r="Q1259" t="str">
        <f>IF(TRIM(Transaction[[#This Row],[SalesChannel]])="","Missing Value",TRIM(Transaction[[#This Row],[SalesChannel]]))</f>
        <v>Distributor</v>
      </c>
      <c r="R1259" s="4">
        <v>1</v>
      </c>
      <c r="S1259" s="4" t="str">
        <f>IF(Transaction[[#This Row],[Quantity]]&lt;0,"Negative-review","Valid")</f>
        <v>Valid</v>
      </c>
      <c r="T1259">
        <v>2309.13</v>
      </c>
      <c r="U125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2309.13</v>
      </c>
      <c r="V1259">
        <v>2750</v>
      </c>
      <c r="W1259">
        <v>2750</v>
      </c>
      <c r="X125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2750</v>
      </c>
      <c r="Y1259">
        <f>IF(Transaction[[#This Row],[GrossRevenue_Check]]="Invalid",Transaction[[#This Row],[ListPrice]]*Transaction[[#This Row],[Quantity]],Transaction[[#This Row],[GrossRevenue_Clean]])</f>
        <v>2750</v>
      </c>
      <c r="Z1259" t="str">
        <f>IF(Transaction[[#This Row],[GrossRevenue_Clean]]=Transaction[[#This Row],[ListPrice]]*Transaction[[#This Row],[Quantity]],"Valid","Invalid")</f>
        <v>Valid</v>
      </c>
      <c r="AA1259">
        <v>440.87</v>
      </c>
      <c r="AB125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440.87</v>
      </c>
      <c r="AC1259">
        <f>IF(Transaction[[#This Row],[DiscountAmount_Check2]]="Invalid",Transaction[[#This Row],[GrossRevenue_Analytical]]-Transaction[[#This Row],[NetRevenue_Analytical]],Transaction[[#This Row],[DiscountAmount_Clean]])</f>
        <v>440.87</v>
      </c>
      <c r="AD1259">
        <v>2309.13</v>
      </c>
      <c r="AE1259" t="str">
        <f>IF(ROUND(Transaction[[#This Row],[GrossRevenue_Analytical]]-Transaction[[#This Row],[NetRevenue_Analytical]],2)=ROUND(Transaction[[#This Row],[DiscountAmount_Clean]],2),"Valid","Invalid")</f>
        <v>Valid</v>
      </c>
      <c r="AF1259">
        <f>VALUE(IF(ISNUMBER(Transaction[[#This Row],[NetRevenue]]),Transaction[[#This Row],[NetRevenue]],IFERROR(IF(FIND("$",Transaction[[#This Row],[NetRevenue]])&gt;0,MID(Transaction[[#This Row],[NetRevenue]],2,10)),Transaction[[#This Row],[NetRevenue]])))</f>
        <v>2309.13</v>
      </c>
      <c r="AG1259">
        <f>IF(Transaction[[#This Row],[NetRevenue_Check]]="Invalid",(Transaction[[#This Row],[Quantity]]*Transaction[[#This Row],[UnitPrice_Clean]]),Transaction[[#This Row],[NetRevenue_Clean]])</f>
        <v>2309.13</v>
      </c>
      <c r="AH1259" t="str">
        <f>IF(Transaction[[#This Row],[Quantity]]*Transaction[[#This Row],[UnitPrice_Clean]]=Transaction[[#This Row],[NetRevenue_Clean]],"Valid","Invalid")</f>
        <v>Valid</v>
      </c>
      <c r="AI1259" t="s">
        <v>23</v>
      </c>
      <c r="AJ1259" t="s">
        <v>2497</v>
      </c>
      <c r="AK1259" t="str">
        <f>IF(Transaction[[#This Row],[Salesperson]]="","Missing Value",TRIM(PROPER(Transaction[[#This Row],[Salesperson]])))</f>
        <v>Page</v>
      </c>
      <c r="AL1259" t="s">
        <v>113</v>
      </c>
      <c r="AM1259" t="str">
        <f>IF(Transaction[[#This Row],[ContractType]]="","Missing Value",Transaction[[#This Row],[ContractType]])</f>
        <v>Subscription</v>
      </c>
      <c r="AN1259" t="s">
        <v>65</v>
      </c>
    </row>
    <row r="1260" spans="1:40" x14ac:dyDescent="0.25">
      <c r="A1260" t="s">
        <v>825</v>
      </c>
      <c r="B1260" s="1">
        <v>45719</v>
      </c>
      <c r="C126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26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</v>
      </c>
      <c r="E126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60" s="2">
        <f>IFERROR(DATE(Transaction[[#This Row],[TransactionDateY]],Transaction[[#This Row],[TransactionDateM]],Transaction[[#This Row],[TransactionDateD]]),"Missing Value")</f>
        <v>45719</v>
      </c>
      <c r="G1260" t="s">
        <v>826</v>
      </c>
      <c r="H1260" t="str">
        <f>IFERROR(VLOOKUP(Transaction[[#This Row],[CustomerID]],Custumer[],1,0),IF(LEN(Transaction[[#This Row],[CustomerID]])=7,LEFT(Transaction[[#This Row],[CustomerID]],6),"Invalid ID"))</f>
        <v>C-1182</v>
      </c>
      <c r="I1260" t="s">
        <v>29</v>
      </c>
      <c r="J1260" t="str">
        <f>TRIM(UPPER(Transaction[[#This Row],[ProductID]]))</f>
        <v>P-SA-001</v>
      </c>
      <c r="K1260" t="str">
        <f>IFERROR(VLOOKUP(Transaction[[#This Row],[ProductID_Clean]],Product[],1,FALSE),"Invalid ID")</f>
        <v>P-SA-001</v>
      </c>
      <c r="L1260" t="str">
        <f>TRIM(SUBSTITUTE(SUBSTITUTE(SUBSTITUTE(SUBSTITUTE(UPPER(Transaction[[#This Row],[Region]]),"EMEA REGION","EMEA"),"APAC REGION","APAC"),"NORTH AMERICA","N. AMERICA"),"N .AMERICA","N.AMERICA"))</f>
        <v>APAC</v>
      </c>
      <c r="M1260" t="s">
        <v>127</v>
      </c>
      <c r="N1260" t="s">
        <v>31</v>
      </c>
      <c r="O1260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60" t="s">
        <v>22</v>
      </c>
      <c r="Q1260" t="str">
        <f>IF(TRIM(Transaction[[#This Row],[SalesChannel]])="","Missing Value",TRIM(Transaction[[#This Row],[SalesChannel]]))</f>
        <v>Direct</v>
      </c>
      <c r="R1260" s="4">
        <v>1</v>
      </c>
      <c r="S1260" s="4" t="str">
        <f>IF(Transaction[[#This Row],[Quantity]]&lt;0,"Negative-review","Valid")</f>
        <v>Valid</v>
      </c>
      <c r="T1260" t="s">
        <v>827</v>
      </c>
      <c r="U126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3781.44</v>
      </c>
      <c r="V1260">
        <v>4200</v>
      </c>
      <c r="W1260">
        <v>4200</v>
      </c>
      <c r="X126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1260">
        <f>IF(Transaction[[#This Row],[GrossRevenue_Check]]="Invalid",Transaction[[#This Row],[ListPrice]]*Transaction[[#This Row],[Quantity]],Transaction[[#This Row],[GrossRevenue_Clean]])</f>
        <v>4200</v>
      </c>
      <c r="Z1260" t="str">
        <f>IF(Transaction[[#This Row],[GrossRevenue_Clean]]=Transaction[[#This Row],[ListPrice]]*Transaction[[#This Row],[Quantity]],"Valid","Invalid")</f>
        <v>Valid</v>
      </c>
      <c r="AA1260">
        <v>418.56</v>
      </c>
      <c r="AB126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418.56</v>
      </c>
      <c r="AC1260">
        <f>IF(Transaction[[#This Row],[DiscountAmount_Check2]]="Invalid",Transaction[[#This Row],[GrossRevenue_Analytical]]-Transaction[[#This Row],[NetRevenue_Analytical]],Transaction[[#This Row],[DiscountAmount_Clean]])</f>
        <v>418.56</v>
      </c>
      <c r="AD1260">
        <v>3781.44</v>
      </c>
      <c r="AE1260" t="str">
        <f>IF(ROUND(Transaction[[#This Row],[GrossRevenue_Analytical]]-Transaction[[#This Row],[NetRevenue_Analytical]],2)=ROUND(Transaction[[#This Row],[DiscountAmount_Clean]],2),"Valid","Invalid")</f>
        <v>Valid</v>
      </c>
      <c r="AF1260">
        <f>VALUE(IF(ISNUMBER(Transaction[[#This Row],[NetRevenue]]),Transaction[[#This Row],[NetRevenue]],IFERROR(IF(FIND("$",Transaction[[#This Row],[NetRevenue]])&gt;0,MID(Transaction[[#This Row],[NetRevenue]],2,10)),Transaction[[#This Row],[NetRevenue]])))</f>
        <v>3781.44</v>
      </c>
      <c r="AG1260">
        <f>IF(Transaction[[#This Row],[NetRevenue_Check]]="Invalid",(Transaction[[#This Row],[Quantity]]*Transaction[[#This Row],[UnitPrice_Clean]]),Transaction[[#This Row],[NetRevenue_Clean]])</f>
        <v>3781.44</v>
      </c>
      <c r="AH1260" t="str">
        <f>IF(Transaction[[#This Row],[Quantity]]*Transaction[[#This Row],[UnitPrice_Clean]]=Transaction[[#This Row],[NetRevenue_Clean]],"Valid","Invalid")</f>
        <v>Valid</v>
      </c>
      <c r="AI1260" t="s">
        <v>23</v>
      </c>
      <c r="AJ1260" t="s">
        <v>828</v>
      </c>
      <c r="AK1260" t="str">
        <f>IF(Transaction[[#This Row],[Salesperson]]="","Missing Value",TRIM(PROPER(Transaction[[#This Row],[Salesperson]])))</f>
        <v>Johnson</v>
      </c>
      <c r="AL1260" t="s">
        <v>34</v>
      </c>
      <c r="AM1260" t="str">
        <f>IF(Transaction[[#This Row],[ContractType]]="","Missing Value",Transaction[[#This Row],[ContractType]])</f>
        <v>Annual License</v>
      </c>
      <c r="AN1260" t="s">
        <v>65</v>
      </c>
    </row>
    <row r="1261" spans="1:40" x14ac:dyDescent="0.25">
      <c r="A1261" t="s">
        <v>2018</v>
      </c>
      <c r="B1261" s="1">
        <v>45687</v>
      </c>
      <c r="C126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</v>
      </c>
      <c r="D126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30</v>
      </c>
      <c r="E126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61" s="2">
        <f>IFERROR(DATE(Transaction[[#This Row],[TransactionDateY]],Transaction[[#This Row],[TransactionDateM]],Transaction[[#This Row],[TransactionDateD]]),"Missing Value")</f>
        <v>45687</v>
      </c>
      <c r="G1261" t="s">
        <v>2019</v>
      </c>
      <c r="H1261" t="str">
        <f>IFERROR(VLOOKUP(Transaction[[#This Row],[CustomerID]],Custumer[],1,0),IF(LEN(Transaction[[#This Row],[CustomerID]])=7,LEFT(Transaction[[#This Row],[CustomerID]],6),"Invalid ID"))</f>
        <v>C-1137</v>
      </c>
      <c r="I1261" t="s">
        <v>29</v>
      </c>
      <c r="J1261" t="str">
        <f>TRIM(UPPER(Transaction[[#This Row],[ProductID]]))</f>
        <v>P-SA-001</v>
      </c>
      <c r="K1261" t="str">
        <f>IFERROR(VLOOKUP(Transaction[[#This Row],[ProductID_Clean]],Product[],1,FALSE),"Invalid ID")</f>
        <v>P-SA-001</v>
      </c>
      <c r="L1261" t="str">
        <f>TRIM(SUBSTITUTE(SUBSTITUTE(SUBSTITUTE(SUBSTITUTE(UPPER(Transaction[[#This Row],[Region]]),"EMEA REGION","EMEA"),"APAC REGION","APAC"),"NORTH AMERICA","N. AMERICA"),"N .AMERICA","N.AMERICA"))</f>
        <v>N. AMERICA</v>
      </c>
      <c r="M1261" t="s">
        <v>20</v>
      </c>
      <c r="N1261" t="s">
        <v>31</v>
      </c>
      <c r="O126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61" t="s">
        <v>40</v>
      </c>
      <c r="Q1261" t="str">
        <f>IF(TRIM(Transaction[[#This Row],[SalesChannel]])="","Missing Value",TRIM(Transaction[[#This Row],[SalesChannel]]))</f>
        <v>Distributor</v>
      </c>
      <c r="R1261" s="4">
        <v>1</v>
      </c>
      <c r="S1261" s="4" t="str">
        <f>IF(Transaction[[#This Row],[Quantity]]&lt;0,"Negative-review","Valid")</f>
        <v>Valid</v>
      </c>
      <c r="T1261">
        <v>3160.94</v>
      </c>
      <c r="U126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3160.94</v>
      </c>
      <c r="V1261">
        <v>4200</v>
      </c>
      <c r="W1261">
        <v>4200</v>
      </c>
      <c r="X126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1261">
        <f>IF(Transaction[[#This Row],[GrossRevenue_Check]]="Invalid",Transaction[[#This Row],[ListPrice]]*Transaction[[#This Row],[Quantity]],Transaction[[#This Row],[GrossRevenue_Clean]])</f>
        <v>4200</v>
      </c>
      <c r="Z1261" t="str">
        <f>IF(Transaction[[#This Row],[GrossRevenue_Clean]]=Transaction[[#This Row],[ListPrice]]*Transaction[[#This Row],[Quantity]],"Valid","Invalid")</f>
        <v>Valid</v>
      </c>
      <c r="AA1261" t="s">
        <v>2020</v>
      </c>
      <c r="AB126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1039.06</v>
      </c>
      <c r="AC1261">
        <f>IF(Transaction[[#This Row],[DiscountAmount_Check2]]="Invalid",Transaction[[#This Row],[GrossRevenue_Analytical]]-Transaction[[#This Row],[NetRevenue_Analytical]],Transaction[[#This Row],[DiscountAmount_Clean]])</f>
        <v>1039.06</v>
      </c>
      <c r="AD1261" t="s">
        <v>2021</v>
      </c>
      <c r="AE1261" t="str">
        <f>IF(ROUND(Transaction[[#This Row],[GrossRevenue_Analytical]]-Transaction[[#This Row],[NetRevenue_Analytical]],2)=ROUND(Transaction[[#This Row],[DiscountAmount_Clean]],2),"Valid","Invalid")</f>
        <v>Valid</v>
      </c>
      <c r="AF1261">
        <f>VALUE(IF(ISNUMBER(Transaction[[#This Row],[NetRevenue]]),Transaction[[#This Row],[NetRevenue]],IFERROR(IF(FIND("$",Transaction[[#This Row],[NetRevenue]])&gt;0,MID(Transaction[[#This Row],[NetRevenue]],2,10)),Transaction[[#This Row],[NetRevenue]])))</f>
        <v>3160.94</v>
      </c>
      <c r="AG1261">
        <f>IF(Transaction[[#This Row],[NetRevenue_Check]]="Invalid",(Transaction[[#This Row],[Quantity]]*Transaction[[#This Row],[UnitPrice_Clean]]),Transaction[[#This Row],[NetRevenue_Clean]])</f>
        <v>3160.94</v>
      </c>
      <c r="AH1261" t="str">
        <f>IF(Transaction[[#This Row],[Quantity]]*Transaction[[#This Row],[UnitPrice_Clean]]=Transaction[[#This Row],[NetRevenue_Clean]],"Valid","Invalid")</f>
        <v>Valid</v>
      </c>
      <c r="AI1261" t="s">
        <v>23</v>
      </c>
      <c r="AJ1261" t="s">
        <v>2022</v>
      </c>
      <c r="AK1261" t="str">
        <f>IF(Transaction[[#This Row],[Salesperson]]="","Missing Value",TRIM(PROPER(Transaction[[#This Row],[Salesperson]])))</f>
        <v>Cooper-Ap</v>
      </c>
      <c r="AM1261" t="str">
        <f>IF(Transaction[[#This Row],[ContractType]]="","Missing Value",Transaction[[#This Row],[ContractType]])</f>
        <v>Missing Value</v>
      </c>
      <c r="AN1261" t="s">
        <v>26</v>
      </c>
    </row>
    <row r="1262" spans="1:40" x14ac:dyDescent="0.25">
      <c r="A1262" t="s">
        <v>27</v>
      </c>
      <c r="B1262" s="1">
        <v>45831</v>
      </c>
      <c r="C126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26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126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62" s="2">
        <f>IFERROR(DATE(Transaction[[#This Row],[TransactionDateY]],Transaction[[#This Row],[TransactionDateM]],Transaction[[#This Row],[TransactionDateD]]),"Missing Value")</f>
        <v>45831</v>
      </c>
      <c r="G1262" t="s">
        <v>28</v>
      </c>
      <c r="H1262" t="str">
        <f>IFERROR(VLOOKUP(Transaction[[#This Row],[CustomerID]],Custumer[],1,0),IF(LEN(Transaction[[#This Row],[CustomerID]])=7,LEFT(Transaction[[#This Row],[CustomerID]],6),"Invalid ID"))</f>
        <v>C-1038</v>
      </c>
      <c r="I1262" t="s">
        <v>29</v>
      </c>
      <c r="J1262" t="str">
        <f>TRIM(UPPER(Transaction[[#This Row],[ProductID]]))</f>
        <v>P-SA-001</v>
      </c>
      <c r="K1262" t="str">
        <f>IFERROR(VLOOKUP(Transaction[[#This Row],[ProductID_Clean]],Product[],1,FALSE),"Invalid ID")</f>
        <v>P-SA-001</v>
      </c>
      <c r="L1262" t="str">
        <f>TRIM(SUBSTITUTE(SUBSTITUTE(SUBSTITUTE(SUBSTITUTE(UPPER(Transaction[[#This Row],[Region]]),"EMEA REGION","EMEA"),"APAC REGION","APAC"),"NORTH AMERICA","N. AMERICA"),"N .AMERICA","N.AMERICA"))</f>
        <v>APAC</v>
      </c>
      <c r="M1262" t="s">
        <v>30</v>
      </c>
      <c r="N1262" t="s">
        <v>31</v>
      </c>
      <c r="O1262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62" t="s">
        <v>32</v>
      </c>
      <c r="Q1262" t="str">
        <f>IF(TRIM(Transaction[[#This Row],[SalesChannel]])="","Missing Value",TRIM(Transaction[[#This Row],[SalesChannel]]))</f>
        <v>Direct</v>
      </c>
      <c r="R1262" s="4">
        <v>1</v>
      </c>
      <c r="S1262" s="4" t="str">
        <f>IF(Transaction[[#This Row],[Quantity]]&lt;0,"Negative-review","Valid")</f>
        <v>Valid</v>
      </c>
      <c r="T1262">
        <v>3568.5</v>
      </c>
      <c r="U126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3568.5</v>
      </c>
      <c r="V1262">
        <v>4200</v>
      </c>
      <c r="W1262">
        <v>4200</v>
      </c>
      <c r="X126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1262">
        <f>IF(Transaction[[#This Row],[GrossRevenue_Check]]="Invalid",Transaction[[#This Row],[ListPrice]]*Transaction[[#This Row],[Quantity]],Transaction[[#This Row],[GrossRevenue_Clean]])</f>
        <v>4200</v>
      </c>
      <c r="Z1262" t="str">
        <f>IF(Transaction[[#This Row],[GrossRevenue_Clean]]=Transaction[[#This Row],[ListPrice]]*Transaction[[#This Row],[Quantity]],"Valid","Invalid")</f>
        <v>Valid</v>
      </c>
      <c r="AB126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1262">
        <f>IF(Transaction[[#This Row],[DiscountAmount_Check2]]="Invalid",Transaction[[#This Row],[GrossRevenue_Analytical]]-Transaction[[#This Row],[NetRevenue_Analytical]],Transaction[[#This Row],[DiscountAmount_Clean]])</f>
        <v>631.5</v>
      </c>
      <c r="AD1262">
        <v>3568.5</v>
      </c>
      <c r="AE1262" t="str">
        <f>IF(ROUND(Transaction[[#This Row],[GrossRevenue_Analytical]]-Transaction[[#This Row],[NetRevenue_Analytical]],2)=ROUND(Transaction[[#This Row],[DiscountAmount_Clean]],2),"Valid","Invalid")</f>
        <v>Invalid</v>
      </c>
      <c r="AF1262">
        <f>VALUE(IF(ISNUMBER(Transaction[[#This Row],[NetRevenue]]),Transaction[[#This Row],[NetRevenue]],IFERROR(IF(FIND("$",Transaction[[#This Row],[NetRevenue]])&gt;0,MID(Transaction[[#This Row],[NetRevenue]],2,10)),Transaction[[#This Row],[NetRevenue]])))</f>
        <v>3568.5</v>
      </c>
      <c r="AG1262">
        <f>IF(Transaction[[#This Row],[NetRevenue_Check]]="Invalid",(Transaction[[#This Row],[Quantity]]*Transaction[[#This Row],[UnitPrice_Clean]]),Transaction[[#This Row],[NetRevenue_Clean]])</f>
        <v>3568.5</v>
      </c>
      <c r="AH1262" t="str">
        <f>IF(Transaction[[#This Row],[Quantity]]*Transaction[[#This Row],[UnitPrice_Clean]]=Transaction[[#This Row],[NetRevenue_Clean]],"Valid","Invalid")</f>
        <v>Valid</v>
      </c>
      <c r="AI1262" t="s">
        <v>23</v>
      </c>
      <c r="AJ1262" t="s">
        <v>33</v>
      </c>
      <c r="AK1262" t="str">
        <f>IF(Transaction[[#This Row],[Salesperson]]="","Missing Value",TRIM(PROPER(Transaction[[#This Row],[Salesperson]])))</f>
        <v>Bell-Na</v>
      </c>
      <c r="AL1262" t="s">
        <v>34</v>
      </c>
      <c r="AM1262" t="str">
        <f>IF(Transaction[[#This Row],[ContractType]]="","Missing Value",Transaction[[#This Row],[ContractType]])</f>
        <v>Annual License</v>
      </c>
      <c r="AN1262" t="s">
        <v>35</v>
      </c>
    </row>
    <row r="1263" spans="1:40" x14ac:dyDescent="0.25">
      <c r="A1263" t="s">
        <v>1735</v>
      </c>
      <c r="B1263" s="1">
        <v>45757</v>
      </c>
      <c r="C126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26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10</v>
      </c>
      <c r="E126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63" s="2">
        <f>IFERROR(DATE(Transaction[[#This Row],[TransactionDateY]],Transaction[[#This Row],[TransactionDateM]],Transaction[[#This Row],[TransactionDateD]]),"Missing Value")</f>
        <v>45757</v>
      </c>
      <c r="G1263" t="s">
        <v>423</v>
      </c>
      <c r="H1263" t="str">
        <f>IFERROR(VLOOKUP(Transaction[[#This Row],[CustomerID]],Custumer[],1,0),IF(LEN(Transaction[[#This Row],[CustomerID]])=7,LEFT(Transaction[[#This Row],[CustomerID]],6),"Invalid ID"))</f>
        <v>C-1121</v>
      </c>
      <c r="I1263" t="s">
        <v>92</v>
      </c>
      <c r="J1263" t="str">
        <f>TRIM(UPPER(Transaction[[#This Row],[ProductID]]))</f>
        <v>P-SI-008</v>
      </c>
      <c r="K1263" t="str">
        <f>IFERROR(VLOOKUP(Transaction[[#This Row],[ProductID_Clean]],Product[],1,FALSE),"Invalid ID")</f>
        <v>P-SI-008</v>
      </c>
      <c r="L1263" t="str">
        <f>TRIM(SUBSTITUTE(SUBSTITUTE(SUBSTITUTE(SUBSTITUTE(UPPER(Transaction[[#This Row],[Region]]),"EMEA REGION","EMEA"),"APAC REGION","APAC"),"NORTH AMERICA","N. AMERICA"),"N .AMERICA","N.AMERICA"))</f>
        <v>N. AMERICA</v>
      </c>
      <c r="M1263" t="s">
        <v>204</v>
      </c>
      <c r="N1263" t="s">
        <v>53</v>
      </c>
      <c r="O126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63" t="s">
        <v>22</v>
      </c>
      <c r="Q1263" t="str">
        <f>IF(TRIM(Transaction[[#This Row],[SalesChannel]])="","Missing Value",TRIM(Transaction[[#This Row],[SalesChannel]]))</f>
        <v>Direct</v>
      </c>
      <c r="R1263" s="4">
        <v>2</v>
      </c>
      <c r="S1263" s="4" t="str">
        <f>IF(Transaction[[#This Row],[Quantity]]&lt;0,"Negative-review","Valid")</f>
        <v>Valid</v>
      </c>
      <c r="T1263">
        <v>897.3</v>
      </c>
      <c r="U126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897.3</v>
      </c>
      <c r="V1263">
        <v>950</v>
      </c>
      <c r="W1263">
        <v>1900</v>
      </c>
      <c r="X126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1900</v>
      </c>
      <c r="Y1263">
        <f>IF(Transaction[[#This Row],[GrossRevenue_Check]]="Invalid",Transaction[[#This Row],[ListPrice]]*Transaction[[#This Row],[Quantity]],Transaction[[#This Row],[GrossRevenue_Clean]])</f>
        <v>1900</v>
      </c>
      <c r="Z1263" t="str">
        <f>IF(Transaction[[#This Row],[GrossRevenue_Clean]]=Transaction[[#This Row],[ListPrice]]*Transaction[[#This Row],[Quantity]],"Valid","Invalid")</f>
        <v>Valid</v>
      </c>
      <c r="AA1263">
        <v>105.4</v>
      </c>
      <c r="AB126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105.4</v>
      </c>
      <c r="AC1263">
        <f>IF(Transaction[[#This Row],[DiscountAmount_Check2]]="Invalid",Transaction[[#This Row],[GrossRevenue_Analytical]]-Transaction[[#This Row],[NetRevenue_Analytical]],Transaction[[#This Row],[DiscountAmount_Clean]])</f>
        <v>105.4</v>
      </c>
      <c r="AD1263">
        <v>1794.6</v>
      </c>
      <c r="AE1263" t="str">
        <f>IF(ROUND(Transaction[[#This Row],[GrossRevenue_Analytical]]-Transaction[[#This Row],[NetRevenue_Analytical]],2)=ROUND(Transaction[[#This Row],[DiscountAmount_Clean]],2),"Valid","Invalid")</f>
        <v>Valid</v>
      </c>
      <c r="AF126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1794.6</v>
      </c>
      <c r="AG1263">
        <f>IF(Transaction[[#This Row],[NetRevenue_Check]]="Invalid",(Transaction[[#This Row],[Quantity]]*Transaction[[#This Row],[UnitPrice_Clean]]),Transaction[[#This Row],[NetRevenue_Clean]])</f>
        <v>1794.6</v>
      </c>
      <c r="AH1263" t="str">
        <f>IF(Transaction[[#This Row],[Quantity]]*Transaction[[#This Row],[UnitPrice_Clean]]=Transaction[[#This Row],[NetRevenue_Clean]],"Valid","Invalid")</f>
        <v>Valid</v>
      </c>
      <c r="AI1263" t="s">
        <v>23</v>
      </c>
      <c r="AJ1263" t="s">
        <v>1736</v>
      </c>
      <c r="AK1263" t="str">
        <f>IF(Transaction[[#This Row],[Salesperson]]="","Missing Value",TRIM(PROPER(Transaction[[#This Row],[Salesperson]])))</f>
        <v>Marsh-Na</v>
      </c>
      <c r="AL1263" t="s">
        <v>42</v>
      </c>
      <c r="AM1263" t="str">
        <f>IF(Transaction[[#This Row],[ContractType]]="","Missing Value",Transaction[[#This Row],[ContractType]])</f>
        <v>Standard PO</v>
      </c>
      <c r="AN1263" t="s">
        <v>49</v>
      </c>
    </row>
    <row r="1264" spans="1:40" x14ac:dyDescent="0.25">
      <c r="A1264" t="s">
        <v>2797</v>
      </c>
      <c r="B1264" s="1">
        <v>45836</v>
      </c>
      <c r="C126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26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126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64" s="2">
        <f>IFERROR(DATE(Transaction[[#This Row],[TransactionDateY]],Transaction[[#This Row],[TransactionDateM]],Transaction[[#This Row],[TransactionDateD]]),"Missing Value")</f>
        <v>45836</v>
      </c>
      <c r="G1264" t="s">
        <v>621</v>
      </c>
      <c r="H1264" t="str">
        <f>IFERROR(VLOOKUP(Transaction[[#This Row],[CustomerID]],Custumer[],1,0),IF(LEN(Transaction[[#This Row],[CustomerID]])=7,LEFT(Transaction[[#This Row],[CustomerID]],6),"Invalid ID"))</f>
        <v>C-1064</v>
      </c>
      <c r="I1264" t="s">
        <v>19</v>
      </c>
      <c r="J1264" t="str">
        <f>TRIM(UPPER(Transaction[[#This Row],[ProductID]]))</f>
        <v>P-FS-004</v>
      </c>
      <c r="K1264" t="str">
        <f>IFERROR(VLOOKUP(Transaction[[#This Row],[ProductID_Clean]],Product[],1,FALSE),"Invalid ID")</f>
        <v>P-FS-004</v>
      </c>
      <c r="L1264" t="str">
        <f>TRIM(SUBSTITUTE(SUBSTITUTE(SUBSTITUTE(SUBSTITUTE(UPPER(Transaction[[#This Row],[Region]]),"EMEA REGION","EMEA"),"APAC REGION","APAC"),"NORTH AMERICA","N. AMERICA"),"N .AMERICA","N.AMERICA"))</f>
        <v>N. AMERICA</v>
      </c>
      <c r="M1264" t="s">
        <v>20</v>
      </c>
      <c r="N1264" t="s">
        <v>244</v>
      </c>
      <c r="O1264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264" t="s">
        <v>22</v>
      </c>
      <c r="Q1264" t="str">
        <f>IF(TRIM(Transaction[[#This Row],[SalesChannel]])="","Missing Value",TRIM(Transaction[[#This Row],[SalesChannel]]))</f>
        <v>Direct</v>
      </c>
      <c r="R1264" s="4">
        <v>1</v>
      </c>
      <c r="S1264" s="4" t="str">
        <f>IF(Transaction[[#This Row],[Quantity]]&lt;0,"Negative-review","Valid")</f>
        <v>Valid</v>
      </c>
      <c r="T1264">
        <v>3062.98</v>
      </c>
      <c r="U126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3062.98</v>
      </c>
      <c r="V1264">
        <v>3200</v>
      </c>
      <c r="W1264">
        <v>3200</v>
      </c>
      <c r="X126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3200</v>
      </c>
      <c r="Y1264">
        <f>IF(Transaction[[#This Row],[GrossRevenue_Check]]="Invalid",Transaction[[#This Row],[ListPrice]]*Transaction[[#This Row],[Quantity]],Transaction[[#This Row],[GrossRevenue_Clean]])</f>
        <v>3200</v>
      </c>
      <c r="Z1264" t="str">
        <f>IF(Transaction[[#This Row],[GrossRevenue_Clean]]=Transaction[[#This Row],[ListPrice]]*Transaction[[#This Row],[Quantity]],"Valid","Invalid")</f>
        <v>Valid</v>
      </c>
      <c r="AB126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1264">
        <f>IF(Transaction[[#This Row],[DiscountAmount_Check2]]="Invalid",Transaction[[#This Row],[GrossRevenue_Analytical]]-Transaction[[#This Row],[NetRevenue_Analytical]],Transaction[[#This Row],[DiscountAmount_Clean]])</f>
        <v>137.01999999999998</v>
      </c>
      <c r="AD1264">
        <v>3062.98</v>
      </c>
      <c r="AE1264" t="str">
        <f>IF(ROUND(Transaction[[#This Row],[GrossRevenue_Analytical]]-Transaction[[#This Row],[NetRevenue_Analytical]],2)=ROUND(Transaction[[#This Row],[DiscountAmount_Clean]],2),"Valid","Invalid")</f>
        <v>Invalid</v>
      </c>
      <c r="AF1264">
        <f>VALUE(IF(ISNUMBER(Transaction[[#This Row],[NetRevenue]]),Transaction[[#This Row],[NetRevenue]],IFERROR(IF(FIND("$",Transaction[[#This Row],[NetRevenue]])&gt;0,MID(Transaction[[#This Row],[NetRevenue]],2,10)),Transaction[[#This Row],[NetRevenue]])))</f>
        <v>3062.98</v>
      </c>
      <c r="AG1264">
        <f>IF(Transaction[[#This Row],[NetRevenue_Check]]="Invalid",(Transaction[[#This Row],[Quantity]]*Transaction[[#This Row],[UnitPrice_Clean]]),Transaction[[#This Row],[NetRevenue_Clean]])</f>
        <v>3062.98</v>
      </c>
      <c r="AH1264" t="str">
        <f>IF(Transaction[[#This Row],[Quantity]]*Transaction[[#This Row],[UnitPrice_Clean]]=Transaction[[#This Row],[NetRevenue_Clean]],"Valid","Invalid")</f>
        <v>Valid</v>
      </c>
      <c r="AI1264" t="s">
        <v>99</v>
      </c>
      <c r="AJ1264" t="s">
        <v>1585</v>
      </c>
      <c r="AK1264" t="str">
        <f>IF(Transaction[[#This Row],[Salesperson]]="","Missing Value",TRIM(PROPER(Transaction[[#This Row],[Salesperson]])))</f>
        <v>Lucas</v>
      </c>
      <c r="AL1264" t="s">
        <v>25</v>
      </c>
      <c r="AM1264" t="str">
        <f>IF(Transaction[[#This Row],[ContractType]]="","Missing Value",Transaction[[#This Row],[ContractType]])</f>
        <v>Frame Agreement</v>
      </c>
      <c r="AN1264" t="s">
        <v>35</v>
      </c>
    </row>
    <row r="1265" spans="1:40" x14ac:dyDescent="0.25">
      <c r="A1265" t="s">
        <v>1775</v>
      </c>
      <c r="B1265" s="1">
        <v>45805</v>
      </c>
      <c r="C126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26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28</v>
      </c>
      <c r="E126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65" s="2">
        <f>IFERROR(DATE(Transaction[[#This Row],[TransactionDateY]],Transaction[[#This Row],[TransactionDateM]],Transaction[[#This Row],[TransactionDateD]]),"Missing Value")</f>
        <v>45805</v>
      </c>
      <c r="G1265" t="s">
        <v>360</v>
      </c>
      <c r="H1265" t="str">
        <f>IFERROR(VLOOKUP(Transaction[[#This Row],[CustomerID]],Custumer[],1,0),IF(LEN(Transaction[[#This Row],[CustomerID]])=7,LEFT(Transaction[[#This Row],[CustomerID]],6),"Invalid ID"))</f>
        <v>C-1067</v>
      </c>
      <c r="I1265" t="s">
        <v>268</v>
      </c>
      <c r="J1265" t="str">
        <f>TRIM(UPPER(Transaction[[#This Row],[ProductID]]))</f>
        <v>P-FS-002</v>
      </c>
      <c r="K1265" t="str">
        <f>IFERROR(VLOOKUP(Transaction[[#This Row],[ProductID_Clean]],Product[],1,FALSE),"Invalid ID")</f>
        <v>P-FS-002</v>
      </c>
      <c r="L1265" t="str">
        <f>TRIM(SUBSTITUTE(SUBSTITUTE(SUBSTITUTE(SUBSTITUTE(UPPER(Transaction[[#This Row],[Region]]),"EMEA REGION","EMEA"),"APAC REGION","APAC"),"NORTH AMERICA","N. AMERICA"),"N .AMERICA","N.AMERICA"))</f>
        <v>APAC</v>
      </c>
      <c r="M1265" t="s">
        <v>30</v>
      </c>
      <c r="N1265" t="s">
        <v>21</v>
      </c>
      <c r="O126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265" t="s">
        <v>40</v>
      </c>
      <c r="Q1265" t="str">
        <f>IF(TRIM(Transaction[[#This Row],[SalesChannel]])="","Missing Value",TRIM(Transaction[[#This Row],[SalesChannel]]))</f>
        <v>Distributor</v>
      </c>
      <c r="R1265" s="4">
        <v>1</v>
      </c>
      <c r="S1265" s="4" t="str">
        <f>IF(Transaction[[#This Row],[Quantity]]&lt;0,"Negative-review","Valid")</f>
        <v>Valid</v>
      </c>
      <c r="T1265">
        <v>1594.84</v>
      </c>
      <c r="U126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1594.84</v>
      </c>
      <c r="V1265">
        <v>2400</v>
      </c>
      <c r="W1265">
        <v>2400</v>
      </c>
      <c r="X126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1265">
        <f>IF(Transaction[[#This Row],[GrossRevenue_Check]]="Invalid",Transaction[[#This Row],[ListPrice]]*Transaction[[#This Row],[Quantity]],Transaction[[#This Row],[GrossRevenue_Clean]])</f>
        <v>2400</v>
      </c>
      <c r="Z1265" t="str">
        <f>IF(Transaction[[#This Row],[GrossRevenue_Clean]]=Transaction[[#This Row],[ListPrice]]*Transaction[[#This Row],[Quantity]],"Valid","Invalid")</f>
        <v>Valid</v>
      </c>
      <c r="AA1265">
        <v>805.16</v>
      </c>
      <c r="AB126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805.16</v>
      </c>
      <c r="AC1265">
        <f>IF(Transaction[[#This Row],[DiscountAmount_Check2]]="Invalid",Transaction[[#This Row],[GrossRevenue_Analytical]]-Transaction[[#This Row],[NetRevenue_Analytical]],Transaction[[#This Row],[DiscountAmount_Clean]])</f>
        <v>805.16</v>
      </c>
      <c r="AD1265">
        <v>1594.84</v>
      </c>
      <c r="AE1265" t="str">
        <f>IF(ROUND(Transaction[[#This Row],[GrossRevenue_Analytical]]-Transaction[[#This Row],[NetRevenue_Analytical]],2)=ROUND(Transaction[[#This Row],[DiscountAmount_Clean]],2),"Valid","Invalid")</f>
        <v>Valid</v>
      </c>
      <c r="AF126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1594.84</v>
      </c>
      <c r="AG1265">
        <f>IF(Transaction[[#This Row],[NetRevenue_Check]]="Invalid",(Transaction[[#This Row],[Quantity]]*Transaction[[#This Row],[UnitPrice_Clean]]),Transaction[[#This Row],[NetRevenue_Clean]])</f>
        <v>1594.84</v>
      </c>
      <c r="AH1265" t="str">
        <f>IF(Transaction[[#This Row],[Quantity]]*Transaction[[#This Row],[UnitPrice_Clean]]=Transaction[[#This Row],[NetRevenue_Clean]],"Valid","Invalid")</f>
        <v>Valid</v>
      </c>
      <c r="AI1265" t="s">
        <v>23</v>
      </c>
      <c r="AJ1265" t="s">
        <v>237</v>
      </c>
      <c r="AK1265" t="str">
        <f>IF(Transaction[[#This Row],[Salesperson]]="","Missing Value",TRIM(PROPER(Transaction[[#This Row],[Salesperson]])))</f>
        <v>Yang</v>
      </c>
      <c r="AL1265" t="s">
        <v>224</v>
      </c>
      <c r="AM1265" t="str">
        <f>IF(Transaction[[#This Row],[ContractType]]="","Missing Value",Transaction[[#This Row],[ContractType]])</f>
        <v>Annual</v>
      </c>
      <c r="AN1265" t="s">
        <v>43</v>
      </c>
    </row>
    <row r="1266" spans="1:40" x14ac:dyDescent="0.25">
      <c r="A1266" t="s">
        <v>2348</v>
      </c>
      <c r="B1266" t="s">
        <v>2349</v>
      </c>
      <c r="C126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126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05</v>
      </c>
      <c r="E126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66" s="2">
        <f>IFERROR(DATE(Transaction[[#This Row],[TransactionDateY]],Transaction[[#This Row],[TransactionDateM]],Transaction[[#This Row],[TransactionDateD]]),"Missing Value")</f>
        <v>45782</v>
      </c>
      <c r="G1266" t="s">
        <v>935</v>
      </c>
      <c r="H1266" t="str">
        <f>IFERROR(VLOOKUP(Transaction[[#This Row],[CustomerID]],Custumer[],1,0),IF(LEN(Transaction[[#This Row],[CustomerID]])=7,LEFT(Transaction[[#This Row],[CustomerID]],6),"Invalid ID"))</f>
        <v>C-1052</v>
      </c>
      <c r="I1266" t="s">
        <v>268</v>
      </c>
      <c r="J1266" t="str">
        <f>TRIM(UPPER(Transaction[[#This Row],[ProductID]]))</f>
        <v>P-FS-002</v>
      </c>
      <c r="K1266" t="str">
        <f>IFERROR(VLOOKUP(Transaction[[#This Row],[ProductID_Clean]],Product[],1,FALSE),"Invalid ID")</f>
        <v>P-FS-002</v>
      </c>
      <c r="L1266" t="str">
        <f>TRIM(SUBSTITUTE(SUBSTITUTE(SUBSTITUTE(SUBSTITUTE(UPPER(Transaction[[#This Row],[Region]]),"EMEA REGION","EMEA"),"APAC REGION","APAC"),"NORTH AMERICA","N. AMERICA"),"N .AMERICA","N.AMERICA"))</f>
        <v>LATIN AMERICA</v>
      </c>
      <c r="M1266" t="s">
        <v>82</v>
      </c>
      <c r="N1266" t="s">
        <v>21</v>
      </c>
      <c r="O1266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266" t="s">
        <v>22</v>
      </c>
      <c r="Q1266" t="str">
        <f>IF(TRIM(Transaction[[#This Row],[SalesChannel]])="","Missing Value",TRIM(Transaction[[#This Row],[SalesChannel]]))</f>
        <v>Direct</v>
      </c>
      <c r="R1266" s="4">
        <v>1</v>
      </c>
      <c r="S1266" s="4" t="str">
        <f>IF(Transaction[[#This Row],[Quantity]]&lt;0,"Negative-review","Valid")</f>
        <v>Valid</v>
      </c>
      <c r="T1266">
        <v>2187.4</v>
      </c>
      <c r="U126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2187.4</v>
      </c>
      <c r="V1266">
        <v>2400</v>
      </c>
      <c r="W1266">
        <v>2400</v>
      </c>
      <c r="X126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2400</v>
      </c>
      <c r="Y1266">
        <f>IF(Transaction[[#This Row],[GrossRevenue_Check]]="Invalid",Transaction[[#This Row],[ListPrice]]*Transaction[[#This Row],[Quantity]],Transaction[[#This Row],[GrossRevenue_Clean]])</f>
        <v>2400</v>
      </c>
      <c r="Z1266" t="str">
        <f>IF(Transaction[[#This Row],[GrossRevenue_Clean]]=Transaction[[#This Row],[ListPrice]]*Transaction[[#This Row],[Quantity]],"Valid","Invalid")</f>
        <v>Valid</v>
      </c>
      <c r="AA1266">
        <v>212.6</v>
      </c>
      <c r="AB126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212.6</v>
      </c>
      <c r="AC1266">
        <f>IF(Transaction[[#This Row],[DiscountAmount_Check2]]="Invalid",Transaction[[#This Row],[GrossRevenue_Analytical]]-Transaction[[#This Row],[NetRevenue_Analytical]],Transaction[[#This Row],[DiscountAmount_Clean]])</f>
        <v>212.6</v>
      </c>
      <c r="AD1266">
        <v>2187.4</v>
      </c>
      <c r="AE1266" t="str">
        <f>IF(ROUND(Transaction[[#This Row],[GrossRevenue_Analytical]]-Transaction[[#This Row],[NetRevenue_Analytical]],2)=ROUND(Transaction[[#This Row],[DiscountAmount_Clean]],2),"Valid","Invalid")</f>
        <v>Valid</v>
      </c>
      <c r="AF1266">
        <f>VALUE(IF(ISNUMBER(Transaction[[#This Row],[NetRevenue]]),Transaction[[#This Row],[NetRevenue]],IFERROR(IF(FIND("$",Transaction[[#This Row],[NetRevenue]])&gt;0,MID(Transaction[[#This Row],[NetRevenue]],2,10)),Transaction[[#This Row],[NetRevenue]])))</f>
        <v>2187.4</v>
      </c>
      <c r="AG1266">
        <f>IF(Transaction[[#This Row],[NetRevenue_Check]]="Invalid",(Transaction[[#This Row],[Quantity]]*Transaction[[#This Row],[UnitPrice_Clean]]),Transaction[[#This Row],[NetRevenue_Clean]])</f>
        <v>2187.4</v>
      </c>
      <c r="AH1266" t="str">
        <f>IF(Transaction[[#This Row],[Quantity]]*Transaction[[#This Row],[UnitPrice_Clean]]=Transaction[[#This Row],[NetRevenue_Clean]],"Valid","Invalid")</f>
        <v>Valid</v>
      </c>
      <c r="AI1266" t="s">
        <v>23</v>
      </c>
      <c r="AJ1266" t="s">
        <v>2350</v>
      </c>
      <c r="AK1266" t="str">
        <f>IF(Transaction[[#This Row],[Salesperson]]="","Missing Value",TRIM(PROPER(Transaction[[#This Row],[Salesperson]])))</f>
        <v>Black-Ap</v>
      </c>
      <c r="AL1266" t="s">
        <v>224</v>
      </c>
      <c r="AM1266" t="str">
        <f>IF(Transaction[[#This Row],[ContractType]]="","Missing Value",Transaction[[#This Row],[ContractType]])</f>
        <v>Annual</v>
      </c>
      <c r="AN1266" t="s">
        <v>35</v>
      </c>
    </row>
    <row r="1267" spans="1:40" x14ac:dyDescent="0.25">
      <c r="A1267" t="s">
        <v>457</v>
      </c>
      <c r="B1267" s="1">
        <v>45795</v>
      </c>
      <c r="C126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26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18</v>
      </c>
      <c r="E126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67" s="2">
        <f>IFERROR(DATE(Transaction[[#This Row],[TransactionDateY]],Transaction[[#This Row],[TransactionDateM]],Transaction[[#This Row],[TransactionDateD]]),"Missing Value")</f>
        <v>45795</v>
      </c>
      <c r="G1267" t="s">
        <v>357</v>
      </c>
      <c r="H1267" t="str">
        <f>IFERROR(VLOOKUP(Transaction[[#This Row],[CustomerID]],Custumer[],1,0),IF(LEN(Transaction[[#This Row],[CustomerID]])=7,LEFT(Transaction[[#This Row],[CustomerID]],6),"Invalid ID"))</f>
        <v>C-1078</v>
      </c>
      <c r="I1267" t="s">
        <v>92</v>
      </c>
      <c r="J1267" t="str">
        <f>TRIM(UPPER(Transaction[[#This Row],[ProductID]]))</f>
        <v>P-SI-008</v>
      </c>
      <c r="K1267" t="str">
        <f>IFERROR(VLOOKUP(Transaction[[#This Row],[ProductID_Clean]],Product[],1,FALSE),"Invalid ID")</f>
        <v>P-SI-008</v>
      </c>
      <c r="L1267" t="str">
        <f>TRIM(SUBSTITUTE(SUBSTITUTE(SUBSTITUTE(SUBSTITUTE(UPPER(Transaction[[#This Row],[Region]]),"EMEA REGION","EMEA"),"APAC REGION","APAC"),"NORTH AMERICA","N. AMERICA"),"N .AMERICA","N.AMERICA"))</f>
        <v>N. AMERICA</v>
      </c>
      <c r="M1267" t="s">
        <v>20</v>
      </c>
      <c r="N1267" t="s">
        <v>53</v>
      </c>
      <c r="O126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67" t="s">
        <v>77</v>
      </c>
      <c r="Q1267" t="str">
        <f>IF(TRIM(Transaction[[#This Row],[SalesChannel]])="","Missing Value",TRIM(Transaction[[#This Row],[SalesChannel]]))</f>
        <v>distributor</v>
      </c>
      <c r="R1267" s="4">
        <v>1</v>
      </c>
      <c r="S1267" s="4" t="str">
        <f>IF(Transaction[[#This Row],[Quantity]]&lt;0,"Negative-review","Valid")</f>
        <v>Valid</v>
      </c>
      <c r="T1267">
        <v>743.39</v>
      </c>
      <c r="U126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743.39</v>
      </c>
      <c r="V1267">
        <v>950</v>
      </c>
      <c r="W1267">
        <v>950</v>
      </c>
      <c r="X126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950</v>
      </c>
      <c r="Y1267">
        <f>IF(Transaction[[#This Row],[GrossRevenue_Check]]="Invalid",Transaction[[#This Row],[ListPrice]]*Transaction[[#This Row],[Quantity]],Transaction[[#This Row],[GrossRevenue_Clean]])</f>
        <v>950</v>
      </c>
      <c r="Z1267" t="str">
        <f>IF(Transaction[[#This Row],[GrossRevenue_Clean]]=Transaction[[#This Row],[ListPrice]]*Transaction[[#This Row],[Quantity]],"Valid","Invalid")</f>
        <v>Valid</v>
      </c>
      <c r="AA1267">
        <v>206.61</v>
      </c>
      <c r="AB126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206.61</v>
      </c>
      <c r="AC1267">
        <f>IF(Transaction[[#This Row],[DiscountAmount_Check2]]="Invalid",Transaction[[#This Row],[GrossRevenue_Analytical]]-Transaction[[#This Row],[NetRevenue_Analytical]],Transaction[[#This Row],[DiscountAmount_Clean]])</f>
        <v>206.61</v>
      </c>
      <c r="AD1267">
        <v>743.39</v>
      </c>
      <c r="AE1267" t="str">
        <f>IF(ROUND(Transaction[[#This Row],[GrossRevenue_Analytical]]-Transaction[[#This Row],[NetRevenue_Analytical]],2)=ROUND(Transaction[[#This Row],[DiscountAmount_Clean]],2),"Valid","Invalid")</f>
        <v>Valid</v>
      </c>
      <c r="AF1267">
        <f>VALUE(IF(ISNUMBER(Transaction[[#This Row],[NetRevenue]]),Transaction[[#This Row],[NetRevenue]],IFERROR(IF(FIND("$",Transaction[[#This Row],[NetRevenue]])&gt;0,MID(Transaction[[#This Row],[NetRevenue]],2,10)),Transaction[[#This Row],[NetRevenue]])))</f>
        <v>743.39</v>
      </c>
      <c r="AG1267">
        <f>IF(Transaction[[#This Row],[NetRevenue_Check]]="Invalid",(Transaction[[#This Row],[Quantity]]*Transaction[[#This Row],[UnitPrice_Clean]]),Transaction[[#This Row],[NetRevenue_Clean]])</f>
        <v>743.39</v>
      </c>
      <c r="AH1267" t="str">
        <f>IF(Transaction[[#This Row],[Quantity]]*Transaction[[#This Row],[UnitPrice_Clean]]=Transaction[[#This Row],[NetRevenue_Clean]],"Valid","Invalid")</f>
        <v>Valid</v>
      </c>
      <c r="AI1267" t="s">
        <v>23</v>
      </c>
      <c r="AJ1267" t="s">
        <v>458</v>
      </c>
      <c r="AK1267" t="str">
        <f>IF(Transaction[[#This Row],[Salesperson]]="","Missing Value",TRIM(PROPER(Transaction[[#This Row],[Salesperson]])))</f>
        <v>Arnold-Ap</v>
      </c>
      <c r="AL1267" t="s">
        <v>25</v>
      </c>
      <c r="AM1267" t="str">
        <f>IF(Transaction[[#This Row],[ContractType]]="","Missing Value",Transaction[[#This Row],[ContractType]])</f>
        <v>Frame Agreement</v>
      </c>
      <c r="AN1267" t="s">
        <v>26</v>
      </c>
    </row>
    <row r="1268" spans="1:40" x14ac:dyDescent="0.25">
      <c r="A1268" t="s">
        <v>1905</v>
      </c>
      <c r="B1268" s="1">
        <v>45823</v>
      </c>
      <c r="C126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26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126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68" s="2">
        <f>IFERROR(DATE(Transaction[[#This Row],[TransactionDateY]],Transaction[[#This Row],[TransactionDateM]],Transaction[[#This Row],[TransactionDateD]]),"Missing Value")</f>
        <v>45823</v>
      </c>
      <c r="G1268" t="s">
        <v>1906</v>
      </c>
      <c r="H1268" t="str">
        <f>IFERROR(VLOOKUP(Transaction[[#This Row],[CustomerID]],Custumer[],1,0),IF(LEN(Transaction[[#This Row],[CustomerID]])=7,LEFT(Transaction[[#This Row],[CustomerID]],6),"Invalid ID"))</f>
        <v>C-1055</v>
      </c>
      <c r="I1268" t="s">
        <v>226</v>
      </c>
      <c r="J1268" t="str">
        <f>TRIM(UPPER(Transaction[[#This Row],[ProductID]]))</f>
        <v>P-SA-002</v>
      </c>
      <c r="K1268" t="str">
        <f>IFERROR(VLOOKUP(Transaction[[#This Row],[ProductID_Clean]],Product[],1,FALSE),"Invalid ID")</f>
        <v>P-SA-002</v>
      </c>
      <c r="L1268" t="str">
        <f>TRIM(SUBSTITUTE(SUBSTITUTE(SUBSTITUTE(SUBSTITUTE(UPPER(Transaction[[#This Row],[Region]]),"EMEA REGION","EMEA"),"APAC REGION","APAC"),"NORTH AMERICA","N. AMERICA"),"N .AMERICA","N.AMERICA"))</f>
        <v>APAC</v>
      </c>
      <c r="M1268" t="s">
        <v>1458</v>
      </c>
      <c r="N1268" t="s">
        <v>857</v>
      </c>
      <c r="O126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Q1268" t="str">
        <f>IF(TRIM(Transaction[[#This Row],[SalesChannel]])="","Missing Value",TRIM(Transaction[[#This Row],[SalesChannel]]))</f>
        <v>Missing Value</v>
      </c>
      <c r="R1268" s="4">
        <v>1</v>
      </c>
      <c r="S1268" s="4" t="str">
        <f>IF(Transaction[[#This Row],[Quantity]]&lt;0,"Negative-review","Valid")</f>
        <v>Valid</v>
      </c>
      <c r="T1268">
        <v>7848.99</v>
      </c>
      <c r="U126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7848.99</v>
      </c>
      <c r="V1268">
        <v>9800</v>
      </c>
      <c r="W1268">
        <v>9800</v>
      </c>
      <c r="X126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1268">
        <f>IF(Transaction[[#This Row],[GrossRevenue_Check]]="Invalid",Transaction[[#This Row],[ListPrice]]*Transaction[[#This Row],[Quantity]],Transaction[[#This Row],[GrossRevenue_Clean]])</f>
        <v>9800</v>
      </c>
      <c r="Z1268" t="str">
        <f>IF(Transaction[[#This Row],[GrossRevenue_Clean]]=Transaction[[#This Row],[ListPrice]]*Transaction[[#This Row],[Quantity]],"Valid","Invalid")</f>
        <v>Valid</v>
      </c>
      <c r="AA1268">
        <v>1951.01</v>
      </c>
      <c r="AB126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1951.01</v>
      </c>
      <c r="AC1268">
        <f>IF(Transaction[[#This Row],[DiscountAmount_Check2]]="Invalid",Transaction[[#This Row],[GrossRevenue_Analytical]]-Transaction[[#This Row],[NetRevenue_Analytical]],Transaction[[#This Row],[DiscountAmount_Clean]])</f>
        <v>1951.01</v>
      </c>
      <c r="AD1268" t="s">
        <v>1907</v>
      </c>
      <c r="AE1268" t="str">
        <f>IF(ROUND(Transaction[[#This Row],[GrossRevenue_Analytical]]-Transaction[[#This Row],[NetRevenue_Analytical]],2)=ROUND(Transaction[[#This Row],[DiscountAmount_Clean]],2),"Valid","Invalid")</f>
        <v>Valid</v>
      </c>
      <c r="AF1268">
        <f>VALUE(IF(ISNUMBER(Transaction[[#This Row],[NetRevenue]]),Transaction[[#This Row],[NetRevenue]],IFERROR(IF(FIND("$",Transaction[[#This Row],[NetRevenue]])&gt;0,MID(Transaction[[#This Row],[NetRevenue]],2,10)),Transaction[[#This Row],[NetRevenue]])))</f>
        <v>7848.99</v>
      </c>
      <c r="AG1268">
        <f>IF(Transaction[[#This Row],[NetRevenue_Check]]="Invalid",(Transaction[[#This Row],[Quantity]]*Transaction[[#This Row],[UnitPrice_Clean]]),Transaction[[#This Row],[NetRevenue_Clean]])</f>
        <v>7848.99</v>
      </c>
      <c r="AH1268" t="str">
        <f>IF(Transaction[[#This Row],[Quantity]]*Transaction[[#This Row],[UnitPrice_Clean]]=Transaction[[#This Row],[NetRevenue_Clean]],"Valid","Invalid")</f>
        <v>Valid</v>
      </c>
      <c r="AI1268" t="s">
        <v>99</v>
      </c>
      <c r="AJ1268" t="s">
        <v>488</v>
      </c>
      <c r="AK1268" t="str">
        <f>IF(Transaction[[#This Row],[Salesperson]]="","Missing Value",TRIM(PROPER(Transaction[[#This Row],[Salesperson]])))</f>
        <v>Rivera</v>
      </c>
      <c r="AL1268" t="s">
        <v>34</v>
      </c>
      <c r="AM1268" t="str">
        <f>IF(Transaction[[#This Row],[ContractType]]="","Missing Value",Transaction[[#This Row],[ContractType]])</f>
        <v>Annual License</v>
      </c>
      <c r="AN1268" t="s">
        <v>26</v>
      </c>
    </row>
    <row r="1269" spans="1:40" x14ac:dyDescent="0.25">
      <c r="A1269" t="s">
        <v>3027</v>
      </c>
      <c r="B1269" t="s">
        <v>2686</v>
      </c>
      <c r="C126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126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23</v>
      </c>
      <c r="E126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69" s="2">
        <f>IFERROR(DATE(Transaction[[#This Row],[TransactionDateY]],Transaction[[#This Row],[TransactionDateM]],Transaction[[#This Row],[TransactionDateD]]),"Missing Value")</f>
        <v>45800</v>
      </c>
      <c r="G1269" t="s">
        <v>916</v>
      </c>
      <c r="H1269" t="str">
        <f>IFERROR(VLOOKUP(Transaction[[#This Row],[CustomerID]],Custumer[],1,0),IF(LEN(Transaction[[#This Row],[CustomerID]])=7,LEFT(Transaction[[#This Row],[CustomerID]],6),"Invalid ID"))</f>
        <v>C-1106</v>
      </c>
      <c r="I1269" t="s">
        <v>58</v>
      </c>
      <c r="J1269" t="str">
        <f>TRIM(UPPER(Transaction[[#This Row],[ProductID]]))</f>
        <v>P-SI-005</v>
      </c>
      <c r="K1269" t="str">
        <f>IFERROR(VLOOKUP(Transaction[[#This Row],[ProductID_Clean]],Product[],1,FALSE),"Invalid ID")</f>
        <v>P-SI-005</v>
      </c>
      <c r="L1269" t="str">
        <f>TRIM(SUBSTITUTE(SUBSTITUTE(SUBSTITUTE(SUBSTITUTE(UPPER(Transaction[[#This Row],[Region]]),"EMEA REGION","EMEA"),"APAC REGION","APAC"),"NORTH AMERICA","N. AMERICA"),"N .AMERICA","N.AMERICA"))</f>
        <v>N. AMERICA</v>
      </c>
      <c r="M1269" t="s">
        <v>204</v>
      </c>
      <c r="N1269" t="s">
        <v>53</v>
      </c>
      <c r="O126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69" t="s">
        <v>22</v>
      </c>
      <c r="Q1269" t="str">
        <f>IF(TRIM(Transaction[[#This Row],[SalesChannel]])="","Missing Value",TRIM(Transaction[[#This Row],[SalesChannel]]))</f>
        <v>Direct</v>
      </c>
      <c r="R1269" s="4">
        <v>1</v>
      </c>
      <c r="S1269" s="4" t="str">
        <f>IF(Transaction[[#This Row],[Quantity]]&lt;0,"Negative-review","Valid")</f>
        <v>Valid</v>
      </c>
      <c r="T1269">
        <v>1014.47</v>
      </c>
      <c r="U126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1014.47</v>
      </c>
      <c r="V1269">
        <v>1120</v>
      </c>
      <c r="W1269">
        <v>1120</v>
      </c>
      <c r="X126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1120</v>
      </c>
      <c r="Y1269">
        <f>IF(Transaction[[#This Row],[GrossRevenue_Check]]="Invalid",Transaction[[#This Row],[ListPrice]]*Transaction[[#This Row],[Quantity]],Transaction[[#This Row],[GrossRevenue_Clean]])</f>
        <v>1120</v>
      </c>
      <c r="Z1269" t="str">
        <f>IF(Transaction[[#This Row],[GrossRevenue_Clean]]=Transaction[[#This Row],[ListPrice]]*Transaction[[#This Row],[Quantity]],"Valid","Invalid")</f>
        <v>Valid</v>
      </c>
      <c r="AA1269">
        <v>105.53</v>
      </c>
      <c r="AB126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105.53</v>
      </c>
      <c r="AC1269">
        <f>IF(Transaction[[#This Row],[DiscountAmount_Check2]]="Invalid",Transaction[[#This Row],[GrossRevenue_Analytical]]-Transaction[[#This Row],[NetRevenue_Analytical]],Transaction[[#This Row],[DiscountAmount_Clean]])</f>
        <v>105.53</v>
      </c>
      <c r="AD1269">
        <v>1014.47</v>
      </c>
      <c r="AE1269" t="str">
        <f>IF(ROUND(Transaction[[#This Row],[GrossRevenue_Analytical]]-Transaction[[#This Row],[NetRevenue_Analytical]],2)=ROUND(Transaction[[#This Row],[DiscountAmount_Clean]],2),"Valid","Invalid")</f>
        <v>Valid</v>
      </c>
      <c r="AF126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1014.47</v>
      </c>
      <c r="AG1269">
        <f>IF(Transaction[[#This Row],[NetRevenue_Check]]="Invalid",(Transaction[[#This Row],[Quantity]]*Transaction[[#This Row],[UnitPrice_Clean]]),Transaction[[#This Row],[NetRevenue_Clean]])</f>
        <v>1014.47</v>
      </c>
      <c r="AH1269" t="str">
        <f>IF(Transaction[[#This Row],[Quantity]]*Transaction[[#This Row],[UnitPrice_Clean]]=Transaction[[#This Row],[NetRevenue_Clean]],"Valid","Invalid")</f>
        <v>Valid</v>
      </c>
      <c r="AI1269" t="s">
        <v>23</v>
      </c>
      <c r="AJ1269" t="s">
        <v>3028</v>
      </c>
      <c r="AK1269" t="str">
        <f>IF(Transaction[[#This Row],[Salesperson]]="","Missing Value",TRIM(PROPER(Transaction[[#This Row],[Salesperson]])))</f>
        <v>Simmons</v>
      </c>
      <c r="AL1269" t="s">
        <v>55</v>
      </c>
      <c r="AM1269" t="str">
        <f>IF(Transaction[[#This Row],[ContractType]]="","Missing Value",Transaction[[#This Row],[ContractType]])</f>
        <v>Spot</v>
      </c>
      <c r="AN1269" t="s">
        <v>43</v>
      </c>
    </row>
    <row r="1270" spans="1:40" x14ac:dyDescent="0.25">
      <c r="A1270" t="s">
        <v>192</v>
      </c>
      <c r="B1270" s="1">
        <v>45783</v>
      </c>
      <c r="C127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27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127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70" s="2">
        <f>IFERROR(DATE(Transaction[[#This Row],[TransactionDateY]],Transaction[[#This Row],[TransactionDateM]],Transaction[[#This Row],[TransactionDateD]]),"Missing Value")</f>
        <v>45783</v>
      </c>
      <c r="G1270" t="s">
        <v>193</v>
      </c>
      <c r="H1270" t="str">
        <f>IFERROR(VLOOKUP(Transaction[[#This Row],[CustomerID]],Custumer[],1,0),IF(LEN(Transaction[[#This Row],[CustomerID]])=7,LEFT(Transaction[[#This Row],[CustomerID]],6),"Invalid ID"))</f>
        <v>C-1079</v>
      </c>
      <c r="I1270" t="s">
        <v>117</v>
      </c>
      <c r="J1270" t="str">
        <f>TRIM(UPPER(Transaction[[#This Row],[ProductID]]))</f>
        <v>P-SI-007</v>
      </c>
      <c r="K1270" t="str">
        <f>IFERROR(VLOOKUP(Transaction[[#This Row],[ProductID_Clean]],Product[],1,FALSE),"Invalid ID")</f>
        <v>P-SI-007</v>
      </c>
      <c r="L1270" t="str">
        <f>TRIM(SUBSTITUTE(SUBSTITUTE(SUBSTITUTE(SUBSTITUTE(UPPER(Transaction[[#This Row],[Region]]),"EMEA REGION","EMEA"),"APAC REGION","APAC"),"NORTH AMERICA","N. AMERICA"),"N .AMERICA","N.AMERICA"))</f>
        <v>N. AMERICA</v>
      </c>
      <c r="M1270" t="s">
        <v>20</v>
      </c>
      <c r="N1270" t="s">
        <v>47</v>
      </c>
      <c r="O127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70" t="s">
        <v>22</v>
      </c>
      <c r="Q1270" t="str">
        <f>IF(TRIM(Transaction[[#This Row],[SalesChannel]])="","Missing Value",TRIM(Transaction[[#This Row],[SalesChannel]]))</f>
        <v>Direct</v>
      </c>
      <c r="R1270" s="4">
        <v>4</v>
      </c>
      <c r="S1270" s="4" t="str">
        <f>IF(Transaction[[#This Row],[Quantity]]&lt;0,"Negative-review","Valid")</f>
        <v>Valid</v>
      </c>
      <c r="T1270">
        <v>955.52</v>
      </c>
      <c r="U127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955.52</v>
      </c>
      <c r="V1270">
        <v>980</v>
      </c>
      <c r="W1270">
        <v>3920</v>
      </c>
      <c r="X127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3920</v>
      </c>
      <c r="Y1270">
        <f>IF(Transaction[[#This Row],[GrossRevenue_Check]]="Invalid",Transaction[[#This Row],[ListPrice]]*Transaction[[#This Row],[Quantity]],Transaction[[#This Row],[GrossRevenue_Clean]])</f>
        <v>3920</v>
      </c>
      <c r="Z1270" t="str">
        <f>IF(Transaction[[#This Row],[GrossRevenue_Clean]]=Transaction[[#This Row],[ListPrice]]*Transaction[[#This Row],[Quantity]],"Valid","Invalid")</f>
        <v>Valid</v>
      </c>
      <c r="AA1270">
        <v>97.92</v>
      </c>
      <c r="AB127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97.92</v>
      </c>
      <c r="AC1270">
        <f>IF(Transaction[[#This Row],[DiscountAmount_Check2]]="Invalid",Transaction[[#This Row],[GrossRevenue_Analytical]]-Transaction[[#This Row],[NetRevenue_Analytical]],Transaction[[#This Row],[DiscountAmount_Clean]])</f>
        <v>97.92</v>
      </c>
      <c r="AD1270">
        <v>3822.08</v>
      </c>
      <c r="AE1270" t="str">
        <f>IF(ROUND(Transaction[[#This Row],[GrossRevenue_Analytical]]-Transaction[[#This Row],[NetRevenue_Analytical]],2)=ROUND(Transaction[[#This Row],[DiscountAmount_Clean]],2),"Valid","Invalid")</f>
        <v>Valid</v>
      </c>
      <c r="AF1270">
        <f>VALUE(IF(ISNUMBER(Transaction[[#This Row],[NetRevenue]]),Transaction[[#This Row],[NetRevenue]],IFERROR(IF(FIND("$",Transaction[[#This Row],[NetRevenue]])&gt;0,MID(Transaction[[#This Row],[NetRevenue]],2,10)),Transaction[[#This Row],[NetRevenue]])))</f>
        <v>3822.08</v>
      </c>
      <c r="AG1270">
        <f>IF(Transaction[[#This Row],[NetRevenue_Check]]="Invalid",(Transaction[[#This Row],[Quantity]]*Transaction[[#This Row],[UnitPrice_Clean]]),Transaction[[#This Row],[NetRevenue_Clean]])</f>
        <v>3822.08</v>
      </c>
      <c r="AH1270" t="str">
        <f>IF(Transaction[[#This Row],[Quantity]]*Transaction[[#This Row],[UnitPrice_Clean]]=Transaction[[#This Row],[NetRevenue_Clean]],"Valid","Invalid")</f>
        <v>Valid</v>
      </c>
      <c r="AI1270" t="s">
        <v>23</v>
      </c>
      <c r="AJ1270" t="s">
        <v>191</v>
      </c>
      <c r="AK1270" t="str">
        <f>IF(Transaction[[#This Row],[Salesperson]]="","Missing Value",TRIM(PROPER(Transaction[[#This Row],[Salesperson]])))</f>
        <v>Murray</v>
      </c>
      <c r="AL1270" t="s">
        <v>42</v>
      </c>
      <c r="AM1270" t="str">
        <f>IF(Transaction[[#This Row],[ContractType]]="","Missing Value",Transaction[[#This Row],[ContractType]])</f>
        <v>Standard PO</v>
      </c>
      <c r="AN1270" t="s">
        <v>65</v>
      </c>
    </row>
    <row r="1271" spans="1:40" x14ac:dyDescent="0.25">
      <c r="A1271" t="s">
        <v>708</v>
      </c>
      <c r="B1271" s="1">
        <v>45693</v>
      </c>
      <c r="C127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27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127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71" s="2">
        <f>IFERROR(DATE(Transaction[[#This Row],[TransactionDateY]],Transaction[[#This Row],[TransactionDateM]],Transaction[[#This Row],[TransactionDateD]]),"Missing Value")</f>
        <v>45693</v>
      </c>
      <c r="G1271" t="s">
        <v>647</v>
      </c>
      <c r="H1271" t="str">
        <f>IFERROR(VLOOKUP(Transaction[[#This Row],[CustomerID]],Custumer[],1,0),IF(LEN(Transaction[[#This Row],[CustomerID]])=7,LEFT(Transaction[[#This Row],[CustomerID]],6),"Invalid ID"))</f>
        <v>C-1085</v>
      </c>
      <c r="I1271" t="s">
        <v>111</v>
      </c>
      <c r="J1271" t="str">
        <f>TRIM(UPPER(Transaction[[#This Row],[ProductID]]))</f>
        <v>P-SA-004</v>
      </c>
      <c r="K1271" t="str">
        <f>IFERROR(VLOOKUP(Transaction[[#This Row],[ProductID_Clean]],Product[],1,FALSE),"Invalid ID")</f>
        <v>P-SA-004</v>
      </c>
      <c r="L1271" t="str">
        <f>TRIM(SUBSTITUTE(SUBSTITUTE(SUBSTITUTE(SUBSTITUTE(UPPER(Transaction[[#This Row],[Region]]),"EMEA REGION","EMEA"),"APAC REGION","APAC"),"NORTH AMERICA","N. AMERICA"),"N .AMERICA","N.AMERICA"))</f>
        <v>APAC</v>
      </c>
      <c r="M1271" t="s">
        <v>122</v>
      </c>
      <c r="N1271" t="s">
        <v>31</v>
      </c>
      <c r="O127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71" t="s">
        <v>22</v>
      </c>
      <c r="Q1271" t="str">
        <f>IF(TRIM(Transaction[[#This Row],[SalesChannel]])="","Missing Value",TRIM(Transaction[[#This Row],[SalesChannel]]))</f>
        <v>Direct</v>
      </c>
      <c r="R1271" s="4">
        <v>1</v>
      </c>
      <c r="S1271" s="4" t="str">
        <f>IF(Transaction[[#This Row],[Quantity]]&lt;0,"Negative-review","Valid")</f>
        <v>Valid</v>
      </c>
      <c r="T1271">
        <v>1340.65</v>
      </c>
      <c r="U127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1340.65</v>
      </c>
      <c r="V1271">
        <v>1650</v>
      </c>
      <c r="W1271">
        <v>1650</v>
      </c>
      <c r="X127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271">
        <f>IF(Transaction[[#This Row],[GrossRevenue_Check]]="Invalid",Transaction[[#This Row],[ListPrice]]*Transaction[[#This Row],[Quantity]],Transaction[[#This Row],[GrossRevenue_Clean]])</f>
        <v>1650</v>
      </c>
      <c r="Z1271" t="str">
        <f>IF(Transaction[[#This Row],[GrossRevenue_Clean]]=Transaction[[#This Row],[ListPrice]]*Transaction[[#This Row],[Quantity]],"Valid","Invalid")</f>
        <v>Valid</v>
      </c>
      <c r="AA1271">
        <v>309.35000000000002</v>
      </c>
      <c r="AB127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309.35000000000002</v>
      </c>
      <c r="AC1271">
        <f>IF(Transaction[[#This Row],[DiscountAmount_Check2]]="Invalid",Transaction[[#This Row],[GrossRevenue_Analytical]]-Transaction[[#This Row],[NetRevenue_Analytical]],Transaction[[#This Row],[DiscountAmount_Clean]])</f>
        <v>309.35000000000002</v>
      </c>
      <c r="AD1271">
        <v>1340.65</v>
      </c>
      <c r="AE1271" t="str">
        <f>IF(ROUND(Transaction[[#This Row],[GrossRevenue_Analytical]]-Transaction[[#This Row],[NetRevenue_Analytical]],2)=ROUND(Transaction[[#This Row],[DiscountAmount_Clean]],2),"Valid","Invalid")</f>
        <v>Valid</v>
      </c>
      <c r="AF127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1340.65</v>
      </c>
      <c r="AG1271">
        <f>IF(Transaction[[#This Row],[NetRevenue_Check]]="Invalid",(Transaction[[#This Row],[Quantity]]*Transaction[[#This Row],[UnitPrice_Clean]]),Transaction[[#This Row],[NetRevenue_Clean]])</f>
        <v>1340.65</v>
      </c>
      <c r="AH1271" t="str">
        <f>IF(Transaction[[#This Row],[Quantity]]*Transaction[[#This Row],[UnitPrice_Clean]]=Transaction[[#This Row],[NetRevenue_Clean]],"Valid","Invalid")</f>
        <v>Valid</v>
      </c>
      <c r="AI1271" t="s">
        <v>23</v>
      </c>
      <c r="AJ1271" t="s">
        <v>709</v>
      </c>
      <c r="AK1271" t="str">
        <f>IF(Transaction[[#This Row],[Salesperson]]="","Missing Value",TRIM(PROPER(Transaction[[#This Row],[Salesperson]])))</f>
        <v>Salinas</v>
      </c>
      <c r="AL1271" t="s">
        <v>210</v>
      </c>
      <c r="AM1271" t="str">
        <f>IF(Transaction[[#This Row],[ContractType]]="","Missing Value",Transaction[[#This Row],[ContractType]])</f>
        <v>Perpetual</v>
      </c>
      <c r="AN1271" t="s">
        <v>26</v>
      </c>
    </row>
    <row r="1272" spans="1:40" x14ac:dyDescent="0.25">
      <c r="A1272" t="s">
        <v>2795</v>
      </c>
      <c r="B1272" s="1">
        <v>45738</v>
      </c>
      <c r="C127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27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22</v>
      </c>
      <c r="E127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72" s="2">
        <f>IFERROR(DATE(Transaction[[#This Row],[TransactionDateY]],Transaction[[#This Row],[TransactionDateM]],Transaction[[#This Row],[TransactionDateD]]),"Missing Value")</f>
        <v>45738</v>
      </c>
      <c r="G1272" t="s">
        <v>733</v>
      </c>
      <c r="H1272" t="str">
        <f>IFERROR(VLOOKUP(Transaction[[#This Row],[CustomerID]],Custumer[],1,0),IF(LEN(Transaction[[#This Row],[CustomerID]])=7,LEFT(Transaction[[#This Row],[CustomerID]],6),"Invalid ID"))</f>
        <v>C-1017</v>
      </c>
      <c r="I1272" t="s">
        <v>71</v>
      </c>
      <c r="J1272" t="str">
        <f>TRIM(UPPER(Transaction[[#This Row],[ProductID]]))</f>
        <v>P-SI-003</v>
      </c>
      <c r="K1272" t="str">
        <f>IFERROR(VLOOKUP(Transaction[[#This Row],[ProductID_Clean]],Product[],1,FALSE),"Invalid ID")</f>
        <v>P-SI-003</v>
      </c>
      <c r="L1272" t="str">
        <f>TRIM(SUBSTITUTE(SUBSTITUTE(SUBSTITUTE(SUBSTITUTE(UPPER(Transaction[[#This Row],[Region]]),"EMEA REGION","EMEA"),"APAC REGION","APAC"),"NORTH AMERICA","N. AMERICA"),"N .AMERICA","N.AMERICA"))</f>
        <v>EMEA</v>
      </c>
      <c r="M1272" t="s">
        <v>87</v>
      </c>
      <c r="N1272" t="s">
        <v>53</v>
      </c>
      <c r="O127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72" t="s">
        <v>40</v>
      </c>
      <c r="Q1272" t="str">
        <f>IF(TRIM(Transaction[[#This Row],[SalesChannel]])="","Missing Value",TRIM(Transaction[[#This Row],[SalesChannel]]))</f>
        <v>Distributor</v>
      </c>
      <c r="R1272" s="4">
        <v>3</v>
      </c>
      <c r="S1272" s="4" t="str">
        <f>IF(Transaction[[#This Row],[Quantity]]&lt;0,"Negative-review","Valid")</f>
        <v>Valid</v>
      </c>
      <c r="T1272">
        <v>1389.79</v>
      </c>
      <c r="U127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1389.79</v>
      </c>
      <c r="V1272">
        <v>1890</v>
      </c>
      <c r="W1272">
        <v>5670</v>
      </c>
      <c r="X127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5670</v>
      </c>
      <c r="Y1272">
        <f>IF(Transaction[[#This Row],[GrossRevenue_Check]]="Invalid",Transaction[[#This Row],[ListPrice]]*Transaction[[#This Row],[Quantity]],Transaction[[#This Row],[GrossRevenue_Clean]])</f>
        <v>5670</v>
      </c>
      <c r="Z1272" t="str">
        <f>IF(Transaction[[#This Row],[GrossRevenue_Clean]]=Transaction[[#This Row],[ListPrice]]*Transaction[[#This Row],[Quantity]],"Valid","Invalid")</f>
        <v>Valid</v>
      </c>
      <c r="AA1272">
        <v>1500.63</v>
      </c>
      <c r="AB127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1500.63</v>
      </c>
      <c r="AC1272">
        <f>IF(Transaction[[#This Row],[DiscountAmount_Check2]]="Invalid",Transaction[[#This Row],[GrossRevenue_Analytical]]-Transaction[[#This Row],[NetRevenue_Analytical]],Transaction[[#This Row],[DiscountAmount_Clean]])</f>
        <v>1500.63</v>
      </c>
      <c r="AD1272">
        <v>4169.37</v>
      </c>
      <c r="AE1272" t="str">
        <f>IF(ROUND(Transaction[[#This Row],[GrossRevenue_Analytical]]-Transaction[[#This Row],[NetRevenue_Analytical]],2)=ROUND(Transaction[[#This Row],[DiscountAmount_Clean]],2),"Valid","Invalid")</f>
        <v>Valid</v>
      </c>
      <c r="AF1272">
        <f>VALUE(IF(ISNUMBER(Transaction[[#This Row],[NetRevenue]]),Transaction[[#This Row],[NetRevenue]],IFERROR(IF(FIND("$",Transaction[[#This Row],[NetRevenue]])&gt;0,MID(Transaction[[#This Row],[NetRevenue]],2,10)),Transaction[[#This Row],[NetRevenue]])))</f>
        <v>4169.37</v>
      </c>
      <c r="AG1272">
        <f>IF(Transaction[[#This Row],[NetRevenue_Check]]="Invalid",(Transaction[[#This Row],[Quantity]]*Transaction[[#This Row],[UnitPrice_Clean]]),Transaction[[#This Row],[NetRevenue_Clean]])</f>
        <v>4169.37</v>
      </c>
      <c r="AH1272" t="str">
        <f>IF(Transaction[[#This Row],[Quantity]]*Transaction[[#This Row],[UnitPrice_Clean]]=Transaction[[#This Row],[NetRevenue_Clean]],"Valid","Invalid")</f>
        <v>Valid</v>
      </c>
      <c r="AI1272" t="s">
        <v>23</v>
      </c>
      <c r="AJ1272" t="s">
        <v>2796</v>
      </c>
      <c r="AK1272" t="str">
        <f>IF(Transaction[[#This Row],[Salesperson]]="","Missing Value",TRIM(PROPER(Transaction[[#This Row],[Salesperson]])))</f>
        <v>Soto-Na</v>
      </c>
      <c r="AL1272" t="s">
        <v>55</v>
      </c>
      <c r="AM1272" t="str">
        <f>IF(Transaction[[#This Row],[ContractType]]="","Missing Value",Transaction[[#This Row],[ContractType]])</f>
        <v>Spot</v>
      </c>
      <c r="AN1272" t="s">
        <v>26</v>
      </c>
    </row>
    <row r="1273" spans="1:40" x14ac:dyDescent="0.25">
      <c r="A1273" t="s">
        <v>450</v>
      </c>
      <c r="C127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127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127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1273" s="2" t="str">
        <f>IFERROR(DATE(Transaction[[#This Row],[TransactionDateY]],Transaction[[#This Row],[TransactionDateM]],Transaction[[#This Row],[TransactionDateD]]),"Missing Value")</f>
        <v>Missing Value</v>
      </c>
      <c r="G1273" t="s">
        <v>429</v>
      </c>
      <c r="H1273" t="str">
        <f>IFERROR(VLOOKUP(Transaction[[#This Row],[CustomerID]],Custumer[],1,0),IF(LEN(Transaction[[#This Row],[CustomerID]])=7,LEFT(Transaction[[#This Row],[CustomerID]],6),"Invalid ID"))</f>
        <v>C-1009</v>
      </c>
      <c r="I1273" t="s">
        <v>121</v>
      </c>
      <c r="J1273" t="str">
        <f>TRIM(UPPER(Transaction[[#This Row],[ProductID]]))</f>
        <v>P-FS-001</v>
      </c>
      <c r="K1273" t="str">
        <f>IFERROR(VLOOKUP(Transaction[[#This Row],[ProductID_Clean]],Product[],1,FALSE),"Invalid ID")</f>
        <v>P-FS-001</v>
      </c>
      <c r="L1273" t="str">
        <f>TRIM(SUBSTITUTE(SUBSTITUTE(SUBSTITUTE(SUBSTITUTE(UPPER(Transaction[[#This Row],[Region]]),"EMEA REGION","EMEA"),"APAC REGION","APAC"),"NORTH AMERICA","N. AMERICA"),"N .AMERICA","N.AMERICA"))</f>
        <v>EMEA</v>
      </c>
      <c r="M1273" t="s">
        <v>76</v>
      </c>
      <c r="N1273" t="s">
        <v>21</v>
      </c>
      <c r="O127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273" t="s">
        <v>22</v>
      </c>
      <c r="Q1273" t="str">
        <f>IF(TRIM(Transaction[[#This Row],[SalesChannel]])="","Missing Value",TRIM(Transaction[[#This Row],[SalesChannel]]))</f>
        <v>Direct</v>
      </c>
      <c r="R1273" s="4">
        <v>1</v>
      </c>
      <c r="S1273" s="4" t="str">
        <f>IF(Transaction[[#This Row],[Quantity]]&lt;0,"Negative-review","Valid")</f>
        <v>Valid</v>
      </c>
      <c r="T1273">
        <v>1593.13</v>
      </c>
      <c r="U127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1593.13</v>
      </c>
      <c r="V1273">
        <v>1850</v>
      </c>
      <c r="W1273">
        <v>1850</v>
      </c>
      <c r="X127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1273">
        <f>IF(Transaction[[#This Row],[GrossRevenue_Check]]="Invalid",Transaction[[#This Row],[ListPrice]]*Transaction[[#This Row],[Quantity]],Transaction[[#This Row],[GrossRevenue_Clean]])</f>
        <v>1850</v>
      </c>
      <c r="Z1273" t="str">
        <f>IF(Transaction[[#This Row],[GrossRevenue_Clean]]=Transaction[[#This Row],[ListPrice]]*Transaction[[#This Row],[Quantity]],"Valid","Invalid")</f>
        <v>Valid</v>
      </c>
      <c r="AA1273">
        <v>256.87</v>
      </c>
      <c r="AB127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256.87</v>
      </c>
      <c r="AC1273">
        <f>IF(Transaction[[#This Row],[DiscountAmount_Check2]]="Invalid",Transaction[[#This Row],[GrossRevenue_Analytical]]-Transaction[[#This Row],[NetRevenue_Analytical]],Transaction[[#This Row],[DiscountAmount_Clean]])</f>
        <v>256.87</v>
      </c>
      <c r="AD1273">
        <v>1593.13</v>
      </c>
      <c r="AE1273" t="str">
        <f>IF(ROUND(Transaction[[#This Row],[GrossRevenue_Analytical]]-Transaction[[#This Row],[NetRevenue_Analytical]],2)=ROUND(Transaction[[#This Row],[DiscountAmount_Clean]],2),"Valid","Invalid")</f>
        <v>Valid</v>
      </c>
      <c r="AF127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1593.13</v>
      </c>
      <c r="AG1273">
        <f>IF(Transaction[[#This Row],[NetRevenue_Check]]="Invalid",(Transaction[[#This Row],[Quantity]]*Transaction[[#This Row],[UnitPrice_Clean]]),Transaction[[#This Row],[NetRevenue_Clean]])</f>
        <v>1593.13</v>
      </c>
      <c r="AH1273" t="str">
        <f>IF(Transaction[[#This Row],[Quantity]]*Transaction[[#This Row],[UnitPrice_Clean]]=Transaction[[#This Row],[NetRevenue_Clean]],"Valid","Invalid")</f>
        <v>Valid</v>
      </c>
      <c r="AI1273" t="s">
        <v>23</v>
      </c>
      <c r="AJ1273" t="s">
        <v>290</v>
      </c>
      <c r="AK1273" t="str">
        <f>IF(Transaction[[#This Row],[Salesperson]]="","Missing Value",TRIM(PROPER(Transaction[[#This Row],[Salesperson]])))</f>
        <v>Lopez</v>
      </c>
      <c r="AL1273" t="s">
        <v>42</v>
      </c>
      <c r="AM1273" t="str">
        <f>IF(Transaction[[#This Row],[ContractType]]="","Missing Value",Transaction[[#This Row],[ContractType]])</f>
        <v>Standard PO</v>
      </c>
      <c r="AN1273" t="s">
        <v>49</v>
      </c>
    </row>
    <row r="1274" spans="1:40" x14ac:dyDescent="0.25">
      <c r="A1274" t="s">
        <v>1972</v>
      </c>
      <c r="B1274" s="1">
        <v>45749</v>
      </c>
      <c r="C127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27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</v>
      </c>
      <c r="E127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74" s="2">
        <f>IFERROR(DATE(Transaction[[#This Row],[TransactionDateY]],Transaction[[#This Row],[TransactionDateM]],Transaction[[#This Row],[TransactionDateD]]),"Missing Value")</f>
        <v>45749</v>
      </c>
      <c r="G1274" t="s">
        <v>102</v>
      </c>
      <c r="H1274" t="str">
        <f>IFERROR(VLOOKUP(Transaction[[#This Row],[CustomerID]],Custumer[],1,0),IF(LEN(Transaction[[#This Row],[CustomerID]])=7,LEFT(Transaction[[#This Row],[CustomerID]],6),"Invalid ID"))</f>
        <v>C-1120</v>
      </c>
      <c r="I1274" t="s">
        <v>111</v>
      </c>
      <c r="J1274" t="str">
        <f>TRIM(UPPER(Transaction[[#This Row],[ProductID]]))</f>
        <v>P-SA-004</v>
      </c>
      <c r="K1274" t="str">
        <f>IFERROR(VLOOKUP(Transaction[[#This Row],[ProductID_Clean]],Product[],1,FALSE),"Invalid ID")</f>
        <v>P-SA-004</v>
      </c>
      <c r="L1274" t="str">
        <f>TRIM(SUBSTITUTE(SUBSTITUTE(SUBSTITUTE(SUBSTITUTE(UPPER(Transaction[[#This Row],[Region]]),"EMEA REGION","EMEA"),"APAC REGION","APAC"),"NORTH AMERICA","N. AMERICA"),"N .AMERICA","N.AMERICA"))</f>
        <v>EMEA</v>
      </c>
      <c r="M1274" t="s">
        <v>76</v>
      </c>
      <c r="N1274" t="s">
        <v>205</v>
      </c>
      <c r="O127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74" t="s">
        <v>40</v>
      </c>
      <c r="Q1274" t="str">
        <f>IF(TRIM(Transaction[[#This Row],[SalesChannel]])="","Missing Value",TRIM(Transaction[[#This Row],[SalesChannel]]))</f>
        <v>Distributor</v>
      </c>
      <c r="R1274" s="4">
        <v>1</v>
      </c>
      <c r="S1274" s="4" t="str">
        <f>IF(Transaction[[#This Row],[Quantity]]&lt;0,"Negative-review","Valid")</f>
        <v>Valid</v>
      </c>
      <c r="T1274" t="s">
        <v>1973</v>
      </c>
      <c r="U127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1318.05</v>
      </c>
      <c r="V1274">
        <v>1650</v>
      </c>
      <c r="W1274">
        <v>1650</v>
      </c>
      <c r="X127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274">
        <f>IF(Transaction[[#This Row],[GrossRevenue_Check]]="Invalid",Transaction[[#This Row],[ListPrice]]*Transaction[[#This Row],[Quantity]],Transaction[[#This Row],[GrossRevenue_Clean]])</f>
        <v>1650</v>
      </c>
      <c r="Z1274" t="str">
        <f>IF(Transaction[[#This Row],[GrossRevenue_Clean]]=Transaction[[#This Row],[ListPrice]]*Transaction[[#This Row],[Quantity]],"Valid","Invalid")</f>
        <v>Valid</v>
      </c>
      <c r="AA1274">
        <v>331.95</v>
      </c>
      <c r="AB127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331.95</v>
      </c>
      <c r="AC1274">
        <f>IF(Transaction[[#This Row],[DiscountAmount_Check2]]="Invalid",Transaction[[#This Row],[GrossRevenue_Analytical]]-Transaction[[#This Row],[NetRevenue_Analytical]],Transaction[[#This Row],[DiscountAmount_Clean]])</f>
        <v>331.95</v>
      </c>
      <c r="AD1274">
        <v>1318.05</v>
      </c>
      <c r="AE1274" t="str">
        <f>IF(ROUND(Transaction[[#This Row],[GrossRevenue_Analytical]]-Transaction[[#This Row],[NetRevenue_Analytical]],2)=ROUND(Transaction[[#This Row],[DiscountAmount_Clean]],2),"Valid","Invalid")</f>
        <v>Valid</v>
      </c>
      <c r="AF1274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1318.05</v>
      </c>
      <c r="AG1274">
        <f>IF(Transaction[[#This Row],[NetRevenue_Check]]="Invalid",(Transaction[[#This Row],[Quantity]]*Transaction[[#This Row],[UnitPrice_Clean]]),Transaction[[#This Row],[NetRevenue_Clean]])</f>
        <v>1318.05</v>
      </c>
      <c r="AH1274" t="str">
        <f>IF(Transaction[[#This Row],[Quantity]]*Transaction[[#This Row],[UnitPrice_Clean]]=Transaction[[#This Row],[NetRevenue_Clean]],"Valid","Invalid")</f>
        <v>Valid</v>
      </c>
      <c r="AI1274" t="s">
        <v>23</v>
      </c>
      <c r="AJ1274" t="s">
        <v>1974</v>
      </c>
      <c r="AK1274" t="str">
        <f>IF(Transaction[[#This Row],[Salesperson]]="","Missing Value",TRIM(PROPER(Transaction[[#This Row],[Salesperson]])))</f>
        <v>Sandoval</v>
      </c>
      <c r="AL1274" t="s">
        <v>210</v>
      </c>
      <c r="AM1274" t="str">
        <f>IF(Transaction[[#This Row],[ContractType]]="","Missing Value",Transaction[[#This Row],[ContractType]])</f>
        <v>Perpetual</v>
      </c>
      <c r="AN1274" t="s">
        <v>43</v>
      </c>
    </row>
    <row r="1275" spans="1:40" x14ac:dyDescent="0.25">
      <c r="A1275" t="s">
        <v>2626</v>
      </c>
      <c r="B1275" s="1">
        <v>45782</v>
      </c>
      <c r="C1275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275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5</v>
      </c>
      <c r="E1275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75" s="2">
        <f>IFERROR(DATE(Transaction[[#This Row],[TransactionDateY]],Transaction[[#This Row],[TransactionDateM]],Transaction[[#This Row],[TransactionDateD]]),"Missing Value")</f>
        <v>45782</v>
      </c>
      <c r="G1275" t="s">
        <v>2232</v>
      </c>
      <c r="H1275" t="str">
        <f>IFERROR(VLOOKUP(Transaction[[#This Row],[CustomerID]],Custumer[],1,0),IF(LEN(Transaction[[#This Row],[CustomerID]])=7,LEFT(Transaction[[#This Row],[CustomerID]],6),"Invalid ID"))</f>
        <v>C-1149</v>
      </c>
      <c r="I1275" t="s">
        <v>39</v>
      </c>
      <c r="J1275" t="str">
        <f>TRIM(UPPER(Transaction[[#This Row],[ProductID]]))</f>
        <v>P-FS-006</v>
      </c>
      <c r="K1275" t="str">
        <f>IFERROR(VLOOKUP(Transaction[[#This Row],[ProductID_Clean]],Product[],1,FALSE),"Invalid ID")</f>
        <v>P-FS-006</v>
      </c>
      <c r="L1275" t="str">
        <f>TRIM(SUBSTITUTE(SUBSTITUTE(SUBSTITUTE(SUBSTITUTE(UPPER(Transaction[[#This Row],[Region]]),"EMEA REGION","EMEA"),"APAC REGION","APAC"),"NORTH AMERICA","N. AMERICA"),"N .AMERICA","N.AMERICA"))</f>
        <v>N. AMERICA</v>
      </c>
      <c r="M1275" t="s">
        <v>20</v>
      </c>
      <c r="N1275" t="s">
        <v>21</v>
      </c>
      <c r="O1275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275" t="s">
        <v>22</v>
      </c>
      <c r="Q1275" t="str">
        <f>IF(TRIM(Transaction[[#This Row],[SalesChannel]])="","Missing Value",TRIM(Transaction[[#This Row],[SalesChannel]]))</f>
        <v>Direct</v>
      </c>
      <c r="R1275" s="4">
        <v>1</v>
      </c>
      <c r="S1275" s="4" t="str">
        <f>IF(Transaction[[#This Row],[Quantity]]&lt;0,"Negative-review","Valid")</f>
        <v>Valid</v>
      </c>
      <c r="T1275">
        <v>1295.5</v>
      </c>
      <c r="U127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1295.5</v>
      </c>
      <c r="V1275">
        <v>1450</v>
      </c>
      <c r="W1275" t="s">
        <v>1149</v>
      </c>
      <c r="X127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1450</v>
      </c>
      <c r="Y1275">
        <f>IF(Transaction[[#This Row],[GrossRevenue_Check]]="Invalid",Transaction[[#This Row],[ListPrice]]*Transaction[[#This Row],[Quantity]],Transaction[[#This Row],[GrossRevenue_Clean]])</f>
        <v>1450</v>
      </c>
      <c r="Z1275" t="str">
        <f>IF(Transaction[[#This Row],[GrossRevenue_Clean]]=Transaction[[#This Row],[ListPrice]]*Transaction[[#This Row],[Quantity]],"Valid","Invalid")</f>
        <v>Valid</v>
      </c>
      <c r="AA1275">
        <v>154.5</v>
      </c>
      <c r="AB127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154.5</v>
      </c>
      <c r="AC1275">
        <f>IF(Transaction[[#This Row],[DiscountAmount_Check2]]="Invalid",Transaction[[#This Row],[GrossRevenue_Analytical]]-Transaction[[#This Row],[NetRevenue_Analytical]],Transaction[[#This Row],[DiscountAmount_Clean]])</f>
        <v>154.5</v>
      </c>
      <c r="AD1275">
        <v>1295.5</v>
      </c>
      <c r="AE1275" t="str">
        <f>IF(ROUND(Transaction[[#This Row],[GrossRevenue_Analytical]]-Transaction[[#This Row],[NetRevenue_Analytical]],2)=ROUND(Transaction[[#This Row],[DiscountAmount_Clean]],2),"Valid","Invalid")</f>
        <v>Valid</v>
      </c>
      <c r="AF1275">
        <f>VALUE(IF(ISNUMBER(Transaction[[#This Row],[NetRevenue]]),Transaction[[#This Row],[NetRevenue]],IFERROR(IF(FIND("$",Transaction[[#This Row],[NetRevenue]])&gt;0,MID(Transaction[[#This Row],[NetRevenue]],2,10)),Transaction[[#This Row],[NetRevenue]])))</f>
        <v>1295.5</v>
      </c>
      <c r="AG1275">
        <f>IF(Transaction[[#This Row],[NetRevenue_Check]]="Invalid",(Transaction[[#This Row],[Quantity]]*Transaction[[#This Row],[UnitPrice_Clean]]),Transaction[[#This Row],[NetRevenue_Clean]])</f>
        <v>1295.5</v>
      </c>
      <c r="AH1275" t="str">
        <f>IF(Transaction[[#This Row],[Quantity]]*Transaction[[#This Row],[UnitPrice_Clean]]=Transaction[[#This Row],[NetRevenue_Clean]],"Valid","Invalid")</f>
        <v>Valid</v>
      </c>
      <c r="AI1275" t="s">
        <v>23</v>
      </c>
      <c r="AJ1275" t="s">
        <v>936</v>
      </c>
      <c r="AK1275" t="str">
        <f>IF(Transaction[[#This Row],[Salesperson]]="","Missing Value",TRIM(PROPER(Transaction[[#This Row],[Salesperson]])))</f>
        <v>Foster</v>
      </c>
      <c r="AL1275" t="s">
        <v>42</v>
      </c>
      <c r="AM1275" t="str">
        <f>IF(Transaction[[#This Row],[ContractType]]="","Missing Value",Transaction[[#This Row],[ContractType]])</f>
        <v>Standard PO</v>
      </c>
      <c r="AN1275" t="s">
        <v>43</v>
      </c>
    </row>
    <row r="1276" spans="1:40" x14ac:dyDescent="0.25">
      <c r="A1276" t="s">
        <v>1957</v>
      </c>
      <c r="B1276" s="1">
        <v>45707</v>
      </c>
      <c r="C1276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276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1276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76" s="2">
        <f>IFERROR(DATE(Transaction[[#This Row],[TransactionDateY]],Transaction[[#This Row],[TransactionDateM]],Transaction[[#This Row],[TransactionDateD]]),"Missing Value")</f>
        <v>45707</v>
      </c>
      <c r="G1276" t="s">
        <v>360</v>
      </c>
      <c r="H1276" t="str">
        <f>IFERROR(VLOOKUP(Transaction[[#This Row],[CustomerID]],Custumer[],1,0),IF(LEN(Transaction[[#This Row],[CustomerID]])=7,LEFT(Transaction[[#This Row],[CustomerID]],6),"Invalid ID"))</f>
        <v>C-1067</v>
      </c>
      <c r="I1276" t="s">
        <v>29</v>
      </c>
      <c r="J1276" t="str">
        <f>TRIM(UPPER(Transaction[[#This Row],[ProductID]]))</f>
        <v>P-SA-001</v>
      </c>
      <c r="K1276" t="str">
        <f>IFERROR(VLOOKUP(Transaction[[#This Row],[ProductID_Clean]],Product[],1,FALSE),"Invalid ID")</f>
        <v>P-SA-001</v>
      </c>
      <c r="L1276" t="str">
        <f>TRIM(SUBSTITUTE(SUBSTITUTE(SUBSTITUTE(SUBSTITUTE(UPPER(Transaction[[#This Row],[Region]]),"EMEA REGION","EMEA"),"APAC REGION","APAC"),"NORTH AMERICA","N. AMERICA"),"N .AMERICA","N.AMERICA"))</f>
        <v>APAC</v>
      </c>
      <c r="M1276" t="s">
        <v>30</v>
      </c>
      <c r="N1276" t="s">
        <v>857</v>
      </c>
      <c r="O127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76" t="s">
        <v>22</v>
      </c>
      <c r="Q1276" t="str">
        <f>IF(TRIM(Transaction[[#This Row],[SalesChannel]])="","Missing Value",TRIM(Transaction[[#This Row],[SalesChannel]]))</f>
        <v>Direct</v>
      </c>
      <c r="R1276" s="4">
        <v>1</v>
      </c>
      <c r="S1276" s="4" t="str">
        <f>IF(Transaction[[#This Row],[Quantity]]&lt;0,"Negative-review","Valid")</f>
        <v>Valid</v>
      </c>
      <c r="T1276">
        <v>3027.18</v>
      </c>
      <c r="U127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3027.18</v>
      </c>
      <c r="V1276">
        <v>4200</v>
      </c>
      <c r="W1276">
        <v>4200</v>
      </c>
      <c r="X127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1276">
        <f>IF(Transaction[[#This Row],[GrossRevenue_Check]]="Invalid",Transaction[[#This Row],[ListPrice]]*Transaction[[#This Row],[Quantity]],Transaction[[#This Row],[GrossRevenue_Clean]])</f>
        <v>4200</v>
      </c>
      <c r="Z1276" t="str">
        <f>IF(Transaction[[#This Row],[GrossRevenue_Clean]]=Transaction[[#This Row],[ListPrice]]*Transaction[[#This Row],[Quantity]],"Valid","Invalid")</f>
        <v>Valid</v>
      </c>
      <c r="AA1276">
        <v>1172.82</v>
      </c>
      <c r="AB127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1172.82</v>
      </c>
      <c r="AC1276">
        <f>IF(Transaction[[#This Row],[DiscountAmount_Check2]]="Invalid",Transaction[[#This Row],[GrossRevenue_Analytical]]-Transaction[[#This Row],[NetRevenue_Analytical]],Transaction[[#This Row],[DiscountAmount_Clean]])</f>
        <v>1172.82</v>
      </c>
      <c r="AD1276">
        <v>3027.18</v>
      </c>
      <c r="AE1276" t="str">
        <f>IF(ROUND(Transaction[[#This Row],[GrossRevenue_Analytical]]-Transaction[[#This Row],[NetRevenue_Analytical]],2)=ROUND(Transaction[[#This Row],[DiscountAmount_Clean]],2),"Valid","Invalid")</f>
        <v>Valid</v>
      </c>
      <c r="AF1276">
        <f>VALUE(IF(ISNUMBER(Transaction[[#This Row],[NetRevenue]]),Transaction[[#This Row],[NetRevenue]],IFERROR(IF(FIND("$",Transaction[[#This Row],[NetRevenue]])&gt;0,MID(Transaction[[#This Row],[NetRevenue]],2,10)),Transaction[[#This Row],[NetRevenue]])))</f>
        <v>3027.18</v>
      </c>
      <c r="AG1276">
        <f>IF(Transaction[[#This Row],[NetRevenue_Check]]="Invalid",(Transaction[[#This Row],[Quantity]]*Transaction[[#This Row],[UnitPrice_Clean]]),Transaction[[#This Row],[NetRevenue_Clean]])</f>
        <v>3027.18</v>
      </c>
      <c r="AH1276" t="str">
        <f>IF(Transaction[[#This Row],[Quantity]]*Transaction[[#This Row],[UnitPrice_Clean]]=Transaction[[#This Row],[NetRevenue_Clean]],"Valid","Invalid")</f>
        <v>Valid</v>
      </c>
      <c r="AI1276" t="s">
        <v>23</v>
      </c>
      <c r="AJ1276" t="s">
        <v>1958</v>
      </c>
      <c r="AK1276" t="str">
        <f>IF(Transaction[[#This Row],[Salesperson]]="","Missing Value",TRIM(PROPER(Transaction[[#This Row],[Salesperson]])))</f>
        <v>Mclaughlin-Na</v>
      </c>
      <c r="AL1276" t="s">
        <v>34</v>
      </c>
      <c r="AM1276" t="str">
        <f>IF(Transaction[[#This Row],[ContractType]]="","Missing Value",Transaction[[#This Row],[ContractType]])</f>
        <v>Annual License</v>
      </c>
      <c r="AN1276" t="s">
        <v>43</v>
      </c>
    </row>
    <row r="1277" spans="1:40" x14ac:dyDescent="0.25">
      <c r="A1277" t="s">
        <v>1171</v>
      </c>
      <c r="B1277" s="1">
        <v>45801</v>
      </c>
      <c r="C1277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277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1277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77" s="2">
        <f>IFERROR(DATE(Transaction[[#This Row],[TransactionDateY]],Transaction[[#This Row],[TransactionDateM]],Transaction[[#This Row],[TransactionDateD]]),"Missing Value")</f>
        <v>45801</v>
      </c>
      <c r="G1277" t="s">
        <v>1172</v>
      </c>
      <c r="H1277" t="str">
        <f>IFERROR(VLOOKUP(Transaction[[#This Row],[CustomerID]],Custumer[],1,0),IF(LEN(Transaction[[#This Row],[CustomerID]])=7,LEFT(Transaction[[#This Row],[CustomerID]],6),"Invalid ID"))</f>
        <v>C-1134</v>
      </c>
      <c r="I1277" t="s">
        <v>29</v>
      </c>
      <c r="J1277" t="str">
        <f>TRIM(UPPER(Transaction[[#This Row],[ProductID]]))</f>
        <v>P-SA-001</v>
      </c>
      <c r="K1277" t="str">
        <f>IFERROR(VLOOKUP(Transaction[[#This Row],[ProductID_Clean]],Product[],1,FALSE),"Invalid ID")</f>
        <v>P-SA-001</v>
      </c>
      <c r="L1277" t="str">
        <f>TRIM(SUBSTITUTE(SUBSTITUTE(SUBSTITUTE(SUBSTITUTE(UPPER(Transaction[[#This Row],[Region]]),"EMEA REGION","EMEA"),"APAC REGION","APAC"),"NORTH AMERICA","N. AMERICA"),"N .AMERICA","N.AMERICA"))</f>
        <v>N. AMERICA</v>
      </c>
      <c r="M1277" t="s">
        <v>20</v>
      </c>
      <c r="N1277" t="s">
        <v>31</v>
      </c>
      <c r="O1277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77" t="s">
        <v>93</v>
      </c>
      <c r="Q1277" t="str">
        <f>IF(TRIM(Transaction[[#This Row],[SalesChannel]])="","Missing Value",TRIM(Transaction[[#This Row],[SalesChannel]]))</f>
        <v>direct</v>
      </c>
      <c r="R1277" s="4">
        <v>1</v>
      </c>
      <c r="S1277" s="4" t="str">
        <f>IF(Transaction[[#This Row],[Quantity]]&lt;0,"Negative-review","Valid")</f>
        <v>Valid</v>
      </c>
      <c r="T1277">
        <v>3901.53</v>
      </c>
      <c r="U127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3901.53</v>
      </c>
      <c r="V1277">
        <v>4200</v>
      </c>
      <c r="W1277">
        <v>4200</v>
      </c>
      <c r="X127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1277">
        <f>IF(Transaction[[#This Row],[GrossRevenue_Check]]="Invalid",Transaction[[#This Row],[ListPrice]]*Transaction[[#This Row],[Quantity]],Transaction[[#This Row],[GrossRevenue_Clean]])</f>
        <v>4200</v>
      </c>
      <c r="Z1277" t="str">
        <f>IF(Transaction[[#This Row],[GrossRevenue_Clean]]=Transaction[[#This Row],[ListPrice]]*Transaction[[#This Row],[Quantity]],"Valid","Invalid")</f>
        <v>Valid</v>
      </c>
      <c r="AA1277">
        <v>298.47000000000003</v>
      </c>
      <c r="AB127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298.47000000000003</v>
      </c>
      <c r="AC1277">
        <f>IF(Transaction[[#This Row],[DiscountAmount_Check2]]="Invalid",Transaction[[#This Row],[GrossRevenue_Analytical]]-Transaction[[#This Row],[NetRevenue_Analytical]],Transaction[[#This Row],[DiscountAmount_Clean]])</f>
        <v>298.47000000000003</v>
      </c>
      <c r="AD1277">
        <v>3901.53</v>
      </c>
      <c r="AE1277" t="str">
        <f>IF(ROUND(Transaction[[#This Row],[GrossRevenue_Analytical]]-Transaction[[#This Row],[NetRevenue_Analytical]],2)=ROUND(Transaction[[#This Row],[DiscountAmount_Clean]],2),"Valid","Invalid")</f>
        <v>Valid</v>
      </c>
      <c r="AF1277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3901.53</v>
      </c>
      <c r="AG1277">
        <f>IF(Transaction[[#This Row],[NetRevenue_Check]]="Invalid",(Transaction[[#This Row],[Quantity]]*Transaction[[#This Row],[UnitPrice_Clean]]),Transaction[[#This Row],[NetRevenue_Clean]])</f>
        <v>3901.53</v>
      </c>
      <c r="AH1277" t="str">
        <f>IF(Transaction[[#This Row],[Quantity]]*Transaction[[#This Row],[UnitPrice_Clean]]=Transaction[[#This Row],[NetRevenue_Clean]],"Valid","Invalid")</f>
        <v>Valid</v>
      </c>
      <c r="AI1277" t="s">
        <v>23</v>
      </c>
      <c r="AJ1277" t="s">
        <v>1173</v>
      </c>
      <c r="AK1277" t="str">
        <f>IF(Transaction[[#This Row],[Salesperson]]="","Missing Value",TRIM(PROPER(Transaction[[#This Row],[Salesperson]])))</f>
        <v>Ware-Em</v>
      </c>
      <c r="AL1277" t="s">
        <v>34</v>
      </c>
      <c r="AM1277" t="str">
        <f>IF(Transaction[[#This Row],[ContractType]]="","Missing Value",Transaction[[#This Row],[ContractType]])</f>
        <v>Annual License</v>
      </c>
      <c r="AN1277" t="s">
        <v>49</v>
      </c>
    </row>
    <row r="1278" spans="1:40" x14ac:dyDescent="0.25">
      <c r="A1278" t="s">
        <v>3030</v>
      </c>
      <c r="B1278" s="1">
        <v>45825</v>
      </c>
      <c r="C1278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278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17</v>
      </c>
      <c r="E1278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78" s="2">
        <f>IFERROR(DATE(Transaction[[#This Row],[TransactionDateY]],Transaction[[#This Row],[TransactionDateM]],Transaction[[#This Row],[TransactionDateD]]),"Missing Value")</f>
        <v>45825</v>
      </c>
      <c r="G1278" t="s">
        <v>1906</v>
      </c>
      <c r="H1278" t="str">
        <f>IFERROR(VLOOKUP(Transaction[[#This Row],[CustomerID]],Custumer[],1,0),IF(LEN(Transaction[[#This Row],[CustomerID]])=7,LEFT(Transaction[[#This Row],[CustomerID]],6),"Invalid ID"))</f>
        <v>C-1055</v>
      </c>
      <c r="I1278" t="s">
        <v>111</v>
      </c>
      <c r="J1278" t="str">
        <f>TRIM(UPPER(Transaction[[#This Row],[ProductID]]))</f>
        <v>P-SA-004</v>
      </c>
      <c r="K1278" t="str">
        <f>IFERROR(VLOOKUP(Transaction[[#This Row],[ProductID_Clean]],Product[],1,FALSE),"Invalid ID")</f>
        <v>P-SA-004</v>
      </c>
      <c r="L1278" t="str">
        <f>TRIM(SUBSTITUTE(SUBSTITUTE(SUBSTITUTE(SUBSTITUTE(UPPER(Transaction[[#This Row],[Region]]),"EMEA REGION","EMEA"),"APAC REGION","APAC"),"NORTH AMERICA","N. AMERICA"),"N .AMERICA","N.AMERICA"))</f>
        <v>APAC</v>
      </c>
      <c r="M1278" t="s">
        <v>30</v>
      </c>
      <c r="N1278" t="s">
        <v>31</v>
      </c>
      <c r="O1278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78" t="s">
        <v>22</v>
      </c>
      <c r="Q1278" t="str">
        <f>IF(TRIM(Transaction[[#This Row],[SalesChannel]])="","Missing Value",TRIM(Transaction[[#This Row],[SalesChannel]]))</f>
        <v>Direct</v>
      </c>
      <c r="R1278" s="4">
        <v>1</v>
      </c>
      <c r="S1278" s="4" t="str">
        <f>IF(Transaction[[#This Row],[Quantity]]&lt;0,"Negative-review","Valid")</f>
        <v>Valid</v>
      </c>
      <c r="T1278">
        <v>1497.26</v>
      </c>
      <c r="U127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1497.26</v>
      </c>
      <c r="V1278">
        <v>1650</v>
      </c>
      <c r="W1278">
        <v>1650</v>
      </c>
      <c r="X127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278">
        <f>IF(Transaction[[#This Row],[GrossRevenue_Check]]="Invalid",Transaction[[#This Row],[ListPrice]]*Transaction[[#This Row],[Quantity]],Transaction[[#This Row],[GrossRevenue_Clean]])</f>
        <v>1650</v>
      </c>
      <c r="Z1278" t="str">
        <f>IF(Transaction[[#This Row],[GrossRevenue_Clean]]=Transaction[[#This Row],[ListPrice]]*Transaction[[#This Row],[Quantity]],"Valid","Invalid")</f>
        <v>Valid</v>
      </c>
      <c r="AA1278">
        <v>152.74</v>
      </c>
      <c r="AB127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152.74</v>
      </c>
      <c r="AC1278">
        <f>IF(Transaction[[#This Row],[DiscountAmount_Check2]]="Invalid",Transaction[[#This Row],[GrossRevenue_Analytical]]-Transaction[[#This Row],[NetRevenue_Analytical]],Transaction[[#This Row],[DiscountAmount_Clean]])</f>
        <v>152.74</v>
      </c>
      <c r="AD1278">
        <v>1497.26</v>
      </c>
      <c r="AE1278" t="str">
        <f>IF(ROUND(Transaction[[#This Row],[GrossRevenue_Analytical]]-Transaction[[#This Row],[NetRevenue_Analytical]],2)=ROUND(Transaction[[#This Row],[DiscountAmount_Clean]],2),"Valid","Invalid")</f>
        <v>Valid</v>
      </c>
      <c r="AF1278">
        <f>VALUE(IF(ISNUMBER(Transaction[[#This Row],[NetRevenue]]),Transaction[[#This Row],[NetRevenue]],IFERROR(IF(FIND("$",Transaction[[#This Row],[NetRevenue]])&gt;0,MID(Transaction[[#This Row],[NetRevenue]],2,10)),Transaction[[#This Row],[NetRevenue]])))</f>
        <v>1497.26</v>
      </c>
      <c r="AG1278">
        <f>IF(Transaction[[#This Row],[NetRevenue_Check]]="Invalid",(Transaction[[#This Row],[Quantity]]*Transaction[[#This Row],[UnitPrice_Clean]]),Transaction[[#This Row],[NetRevenue_Clean]])</f>
        <v>1497.26</v>
      </c>
      <c r="AH1278" t="str">
        <f>IF(Transaction[[#This Row],[Quantity]]*Transaction[[#This Row],[UnitPrice_Clean]]=Transaction[[#This Row],[NetRevenue_Clean]],"Valid","Invalid")</f>
        <v>Valid</v>
      </c>
      <c r="AI1278" t="s">
        <v>23</v>
      </c>
      <c r="AJ1278" t="s">
        <v>1771</v>
      </c>
      <c r="AK1278" t="str">
        <f>IF(Transaction[[#This Row],[Salesperson]]="","Missing Value",TRIM(PROPER(Transaction[[#This Row],[Salesperson]])))</f>
        <v>Cole-Na</v>
      </c>
      <c r="AL1278" t="s">
        <v>34</v>
      </c>
      <c r="AM1278" t="str">
        <f>IF(Transaction[[#This Row],[ContractType]]="","Missing Value",Transaction[[#This Row],[ContractType]])</f>
        <v>Annual License</v>
      </c>
      <c r="AN1278" t="s">
        <v>26</v>
      </c>
    </row>
    <row r="1279" spans="1:40" x14ac:dyDescent="0.25">
      <c r="A1279" t="s">
        <v>2817</v>
      </c>
      <c r="B1279" s="1">
        <v>45762</v>
      </c>
      <c r="C1279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279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1279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79" s="2">
        <f>IFERROR(DATE(Transaction[[#This Row],[TransactionDateY]],Transaction[[#This Row],[TransactionDateM]],Transaction[[#This Row],[TransactionDateD]]),"Missing Value")</f>
        <v>45762</v>
      </c>
      <c r="G1279" t="s">
        <v>385</v>
      </c>
      <c r="H1279" t="str">
        <f>IFERROR(VLOOKUP(Transaction[[#This Row],[CustomerID]],Custumer[],1,0),IF(LEN(Transaction[[#This Row],[CustomerID]])=7,LEFT(Transaction[[#This Row],[CustomerID]],6),"Invalid ID"))</f>
        <v>C-1084</v>
      </c>
      <c r="I1279" t="s">
        <v>71</v>
      </c>
      <c r="J1279" t="str">
        <f>TRIM(UPPER(Transaction[[#This Row],[ProductID]]))</f>
        <v>P-SI-003</v>
      </c>
      <c r="K1279" t="str">
        <f>IFERROR(VLOOKUP(Transaction[[#This Row],[ProductID_Clean]],Product[],1,FALSE),"Invalid ID")</f>
        <v>P-SI-003</v>
      </c>
      <c r="L1279" t="str">
        <f>TRIM(SUBSTITUTE(SUBSTITUTE(SUBSTITUTE(SUBSTITUTE(UPPER(Transaction[[#This Row],[Region]]),"EMEA REGION","EMEA"),"APAC REGION","APAC"),"NORTH AMERICA","N. AMERICA"),"N .AMERICA","N.AMERICA"))</f>
        <v>N. AMERICA</v>
      </c>
      <c r="M1279" t="s">
        <v>495</v>
      </c>
      <c r="N1279" t="s">
        <v>53</v>
      </c>
      <c r="O127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79" t="s">
        <v>173</v>
      </c>
      <c r="Q1279" t="str">
        <f>IF(TRIM(Transaction[[#This Row],[SalesChannel]])="","Missing Value",TRIM(Transaction[[#This Row],[SalesChannel]]))</f>
        <v>Distributor</v>
      </c>
      <c r="R1279" s="4">
        <v>10</v>
      </c>
      <c r="S1279" s="4" t="str">
        <f>IF(Transaction[[#This Row],[Quantity]]&lt;0,"Negative-review","Valid")</f>
        <v>Valid</v>
      </c>
      <c r="T1279">
        <v>1588.06</v>
      </c>
      <c r="U127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1588.06</v>
      </c>
      <c r="V1279">
        <v>1890</v>
      </c>
      <c r="W1279">
        <v>18900</v>
      </c>
      <c r="X127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18900</v>
      </c>
      <c r="Y1279">
        <f>IF(Transaction[[#This Row],[GrossRevenue_Check]]="Invalid",Transaction[[#This Row],[ListPrice]]*Transaction[[#This Row],[Quantity]],Transaction[[#This Row],[GrossRevenue_Clean]])</f>
        <v>18900</v>
      </c>
      <c r="Z1279" t="str">
        <f>IF(Transaction[[#This Row],[GrossRevenue_Clean]]=Transaction[[#This Row],[ListPrice]]*Transaction[[#This Row],[Quantity]],"Valid","Invalid")</f>
        <v>Valid</v>
      </c>
      <c r="AA1279">
        <v>3019.4</v>
      </c>
      <c r="AB127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3019.4</v>
      </c>
      <c r="AC1279">
        <f>IF(Transaction[[#This Row],[DiscountAmount_Check2]]="Invalid",Transaction[[#This Row],[GrossRevenue_Analytical]]-Transaction[[#This Row],[NetRevenue_Analytical]],Transaction[[#This Row],[DiscountAmount_Clean]])</f>
        <v>3019.4</v>
      </c>
      <c r="AD1279">
        <v>15880.6</v>
      </c>
      <c r="AE1279" t="str">
        <f>IF(ROUND(Transaction[[#This Row],[GrossRevenue_Analytical]]-Transaction[[#This Row],[NetRevenue_Analytical]],2)=ROUND(Transaction[[#This Row],[DiscountAmount_Clean]],2),"Valid","Invalid")</f>
        <v>Valid</v>
      </c>
      <c r="AF1279">
        <f>VALUE(IF(ISNUMBER(Transaction[[#This Row],[NetRevenue]]),Transaction[[#This Row],[NetRevenue]],IFERROR(IF(FIND("$",Transaction[[#This Row],[NetRevenue]])&gt;0,MID(Transaction[[#This Row],[NetRevenue]],2,10)),Transaction[[#This Row],[NetRevenue]])))</f>
        <v>15880.6</v>
      </c>
      <c r="AG1279">
        <f>IF(Transaction[[#This Row],[NetRevenue_Check]]="Invalid",(Transaction[[#This Row],[Quantity]]*Transaction[[#This Row],[UnitPrice_Clean]]),Transaction[[#This Row],[NetRevenue_Clean]])</f>
        <v>15880.6</v>
      </c>
      <c r="AH1279" t="str">
        <f>IF(Transaction[[#This Row],[Quantity]]*Transaction[[#This Row],[UnitPrice_Clean]]=Transaction[[#This Row],[NetRevenue_Clean]],"Valid","Invalid")</f>
        <v>Valid</v>
      </c>
      <c r="AI1279" t="s">
        <v>23</v>
      </c>
      <c r="AJ1279" t="s">
        <v>151</v>
      </c>
      <c r="AK1279" t="str">
        <f>IF(Transaction[[#This Row],[Salesperson]]="","Missing Value",TRIM(PROPER(Transaction[[#This Row],[Salesperson]])))</f>
        <v>Jordan-Ap</v>
      </c>
      <c r="AL1279" t="s">
        <v>55</v>
      </c>
      <c r="AM1279" t="str">
        <f>IF(Transaction[[#This Row],[ContractType]]="","Missing Value",Transaction[[#This Row],[ContractType]])</f>
        <v>Spot</v>
      </c>
      <c r="AN1279" t="s">
        <v>43</v>
      </c>
    </row>
    <row r="1280" spans="1:40" x14ac:dyDescent="0.25">
      <c r="A1280" t="s">
        <v>1073</v>
      </c>
      <c r="B1280" t="s">
        <v>1074</v>
      </c>
      <c r="C128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28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6</v>
      </c>
      <c r="E128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80" s="2">
        <f>IFERROR(DATE(Transaction[[#This Row],[TransactionDateY]],Transaction[[#This Row],[TransactionDateM]],Transaction[[#This Row],[TransactionDateD]]),"Missing Value")</f>
        <v>45783</v>
      </c>
      <c r="G1280" t="s">
        <v>621</v>
      </c>
      <c r="H1280" t="str">
        <f>IFERROR(VLOOKUP(Transaction[[#This Row],[CustomerID]],Custumer[],1,0),IF(LEN(Transaction[[#This Row],[CustomerID]])=7,LEFT(Transaction[[#This Row],[CustomerID]],6),"Invalid ID"))</f>
        <v>C-1064</v>
      </c>
      <c r="I1280" t="s">
        <v>29</v>
      </c>
      <c r="J1280" t="str">
        <f>TRIM(UPPER(Transaction[[#This Row],[ProductID]]))</f>
        <v>P-SA-001</v>
      </c>
      <c r="K1280" t="str">
        <f>IFERROR(VLOOKUP(Transaction[[#This Row],[ProductID_Clean]],Product[],1,FALSE),"Invalid ID")</f>
        <v>P-SA-001</v>
      </c>
      <c r="L1280" t="str">
        <f>TRIM(SUBSTITUTE(SUBSTITUTE(SUBSTITUTE(SUBSTITUTE(UPPER(Transaction[[#This Row],[Region]]),"EMEA REGION","EMEA"),"APAC REGION","APAC"),"NORTH AMERICA","N. AMERICA"),"N .AMERICA","N.AMERICA"))</f>
        <v>N. AMERICA</v>
      </c>
      <c r="M1280" t="s">
        <v>20</v>
      </c>
      <c r="N1280" t="s">
        <v>205</v>
      </c>
      <c r="O1280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Q1280" t="str">
        <f>IF(TRIM(Transaction[[#This Row],[SalesChannel]])="","Missing Value",TRIM(Transaction[[#This Row],[SalesChannel]]))</f>
        <v>Missing Value</v>
      </c>
      <c r="R1280" s="4">
        <v>3</v>
      </c>
      <c r="S1280" s="4" t="str">
        <f>IF(Transaction[[#This Row],[Quantity]]&lt;0,"Negative-review","Valid")</f>
        <v>Valid</v>
      </c>
      <c r="T1280">
        <v>3946.02</v>
      </c>
      <c r="U128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3946.02</v>
      </c>
      <c r="V1280">
        <v>4200</v>
      </c>
      <c r="W1280">
        <v>12600</v>
      </c>
      <c r="X128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12600</v>
      </c>
      <c r="Y1280">
        <f>IF(Transaction[[#This Row],[GrossRevenue_Check]]="Invalid",Transaction[[#This Row],[ListPrice]]*Transaction[[#This Row],[Quantity]],Transaction[[#This Row],[GrossRevenue_Clean]])</f>
        <v>12600</v>
      </c>
      <c r="Z1280" t="str">
        <f>IF(Transaction[[#This Row],[GrossRevenue_Clean]]=Transaction[[#This Row],[ListPrice]]*Transaction[[#This Row],[Quantity]],"Valid","Invalid")</f>
        <v>Valid</v>
      </c>
      <c r="AA1280">
        <v>761.94</v>
      </c>
      <c r="AB128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761.94</v>
      </c>
      <c r="AC1280">
        <f>IF(Transaction[[#This Row],[DiscountAmount_Check2]]="Invalid",Transaction[[#This Row],[GrossRevenue_Analytical]]-Transaction[[#This Row],[NetRevenue_Analytical]],Transaction[[#This Row],[DiscountAmount_Clean]])</f>
        <v>761.94</v>
      </c>
      <c r="AD1280">
        <v>11838.06</v>
      </c>
      <c r="AE1280" t="str">
        <f>IF(ROUND(Transaction[[#This Row],[GrossRevenue_Analytical]]-Transaction[[#This Row],[NetRevenue_Analytical]],2)=ROUND(Transaction[[#This Row],[DiscountAmount_Clean]],2),"Valid","Invalid")</f>
        <v>Valid</v>
      </c>
      <c r="AF1280">
        <f>VALUE(IF(ISNUMBER(Transaction[[#This Row],[NetRevenue]]),Transaction[[#This Row],[NetRevenue]],IFERROR(IF(FIND("$",Transaction[[#This Row],[NetRevenue]])&gt;0,MID(Transaction[[#This Row],[NetRevenue]],2,10)),Transaction[[#This Row],[NetRevenue]])))</f>
        <v>11838.06</v>
      </c>
      <c r="AG1280">
        <f>IF(Transaction[[#This Row],[NetRevenue_Check]]="Invalid",(Transaction[[#This Row],[Quantity]]*Transaction[[#This Row],[UnitPrice_Clean]]),Transaction[[#This Row],[NetRevenue_Clean]])</f>
        <v>11838.06</v>
      </c>
      <c r="AH1280" t="str">
        <f>IF(Transaction[[#This Row],[Quantity]]*Transaction[[#This Row],[UnitPrice_Clean]]=Transaction[[#This Row],[NetRevenue_Clean]],"Valid","Invalid")</f>
        <v>Valid</v>
      </c>
      <c r="AI1280" t="s">
        <v>23</v>
      </c>
      <c r="AJ1280" t="s">
        <v>1075</v>
      </c>
      <c r="AK1280" t="str">
        <f>IF(Transaction[[#This Row],[Salesperson]]="","Missing Value",TRIM(PROPER(Transaction[[#This Row],[Salesperson]])))</f>
        <v>Smith-Na</v>
      </c>
      <c r="AL1280" t="s">
        <v>34</v>
      </c>
      <c r="AM1280" t="str">
        <f>IF(Transaction[[#This Row],[ContractType]]="","Missing Value",Transaction[[#This Row],[ContractType]])</f>
        <v>Annual License</v>
      </c>
      <c r="AN1280" t="s">
        <v>35</v>
      </c>
    </row>
    <row r="1281" spans="1:40" x14ac:dyDescent="0.25">
      <c r="A1281" t="s">
        <v>2579</v>
      </c>
      <c r="B1281" s="1">
        <v>45771</v>
      </c>
      <c r="C128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28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24</v>
      </c>
      <c r="E128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81" s="2">
        <f>IFERROR(DATE(Transaction[[#This Row],[TransactionDateY]],Transaction[[#This Row],[TransactionDateM]],Transaction[[#This Row],[TransactionDateD]]),"Missing Value")</f>
        <v>45771</v>
      </c>
      <c r="G1281" t="s">
        <v>135</v>
      </c>
      <c r="H1281" t="str">
        <f>IFERROR(VLOOKUP(Transaction[[#This Row],[CustomerID]],Custumer[],1,0),IF(LEN(Transaction[[#This Row],[CustomerID]])=7,LEFT(Transaction[[#This Row],[CustomerID]],6),"Invalid ID"))</f>
        <v>C-1112</v>
      </c>
      <c r="I1281" t="s">
        <v>226</v>
      </c>
      <c r="J1281" t="str">
        <f>TRIM(UPPER(Transaction[[#This Row],[ProductID]]))</f>
        <v>P-SA-002</v>
      </c>
      <c r="K1281" t="str">
        <f>IFERROR(VLOOKUP(Transaction[[#This Row],[ProductID_Clean]],Product[],1,FALSE),"Invalid ID")</f>
        <v>P-SA-002</v>
      </c>
      <c r="L1281" t="str">
        <f>TRIM(SUBSTITUTE(SUBSTITUTE(SUBSTITUTE(SUBSTITUTE(UPPER(Transaction[[#This Row],[Region]]),"EMEA REGION","EMEA"),"APAC REGION","APAC"),"NORTH AMERICA","N. AMERICA"),"N .AMERICA","N.AMERICA"))</f>
        <v>N. AMERICA</v>
      </c>
      <c r="M1281" t="s">
        <v>168</v>
      </c>
      <c r="N1281" t="s">
        <v>31</v>
      </c>
      <c r="O128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81" t="s">
        <v>40</v>
      </c>
      <c r="Q1281" t="str">
        <f>IF(TRIM(Transaction[[#This Row],[SalesChannel]])="","Missing Value",TRIM(Transaction[[#This Row],[SalesChannel]]))</f>
        <v>Distributor</v>
      </c>
      <c r="R1281" s="4">
        <v>1</v>
      </c>
      <c r="S1281" s="4" t="str">
        <f>IF(Transaction[[#This Row],[Quantity]]&lt;0,"Negative-review","Valid")</f>
        <v>Valid</v>
      </c>
      <c r="T1281">
        <v>7921.95</v>
      </c>
      <c r="U128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7921.95</v>
      </c>
      <c r="V1281">
        <v>9800</v>
      </c>
      <c r="W1281">
        <v>9800</v>
      </c>
      <c r="X128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9800</v>
      </c>
      <c r="Y1281">
        <f>IF(Transaction[[#This Row],[GrossRevenue_Check]]="Invalid",Transaction[[#This Row],[ListPrice]]*Transaction[[#This Row],[Quantity]],Transaction[[#This Row],[GrossRevenue_Clean]])</f>
        <v>9800</v>
      </c>
      <c r="Z1281" t="str">
        <f>IF(Transaction[[#This Row],[GrossRevenue_Clean]]=Transaction[[#This Row],[ListPrice]]*Transaction[[#This Row],[Quantity]],"Valid","Invalid")</f>
        <v>Valid</v>
      </c>
      <c r="AA1281" t="s">
        <v>2580</v>
      </c>
      <c r="AB128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1878.05</v>
      </c>
      <c r="AC1281">
        <f>IF(Transaction[[#This Row],[DiscountAmount_Check2]]="Invalid",Transaction[[#This Row],[GrossRevenue_Analytical]]-Transaction[[#This Row],[NetRevenue_Analytical]],Transaction[[#This Row],[DiscountAmount_Clean]])</f>
        <v>1878.05</v>
      </c>
      <c r="AD1281">
        <v>7921.95</v>
      </c>
      <c r="AE1281" t="str">
        <f>IF(ROUND(Transaction[[#This Row],[GrossRevenue_Analytical]]-Transaction[[#This Row],[NetRevenue_Analytical]],2)=ROUND(Transaction[[#This Row],[DiscountAmount_Clean]],2),"Valid","Invalid")</f>
        <v>Valid</v>
      </c>
      <c r="AF1281">
        <f>VALUE(IF(ISNUMBER(Transaction[[#This Row],[NetRevenue]]),Transaction[[#This Row],[NetRevenue]],IFERROR(IF(FIND("$",Transaction[[#This Row],[NetRevenue]])&gt;0,MID(Transaction[[#This Row],[NetRevenue]],2,10)),Transaction[[#This Row],[NetRevenue]])))</f>
        <v>7921.95</v>
      </c>
      <c r="AG1281">
        <f>IF(Transaction[[#This Row],[NetRevenue_Check]]="Invalid",(Transaction[[#This Row],[Quantity]]*Transaction[[#This Row],[UnitPrice_Clean]]),Transaction[[#This Row],[NetRevenue_Clean]])</f>
        <v>7921.95</v>
      </c>
      <c r="AH1281" t="str">
        <f>IF(Transaction[[#This Row],[Quantity]]*Transaction[[#This Row],[UnitPrice_Clean]]=Transaction[[#This Row],[NetRevenue_Clean]],"Valid","Invalid")</f>
        <v>Valid</v>
      </c>
      <c r="AI1281" t="s">
        <v>23</v>
      </c>
      <c r="AJ1281" t="s">
        <v>2218</v>
      </c>
      <c r="AK1281" t="str">
        <f>IF(Transaction[[#This Row],[Salesperson]]="","Missing Value",TRIM(PROPER(Transaction[[#This Row],[Salesperson]])))</f>
        <v>Lewis-Na</v>
      </c>
      <c r="AL1281" t="s">
        <v>34</v>
      </c>
      <c r="AM1281" t="str">
        <f>IF(Transaction[[#This Row],[ContractType]]="","Missing Value",Transaction[[#This Row],[ContractType]])</f>
        <v>Annual License</v>
      </c>
      <c r="AN1281" t="s">
        <v>43</v>
      </c>
    </row>
    <row r="1282" spans="1:40" x14ac:dyDescent="0.25">
      <c r="A1282" t="s">
        <v>1525</v>
      </c>
      <c r="B1282" s="1">
        <v>45837</v>
      </c>
      <c r="C1282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6</v>
      </c>
      <c r="D1282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29</v>
      </c>
      <c r="E1282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82" s="2">
        <f>IFERROR(DATE(Transaction[[#This Row],[TransactionDateY]],Transaction[[#This Row],[TransactionDateM]],Transaction[[#This Row],[TransactionDateD]]),"Missing Value")</f>
        <v>45837</v>
      </c>
      <c r="G1282" t="s">
        <v>388</v>
      </c>
      <c r="H1282" t="str">
        <f>IFERROR(VLOOKUP(Transaction[[#This Row],[CustomerID]],Custumer[],1,0),IF(LEN(Transaction[[#This Row],[CustomerID]])=7,LEFT(Transaction[[#This Row],[CustomerID]],6),"Invalid ID"))</f>
        <v>C-1184</v>
      </c>
      <c r="I1282" t="s">
        <v>71</v>
      </c>
      <c r="J1282" t="str">
        <f>TRIM(UPPER(Transaction[[#This Row],[ProductID]]))</f>
        <v>P-SI-003</v>
      </c>
      <c r="K1282" t="str">
        <f>IFERROR(VLOOKUP(Transaction[[#This Row],[ProductID_Clean]],Product[],1,FALSE),"Invalid ID")</f>
        <v>P-SI-003</v>
      </c>
      <c r="L1282" t="str">
        <f>TRIM(SUBSTITUTE(SUBSTITUTE(SUBSTITUTE(SUBSTITUTE(UPPER(Transaction[[#This Row],[Region]]),"EMEA REGION","EMEA"),"APAC REGION","APAC"),"NORTH AMERICA","N. AMERICA"),"N .AMERICA","N.AMERICA"))</f>
        <v>N. AMERICA</v>
      </c>
      <c r="M1282" t="s">
        <v>204</v>
      </c>
      <c r="N1282" t="s">
        <v>53</v>
      </c>
      <c r="O128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82" t="s">
        <v>22</v>
      </c>
      <c r="Q1282" t="str">
        <f>IF(TRIM(Transaction[[#This Row],[SalesChannel]])="","Missing Value",TRIM(Transaction[[#This Row],[SalesChannel]]))</f>
        <v>Direct</v>
      </c>
      <c r="R1282" s="4">
        <v>1</v>
      </c>
      <c r="S1282" s="4" t="str">
        <f>IF(Transaction[[#This Row],[Quantity]]&lt;0,"Negative-review","Valid")</f>
        <v>Valid</v>
      </c>
      <c r="T1282">
        <v>1703.51</v>
      </c>
      <c r="U128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1703.51</v>
      </c>
      <c r="V1282">
        <v>1890</v>
      </c>
      <c r="W1282">
        <v>1890</v>
      </c>
      <c r="X128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1890</v>
      </c>
      <c r="Y1282">
        <f>IF(Transaction[[#This Row],[GrossRevenue_Check]]="Invalid",Transaction[[#This Row],[ListPrice]]*Transaction[[#This Row],[Quantity]],Transaction[[#This Row],[GrossRevenue_Clean]])</f>
        <v>1890</v>
      </c>
      <c r="Z1282" t="str">
        <f>IF(Transaction[[#This Row],[GrossRevenue_Clean]]=Transaction[[#This Row],[ListPrice]]*Transaction[[#This Row],[Quantity]],"Valid","Invalid")</f>
        <v>Valid</v>
      </c>
      <c r="AB128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1282">
        <f>IF(Transaction[[#This Row],[DiscountAmount_Check2]]="Invalid",Transaction[[#This Row],[GrossRevenue_Analytical]]-Transaction[[#This Row],[NetRevenue_Analytical]],Transaction[[#This Row],[DiscountAmount_Clean]])</f>
        <v>186.49</v>
      </c>
      <c r="AD1282">
        <v>1703.51</v>
      </c>
      <c r="AE1282" t="str">
        <f>IF(ROUND(Transaction[[#This Row],[GrossRevenue_Analytical]]-Transaction[[#This Row],[NetRevenue_Analytical]],2)=ROUND(Transaction[[#This Row],[DiscountAmount_Clean]],2),"Valid","Invalid")</f>
        <v>Invalid</v>
      </c>
      <c r="AF1282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1703.51</v>
      </c>
      <c r="AG1282">
        <f>IF(Transaction[[#This Row],[NetRevenue_Check]]="Invalid",(Transaction[[#This Row],[Quantity]]*Transaction[[#This Row],[UnitPrice_Clean]]),Transaction[[#This Row],[NetRevenue_Clean]])</f>
        <v>1703.51</v>
      </c>
      <c r="AH1282" t="str">
        <f>IF(Transaction[[#This Row],[Quantity]]*Transaction[[#This Row],[UnitPrice_Clean]]=Transaction[[#This Row],[NetRevenue_Clean]],"Valid","Invalid")</f>
        <v>Valid</v>
      </c>
      <c r="AI1282" t="s">
        <v>23</v>
      </c>
      <c r="AJ1282" t="s">
        <v>1526</v>
      </c>
      <c r="AK1282" t="str">
        <f>IF(Transaction[[#This Row],[Salesperson]]="","Missing Value",TRIM(PROPER(Transaction[[#This Row],[Salesperson]])))</f>
        <v>Espinoza-Ap</v>
      </c>
      <c r="AL1282" t="s">
        <v>42</v>
      </c>
      <c r="AM1282" t="str">
        <f>IF(Transaction[[#This Row],[ContractType]]="","Missing Value",Transaction[[#This Row],[ContractType]])</f>
        <v>Standard PO</v>
      </c>
      <c r="AN1282" t="s">
        <v>43</v>
      </c>
    </row>
    <row r="1283" spans="1:40" x14ac:dyDescent="0.25">
      <c r="A1283" t="s">
        <v>2233</v>
      </c>
      <c r="B1283" t="s">
        <v>2234</v>
      </c>
      <c r="C1283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10</v>
      </c>
      <c r="D1283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02</v>
      </c>
      <c r="E1283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83" s="2">
        <f>IFERROR(DATE(Transaction[[#This Row],[TransactionDateY]],Transaction[[#This Row],[TransactionDateM]],Transaction[[#This Row],[TransactionDateD]]),"Missing Value")</f>
        <v>45932</v>
      </c>
      <c r="G1283" t="s">
        <v>96</v>
      </c>
      <c r="H1283" t="str">
        <f>IFERROR(VLOOKUP(Transaction[[#This Row],[CustomerID]],Custumer[],1,0),IF(LEN(Transaction[[#This Row],[CustomerID]])=7,LEFT(Transaction[[#This Row],[CustomerID]],6),"Invalid ID"))</f>
        <v>C-1057</v>
      </c>
      <c r="I1283" t="s">
        <v>92</v>
      </c>
      <c r="J1283" t="str">
        <f>TRIM(UPPER(Transaction[[#This Row],[ProductID]]))</f>
        <v>P-SI-008</v>
      </c>
      <c r="K1283" t="str">
        <f>IFERROR(VLOOKUP(Transaction[[#This Row],[ProductID_Clean]],Product[],1,FALSE),"Invalid ID")</f>
        <v>P-SI-008</v>
      </c>
      <c r="L1283" t="str">
        <f>TRIM(SUBSTITUTE(SUBSTITUTE(SUBSTITUTE(SUBSTITUTE(UPPER(Transaction[[#This Row],[Region]]),"EMEA REGION","EMEA"),"APAC REGION","APAC"),"NORTH AMERICA","N. AMERICA"),"N .AMERICA","N.AMERICA"))</f>
        <v>N. AMERICA</v>
      </c>
      <c r="M1283" t="s">
        <v>20</v>
      </c>
      <c r="N1283" t="s">
        <v>53</v>
      </c>
      <c r="O1283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Q1283" t="str">
        <f>IF(TRIM(Transaction[[#This Row],[SalesChannel]])="","Missing Value",TRIM(Transaction[[#This Row],[SalesChannel]]))</f>
        <v>Missing Value</v>
      </c>
      <c r="R1283" s="4">
        <v>2</v>
      </c>
      <c r="S1283" s="4" t="str">
        <f>IF(Transaction[[#This Row],[Quantity]]&lt;0,"Negative-review","Valid")</f>
        <v>Valid</v>
      </c>
      <c r="T1283">
        <v>885.21</v>
      </c>
      <c r="U128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885.21</v>
      </c>
      <c r="V1283">
        <v>950</v>
      </c>
      <c r="W1283">
        <v>1900</v>
      </c>
      <c r="X128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1900</v>
      </c>
      <c r="Y1283">
        <f>IF(Transaction[[#This Row],[GrossRevenue_Check]]="Invalid",Transaction[[#This Row],[ListPrice]]*Transaction[[#This Row],[Quantity]],Transaction[[#This Row],[GrossRevenue_Clean]])</f>
        <v>1900</v>
      </c>
      <c r="Z1283" t="str">
        <f>IF(Transaction[[#This Row],[GrossRevenue_Clean]]=Transaction[[#This Row],[ListPrice]]*Transaction[[#This Row],[Quantity]],"Valid","Invalid")</f>
        <v>Valid</v>
      </c>
      <c r="AB128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1283">
        <f>IF(Transaction[[#This Row],[DiscountAmount_Check2]]="Invalid",Transaction[[#This Row],[GrossRevenue_Analytical]]-Transaction[[#This Row],[NetRevenue_Analytical]],Transaction[[#This Row],[DiscountAmount_Clean]])</f>
        <v>129.57999999999993</v>
      </c>
      <c r="AD1283">
        <v>1770.42</v>
      </c>
      <c r="AE1283" t="str">
        <f>IF(ROUND(Transaction[[#This Row],[GrossRevenue_Analytical]]-Transaction[[#This Row],[NetRevenue_Analytical]],2)=ROUND(Transaction[[#This Row],[DiscountAmount_Clean]],2),"Valid","Invalid")</f>
        <v>Invalid</v>
      </c>
      <c r="AF128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1770.42</v>
      </c>
      <c r="AG1283">
        <f>IF(Transaction[[#This Row],[NetRevenue_Check]]="Invalid",(Transaction[[#This Row],[Quantity]]*Transaction[[#This Row],[UnitPrice_Clean]]),Transaction[[#This Row],[NetRevenue_Clean]])</f>
        <v>1770.42</v>
      </c>
      <c r="AH1283" t="str">
        <f>IF(Transaction[[#This Row],[Quantity]]*Transaction[[#This Row],[UnitPrice_Clean]]=Transaction[[#This Row],[NetRevenue_Clean]],"Valid","Invalid")</f>
        <v>Valid</v>
      </c>
      <c r="AI1283" t="s">
        <v>23</v>
      </c>
      <c r="AJ1283" t="s">
        <v>1109</v>
      </c>
      <c r="AK1283" t="str">
        <f>IF(Transaction[[#This Row],[Salesperson]]="","Missing Value",TRIM(PROPER(Transaction[[#This Row],[Salesperson]])))</f>
        <v>Burgess</v>
      </c>
      <c r="AL1283" t="s">
        <v>42</v>
      </c>
      <c r="AM1283" t="str">
        <f>IF(Transaction[[#This Row],[ContractType]]="","Missing Value",Transaction[[#This Row],[ContractType]])</f>
        <v>Standard PO</v>
      </c>
      <c r="AN1283" t="s">
        <v>65</v>
      </c>
    </row>
    <row r="1284" spans="1:40" x14ac:dyDescent="0.25">
      <c r="A1284" t="s">
        <v>1247</v>
      </c>
      <c r="B1284" s="1">
        <v>45781</v>
      </c>
      <c r="C1284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5</v>
      </c>
      <c r="D1284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4</v>
      </c>
      <c r="E1284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84" s="2">
        <f>IFERROR(DATE(Transaction[[#This Row],[TransactionDateY]],Transaction[[#This Row],[TransactionDateM]],Transaction[[#This Row],[TransactionDateD]]),"Missing Value")</f>
        <v>45781</v>
      </c>
      <c r="G1284" t="s">
        <v>501</v>
      </c>
      <c r="H1284" t="str">
        <f>IFERROR(VLOOKUP(Transaction[[#This Row],[CustomerID]],Custumer[],1,0),IF(LEN(Transaction[[#This Row],[CustomerID]])=7,LEFT(Transaction[[#This Row],[CustomerID]],6),"Invalid ID"))</f>
        <v>Invalid ID</v>
      </c>
      <c r="I1284" t="s">
        <v>29</v>
      </c>
      <c r="J1284" t="str">
        <f>TRIM(UPPER(Transaction[[#This Row],[ProductID]]))</f>
        <v>P-SA-001</v>
      </c>
      <c r="K1284" t="str">
        <f>IFERROR(VLOOKUP(Transaction[[#This Row],[ProductID_Clean]],Product[],1,FALSE),"Invalid ID")</f>
        <v>P-SA-001</v>
      </c>
      <c r="L1284" t="str">
        <f>TRIM(SUBSTITUTE(SUBSTITUTE(SUBSTITUTE(SUBSTITUTE(UPPER(Transaction[[#This Row],[Region]]),"EMEA REGION","EMEA"),"APAC REGION","APAC"),"NORTH AMERICA","N. AMERICA"),"N .AMERICA","N.AMERICA"))</f>
        <v>APAC</v>
      </c>
      <c r="M1284" t="s">
        <v>30</v>
      </c>
      <c r="N1284" t="s">
        <v>31</v>
      </c>
      <c r="O1284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84" t="s">
        <v>93</v>
      </c>
      <c r="Q1284" t="str">
        <f>IF(TRIM(Transaction[[#This Row],[SalesChannel]])="","Missing Value",TRIM(Transaction[[#This Row],[SalesChannel]]))</f>
        <v>direct</v>
      </c>
      <c r="R1284" s="4">
        <v>1</v>
      </c>
      <c r="S1284" s="4" t="str">
        <f>IF(Transaction[[#This Row],[Quantity]]&lt;0,"Negative-review","Valid")</f>
        <v>Valid</v>
      </c>
      <c r="T1284">
        <v>3780.9</v>
      </c>
      <c r="U1284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3780.9</v>
      </c>
      <c r="V1284">
        <v>4200</v>
      </c>
      <c r="W1284">
        <v>4200</v>
      </c>
      <c r="X1284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1284">
        <f>IF(Transaction[[#This Row],[GrossRevenue_Check]]="Invalid",Transaction[[#This Row],[ListPrice]]*Transaction[[#This Row],[Quantity]],Transaction[[#This Row],[GrossRevenue_Clean]])</f>
        <v>4200</v>
      </c>
      <c r="Z1284" t="str">
        <f>IF(Transaction[[#This Row],[GrossRevenue_Clean]]=Transaction[[#This Row],[ListPrice]]*Transaction[[#This Row],[Quantity]],"Valid","Invalid")</f>
        <v>Valid</v>
      </c>
      <c r="AA1284">
        <v>419.1</v>
      </c>
      <c r="AB1284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419.1</v>
      </c>
      <c r="AC1284">
        <f>IF(Transaction[[#This Row],[DiscountAmount_Check2]]="Invalid",Transaction[[#This Row],[GrossRevenue_Analytical]]-Transaction[[#This Row],[NetRevenue_Analytical]],Transaction[[#This Row],[DiscountAmount_Clean]])</f>
        <v>419.1</v>
      </c>
      <c r="AD1284">
        <v>3780.9</v>
      </c>
      <c r="AE1284" t="str">
        <f>IF(ROUND(Transaction[[#This Row],[GrossRevenue_Analytical]]-Transaction[[#This Row],[NetRevenue_Analytical]],2)=ROUND(Transaction[[#This Row],[DiscountAmount_Clean]],2),"Valid","Invalid")</f>
        <v>Valid</v>
      </c>
      <c r="AF1284">
        <f>VALUE(IF(ISNUMBER(Transaction[[#This Row],[NetRevenue]]),Transaction[[#This Row],[NetRevenue]],IFERROR(IF(FIND("$",Transaction[[#This Row],[NetRevenue]])&gt;0,MID(Transaction[[#This Row],[NetRevenue]],2,10)),Transaction[[#This Row],[NetRevenue]])))</f>
        <v>3780.9</v>
      </c>
      <c r="AG1284">
        <f>IF(Transaction[[#This Row],[NetRevenue_Check]]="Invalid",(Transaction[[#This Row],[Quantity]]*Transaction[[#This Row],[UnitPrice_Clean]]),Transaction[[#This Row],[NetRevenue_Clean]])</f>
        <v>3780.9</v>
      </c>
      <c r="AH1284" t="str">
        <f>IF(Transaction[[#This Row],[Quantity]]*Transaction[[#This Row],[UnitPrice_Clean]]=Transaction[[#This Row],[NetRevenue_Clean]],"Valid","Invalid")</f>
        <v>Valid</v>
      </c>
      <c r="AI1284" t="s">
        <v>23</v>
      </c>
      <c r="AJ1284" t="s">
        <v>465</v>
      </c>
      <c r="AK1284" t="str">
        <f>IF(Transaction[[#This Row],[Salesperson]]="","Missing Value",TRIM(PROPER(Transaction[[#This Row],[Salesperson]])))</f>
        <v>Smith</v>
      </c>
      <c r="AL1284" t="s">
        <v>113</v>
      </c>
      <c r="AM1284" t="str">
        <f>IF(Transaction[[#This Row],[ContractType]]="","Missing Value",Transaction[[#This Row],[ContractType]])</f>
        <v>Subscription</v>
      </c>
      <c r="AN1284" t="s">
        <v>65</v>
      </c>
    </row>
    <row r="1285" spans="1:40" x14ac:dyDescent="0.25">
      <c r="A1285" t="s">
        <v>2827</v>
      </c>
      <c r="C1285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1285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1285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1285" s="2" t="str">
        <f>IFERROR(DATE(Transaction[[#This Row],[TransactionDateY]],Transaction[[#This Row],[TransactionDateM]],Transaction[[#This Row],[TransactionDateD]]),"Missing Value")</f>
        <v>Missing Value</v>
      </c>
      <c r="G1285" t="s">
        <v>470</v>
      </c>
      <c r="H1285" t="str">
        <f>IFERROR(VLOOKUP(Transaction[[#This Row],[CustomerID]],Custumer[],1,0),IF(LEN(Transaction[[#This Row],[CustomerID]])=7,LEFT(Transaction[[#This Row],[CustomerID]],6),"Invalid ID"))</f>
        <v>C-1151</v>
      </c>
      <c r="I1285" t="s">
        <v>46</v>
      </c>
      <c r="J1285" t="str">
        <f>TRIM(UPPER(Transaction[[#This Row],[ProductID]]))</f>
        <v>P-SI-006</v>
      </c>
      <c r="K1285" t="str">
        <f>IFERROR(VLOOKUP(Transaction[[#This Row],[ProductID_Clean]],Product[],1,FALSE),"Invalid ID")</f>
        <v>P-SI-006</v>
      </c>
      <c r="L1285" t="str">
        <f>TRIM(SUBSTITUTE(SUBSTITUTE(SUBSTITUTE(SUBSTITUTE(UPPER(Transaction[[#This Row],[Region]]),"EMEA REGION","EMEA"),"APAC REGION","APAC"),"NORTH AMERICA","N. AMERICA"),"N .AMERICA","N.AMERICA"))</f>
        <v>LATIN AMERICA</v>
      </c>
      <c r="M1285" t="s">
        <v>82</v>
      </c>
      <c r="N1285" t="s">
        <v>98</v>
      </c>
      <c r="O1285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85" t="s">
        <v>40</v>
      </c>
      <c r="Q1285" t="str">
        <f>IF(TRIM(Transaction[[#This Row],[SalesChannel]])="","Missing Value",TRIM(Transaction[[#This Row],[SalesChannel]]))</f>
        <v>Distributor</v>
      </c>
      <c r="R1285" s="4">
        <v>2</v>
      </c>
      <c r="S1285" s="4" t="str">
        <f>IF(Transaction[[#This Row],[Quantity]]&lt;0,"Negative-review","Valid")</f>
        <v>Valid</v>
      </c>
      <c r="T1285">
        <v>163.30000000000001</v>
      </c>
      <c r="U1285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163.30000000000001</v>
      </c>
      <c r="V1285">
        <v>215</v>
      </c>
      <c r="W1285">
        <v>430</v>
      </c>
      <c r="X1285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430</v>
      </c>
      <c r="Y1285">
        <f>IF(Transaction[[#This Row],[GrossRevenue_Check]]="Invalid",Transaction[[#This Row],[ListPrice]]*Transaction[[#This Row],[Quantity]],Transaction[[#This Row],[GrossRevenue_Clean]])</f>
        <v>430</v>
      </c>
      <c r="Z1285" t="str">
        <f>IF(Transaction[[#This Row],[GrossRevenue_Clean]]=Transaction[[#This Row],[ListPrice]]*Transaction[[#This Row],[Quantity]],"Valid","Invalid")</f>
        <v>Valid</v>
      </c>
      <c r="AB1285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1285">
        <f>IF(Transaction[[#This Row],[DiscountAmount_Check2]]="Invalid",Transaction[[#This Row],[GrossRevenue_Analytical]]-Transaction[[#This Row],[NetRevenue_Analytical]],Transaction[[#This Row],[DiscountAmount_Clean]])</f>
        <v>103.39999999999998</v>
      </c>
      <c r="AD1285">
        <v>326.60000000000002</v>
      </c>
      <c r="AE1285" t="str">
        <f>IF(ROUND(Transaction[[#This Row],[GrossRevenue_Analytical]]-Transaction[[#This Row],[NetRevenue_Analytical]],2)=ROUND(Transaction[[#This Row],[DiscountAmount_Clean]],2),"Valid","Invalid")</f>
        <v>Invalid</v>
      </c>
      <c r="AF1285">
        <f>VALUE(IF(ISNUMBER(Transaction[[#This Row],[NetRevenue]]),Transaction[[#This Row],[NetRevenue]],IFERROR(IF(FIND("$",Transaction[[#This Row],[NetRevenue]])&gt;0,MID(Transaction[[#This Row],[NetRevenue]],2,10)),Transaction[[#This Row],[NetRevenue]])))</f>
        <v>326.60000000000002</v>
      </c>
      <c r="AG1285">
        <f>IF(Transaction[[#This Row],[NetRevenue_Check]]="Invalid",(Transaction[[#This Row],[Quantity]]*Transaction[[#This Row],[UnitPrice_Clean]]),Transaction[[#This Row],[NetRevenue_Clean]])</f>
        <v>326.60000000000002</v>
      </c>
      <c r="AH1285" t="str">
        <f>IF(Transaction[[#This Row],[Quantity]]*Transaction[[#This Row],[UnitPrice_Clean]]=Transaction[[#This Row],[NetRevenue_Clean]],"Valid","Invalid")</f>
        <v>Valid</v>
      </c>
      <c r="AI1285" t="s">
        <v>23</v>
      </c>
      <c r="AJ1285" t="s">
        <v>781</v>
      </c>
      <c r="AK1285" t="str">
        <f>IF(Transaction[[#This Row],[Salesperson]]="","Missing Value",TRIM(PROPER(Transaction[[#This Row],[Salesperson]])))</f>
        <v>Davis</v>
      </c>
      <c r="AL1285" t="s">
        <v>42</v>
      </c>
      <c r="AM1285" t="str">
        <f>IF(Transaction[[#This Row],[ContractType]]="","Missing Value",Transaction[[#This Row],[ContractType]])</f>
        <v>Standard PO</v>
      </c>
      <c r="AN1285" t="s">
        <v>49</v>
      </c>
    </row>
    <row r="1286" spans="1:40" x14ac:dyDescent="0.25">
      <c r="A1286" t="s">
        <v>1166</v>
      </c>
      <c r="B1286" t="s">
        <v>1167</v>
      </c>
      <c r="C1286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05</v>
      </c>
      <c r="D1286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20</v>
      </c>
      <c r="E1286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86" s="2">
        <f>IFERROR(DATE(Transaction[[#This Row],[TransactionDateY]],Transaction[[#This Row],[TransactionDateM]],Transaction[[#This Row],[TransactionDateD]]),"Missing Value")</f>
        <v>45797</v>
      </c>
      <c r="G1286" t="s">
        <v>423</v>
      </c>
      <c r="H1286" t="str">
        <f>IFERROR(VLOOKUP(Transaction[[#This Row],[CustomerID]],Custumer[],1,0),IF(LEN(Transaction[[#This Row],[CustomerID]])=7,LEFT(Transaction[[#This Row],[CustomerID]],6),"Invalid ID"))</f>
        <v>C-1121</v>
      </c>
      <c r="I1286" t="s">
        <v>29</v>
      </c>
      <c r="J1286" t="str">
        <f>TRIM(UPPER(Transaction[[#This Row],[ProductID]]))</f>
        <v>P-SA-001</v>
      </c>
      <c r="K1286" t="str">
        <f>IFERROR(VLOOKUP(Transaction[[#This Row],[ProductID_Clean]],Product[],1,FALSE),"Invalid ID")</f>
        <v>P-SA-001</v>
      </c>
      <c r="L1286" t="str">
        <f>TRIM(SUBSTITUTE(SUBSTITUTE(SUBSTITUTE(SUBSTITUTE(UPPER(Transaction[[#This Row],[Region]]),"EMEA REGION","EMEA"),"APAC REGION","APAC"),"NORTH AMERICA","N. AMERICA"),"N .AMERICA","N.AMERICA"))</f>
        <v>N. AMERICA</v>
      </c>
      <c r="M1286" t="s">
        <v>20</v>
      </c>
      <c r="N1286" t="s">
        <v>31</v>
      </c>
      <c r="O1286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86" t="s">
        <v>22</v>
      </c>
      <c r="Q1286" t="str">
        <f>IF(TRIM(Transaction[[#This Row],[SalesChannel]])="","Missing Value",TRIM(Transaction[[#This Row],[SalesChannel]]))</f>
        <v>Direct</v>
      </c>
      <c r="R1286" s="4">
        <v>1</v>
      </c>
      <c r="S1286" s="4" t="str">
        <f>IF(Transaction[[#This Row],[Quantity]]&lt;0,"Negative-review","Valid")</f>
        <v>Valid</v>
      </c>
      <c r="T1286" t="s">
        <v>1168</v>
      </c>
      <c r="U1286" s="4">
        <f>VALUE(IF(ISNUMBER(Transaction[[#This Row],[UnitPrice]]),Transaction[[#This Row],[UnitPrice]],IFERROR(IF(FIND("$",Transaction[[#This Row],[UnitPrice]])&gt;0,MID(Transaction[[#This Row],[UnitPrice]],2,10)),Transaction[[#This Row],[UnitPrice]])))</f>
        <v>3979.85</v>
      </c>
      <c r="V1286">
        <v>4200</v>
      </c>
      <c r="W1286">
        <v>4200</v>
      </c>
      <c r="X1286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4200</v>
      </c>
      <c r="Y1286">
        <f>IF(Transaction[[#This Row],[GrossRevenue_Check]]="Invalid",Transaction[[#This Row],[ListPrice]]*Transaction[[#This Row],[Quantity]],Transaction[[#This Row],[GrossRevenue_Clean]])</f>
        <v>4200</v>
      </c>
      <c r="Z1286" t="str">
        <f>IF(Transaction[[#This Row],[GrossRevenue_Clean]]=Transaction[[#This Row],[ListPrice]]*Transaction[[#This Row],[Quantity]],"Valid","Invalid")</f>
        <v>Valid</v>
      </c>
      <c r="AA1286">
        <v>220.15</v>
      </c>
      <c r="AB1286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220.15</v>
      </c>
      <c r="AC1286">
        <f>IF(Transaction[[#This Row],[DiscountAmount_Check2]]="Invalid",Transaction[[#This Row],[GrossRevenue_Analytical]]-Transaction[[#This Row],[NetRevenue_Analytical]],Transaction[[#This Row],[DiscountAmount_Clean]])</f>
        <v>220.15</v>
      </c>
      <c r="AD1286" t="s">
        <v>1169</v>
      </c>
      <c r="AE1286" t="str">
        <f>IF(ROUND(Transaction[[#This Row],[GrossRevenue_Analytical]]-Transaction[[#This Row],[NetRevenue_Analytical]],2)=ROUND(Transaction[[#This Row],[DiscountAmount_Clean]],2),"Valid","Invalid")</f>
        <v>Valid</v>
      </c>
      <c r="AF1286">
        <f>VALUE(IF(ISNUMBER(Transaction[[#This Row],[NetRevenue]]),Transaction[[#This Row],[NetRevenue]],IFERROR(IF(FIND("$",Transaction[[#This Row],[NetRevenue]])&gt;0,MID(Transaction[[#This Row],[NetRevenue]],2,10)),Transaction[[#This Row],[NetRevenue]])))</f>
        <v>3979.85</v>
      </c>
      <c r="AG1286">
        <f>IF(Transaction[[#This Row],[NetRevenue_Check]]="Invalid",(Transaction[[#This Row],[Quantity]]*Transaction[[#This Row],[UnitPrice_Clean]]),Transaction[[#This Row],[NetRevenue_Clean]])</f>
        <v>3979.85</v>
      </c>
      <c r="AH1286" t="str">
        <f>IF(Transaction[[#This Row],[Quantity]]*Transaction[[#This Row],[UnitPrice_Clean]]=Transaction[[#This Row],[NetRevenue_Clean]],"Valid","Invalid")</f>
        <v>Valid</v>
      </c>
      <c r="AI1286" t="s">
        <v>99</v>
      </c>
      <c r="AJ1286" t="s">
        <v>1170</v>
      </c>
      <c r="AK1286" t="str">
        <f>IF(Transaction[[#This Row],[Salesperson]]="","Missing Value",TRIM(PROPER(Transaction[[#This Row],[Salesperson]])))</f>
        <v>Arias</v>
      </c>
      <c r="AL1286" t="s">
        <v>113</v>
      </c>
      <c r="AM1286" t="str">
        <f>IF(Transaction[[#This Row],[ContractType]]="","Missing Value",Transaction[[#This Row],[ContractType]])</f>
        <v>Subscription</v>
      </c>
      <c r="AN1286" t="s">
        <v>49</v>
      </c>
    </row>
    <row r="1287" spans="1:40" x14ac:dyDescent="0.25">
      <c r="A1287" t="s">
        <v>3085</v>
      </c>
      <c r="C1287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1287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1287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1287" s="2" t="str">
        <f>IFERROR(DATE(Transaction[[#This Row],[TransactionDateY]],Transaction[[#This Row],[TransactionDateM]],Transaction[[#This Row],[TransactionDateD]]),"Missing Value")</f>
        <v>Missing Value</v>
      </c>
      <c r="G1287" t="s">
        <v>405</v>
      </c>
      <c r="H1287" t="str">
        <f>IFERROR(VLOOKUP(Transaction[[#This Row],[CustomerID]],Custumer[],1,0),IF(LEN(Transaction[[#This Row],[CustomerID]])=7,LEFT(Transaction[[#This Row],[CustomerID]],6),"Invalid ID"))</f>
        <v>C-1163</v>
      </c>
      <c r="I1287" t="s">
        <v>46</v>
      </c>
      <c r="J1287" t="str">
        <f>TRIM(UPPER(Transaction[[#This Row],[ProductID]]))</f>
        <v>P-SI-006</v>
      </c>
      <c r="K1287" t="str">
        <f>IFERROR(VLOOKUP(Transaction[[#This Row],[ProductID_Clean]],Product[],1,FALSE),"Invalid ID")</f>
        <v>P-SI-006</v>
      </c>
      <c r="L1287" t="str">
        <f>TRIM(SUBSTITUTE(SUBSTITUTE(SUBSTITUTE(SUBSTITUTE(UPPER(Transaction[[#This Row],[Region]]),"EMEA REGION","EMEA"),"APAC REGION","APAC"),"NORTH AMERICA","N. AMERICA"),"N .AMERICA","N.AMERICA"))</f>
        <v>APAC</v>
      </c>
      <c r="M1287" t="s">
        <v>127</v>
      </c>
      <c r="N1287" t="s">
        <v>53</v>
      </c>
      <c r="O1287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87" t="s">
        <v>22</v>
      </c>
      <c r="Q1287" t="str">
        <f>IF(TRIM(Transaction[[#This Row],[SalesChannel]])="","Missing Value",TRIM(Transaction[[#This Row],[SalesChannel]]))</f>
        <v>Direct</v>
      </c>
      <c r="R1287" s="4">
        <v>3</v>
      </c>
      <c r="S1287" s="4" t="str">
        <f>IF(Transaction[[#This Row],[Quantity]]&lt;0,"Negative-review","Valid")</f>
        <v>Valid</v>
      </c>
      <c r="T1287">
        <v>173.91</v>
      </c>
      <c r="U1287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173.91</v>
      </c>
      <c r="V1287">
        <v>215</v>
      </c>
      <c r="W1287">
        <v>645</v>
      </c>
      <c r="X1287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645</v>
      </c>
      <c r="Y1287">
        <f>IF(Transaction[[#This Row],[GrossRevenue_Check]]="Invalid",Transaction[[#This Row],[ListPrice]]*Transaction[[#This Row],[Quantity]],Transaction[[#This Row],[GrossRevenue_Clean]])</f>
        <v>645</v>
      </c>
      <c r="Z1287" t="str">
        <f>IF(Transaction[[#This Row],[GrossRevenue_Clean]]=Transaction[[#This Row],[ListPrice]]*Transaction[[#This Row],[Quantity]],"Valid","Invalid")</f>
        <v>Valid</v>
      </c>
      <c r="AB1287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1287">
        <f>IF(Transaction[[#This Row],[DiscountAmount_Check2]]="Invalid",Transaction[[#This Row],[GrossRevenue_Analytical]]-Transaction[[#This Row],[NetRevenue_Analytical]],Transaction[[#This Row],[DiscountAmount_Clean]])</f>
        <v>123.26999999999998</v>
      </c>
      <c r="AD1287">
        <v>521.73</v>
      </c>
      <c r="AE1287" t="str">
        <f>IF(ROUND(Transaction[[#This Row],[GrossRevenue_Analytical]]-Transaction[[#This Row],[NetRevenue_Analytical]],2)=ROUND(Transaction[[#This Row],[DiscountAmount_Clean]],2),"Valid","Invalid")</f>
        <v>Invalid</v>
      </c>
      <c r="AF1287">
        <f>VALUE(IF(ISNUMBER(Transaction[[#This Row],[NetRevenue]]),Transaction[[#This Row],[NetRevenue]],IFERROR(IF(FIND("$",Transaction[[#This Row],[NetRevenue]])&gt;0,MID(Transaction[[#This Row],[NetRevenue]],2,10)),Transaction[[#This Row],[NetRevenue]])))</f>
        <v>521.73</v>
      </c>
      <c r="AG1287">
        <f>IF(Transaction[[#This Row],[NetRevenue_Check]]="Invalid",(Transaction[[#This Row],[Quantity]]*Transaction[[#This Row],[UnitPrice_Clean]]),Transaction[[#This Row],[NetRevenue_Clean]])</f>
        <v>521.73</v>
      </c>
      <c r="AH1287" t="str">
        <f>IF(Transaction[[#This Row],[Quantity]]*Transaction[[#This Row],[UnitPrice_Clean]]=Transaction[[#This Row],[NetRevenue_Clean]],"Valid","Invalid")</f>
        <v>Valid</v>
      </c>
      <c r="AI1287" t="s">
        <v>23</v>
      </c>
      <c r="AJ1287" t="s">
        <v>2596</v>
      </c>
      <c r="AK1287" t="str">
        <f>IF(Transaction[[#This Row],[Salesperson]]="","Missing Value",TRIM(PROPER(Transaction[[#This Row],[Salesperson]])))</f>
        <v>Jacobs-Na</v>
      </c>
      <c r="AL1287" t="s">
        <v>55</v>
      </c>
      <c r="AM1287" t="str">
        <f>IF(Transaction[[#This Row],[ContractType]]="","Missing Value",Transaction[[#This Row],[ContractType]])</f>
        <v>Spot</v>
      </c>
      <c r="AN1287" t="s">
        <v>65</v>
      </c>
    </row>
    <row r="1288" spans="1:40" x14ac:dyDescent="0.25">
      <c r="A1288" t="s">
        <v>1879</v>
      </c>
      <c r="C1288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1288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1288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1288" s="2" t="str">
        <f>IFERROR(DATE(Transaction[[#This Row],[TransactionDateY]],Transaction[[#This Row],[TransactionDateM]],Transaction[[#This Row],[TransactionDateD]]),"Missing Value")</f>
        <v>Missing Value</v>
      </c>
      <c r="G1288" t="s">
        <v>172</v>
      </c>
      <c r="H1288" t="str">
        <f>IFERROR(VLOOKUP(Transaction[[#This Row],[CustomerID]],Custumer[],1,0),IF(LEN(Transaction[[#This Row],[CustomerID]])=7,LEFT(Transaction[[#This Row],[CustomerID]],6),"Invalid ID"))</f>
        <v>C-1099</v>
      </c>
      <c r="I1288" t="s">
        <v>92</v>
      </c>
      <c r="J1288" t="str">
        <f>TRIM(UPPER(Transaction[[#This Row],[ProductID]]))</f>
        <v>P-SI-008</v>
      </c>
      <c r="K1288" t="str">
        <f>IFERROR(VLOOKUP(Transaction[[#This Row],[ProductID_Clean]],Product[],1,FALSE),"Invalid ID")</f>
        <v>P-SI-008</v>
      </c>
      <c r="L1288" t="str">
        <f>TRIM(SUBSTITUTE(SUBSTITUTE(SUBSTITUTE(SUBSTITUTE(UPPER(Transaction[[#This Row],[Region]]),"EMEA REGION","EMEA"),"APAC REGION","APAC"),"NORTH AMERICA","N. AMERICA"),"N .AMERICA","N.AMERICA"))</f>
        <v>EMEA</v>
      </c>
      <c r="M1288" t="s">
        <v>76</v>
      </c>
      <c r="N1288" t="s">
        <v>53</v>
      </c>
      <c r="O1288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88" t="s">
        <v>40</v>
      </c>
      <c r="Q1288" t="str">
        <f>IF(TRIM(Transaction[[#This Row],[SalesChannel]])="","Missing Value",TRIM(Transaction[[#This Row],[SalesChannel]]))</f>
        <v>Distributor</v>
      </c>
      <c r="R1288" s="4">
        <v>4</v>
      </c>
      <c r="S1288" s="4" t="str">
        <f>IF(Transaction[[#This Row],[Quantity]]&lt;0,"Negative-review","Valid")</f>
        <v>Valid</v>
      </c>
      <c r="T1288">
        <v>792.58</v>
      </c>
      <c r="U1288" s="4">
        <f>VALUE(IF(ISNUMBER(Transaction[[#This Row],[UnitPrice]]),Transaction[[#This Row],[UnitPrice]],IFERROR(IF(FIND("$",Transaction[[#This Row],[UnitPrice]])&gt;0,MID(Transaction[[#This Row],[UnitPrice]],2,10)),Transaction[[#This Row],[UnitPrice]])))</f>
        <v>792.58</v>
      </c>
      <c r="V1288">
        <v>950</v>
      </c>
      <c r="W1288">
        <v>2850</v>
      </c>
      <c r="X1288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2850</v>
      </c>
      <c r="Y1288">
        <f>IF(Transaction[[#This Row],[GrossRevenue_Check]]="Invalid",Transaction[[#This Row],[ListPrice]]*Transaction[[#This Row],[Quantity]],Transaction[[#This Row],[GrossRevenue_Clean]])</f>
        <v>3800</v>
      </c>
      <c r="Z1288" t="str">
        <f>IF(Transaction[[#This Row],[GrossRevenue_Clean]]=Transaction[[#This Row],[ListPrice]]*Transaction[[#This Row],[Quantity]],"Valid","Invalid")</f>
        <v>Invalid</v>
      </c>
      <c r="AA1288">
        <v>472.26</v>
      </c>
      <c r="AB1288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472.26</v>
      </c>
      <c r="AC1288">
        <f>IF(Transaction[[#This Row],[DiscountAmount_Check2]]="Invalid",Transaction[[#This Row],[GrossRevenue_Analytical]]-Transaction[[#This Row],[NetRevenue_Analytical]],Transaction[[#This Row],[DiscountAmount_Clean]])</f>
        <v>629.67999999999984</v>
      </c>
      <c r="AD1288">
        <v>2377.7399999999998</v>
      </c>
      <c r="AE1288" t="str">
        <f>IF(ROUND(Transaction[[#This Row],[GrossRevenue_Analytical]]-Transaction[[#This Row],[NetRevenue_Analytical]],2)=ROUND(Transaction[[#This Row],[DiscountAmount_Clean]],2),"Valid","Invalid")</f>
        <v>Invalid</v>
      </c>
      <c r="AF1288">
        <f>VALUE(IF(ISNUMBER(Transaction[[#This Row],[NetRevenue]]),Transaction[[#This Row],[NetRevenue]],IFERROR(IF(FIND("$",Transaction[[#This Row],[NetRevenue]])&gt;0,MID(Transaction[[#This Row],[NetRevenue]],2,10)),Transaction[[#This Row],[NetRevenue]])))</f>
        <v>2377.7399999999998</v>
      </c>
      <c r="AG1288">
        <f>IF(Transaction[[#This Row],[NetRevenue_Check]]="Invalid",(Transaction[[#This Row],[Quantity]]*Transaction[[#This Row],[UnitPrice_Clean]]),Transaction[[#This Row],[NetRevenue_Clean]])</f>
        <v>3170.32</v>
      </c>
      <c r="AH1288" t="str">
        <f>IF(Transaction[[#This Row],[Quantity]]*Transaction[[#This Row],[UnitPrice_Clean]]=Transaction[[#This Row],[NetRevenue_Clean]],"Valid","Invalid")</f>
        <v>Invalid</v>
      </c>
      <c r="AI1288" t="s">
        <v>23</v>
      </c>
      <c r="AJ1288" t="s">
        <v>655</v>
      </c>
      <c r="AK1288" t="str">
        <f>IF(Transaction[[#This Row],[Salesperson]]="","Missing Value",TRIM(PROPER(Transaction[[#This Row],[Salesperson]])))</f>
        <v>Jones</v>
      </c>
      <c r="AL1288" t="s">
        <v>25</v>
      </c>
      <c r="AM1288" t="str">
        <f>IF(Transaction[[#This Row],[ContractType]]="","Missing Value",Transaction[[#This Row],[ContractType]])</f>
        <v>Frame Agreement</v>
      </c>
      <c r="AN1288" t="s">
        <v>43</v>
      </c>
    </row>
    <row r="1289" spans="1:40" x14ac:dyDescent="0.25">
      <c r="A1289" t="s">
        <v>2328</v>
      </c>
      <c r="C1289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1289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1289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1289" s="2" t="str">
        <f>IFERROR(DATE(Transaction[[#This Row],[TransactionDateY]],Transaction[[#This Row],[TransactionDateM]],Transaction[[#This Row],[TransactionDateD]]),"Missing Value")</f>
        <v>Missing Value</v>
      </c>
      <c r="G1289" t="s">
        <v>565</v>
      </c>
      <c r="H1289" t="str">
        <f>IFERROR(VLOOKUP(Transaction[[#This Row],[CustomerID]],Custumer[],1,0),IF(LEN(Transaction[[#This Row],[CustomerID]])=7,LEFT(Transaction[[#This Row],[CustomerID]],6),"Invalid ID"))</f>
        <v>C-1007</v>
      </c>
      <c r="I1289" t="s">
        <v>62</v>
      </c>
      <c r="J1289" t="str">
        <f>TRIM(UPPER(Transaction[[#This Row],[ProductID]]))</f>
        <v>P-SI-004</v>
      </c>
      <c r="K1289" t="str">
        <f>IFERROR(VLOOKUP(Transaction[[#This Row],[ProductID_Clean]],Product[],1,FALSE),"Invalid ID")</f>
        <v>P-SI-004</v>
      </c>
      <c r="L1289" t="str">
        <f>TRIM(SUBSTITUTE(SUBSTITUTE(SUBSTITUTE(SUBSTITUTE(UPPER(Transaction[[#This Row],[Region]]),"EMEA REGION","EMEA"),"APAC REGION","APAC"),"NORTH AMERICA","N. AMERICA"),"N .AMERICA","N.AMERICA"))</f>
        <v>N. AMERICA</v>
      </c>
      <c r="M1289" t="s">
        <v>20</v>
      </c>
      <c r="N1289" t="s">
        <v>47</v>
      </c>
      <c r="O1289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89" t="s">
        <v>40</v>
      </c>
      <c r="Q1289" t="str">
        <f>IF(TRIM(Transaction[[#This Row],[SalesChannel]])="","Missing Value",TRIM(Transaction[[#This Row],[SalesChannel]]))</f>
        <v>Distributor</v>
      </c>
      <c r="R1289" s="4">
        <v>4</v>
      </c>
      <c r="S1289" s="4" t="str">
        <f>IF(Transaction[[#This Row],[Quantity]]&lt;0,"Negative-review","Valid")</f>
        <v>Valid</v>
      </c>
      <c r="T1289">
        <v>1701.22</v>
      </c>
      <c r="U1289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1701.22</v>
      </c>
      <c r="V1289">
        <v>2450</v>
      </c>
      <c r="W1289">
        <v>7350</v>
      </c>
      <c r="X1289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7350</v>
      </c>
      <c r="Y1289">
        <f>IF(Transaction[[#This Row],[GrossRevenue_Check]]="Invalid",Transaction[[#This Row],[ListPrice]]*Transaction[[#This Row],[Quantity]],Transaction[[#This Row],[GrossRevenue_Clean]])</f>
        <v>9800</v>
      </c>
      <c r="Z1289" t="str">
        <f>IF(Transaction[[#This Row],[GrossRevenue_Clean]]=Transaction[[#This Row],[ListPrice]]*Transaction[[#This Row],[Quantity]],"Valid","Invalid")</f>
        <v>Invalid</v>
      </c>
      <c r="AA1289">
        <v>2246.34</v>
      </c>
      <c r="AB1289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2246.34</v>
      </c>
      <c r="AC1289">
        <f>IF(Transaction[[#This Row],[DiscountAmount_Check2]]="Invalid",Transaction[[#This Row],[GrossRevenue_Analytical]]-Transaction[[#This Row],[NetRevenue_Analytical]],Transaction[[#This Row],[DiscountAmount_Clean]])</f>
        <v>2995.12</v>
      </c>
      <c r="AD1289">
        <v>5103.66</v>
      </c>
      <c r="AE1289" t="str">
        <f>IF(ROUND(Transaction[[#This Row],[GrossRevenue_Analytical]]-Transaction[[#This Row],[NetRevenue_Analytical]],2)=ROUND(Transaction[[#This Row],[DiscountAmount_Clean]],2),"Valid","Invalid")</f>
        <v>Invalid</v>
      </c>
      <c r="AF1289">
        <f>VALUE(IF(ISNUMBER(Transaction[[#This Row],[NetRevenue]]),Transaction[[#This Row],[NetRevenue]],IFERROR(IF(FIND("$",Transaction[[#This Row],[NetRevenue]])&gt;0,MID(Transaction[[#This Row],[NetRevenue]],2,10)),Transaction[[#This Row],[NetRevenue]])))</f>
        <v>5103.66</v>
      </c>
      <c r="AG1289">
        <f>IF(Transaction[[#This Row],[NetRevenue_Check]]="Invalid",(Transaction[[#This Row],[Quantity]]*Transaction[[#This Row],[UnitPrice_Clean]]),Transaction[[#This Row],[NetRevenue_Clean]])</f>
        <v>6804.88</v>
      </c>
      <c r="AH1289" t="str">
        <f>IF(Transaction[[#This Row],[Quantity]]*Transaction[[#This Row],[UnitPrice_Clean]]=Transaction[[#This Row],[NetRevenue_Clean]],"Valid","Invalid")</f>
        <v>Invalid</v>
      </c>
      <c r="AI1289" t="s">
        <v>23</v>
      </c>
      <c r="AJ1289" t="s">
        <v>2329</v>
      </c>
      <c r="AK1289" t="str">
        <f>IF(Transaction[[#This Row],[Salesperson]]="","Missing Value",TRIM(PROPER(Transaction[[#This Row],[Salesperson]])))</f>
        <v>Carlson-Na</v>
      </c>
      <c r="AL1289" t="s">
        <v>42</v>
      </c>
      <c r="AM1289" t="str">
        <f>IF(Transaction[[#This Row],[ContractType]]="","Missing Value",Transaction[[#This Row],[ContractType]])</f>
        <v>Standard PO</v>
      </c>
      <c r="AN1289" t="s">
        <v>35</v>
      </c>
    </row>
    <row r="1290" spans="1:40" x14ac:dyDescent="0.25">
      <c r="A1290" t="s">
        <v>1257</v>
      </c>
      <c r="B1290" s="1">
        <v>45725</v>
      </c>
      <c r="C1290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3</v>
      </c>
      <c r="D1290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9</v>
      </c>
      <c r="E1290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90" s="2">
        <f>IFERROR(DATE(Transaction[[#This Row],[TransactionDateY]],Transaction[[#This Row],[TransactionDateM]],Transaction[[#This Row],[TransactionDateD]]),"Missing Value")</f>
        <v>45725</v>
      </c>
      <c r="G1290" t="s">
        <v>795</v>
      </c>
      <c r="H1290" t="str">
        <f>IFERROR(VLOOKUP(Transaction[[#This Row],[CustomerID]],Custumer[],1,0),IF(LEN(Transaction[[#This Row],[CustomerID]])=7,LEFT(Transaction[[#This Row],[CustomerID]],6),"Invalid ID"))</f>
        <v>C-1118</v>
      </c>
      <c r="I1290" t="s">
        <v>97</v>
      </c>
      <c r="J1290" t="str">
        <f>TRIM(UPPER(Transaction[[#This Row],[ProductID]]))</f>
        <v>P-SI-001</v>
      </c>
      <c r="K1290" t="str">
        <f>IFERROR(VLOOKUP(Transaction[[#This Row],[ProductID_Clean]],Product[],1,FALSE),"Invalid ID")</f>
        <v>P-SI-001</v>
      </c>
      <c r="L1290" t="str">
        <f>TRIM(SUBSTITUTE(SUBSTITUTE(SUBSTITUTE(SUBSTITUTE(UPPER(Transaction[[#This Row],[Region]]),"EMEA REGION","EMEA"),"APAC REGION","APAC"),"NORTH AMERICA","N. AMERICA"),"N .AMERICA","N.AMERICA"))</f>
        <v>N. AMERICA</v>
      </c>
      <c r="M1290" t="s">
        <v>204</v>
      </c>
      <c r="N1290" t="s">
        <v>53</v>
      </c>
      <c r="O1290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90" t="s">
        <v>22</v>
      </c>
      <c r="Q1290" t="str">
        <f>IF(TRIM(Transaction[[#This Row],[SalesChannel]])="","Missing Value",TRIM(Transaction[[#This Row],[SalesChannel]]))</f>
        <v>Direct</v>
      </c>
      <c r="R1290" s="4">
        <v>1</v>
      </c>
      <c r="S1290" s="4" t="str">
        <f>IF(Transaction[[#This Row],[Quantity]]&lt;0,"Negative-review","Valid")</f>
        <v>Valid</v>
      </c>
      <c r="T1290">
        <v>445.38</v>
      </c>
      <c r="U1290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445.38</v>
      </c>
      <c r="V1290">
        <v>485</v>
      </c>
      <c r="W1290">
        <v>485</v>
      </c>
      <c r="X1290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485</v>
      </c>
      <c r="Y1290">
        <f>IF(Transaction[[#This Row],[GrossRevenue_Check]]="Invalid",Transaction[[#This Row],[ListPrice]]*Transaction[[#This Row],[Quantity]],Transaction[[#This Row],[GrossRevenue_Clean]])</f>
        <v>485</v>
      </c>
      <c r="Z1290" t="str">
        <f>IF(Transaction[[#This Row],[GrossRevenue_Clean]]=Transaction[[#This Row],[ListPrice]]*Transaction[[#This Row],[Quantity]],"Valid","Invalid")</f>
        <v>Valid</v>
      </c>
      <c r="AA1290">
        <v>39.619999999999997</v>
      </c>
      <c r="AB1290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39.619999999999997</v>
      </c>
      <c r="AC1290">
        <f>IF(Transaction[[#This Row],[DiscountAmount_Check2]]="Invalid",Transaction[[#This Row],[GrossRevenue_Analytical]]-Transaction[[#This Row],[NetRevenue_Analytical]],Transaction[[#This Row],[DiscountAmount_Clean]])</f>
        <v>39.619999999999997</v>
      </c>
      <c r="AD1290">
        <v>445.38</v>
      </c>
      <c r="AE1290" t="str">
        <f>IF(ROUND(Transaction[[#This Row],[GrossRevenue_Analytical]]-Transaction[[#This Row],[NetRevenue_Analytical]],2)=ROUND(Transaction[[#This Row],[DiscountAmount_Clean]],2),"Valid","Invalid")</f>
        <v>Valid</v>
      </c>
      <c r="AF1290">
        <f>VALUE(IF(ISNUMBER(Transaction[[#This Row],[NetRevenue]]),Transaction[[#This Row],[NetRevenue]],IFERROR(IF(FIND("$",Transaction[[#This Row],[NetRevenue]])&gt;0,MID(Transaction[[#This Row],[NetRevenue]],2,10)),Transaction[[#This Row],[NetRevenue]])))</f>
        <v>445.38</v>
      </c>
      <c r="AG1290">
        <f>IF(Transaction[[#This Row],[NetRevenue_Check]]="Invalid",(Transaction[[#This Row],[Quantity]]*Transaction[[#This Row],[UnitPrice_Clean]]),Transaction[[#This Row],[NetRevenue_Clean]])</f>
        <v>445.38</v>
      </c>
      <c r="AH1290" t="str">
        <f>IF(Transaction[[#This Row],[Quantity]]*Transaction[[#This Row],[UnitPrice_Clean]]=Transaction[[#This Row],[NetRevenue_Clean]],"Valid","Invalid")</f>
        <v>Valid</v>
      </c>
      <c r="AI1290" t="s">
        <v>23</v>
      </c>
      <c r="AJ1290" t="s">
        <v>1047</v>
      </c>
      <c r="AK1290" t="str">
        <f>IF(Transaction[[#This Row],[Salesperson]]="","Missing Value",TRIM(PROPER(Transaction[[#This Row],[Salesperson]])))</f>
        <v>Vaughn-Ap</v>
      </c>
      <c r="AL1290" t="s">
        <v>42</v>
      </c>
      <c r="AM1290" t="str">
        <f>IF(Transaction[[#This Row],[ContractType]]="","Missing Value",Transaction[[#This Row],[ContractType]])</f>
        <v>Standard PO</v>
      </c>
      <c r="AN1290" t="s">
        <v>49</v>
      </c>
    </row>
    <row r="1291" spans="1:40" x14ac:dyDescent="0.25">
      <c r="A1291" t="s">
        <v>691</v>
      </c>
      <c r="B1291" s="1">
        <v>45703</v>
      </c>
      <c r="C1291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2</v>
      </c>
      <c r="D1291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15</v>
      </c>
      <c r="E1291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91" s="2">
        <f>IFERROR(DATE(Transaction[[#This Row],[TransactionDateY]],Transaction[[#This Row],[TransactionDateM]],Transaction[[#This Row],[TransactionDateD]]),"Missing Value")</f>
        <v>45703</v>
      </c>
      <c r="G1291" t="s">
        <v>61</v>
      </c>
      <c r="H1291" t="str">
        <f>IFERROR(VLOOKUP(Transaction[[#This Row],[CustomerID]],Custumer[],1,0),IF(LEN(Transaction[[#This Row],[CustomerID]])=7,LEFT(Transaction[[#This Row],[CustomerID]],6),"Invalid ID"))</f>
        <v>C-1108</v>
      </c>
      <c r="I1291" t="s">
        <v>111</v>
      </c>
      <c r="J1291" t="str">
        <f>TRIM(UPPER(Transaction[[#This Row],[ProductID]]))</f>
        <v>P-SA-004</v>
      </c>
      <c r="K1291" t="str">
        <f>IFERROR(VLOOKUP(Transaction[[#This Row],[ProductID_Clean]],Product[],1,FALSE),"Invalid ID")</f>
        <v>P-SA-004</v>
      </c>
      <c r="L1291" t="str">
        <f>TRIM(SUBSTITUTE(SUBSTITUTE(SUBSTITUTE(SUBSTITUTE(UPPER(Transaction[[#This Row],[Region]]),"EMEA REGION","EMEA"),"APAC REGION","APAC"),"NORTH AMERICA","N. AMERICA"),"N .AMERICA","N.AMERICA"))</f>
        <v>APAC</v>
      </c>
      <c r="M1291" t="s">
        <v>30</v>
      </c>
      <c r="N1291" t="s">
        <v>31</v>
      </c>
      <c r="O1291" t="str">
        <f>TRIM(PROPER(SUBSTITUTE(SUBSTITUTE(SUBSTITUTE(Transaction[[#This Row],[BusinessUnit]],"Field Svcs","Field services"),"S&amp;I","Sensors &amp; Instruments"),"Software and Analytics","Software &amp; Analytics")))</f>
        <v>Software &amp; Analytics</v>
      </c>
      <c r="P1291" t="s">
        <v>32</v>
      </c>
      <c r="Q1291" t="str">
        <f>IF(TRIM(Transaction[[#This Row],[SalesChannel]])="","Missing Value",TRIM(Transaction[[#This Row],[SalesChannel]]))</f>
        <v>Direct</v>
      </c>
      <c r="R1291" s="4">
        <v>1</v>
      </c>
      <c r="S1291" s="4" t="str">
        <f>IF(Transaction[[#This Row],[Quantity]]&lt;0,"Negative-review","Valid")</f>
        <v>Valid</v>
      </c>
      <c r="T1291">
        <v>1397.88</v>
      </c>
      <c r="U1291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1397.88</v>
      </c>
      <c r="V1291">
        <v>1650</v>
      </c>
      <c r="W1291">
        <v>1650</v>
      </c>
      <c r="X1291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1650</v>
      </c>
      <c r="Y1291">
        <f>IF(Transaction[[#This Row],[GrossRevenue_Check]]="Invalid",Transaction[[#This Row],[ListPrice]]*Transaction[[#This Row],[Quantity]],Transaction[[#This Row],[GrossRevenue_Clean]])</f>
        <v>1650</v>
      </c>
      <c r="Z1291" t="str">
        <f>IF(Transaction[[#This Row],[GrossRevenue_Clean]]=Transaction[[#This Row],[ListPrice]]*Transaction[[#This Row],[Quantity]],"Valid","Invalid")</f>
        <v>Valid</v>
      </c>
      <c r="AA1291">
        <v>252.12</v>
      </c>
      <c r="AB1291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252.12</v>
      </c>
      <c r="AC1291">
        <f>IF(Transaction[[#This Row],[DiscountAmount_Check2]]="Invalid",Transaction[[#This Row],[GrossRevenue_Analytical]]-Transaction[[#This Row],[NetRevenue_Analytical]],Transaction[[#This Row],[DiscountAmount_Clean]])</f>
        <v>252.12</v>
      </c>
      <c r="AD1291">
        <v>1397.88</v>
      </c>
      <c r="AE1291" t="str">
        <f>IF(ROUND(Transaction[[#This Row],[GrossRevenue_Analytical]]-Transaction[[#This Row],[NetRevenue_Analytical]],2)=ROUND(Transaction[[#This Row],[DiscountAmount_Clean]],2),"Valid","Invalid")</f>
        <v>Valid</v>
      </c>
      <c r="AF1291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1397.88</v>
      </c>
      <c r="AG1291">
        <f>IF(Transaction[[#This Row],[NetRevenue_Check]]="Invalid",(Transaction[[#This Row],[Quantity]]*Transaction[[#This Row],[UnitPrice_Clean]]),Transaction[[#This Row],[NetRevenue_Clean]])</f>
        <v>1397.88</v>
      </c>
      <c r="AH1291" t="str">
        <f>IF(Transaction[[#This Row],[Quantity]]*Transaction[[#This Row],[UnitPrice_Clean]]=Transaction[[#This Row],[NetRevenue_Clean]],"Valid","Invalid")</f>
        <v>Valid</v>
      </c>
      <c r="AI1291" t="s">
        <v>23</v>
      </c>
      <c r="AJ1291" t="s">
        <v>692</v>
      </c>
      <c r="AK1291" t="str">
        <f>IF(Transaction[[#This Row],[Salesperson]]="","Missing Value",TRIM(PROPER(Transaction[[#This Row],[Salesperson]])))</f>
        <v>Thompson-Na</v>
      </c>
      <c r="AL1291" t="s">
        <v>34</v>
      </c>
      <c r="AM1291" t="str">
        <f>IF(Transaction[[#This Row],[ContractType]]="","Missing Value",Transaction[[#This Row],[ContractType]])</f>
        <v>Annual License</v>
      </c>
      <c r="AN1291" t="s">
        <v>65</v>
      </c>
    </row>
    <row r="1292" spans="1:40" x14ac:dyDescent="0.25">
      <c r="A1292" t="s">
        <v>670</v>
      </c>
      <c r="C1292" t="str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Missing Value</v>
      </c>
      <c r="D1292" t="str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Missing Value</v>
      </c>
      <c r="E1292" t="str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Missing Value</v>
      </c>
      <c r="F1292" s="2" t="str">
        <f>IFERROR(DATE(Transaction[[#This Row],[TransactionDateY]],Transaction[[#This Row],[TransactionDateM]],Transaction[[#This Row],[TransactionDateD]]),"Missing Value")</f>
        <v>Missing Value</v>
      </c>
      <c r="G1292" t="s">
        <v>86</v>
      </c>
      <c r="H1292" t="str">
        <f>IFERROR(VLOOKUP(Transaction[[#This Row],[CustomerID]],Custumer[],1,0),IF(LEN(Transaction[[#This Row],[CustomerID]])=7,LEFT(Transaction[[#This Row],[CustomerID]],6),"Invalid ID"))</f>
        <v>C-1177</v>
      </c>
      <c r="I1292" t="s">
        <v>97</v>
      </c>
      <c r="J1292" t="str">
        <f>TRIM(UPPER(Transaction[[#This Row],[ProductID]]))</f>
        <v>P-SI-001</v>
      </c>
      <c r="K1292" t="str">
        <f>IFERROR(VLOOKUP(Transaction[[#This Row],[ProductID_Clean]],Product[],1,FALSE),"Invalid ID")</f>
        <v>P-SI-001</v>
      </c>
      <c r="L1292" t="str">
        <f>TRIM(SUBSTITUTE(SUBSTITUTE(SUBSTITUTE(SUBSTITUTE(UPPER(Transaction[[#This Row],[Region]]),"EMEA REGION","EMEA"),"APAC REGION","APAC"),"NORTH AMERICA","N. AMERICA"),"N .AMERICA","N.AMERICA"))</f>
        <v>EMEA</v>
      </c>
      <c r="M1292" t="s">
        <v>76</v>
      </c>
      <c r="N1292" t="s">
        <v>53</v>
      </c>
      <c r="O1292" t="str">
        <f>TRIM(PROPER(SUBSTITUTE(SUBSTITUTE(SUBSTITUTE(Transaction[[#This Row],[BusinessUnit]],"Field Svcs","Field services"),"S&amp;I","Sensors &amp; Instruments"),"Software and Analytics","Software &amp; Analytics")))</f>
        <v>Sensors &amp; Instruments</v>
      </c>
      <c r="P1292" t="s">
        <v>181</v>
      </c>
      <c r="Q1292" t="str">
        <f>IF(TRIM(Transaction[[#This Row],[SalesChannel]])="","Missing Value",TRIM(Transaction[[#This Row],[SalesChannel]]))</f>
        <v>Partner Portal</v>
      </c>
      <c r="R1292" s="4">
        <v>15</v>
      </c>
      <c r="S1292" s="4" t="str">
        <f>IF(Transaction[[#This Row],[Quantity]]&lt;0,"Negative-review","Valid")</f>
        <v>Valid</v>
      </c>
      <c r="T1292">
        <v>436.25</v>
      </c>
      <c r="U1292" s="4">
        <f>VALUE(IF(ISNUMBER(Transaction[[#This Row],[UnitPrice]]),Transaction[[#This Row],[UnitPrice]],IFERROR(IF(FIND("$",Transaction[[#This Row],[UnitPrice]])&gt;0,MID(Transaction[[#This Row],[UnitPrice]],2,10)),Transaction[[#This Row],[UnitPrice]])))</f>
        <v>436.25</v>
      </c>
      <c r="V1292">
        <v>485</v>
      </c>
      <c r="W1292">
        <v>7275</v>
      </c>
      <c r="X1292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7275</v>
      </c>
      <c r="Y1292">
        <f>IF(Transaction[[#This Row],[GrossRevenue_Check]]="Invalid",Transaction[[#This Row],[ListPrice]]*Transaction[[#This Row],[Quantity]],Transaction[[#This Row],[GrossRevenue_Clean]])</f>
        <v>7275</v>
      </c>
      <c r="Z1292" t="str">
        <f>IF(Transaction[[#This Row],[GrossRevenue_Clean]]=Transaction[[#This Row],[ListPrice]]*Transaction[[#This Row],[Quantity]],"Valid","Invalid")</f>
        <v>Valid</v>
      </c>
      <c r="AB1292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0</v>
      </c>
      <c r="AC1292">
        <f>IF(Transaction[[#This Row],[DiscountAmount_Check2]]="Invalid",Transaction[[#This Row],[GrossRevenue_Analytical]]-Transaction[[#This Row],[NetRevenue_Analytical]],Transaction[[#This Row],[DiscountAmount_Clean]])</f>
        <v>731.25</v>
      </c>
      <c r="AD1292">
        <v>6543.75</v>
      </c>
      <c r="AE1292" t="str">
        <f>IF(ROUND(Transaction[[#This Row],[GrossRevenue_Analytical]]-Transaction[[#This Row],[NetRevenue_Analytical]],2)=ROUND(Transaction[[#This Row],[DiscountAmount_Clean]],2),"Valid","Invalid")</f>
        <v>Invalid</v>
      </c>
      <c r="AF1292">
        <f>VALUE(IF(ISNUMBER(Transaction[[#This Row],[NetRevenue]]),Transaction[[#This Row],[NetRevenue]],IFERROR(IF(FIND("$",Transaction[[#This Row],[NetRevenue]])&gt;0,MID(Transaction[[#This Row],[NetRevenue]],2,10)),Transaction[[#This Row],[NetRevenue]])))</f>
        <v>6543.75</v>
      </c>
      <c r="AG1292">
        <f>IF(Transaction[[#This Row],[NetRevenue_Check]]="Invalid",(Transaction[[#This Row],[Quantity]]*Transaction[[#This Row],[UnitPrice_Clean]]),Transaction[[#This Row],[NetRevenue_Clean]])</f>
        <v>6543.75</v>
      </c>
      <c r="AH1292" t="str">
        <f>IF(Transaction[[#This Row],[Quantity]]*Transaction[[#This Row],[UnitPrice_Clean]]=Transaction[[#This Row],[NetRevenue_Clean]],"Valid","Invalid")</f>
        <v>Valid</v>
      </c>
      <c r="AI1292" t="s">
        <v>23</v>
      </c>
      <c r="AJ1292" t="s">
        <v>671</v>
      </c>
      <c r="AK1292" t="str">
        <f>IF(Transaction[[#This Row],[Salesperson]]="","Missing Value",TRIM(PROPER(Transaction[[#This Row],[Salesperson]])))</f>
        <v>Knapp-Em</v>
      </c>
      <c r="AL1292" t="s">
        <v>42</v>
      </c>
      <c r="AM1292" t="str">
        <f>IF(Transaction[[#This Row],[ContractType]]="","Missing Value",Transaction[[#This Row],[ContractType]])</f>
        <v>Standard PO</v>
      </c>
      <c r="AN1292" t="s">
        <v>49</v>
      </c>
    </row>
    <row r="1293" spans="1:40" x14ac:dyDescent="0.25">
      <c r="A1293" t="s">
        <v>1293</v>
      </c>
      <c r="B1293" s="1">
        <v>45766</v>
      </c>
      <c r="C1293">
        <f>IF(ISNUMBER(Transaction[[#This Row],[TransactionDate]]),MONTH(Transaction[[#This Row],[TransactionDate]]),IFERROR(IF(FIND("/",Transaction[[#This Row],[TransactionDate]])&gt;0,LEFT(Transaction[[#This Row],[TransactionDate]],2)),IFERROR(IF(FIND("-",Transaction[[#This Row],[TransactionDate]])&gt;0,MID(Transaction[[#This Row],[TransactionDate]],4,2)),IFERROR(IF(FIND(".",Transaction[[#This Row],[TransactionDate]])&gt;0,MID(Transaction[[#This Row],[TransactionDate]],6,2)),IFERROR(IF(FIND(",",Transaction[[#This Row],[TransactionDate]])&gt;0,MONTH(Transaction[[#This Row],[TransactionDate]])),"Missing Value")))))</f>
        <v>4</v>
      </c>
      <c r="D1293">
        <f>IF(ISNUMBER(Transaction[[#This Row],[TransactionDate]]),DAY(Transaction[[#This Row],[TransactionDate]]),IFERROR(IF(FIND("/",Transaction[[#This Row],[TransactionDate]])&gt;0,MID(Transaction[[#This Row],[TransactionDate]],4,2)),IFERROR(IF(FIND("-",Transaction[[#This Row],[TransactionDate]])&gt;0,LEFT(Transaction[[#This Row],[TransactionDate]],2)),IFERROR(IF(FIND(".",Transaction[[#This Row],[TransactionDate]])&gt;0,RIGHT(Transaction[[#This Row],[TransactionDate]],2)),IFERROR(IF(FIND(",",Transaction[[#This Row],[TransactionDate]])&gt;0,DAY(Transaction[[#This Row],[TransactionDate]])),"Missing Value")))))</f>
        <v>19</v>
      </c>
      <c r="E1293">
        <f>IF(ISNUMBER(Transaction[[#This Row],[TransactionDate]]),YEAR(Transaction[[#This Row],[TransactionDate]]),IFERROR(IF(FIND("/",Transaction[[#This Row],[TransactionDate]])&gt;0,RIGHT(Transaction[[#This Row],[TransactionDate]],4)),IFERROR(IF(FIND("-",Transaction[[#This Row],[TransactionDate]])&gt;0,RIGHT(Transaction[[#This Row],[TransactionDate]],4)),IFERROR(IF(FIND(".",Transaction[[#This Row],[TransactionDate]])&gt;0,LEFT(Transaction[[#This Row],[TransactionDate]],4)),IFERROR(IF(FIND(",",Transaction[[#This Row],[TransactionDate]])&gt;0,YEAR(Transaction[[#This Row],[TransactionDate]])),"Missing Value")))))</f>
        <v>2025</v>
      </c>
      <c r="F1293" s="2">
        <f>IFERROR(DATE(Transaction[[#This Row],[TransactionDateY]],Transaction[[#This Row],[TransactionDateM]],Transaction[[#This Row],[TransactionDateD]]),"Missing Value")</f>
        <v>45766</v>
      </c>
      <c r="G1293" t="s">
        <v>374</v>
      </c>
      <c r="H1293" t="str">
        <f>IFERROR(VLOOKUP(Transaction[[#This Row],[CustomerID]],Custumer[],1,0),IF(LEN(Transaction[[#This Row],[CustomerID]])=7,LEFT(Transaction[[#This Row],[CustomerID]],6),"Invalid ID"))</f>
        <v>C-1102</v>
      </c>
      <c r="I1293" t="s">
        <v>121</v>
      </c>
      <c r="J1293" t="str">
        <f>TRIM(UPPER(Transaction[[#This Row],[ProductID]]))</f>
        <v>P-FS-001</v>
      </c>
      <c r="K1293" t="str">
        <f>IFERROR(VLOOKUP(Transaction[[#This Row],[ProductID_Clean]],Product[],1,FALSE),"Invalid ID")</f>
        <v>P-FS-001</v>
      </c>
      <c r="L1293" t="str">
        <f>TRIM(SUBSTITUTE(SUBSTITUTE(SUBSTITUTE(SUBSTITUTE(UPPER(Transaction[[#This Row],[Region]]),"EMEA REGION","EMEA"),"APAC REGION","APAC"),"NORTH AMERICA","N. AMERICA"),"N .AMERICA","N.AMERICA"))</f>
        <v>LATIN AMERICA</v>
      </c>
      <c r="M1293" t="s">
        <v>82</v>
      </c>
      <c r="N1293" t="s">
        <v>21</v>
      </c>
      <c r="O1293" t="str">
        <f>TRIM(PROPER(SUBSTITUTE(SUBSTITUTE(SUBSTITUTE(Transaction[[#This Row],[BusinessUnit]],"Field Svcs","Field services"),"S&amp;I","Sensors &amp; Instruments"),"Software and Analytics","Software &amp; Analytics")))</f>
        <v>Field Services</v>
      </c>
      <c r="P1293" t="s">
        <v>40</v>
      </c>
      <c r="Q1293" t="str">
        <f>IF(TRIM(Transaction[[#This Row],[SalesChannel]])="","Missing Value",TRIM(Transaction[[#This Row],[SalesChannel]]))</f>
        <v>Distributor</v>
      </c>
      <c r="R1293" s="4">
        <v>1</v>
      </c>
      <c r="S1293" s="4" t="str">
        <f>IF(Transaction[[#This Row],[Quantity]]&lt;0,"Negative-review","Valid")</f>
        <v>Valid</v>
      </c>
      <c r="T1293">
        <v>1333.75</v>
      </c>
      <c r="U1293" s="4">
        <f>VALUE(IF(ISNUMBER(Transaction[[#This Row],[UnitPrice]]),Transaction[[#This Row],[UnitPrice]],IFERROR(IF(FIND("$",Transaction[[#This Row],[UnitPrice]])&gt;0,MID(Transaction[[#This Row],[UnitPrice]],2,10)),Transaction[[#This Row],[UnitPrice]])))</f>
        <v>1333.75</v>
      </c>
      <c r="V1293">
        <v>1850</v>
      </c>
      <c r="W1293">
        <v>1850</v>
      </c>
      <c r="X1293">
        <f>VALUE(IF(ISNUMBER(Transaction[[#This Row],[GrossRevenue]]),Transaction[[#This Row],[GrossRevenue]],IFERROR(IF(FIND("$",Transaction[[#This Row],[GrossRevenue]])&gt;0,MID(Transaction[[#This Row],[GrossRevenue]],2,10)),Transaction[[#This Row],[GrossRevenue]])))</f>
        <v>1850</v>
      </c>
      <c r="Y1293">
        <f>IF(Transaction[[#This Row],[GrossRevenue_Check]]="Invalid",Transaction[[#This Row],[ListPrice]]*Transaction[[#This Row],[Quantity]],Transaction[[#This Row],[GrossRevenue_Clean]])</f>
        <v>1850</v>
      </c>
      <c r="Z1293" t="str">
        <f>IF(Transaction[[#This Row],[GrossRevenue_Clean]]=Transaction[[#This Row],[ListPrice]]*Transaction[[#This Row],[Quantity]],"Valid","Invalid")</f>
        <v>Valid</v>
      </c>
      <c r="AA1293">
        <v>516.25</v>
      </c>
      <c r="AB1293">
        <f>VALUE(IF(ISNUMBER(Transaction[[#This Row],[DiscountAmount]]),Transaction[[#This Row],[DiscountAmount]],IFERROR(IF(FIND("$",Transaction[[#This Row],[DiscountAmount]])&gt;0,MID(Transaction[[#This Row],[DiscountAmount]],2,10)),Transaction[[#This Row],[DiscountAmount]])))</f>
        <v>516.25</v>
      </c>
      <c r="AC1293">
        <f>IF(Transaction[[#This Row],[DiscountAmount_Check2]]="Invalid",Transaction[[#This Row],[GrossRevenue_Analytical]]-Transaction[[#This Row],[NetRevenue_Analytical]],Transaction[[#This Row],[DiscountAmount_Clean]])</f>
        <v>516.25</v>
      </c>
      <c r="AD1293">
        <v>1333.75</v>
      </c>
      <c r="AE1293" t="str">
        <f>IF(ROUND(Transaction[[#This Row],[GrossRevenue_Analytical]]-Transaction[[#This Row],[NetRevenue_Analytical]],2)=ROUND(Transaction[[#This Row],[DiscountAmount_Clean]],2),"Valid","Invalid")</f>
        <v>Valid</v>
      </c>
      <c r="AF1293">
        <f>VALUE(IF(ISNUMBER(Transaction[[#This Row],[NetRevenue]]),Transaction[[#This Row],[NetRevenue]],IFERROR(IF(FIND("$",Transaction[[#This Row],[NetRevenue]])&gt;0,MID(Transaction[[#This Row],[NetRevenue]],2,10)),Transaction[[#This Row],[NetRevenue]])))</f>
        <v>1333.75</v>
      </c>
      <c r="AG1293">
        <f>IF(Transaction[[#This Row],[NetRevenue_Check]]="Invalid",(Transaction[[#This Row],[Quantity]]*Transaction[[#This Row],[UnitPrice_Clean]]),Transaction[[#This Row],[NetRevenue_Clean]])</f>
        <v>1333.75</v>
      </c>
      <c r="AH1293" t="str">
        <f>IF(Transaction[[#This Row],[Quantity]]*Transaction[[#This Row],[UnitPrice_Clean]]=Transaction[[#This Row],[NetRevenue_Clean]],"Valid","Invalid")</f>
        <v>Valid</v>
      </c>
      <c r="AI1293" t="s">
        <v>23</v>
      </c>
      <c r="AJ1293" t="s">
        <v>793</v>
      </c>
      <c r="AK1293" t="str">
        <f>IF(Transaction[[#This Row],[Salesperson]]="","Missing Value",TRIM(PROPER(Transaction[[#This Row],[Salesperson]])))</f>
        <v>Payne</v>
      </c>
      <c r="AL1293" t="s">
        <v>42</v>
      </c>
      <c r="AM1293" t="str">
        <f>IF(Transaction[[#This Row],[ContractType]]="","Missing Value",Transaction[[#This Row],[ContractType]])</f>
        <v>Standard PO</v>
      </c>
      <c r="AN1293" t="s">
        <v>49</v>
      </c>
    </row>
    <row r="1294" spans="1:40" x14ac:dyDescent="0.25">
      <c r="A1294" t="s">
        <v>4096</v>
      </c>
      <c r="C1294"/>
      <c r="D1294"/>
      <c r="E1294"/>
      <c r="R1294" s="4">
        <f>SUBTOTAL(109,Transaction[Quantity])</f>
        <v>3714</v>
      </c>
      <c r="U1294"/>
      <c r="X1294">
        <f>SUBTOTAL(109,Transaction[GrossRevenue_Clean])</f>
        <v>4956805</v>
      </c>
      <c r="AB1294">
        <f>SUBTOTAL(109,Transaction[DiscountAmount_Clean])</f>
        <v>695344.15999999898</v>
      </c>
      <c r="AF1294">
        <f>SUBTOTAL(109,Transaction[NetRevenue_Clean])</f>
        <v>4233735.6300000064</v>
      </c>
      <c r="AN1294">
        <f>SUBTOTAL(103,Transaction[CustomerSegment])</f>
        <v>1292</v>
      </c>
    </row>
    <row r="1295" spans="1:40" x14ac:dyDescent="0.25">
      <c r="C1295"/>
      <c r="D1295"/>
      <c r="E1295"/>
      <c r="U1295"/>
    </row>
    <row r="1296" spans="1:40" x14ac:dyDescent="0.25">
      <c r="C1296"/>
      <c r="D1296"/>
      <c r="E1296"/>
      <c r="U1296"/>
    </row>
    <row r="1297" spans="28:28" customFormat="1" x14ac:dyDescent="0.25"/>
    <row r="1298" spans="28:28" customFormat="1" x14ac:dyDescent="0.25">
      <c r="AB1298">
        <f>COUNTIF(AB18:AB1292,0)</f>
        <v>48</v>
      </c>
    </row>
    <row r="1299" spans="28:28" customFormat="1" x14ac:dyDescent="0.25"/>
    <row r="1300" spans="28:28" customFormat="1" x14ac:dyDescent="0.25"/>
    <row r="1301" spans="28:28" customFormat="1" x14ac:dyDescent="0.25"/>
    <row r="1302" spans="28:28" customFormat="1" x14ac:dyDescent="0.25"/>
    <row r="1303" spans="28:28" customFormat="1" x14ac:dyDescent="0.25"/>
    <row r="1304" spans="28:28" customFormat="1" x14ac:dyDescent="0.25"/>
    <row r="1305" spans="28:28" customFormat="1" x14ac:dyDescent="0.25"/>
    <row r="1306" spans="28:28" customFormat="1" x14ac:dyDescent="0.25"/>
    <row r="1307" spans="28:28" customFormat="1" x14ac:dyDescent="0.25"/>
    <row r="1308" spans="28:28" customFormat="1" x14ac:dyDescent="0.25"/>
    <row r="1309" spans="28:28" customFormat="1" x14ac:dyDescent="0.25"/>
    <row r="1310" spans="28:28" customFormat="1" x14ac:dyDescent="0.25"/>
    <row r="1311" spans="28:28" customFormat="1" x14ac:dyDescent="0.25"/>
    <row r="1312" spans="28:28" customFormat="1" x14ac:dyDescent="0.25"/>
    <row r="1315" spans="6:39" x14ac:dyDescent="0.25">
      <c r="AH1315">
        <f>COUNTIF(AH15:AH1284,$AH$15)</f>
        <v>1255</v>
      </c>
    </row>
    <row r="1317" spans="6:39" x14ac:dyDescent="0.25">
      <c r="AM1317" t="s">
        <v>4080</v>
      </c>
    </row>
    <row r="1321" spans="6:39" x14ac:dyDescent="0.25">
      <c r="F1321">
        <f>COUNTIF(Transaction[CustomerID_Check],$H$2)</f>
        <v>5</v>
      </c>
      <c r="H1321">
        <f>COUNTIF(Transaction[CustomerID_Check],$H$2)</f>
        <v>5</v>
      </c>
    </row>
    <row r="1327" spans="6:39" x14ac:dyDescent="0.25">
      <c r="AB1327" t="e">
        <f>COUNTIF(#REF!,#REF!)</f>
        <v>#REF!</v>
      </c>
    </row>
  </sheetData>
  <phoneticPr fontId="1" type="noConversion"/>
  <conditionalFormatting sqref="A1313:A1048576 A1:A1293">
    <cfRule type="duplicateValues" dxfId="1" priority="1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6"/>
  <sheetViews>
    <sheetView topLeftCell="A149" zoomScale="130" zoomScaleNormal="130" workbookViewId="0">
      <selection sqref="A1:N186"/>
    </sheetView>
  </sheetViews>
  <sheetFormatPr defaultRowHeight="15" x14ac:dyDescent="0.25"/>
  <cols>
    <col min="1" max="1" width="13.5703125" customWidth="1"/>
    <col min="2" max="2" width="35.28515625" hidden="1" customWidth="1"/>
    <col min="3" max="3" width="35.28515625" customWidth="1"/>
    <col min="4" max="4" width="21.85546875" bestFit="1" customWidth="1"/>
    <col min="5" max="5" width="25.42578125" bestFit="1" customWidth="1"/>
    <col min="6" max="6" width="16" customWidth="1"/>
    <col min="7" max="7" width="16.28515625" customWidth="1"/>
    <col min="8" max="8" width="15.5703125" bestFit="1" customWidth="1"/>
    <col min="9" max="9" width="22" bestFit="1" customWidth="1"/>
    <col min="10" max="10" width="15.7109375" hidden="1" customWidth="1"/>
    <col min="11" max="12" width="21.5703125" bestFit="1" customWidth="1"/>
    <col min="13" max="13" width="13.140625" bestFit="1" customWidth="1"/>
    <col min="14" max="14" width="19.28515625" bestFit="1" customWidth="1"/>
  </cols>
  <sheetData>
    <row r="1" spans="1:14" x14ac:dyDescent="0.25">
      <c r="A1" t="s">
        <v>2</v>
      </c>
      <c r="B1" t="s">
        <v>3092</v>
      </c>
      <c r="C1" t="s">
        <v>4081</v>
      </c>
      <c r="D1" t="s">
        <v>16</v>
      </c>
      <c r="E1" t="s">
        <v>4092</v>
      </c>
      <c r="F1" t="s">
        <v>3093</v>
      </c>
      <c r="G1" t="s">
        <v>4</v>
      </c>
      <c r="H1" t="s">
        <v>4068</v>
      </c>
      <c r="I1" t="s">
        <v>3094</v>
      </c>
      <c r="J1" t="s">
        <v>3095</v>
      </c>
      <c r="K1" t="s">
        <v>4082</v>
      </c>
      <c r="L1" t="s">
        <v>3096</v>
      </c>
      <c r="M1" t="s">
        <v>3097</v>
      </c>
      <c r="N1" t="s">
        <v>4083</v>
      </c>
    </row>
    <row r="2" spans="1:14" x14ac:dyDescent="0.25">
      <c r="A2" t="s">
        <v>978</v>
      </c>
      <c r="B2" t="s">
        <v>3098</v>
      </c>
      <c r="C2" t="str">
        <f>PROPER(TRIM(Custumer[[#This Row],[CustomerName]]))</f>
        <v>Rodriguez Figueroa And Sanchez</v>
      </c>
      <c r="D2" t="s">
        <v>3099</v>
      </c>
      <c r="E2" t="str">
        <f>TRIM(PROPER(Custumer[[#This Row],[CustomerSegment]]))</f>
        <v>Energy &amp; Utilities</v>
      </c>
      <c r="F2" t="s">
        <v>3100</v>
      </c>
      <c r="G2" t="s">
        <v>82</v>
      </c>
      <c r="H2" t="str">
        <f>SUBSTITUTE(SUBSTITUTE(UPPER(Custumer[[#This Row],[Region]]),"NORTH AMERICA","N. AMERICA"),"LATAM","LATIN AMERICA")</f>
        <v>LATIN AMERICA</v>
      </c>
      <c r="I2" t="s">
        <v>3101</v>
      </c>
      <c r="J2" t="s">
        <v>3102</v>
      </c>
      <c r="K2" t="str">
        <f>IF(Custumer[[#This Row],[AccountStatus]]="","Missing Value",Custumer[[#This Row],[AccountStatus]])</f>
        <v>Active</v>
      </c>
      <c r="L2" t="s">
        <v>3103</v>
      </c>
      <c r="M2">
        <v>100000</v>
      </c>
      <c r="N2">
        <f>VALUE(IF(ISNUMBER(Custumer[[#This Row],[CreditLimit]]),Custumer[[#This Row],[CreditLimit]],MID(Custumer[[#This Row],[CreditLimit]],2,10)))</f>
        <v>100000</v>
      </c>
    </row>
    <row r="3" spans="1:14" x14ac:dyDescent="0.25">
      <c r="A3" t="s">
        <v>3104</v>
      </c>
      <c r="B3" t="s">
        <v>3105</v>
      </c>
      <c r="C3" t="str">
        <f>PROPER(TRIM(Custumer[[#This Row],[CustomerName]]))</f>
        <v>Miller Henderson And Johnson</v>
      </c>
      <c r="D3" t="s">
        <v>49</v>
      </c>
      <c r="E3" t="str">
        <f>TRIM(PROPER(Custumer[[#This Row],[CustomerSegment]]))</f>
        <v>Manufacturing</v>
      </c>
      <c r="F3" t="s">
        <v>3106</v>
      </c>
      <c r="G3" t="s">
        <v>20</v>
      </c>
      <c r="H3" t="str">
        <f>SUBSTITUTE(SUBSTITUTE(UPPER(Custumer[[#This Row],[Region]]),"NORTH AMERICA","N. AMERICA"),"LATAM","LATIN AMERICA")</f>
        <v>N. AMERICA</v>
      </c>
      <c r="I3" t="s">
        <v>3107</v>
      </c>
      <c r="J3" t="s">
        <v>3102</v>
      </c>
      <c r="K3" t="str">
        <f>IF(Custumer[[#This Row],[AccountStatus]]="","Missing Value",Custumer[[#This Row],[AccountStatus]])</f>
        <v>Active</v>
      </c>
      <c r="L3" t="s">
        <v>3108</v>
      </c>
      <c r="M3">
        <v>500000</v>
      </c>
      <c r="N3">
        <f>VALUE(IF(ISNUMBER(Custumer[[#This Row],[CreditLimit]]),Custumer[[#This Row],[CreditLimit]],MID(Custumer[[#This Row],[CreditLimit]],2,10)))</f>
        <v>500000</v>
      </c>
    </row>
    <row r="4" spans="1:14" x14ac:dyDescent="0.25">
      <c r="A4" t="s">
        <v>799</v>
      </c>
      <c r="B4" t="s">
        <v>3109</v>
      </c>
      <c r="C4" t="str">
        <f>PROPER(TRIM(Custumer[[#This Row],[CustomerName]]))</f>
        <v>Baldwin Ltd Corp</v>
      </c>
      <c r="D4" t="s">
        <v>3110</v>
      </c>
      <c r="E4" t="str">
        <f>TRIM(PROPER(Custumer[[#This Row],[CustomerSegment]]))</f>
        <v>Manufacturing</v>
      </c>
      <c r="F4" t="s">
        <v>3106</v>
      </c>
      <c r="G4" t="s">
        <v>82</v>
      </c>
      <c r="H4" t="str">
        <f>SUBSTITUTE(SUBSTITUTE(UPPER(Custumer[[#This Row],[Region]]),"NORTH AMERICA","N. AMERICA"),"LATAM","LATIN AMERICA")</f>
        <v>LATIN AMERICA</v>
      </c>
      <c r="I4" t="s">
        <v>3111</v>
      </c>
      <c r="J4" t="s">
        <v>3102</v>
      </c>
      <c r="K4" t="str">
        <f>IF(Custumer[[#This Row],[AccountStatus]]="","Missing Value",Custumer[[#This Row],[AccountStatus]])</f>
        <v>Active</v>
      </c>
      <c r="L4" t="s">
        <v>3112</v>
      </c>
      <c r="M4">
        <v>100000</v>
      </c>
      <c r="N4">
        <f>VALUE(IF(ISNUMBER(Custumer[[#This Row],[CreditLimit]]),Custumer[[#This Row],[CreditLimit]],MID(Custumer[[#This Row],[CreditLimit]],2,10)))</f>
        <v>100000</v>
      </c>
    </row>
    <row r="5" spans="1:14" x14ac:dyDescent="0.25">
      <c r="A5" t="s">
        <v>351</v>
      </c>
      <c r="B5" t="s">
        <v>3113</v>
      </c>
      <c r="C5" t="str">
        <f>PROPER(TRIM(Custumer[[#This Row],[CustomerName]]))</f>
        <v>Blake And Sons Inc</v>
      </c>
      <c r="D5" t="s">
        <v>49</v>
      </c>
      <c r="E5" t="str">
        <f>TRIM(PROPER(Custumer[[#This Row],[CustomerSegment]]))</f>
        <v>Manufacturing</v>
      </c>
      <c r="F5" t="s">
        <v>3100</v>
      </c>
      <c r="G5" t="s">
        <v>20</v>
      </c>
      <c r="H5" t="str">
        <f>SUBSTITUTE(SUBSTITUTE(UPPER(Custumer[[#This Row],[Region]]),"NORTH AMERICA","N. AMERICA"),"LATAM","LATIN AMERICA")</f>
        <v>N. AMERICA</v>
      </c>
      <c r="I5" t="s">
        <v>3111</v>
      </c>
      <c r="J5" t="s">
        <v>3102</v>
      </c>
      <c r="K5" t="str">
        <f>IF(Custumer[[#This Row],[AccountStatus]]="","Missing Value",Custumer[[#This Row],[AccountStatus]])</f>
        <v>Active</v>
      </c>
      <c r="L5" t="s">
        <v>3114</v>
      </c>
      <c r="M5">
        <v>100000</v>
      </c>
      <c r="N5">
        <f>VALUE(IF(ISNUMBER(Custumer[[#This Row],[CreditLimit]]),Custumer[[#This Row],[CreditLimit]],MID(Custumer[[#This Row],[CreditLimit]],2,10)))</f>
        <v>100000</v>
      </c>
    </row>
    <row r="6" spans="1:14" x14ac:dyDescent="0.25">
      <c r="A6" t="s">
        <v>203</v>
      </c>
      <c r="B6" t="s">
        <v>3115</v>
      </c>
      <c r="C6" t="str">
        <f>PROPER(TRIM(Custumer[[#This Row],[CustomerName]]))</f>
        <v>Garcia-James Llc</v>
      </c>
      <c r="D6" t="s">
        <v>3116</v>
      </c>
      <c r="E6" t="str">
        <f>TRIM(PROPER(Custumer[[#This Row],[CustomerSegment]]))</f>
        <v>Process Industries</v>
      </c>
      <c r="F6" t="s">
        <v>3117</v>
      </c>
      <c r="G6" t="s">
        <v>3118</v>
      </c>
      <c r="H6" t="str">
        <f>SUBSTITUTE(SUBSTITUTE(UPPER(Custumer[[#This Row],[Region]]),"NORTH AMERICA","N. AMERICA"),"LATAM","LATIN AMERICA")</f>
        <v>N. AMERICA</v>
      </c>
      <c r="I6" t="s">
        <v>3119</v>
      </c>
      <c r="J6" t="s">
        <v>3102</v>
      </c>
      <c r="K6" t="str">
        <f>IF(Custumer[[#This Row],[AccountStatus]]="","Missing Value",Custumer[[#This Row],[AccountStatus]])</f>
        <v>Active</v>
      </c>
      <c r="L6" t="s">
        <v>3120</v>
      </c>
      <c r="M6">
        <v>250000</v>
      </c>
      <c r="N6">
        <f>VALUE(IF(ISNUMBER(Custumer[[#This Row],[CreditLimit]]),Custumer[[#This Row],[CreditLimit]],MID(Custumer[[#This Row],[CreditLimit]],2,10)))</f>
        <v>250000</v>
      </c>
    </row>
    <row r="7" spans="1:14" x14ac:dyDescent="0.25">
      <c r="A7" t="s">
        <v>51</v>
      </c>
      <c r="B7" t="s">
        <v>3121</v>
      </c>
      <c r="C7" t="str">
        <f>PROPER(TRIM(Custumer[[#This Row],[CustomerName]]))</f>
        <v>Blair Plc Ag</v>
      </c>
      <c r="D7" t="s">
        <v>3122</v>
      </c>
      <c r="E7" t="str">
        <f>TRIM(PROPER(Custumer[[#This Row],[CustomerSegment]]))</f>
        <v>Aerospace &amp; Defense</v>
      </c>
      <c r="F7" t="s">
        <v>3100</v>
      </c>
      <c r="G7" t="s">
        <v>20</v>
      </c>
      <c r="H7" t="str">
        <f>SUBSTITUTE(SUBSTITUTE(UPPER(Custumer[[#This Row],[Region]]),"NORTH AMERICA","N. AMERICA"),"LATAM","LATIN AMERICA")</f>
        <v>N. AMERICA</v>
      </c>
      <c r="I7" t="s">
        <v>3123</v>
      </c>
      <c r="J7" t="s">
        <v>3102</v>
      </c>
      <c r="K7" t="str">
        <f>IF(Custumer[[#This Row],[AccountStatus]]="","Missing Value",Custumer[[#This Row],[AccountStatus]])</f>
        <v>Active</v>
      </c>
      <c r="L7" t="s">
        <v>3124</v>
      </c>
      <c r="M7">
        <v>50000</v>
      </c>
      <c r="N7">
        <f>VALUE(IF(ISNUMBER(Custumer[[#This Row],[CreditLimit]]),Custumer[[#This Row],[CreditLimit]],MID(Custumer[[#This Row],[CreditLimit]],2,10)))</f>
        <v>50000</v>
      </c>
    </row>
    <row r="8" spans="1:14" x14ac:dyDescent="0.25">
      <c r="A8" t="s">
        <v>565</v>
      </c>
      <c r="B8" t="s">
        <v>3125</v>
      </c>
      <c r="C8" t="str">
        <f>PROPER(TRIM(Custumer[[#This Row],[CustomerName]]))</f>
        <v>Calderon-Montgomery Co</v>
      </c>
      <c r="D8" t="s">
        <v>35</v>
      </c>
      <c r="E8" t="str">
        <f>TRIM(PROPER(Custumer[[#This Row],[CustomerSegment]]))</f>
        <v>Process Industries</v>
      </c>
      <c r="F8" t="s">
        <v>3126</v>
      </c>
      <c r="G8" t="s">
        <v>20</v>
      </c>
      <c r="H8" t="str">
        <f>SUBSTITUTE(SUBSTITUTE(UPPER(Custumer[[#This Row],[Region]]),"NORTH AMERICA","N. AMERICA"),"LATAM","LATIN AMERICA")</f>
        <v>N. AMERICA</v>
      </c>
      <c r="I8" t="s">
        <v>3127</v>
      </c>
      <c r="J8" t="s">
        <v>3102</v>
      </c>
      <c r="K8" t="str">
        <f>IF(Custumer[[#This Row],[AccountStatus]]="","Missing Value",Custumer[[#This Row],[AccountStatus]])</f>
        <v>Active</v>
      </c>
      <c r="L8" t="s">
        <v>3128</v>
      </c>
      <c r="M8">
        <v>2500000</v>
      </c>
      <c r="N8">
        <f>VALUE(IF(ISNUMBER(Custumer[[#This Row],[CreditLimit]]),Custumer[[#This Row],[CreditLimit]],MID(Custumer[[#This Row],[CreditLimit]],2,10)))</f>
        <v>2500000</v>
      </c>
    </row>
    <row r="9" spans="1:14" x14ac:dyDescent="0.25">
      <c r="A9" t="s">
        <v>167</v>
      </c>
      <c r="B9" t="s">
        <v>3129</v>
      </c>
      <c r="C9" t="str">
        <f>PROPER(TRIM(Custumer[[#This Row],[CustomerName]]))</f>
        <v>Stanley Llc</v>
      </c>
      <c r="D9" t="s">
        <v>26</v>
      </c>
      <c r="E9" t="str">
        <f>TRIM(PROPER(Custumer[[#This Row],[CustomerSegment]]))</f>
        <v>Aerospace &amp; Defense</v>
      </c>
      <c r="F9" t="s">
        <v>3126</v>
      </c>
      <c r="G9" t="s">
        <v>20</v>
      </c>
      <c r="H9" t="str">
        <f>SUBSTITUTE(SUBSTITUTE(UPPER(Custumer[[#This Row],[Region]]),"NORTH AMERICA","N. AMERICA"),"LATAM","LATIN AMERICA")</f>
        <v>N. AMERICA</v>
      </c>
      <c r="I9" t="s">
        <v>3130</v>
      </c>
      <c r="J9" t="s">
        <v>3102</v>
      </c>
      <c r="K9" t="str">
        <f>IF(Custumer[[#This Row],[AccountStatus]]="","Missing Value",Custumer[[#This Row],[AccountStatus]])</f>
        <v>Active</v>
      </c>
      <c r="L9" t="s">
        <v>3131</v>
      </c>
      <c r="M9">
        <v>250000</v>
      </c>
      <c r="N9">
        <f>VALUE(IF(ISNUMBER(Custumer[[#This Row],[CreditLimit]]),Custumer[[#This Row],[CreditLimit]],MID(Custumer[[#This Row],[CreditLimit]],2,10)))</f>
        <v>250000</v>
      </c>
    </row>
    <row r="10" spans="1:14" x14ac:dyDescent="0.25">
      <c r="A10" t="s">
        <v>429</v>
      </c>
      <c r="B10" t="s">
        <v>3132</v>
      </c>
      <c r="C10" t="str">
        <f>PROPER(TRIM(Custumer[[#This Row],[CustomerName]]))</f>
        <v>Reid-Diaz</v>
      </c>
      <c r="D10" t="s">
        <v>3110</v>
      </c>
      <c r="E10" t="str">
        <f>TRIM(PROPER(Custumer[[#This Row],[CustomerSegment]]))</f>
        <v>Manufacturing</v>
      </c>
      <c r="F10" t="s">
        <v>3126</v>
      </c>
      <c r="G10" t="s">
        <v>76</v>
      </c>
      <c r="H10" t="str">
        <f>SUBSTITUTE(SUBSTITUTE(UPPER(Custumer[[#This Row],[Region]]),"NORTH AMERICA","N. AMERICA"),"LATAM","LATIN AMERICA")</f>
        <v>EMEA</v>
      </c>
      <c r="I10" t="s">
        <v>3107</v>
      </c>
      <c r="J10" t="s">
        <v>3102</v>
      </c>
      <c r="K10" t="str">
        <f>IF(Custumer[[#This Row],[AccountStatus]]="","Missing Value",Custumer[[#This Row],[AccountStatus]])</f>
        <v>Active</v>
      </c>
      <c r="L10" t="s">
        <v>3133</v>
      </c>
      <c r="M10" t="s">
        <v>3134</v>
      </c>
      <c r="N10">
        <f>VALUE(IF(ISNUMBER(Custumer[[#This Row],[CreditLimit]]),Custumer[[#This Row],[CreditLimit]],MID(Custumer[[#This Row],[CreditLimit]],2,10)))</f>
        <v>100000</v>
      </c>
    </row>
    <row r="11" spans="1:14" x14ac:dyDescent="0.25">
      <c r="A11" t="s">
        <v>1903</v>
      </c>
      <c r="B11" t="s">
        <v>3135</v>
      </c>
      <c r="C11" t="str">
        <f>PROPER(TRIM(Custumer[[#This Row],[CustomerName]]))</f>
        <v>Wong Lynch And Jackson</v>
      </c>
      <c r="D11" t="s">
        <v>35</v>
      </c>
      <c r="E11" t="str">
        <f>TRIM(PROPER(Custumer[[#This Row],[CustomerSegment]]))</f>
        <v>Process Industries</v>
      </c>
      <c r="F11" t="s">
        <v>3100</v>
      </c>
      <c r="G11" t="s">
        <v>20</v>
      </c>
      <c r="H11" t="str">
        <f>SUBSTITUTE(SUBSTITUTE(UPPER(Custumer[[#This Row],[Region]]),"NORTH AMERICA","N. AMERICA"),"LATAM","LATIN AMERICA")</f>
        <v>N. AMERICA</v>
      </c>
      <c r="I11" t="s">
        <v>3127</v>
      </c>
      <c r="J11" t="s">
        <v>3102</v>
      </c>
      <c r="K11" t="str">
        <f>IF(Custumer[[#This Row],[AccountStatus]]="","Missing Value",Custumer[[#This Row],[AccountStatus]])</f>
        <v>Active</v>
      </c>
      <c r="L11" t="s">
        <v>3136</v>
      </c>
      <c r="M11">
        <v>100000</v>
      </c>
      <c r="N11">
        <f>VALUE(IF(ISNUMBER(Custumer[[#This Row],[CreditLimit]]),Custumer[[#This Row],[CreditLimit]],MID(Custumer[[#This Row],[CreditLimit]],2,10)))</f>
        <v>100000</v>
      </c>
    </row>
    <row r="12" spans="1:14" x14ac:dyDescent="0.25">
      <c r="A12" t="s">
        <v>617</v>
      </c>
      <c r="B12" t="s">
        <v>3137</v>
      </c>
      <c r="C12" t="str">
        <f>PROPER(TRIM(Custumer[[#This Row],[CustomerName]]))</f>
        <v>Watts Robinson And Nguyen Llc</v>
      </c>
      <c r="D12" t="s">
        <v>65</v>
      </c>
      <c r="E12" t="str">
        <f>TRIM(PROPER(Custumer[[#This Row],[CustomerSegment]]))</f>
        <v>Research &amp; Labs</v>
      </c>
      <c r="F12" t="s">
        <v>3106</v>
      </c>
      <c r="G12" t="s">
        <v>30</v>
      </c>
      <c r="H12" t="str">
        <f>SUBSTITUTE(SUBSTITUTE(UPPER(Custumer[[#This Row],[Region]]),"NORTH AMERICA","N. AMERICA"),"LATAM","LATIN AMERICA")</f>
        <v>APAC</v>
      </c>
      <c r="I12" t="s">
        <v>3138</v>
      </c>
      <c r="J12" t="s">
        <v>3102</v>
      </c>
      <c r="K12" t="str">
        <f>IF(Custumer[[#This Row],[AccountStatus]]="","Missing Value",Custumer[[#This Row],[AccountStatus]])</f>
        <v>Active</v>
      </c>
      <c r="L12" t="s">
        <v>3139</v>
      </c>
      <c r="M12">
        <v>250000</v>
      </c>
      <c r="N12">
        <f>VALUE(IF(ISNUMBER(Custumer[[#This Row],[CreditLimit]]),Custumer[[#This Row],[CreditLimit]],MID(Custumer[[#This Row],[CreditLimit]],2,10)))</f>
        <v>250000</v>
      </c>
    </row>
    <row r="13" spans="1:14" x14ac:dyDescent="0.25">
      <c r="A13" t="s">
        <v>1015</v>
      </c>
      <c r="B13" t="s">
        <v>3140</v>
      </c>
      <c r="C13" t="str">
        <f>PROPER(TRIM(Custumer[[#This Row],[CustomerName]]))</f>
        <v>Morales-Jones Pty Ltd</v>
      </c>
      <c r="D13" t="s">
        <v>65</v>
      </c>
      <c r="E13" t="str">
        <f>TRIM(PROPER(Custumer[[#This Row],[CustomerSegment]]))</f>
        <v>Research &amp; Labs</v>
      </c>
      <c r="F13" t="s">
        <v>3117</v>
      </c>
      <c r="G13" t="s">
        <v>3118</v>
      </c>
      <c r="H13" t="str">
        <f>SUBSTITUTE(SUBSTITUTE(UPPER(Custumer[[#This Row],[Region]]),"NORTH AMERICA","N. AMERICA"),"LATAM","LATIN AMERICA")</f>
        <v>N. AMERICA</v>
      </c>
      <c r="I13" t="s">
        <v>3141</v>
      </c>
      <c r="J13" t="s">
        <v>3102</v>
      </c>
      <c r="K13" t="str">
        <f>IF(Custumer[[#This Row],[AccountStatus]]="","Missing Value",Custumer[[#This Row],[AccountStatus]])</f>
        <v>Active</v>
      </c>
      <c r="L13" t="s">
        <v>3142</v>
      </c>
      <c r="M13">
        <v>100000</v>
      </c>
      <c r="N13">
        <f>VALUE(IF(ISNUMBER(Custumer[[#This Row],[CreditLimit]]),Custumer[[#This Row],[CreditLimit]],MID(Custumer[[#This Row],[CreditLimit]],2,10)))</f>
        <v>100000</v>
      </c>
    </row>
    <row r="14" spans="1:14" x14ac:dyDescent="0.25">
      <c r="A14" t="s">
        <v>755</v>
      </c>
      <c r="B14" t="s">
        <v>3143</v>
      </c>
      <c r="C14" t="str">
        <f>PROPER(TRIM(Custumer[[#This Row],[CustomerName]]))</f>
        <v>Rios Group Sa</v>
      </c>
      <c r="D14" t="s">
        <v>43</v>
      </c>
      <c r="E14" t="str">
        <f>TRIM(PROPER(Custumer[[#This Row],[CustomerSegment]]))</f>
        <v>Energy &amp; Utilities</v>
      </c>
      <c r="F14" t="s">
        <v>3106</v>
      </c>
      <c r="G14" t="s">
        <v>20</v>
      </c>
      <c r="H14" t="str">
        <f>SUBSTITUTE(SUBSTITUTE(UPPER(Custumer[[#This Row],[Region]]),"NORTH AMERICA","N. AMERICA"),"LATAM","LATIN AMERICA")</f>
        <v>N. AMERICA</v>
      </c>
      <c r="I14" t="s">
        <v>3144</v>
      </c>
      <c r="J14" t="s">
        <v>3102</v>
      </c>
      <c r="K14" t="str">
        <f>IF(Custumer[[#This Row],[AccountStatus]]="","Missing Value",Custumer[[#This Row],[AccountStatus]])</f>
        <v>Active</v>
      </c>
      <c r="L14" t="s">
        <v>3145</v>
      </c>
      <c r="M14">
        <v>100000</v>
      </c>
      <c r="N14">
        <f>VALUE(IF(ISNUMBER(Custumer[[#This Row],[CreditLimit]]),Custumer[[#This Row],[CreditLimit]],MID(Custumer[[#This Row],[CreditLimit]],2,10)))</f>
        <v>100000</v>
      </c>
    </row>
    <row r="15" spans="1:14" x14ac:dyDescent="0.25">
      <c r="A15" t="s">
        <v>1154</v>
      </c>
      <c r="B15" t="s">
        <v>3146</v>
      </c>
      <c r="C15" t="str">
        <f>PROPER(TRIM(Custumer[[#This Row],[CustomerName]]))</f>
        <v>Wright Plc</v>
      </c>
      <c r="D15" t="s">
        <v>35</v>
      </c>
      <c r="E15" t="str">
        <f>TRIM(PROPER(Custumer[[#This Row],[CustomerSegment]]))</f>
        <v>Process Industries</v>
      </c>
      <c r="F15" t="s">
        <v>3100</v>
      </c>
      <c r="G15" t="s">
        <v>20</v>
      </c>
      <c r="H15" t="str">
        <f>SUBSTITUTE(SUBSTITUTE(UPPER(Custumer[[#This Row],[Region]]),"NORTH AMERICA","N. AMERICA"),"LATAM","LATIN AMERICA")</f>
        <v>N. AMERICA</v>
      </c>
      <c r="I15" t="s">
        <v>3147</v>
      </c>
      <c r="J15" t="s">
        <v>3102</v>
      </c>
      <c r="K15" t="str">
        <f>IF(Custumer[[#This Row],[AccountStatus]]="","Missing Value",Custumer[[#This Row],[AccountStatus]])</f>
        <v>Active</v>
      </c>
      <c r="L15" t="s">
        <v>3148</v>
      </c>
      <c r="M15">
        <v>2500000</v>
      </c>
      <c r="N15">
        <f>VALUE(IF(ISNUMBER(Custumer[[#This Row],[CreditLimit]]),Custumer[[#This Row],[CreditLimit]],MID(Custumer[[#This Row],[CreditLimit]],2,10)))</f>
        <v>2500000</v>
      </c>
    </row>
    <row r="16" spans="1:14" x14ac:dyDescent="0.25">
      <c r="A16" t="s">
        <v>195</v>
      </c>
      <c r="B16" t="s">
        <v>3149</v>
      </c>
      <c r="C16" t="str">
        <f>PROPER(TRIM(Custumer[[#This Row],[CustomerName]]))</f>
        <v>Ross Robinson And Bright Pty Ltd</v>
      </c>
      <c r="D16" t="s">
        <v>3122</v>
      </c>
      <c r="E16" t="str">
        <f>TRIM(PROPER(Custumer[[#This Row],[CustomerSegment]]))</f>
        <v>Aerospace &amp; Defense</v>
      </c>
      <c r="F16" t="s">
        <v>3126</v>
      </c>
      <c r="G16" t="s">
        <v>20</v>
      </c>
      <c r="H16" t="str">
        <f>SUBSTITUTE(SUBSTITUTE(UPPER(Custumer[[#This Row],[Region]]),"NORTH AMERICA","N. AMERICA"),"LATAM","LATIN AMERICA")</f>
        <v>N. AMERICA</v>
      </c>
      <c r="I16" t="s">
        <v>3130</v>
      </c>
      <c r="J16" t="s">
        <v>3102</v>
      </c>
      <c r="K16" t="str">
        <f>IF(Custumer[[#This Row],[AccountStatus]]="","Missing Value",Custumer[[#This Row],[AccountStatus]])</f>
        <v>Active</v>
      </c>
      <c r="L16" t="s">
        <v>3150</v>
      </c>
      <c r="M16">
        <v>500000</v>
      </c>
      <c r="N16">
        <f>VALUE(IF(ISNUMBER(Custumer[[#This Row],[CreditLimit]]),Custumer[[#This Row],[CreditLimit]],MID(Custumer[[#This Row],[CreditLimit]],2,10)))</f>
        <v>500000</v>
      </c>
    </row>
    <row r="17" spans="1:14" x14ac:dyDescent="0.25">
      <c r="A17" t="s">
        <v>473</v>
      </c>
      <c r="B17" t="s">
        <v>3151</v>
      </c>
      <c r="C17" t="str">
        <f>PROPER(TRIM(Custumer[[#This Row],[CustomerName]]))</f>
        <v>Hernandez And Sons Co</v>
      </c>
      <c r="D17" t="s">
        <v>3122</v>
      </c>
      <c r="E17" t="str">
        <f>TRIM(PROPER(Custumer[[#This Row],[CustomerSegment]]))</f>
        <v>Aerospace &amp; Defense</v>
      </c>
      <c r="F17" t="s">
        <v>3126</v>
      </c>
      <c r="G17" t="s">
        <v>30</v>
      </c>
      <c r="H17" t="str">
        <f>SUBSTITUTE(SUBSTITUTE(UPPER(Custumer[[#This Row],[Region]]),"NORTH AMERICA","N. AMERICA"),"LATAM","LATIN AMERICA")</f>
        <v>APAC</v>
      </c>
      <c r="I17" t="s">
        <v>3152</v>
      </c>
      <c r="J17" t="s">
        <v>3102</v>
      </c>
      <c r="K17" t="str">
        <f>IF(Custumer[[#This Row],[AccountStatus]]="","Missing Value",Custumer[[#This Row],[AccountStatus]])</f>
        <v>Active</v>
      </c>
      <c r="L17" t="s">
        <v>3153</v>
      </c>
      <c r="M17" t="s">
        <v>3154</v>
      </c>
      <c r="N17">
        <f>VALUE(IF(ISNUMBER(Custumer[[#This Row],[CreditLimit]]),Custumer[[#This Row],[CreditLimit]],MID(Custumer[[#This Row],[CreditLimit]],2,10)))</f>
        <v>50000</v>
      </c>
    </row>
    <row r="18" spans="1:14" x14ac:dyDescent="0.25">
      <c r="A18" t="s">
        <v>733</v>
      </c>
      <c r="B18" t="s">
        <v>3155</v>
      </c>
      <c r="C18" t="str">
        <f>PROPER(TRIM(Custumer[[#This Row],[CustomerName]]))</f>
        <v>Carlson-Mcdonald Corporation</v>
      </c>
      <c r="D18" t="s">
        <v>26</v>
      </c>
      <c r="E18" t="str">
        <f>TRIM(PROPER(Custumer[[#This Row],[CustomerSegment]]))</f>
        <v>Aerospace &amp; Defense</v>
      </c>
      <c r="F18" t="s">
        <v>3117</v>
      </c>
      <c r="G18" t="s">
        <v>76</v>
      </c>
      <c r="H18" t="str">
        <f>SUBSTITUTE(SUBSTITUTE(UPPER(Custumer[[#This Row],[Region]]),"NORTH AMERICA","N. AMERICA"),"LATAM","LATIN AMERICA")</f>
        <v>EMEA</v>
      </c>
      <c r="I18" t="s">
        <v>3130</v>
      </c>
      <c r="J18" t="s">
        <v>3102</v>
      </c>
      <c r="K18" t="str">
        <f>IF(Custumer[[#This Row],[AccountStatus]]="","Missing Value",Custumer[[#This Row],[AccountStatus]])</f>
        <v>Active</v>
      </c>
      <c r="L18" t="s">
        <v>3156</v>
      </c>
      <c r="M18">
        <v>100000</v>
      </c>
      <c r="N18">
        <f>VALUE(IF(ISNUMBER(Custumer[[#This Row],[CreditLimit]]),Custumer[[#This Row],[CreditLimit]],MID(Custumer[[#This Row],[CreditLimit]],2,10)))</f>
        <v>100000</v>
      </c>
    </row>
    <row r="19" spans="1:14" x14ac:dyDescent="0.25">
      <c r="A19" t="s">
        <v>1078</v>
      </c>
      <c r="B19" t="s">
        <v>3157</v>
      </c>
      <c r="C19" t="str">
        <f>PROPER(TRIM(Custumer[[#This Row],[CustomerName]]))</f>
        <v>Le Maldonado And Herrera</v>
      </c>
      <c r="D19" t="s">
        <v>43</v>
      </c>
      <c r="E19" t="str">
        <f>TRIM(PROPER(Custumer[[#This Row],[CustomerSegment]]))</f>
        <v>Energy &amp; Utilities</v>
      </c>
      <c r="F19" t="s">
        <v>3100</v>
      </c>
      <c r="G19" t="s">
        <v>30</v>
      </c>
      <c r="H19" t="str">
        <f>SUBSTITUTE(SUBSTITUTE(UPPER(Custumer[[#This Row],[Region]]),"NORTH AMERICA","N. AMERICA"),"LATAM","LATIN AMERICA")</f>
        <v>APAC</v>
      </c>
      <c r="I19" t="s">
        <v>3144</v>
      </c>
      <c r="J19" t="s">
        <v>3102</v>
      </c>
      <c r="K19" t="str">
        <f>IF(Custumer[[#This Row],[AccountStatus]]="","Missing Value",Custumer[[#This Row],[AccountStatus]])</f>
        <v>Active</v>
      </c>
      <c r="L19" t="s">
        <v>3158</v>
      </c>
      <c r="M19">
        <v>250000</v>
      </c>
      <c r="N19">
        <f>VALUE(IF(ISNUMBER(Custumer[[#This Row],[CreditLimit]]),Custumer[[#This Row],[CreditLimit]],MID(Custumer[[#This Row],[CreditLimit]],2,10)))</f>
        <v>250000</v>
      </c>
    </row>
    <row r="20" spans="1:14" x14ac:dyDescent="0.25">
      <c r="A20" t="s">
        <v>126</v>
      </c>
      <c r="B20" t="s">
        <v>3159</v>
      </c>
      <c r="C20" t="str">
        <f>PROPER(TRIM(Custumer[[#This Row],[CustomerName]]))</f>
        <v>Moore-Smith</v>
      </c>
      <c r="D20" t="s">
        <v>49</v>
      </c>
      <c r="E20" t="str">
        <f>TRIM(PROPER(Custumer[[#This Row],[CustomerSegment]]))</f>
        <v>Manufacturing</v>
      </c>
      <c r="F20" t="s">
        <v>3100</v>
      </c>
      <c r="G20" t="s">
        <v>30</v>
      </c>
      <c r="H20" t="str">
        <f>SUBSTITUTE(SUBSTITUTE(UPPER(Custumer[[#This Row],[Region]]),"NORTH AMERICA","N. AMERICA"),"LATAM","LATIN AMERICA")</f>
        <v>APAC</v>
      </c>
      <c r="I20" t="s">
        <v>3107</v>
      </c>
      <c r="J20" t="s">
        <v>3102</v>
      </c>
      <c r="K20" t="str">
        <f>IF(Custumer[[#This Row],[AccountStatus]]="","Missing Value",Custumer[[#This Row],[AccountStatus]])</f>
        <v>Active</v>
      </c>
      <c r="L20" t="s">
        <v>3160</v>
      </c>
      <c r="M20">
        <v>500000</v>
      </c>
      <c r="N20">
        <f>VALUE(IF(ISNUMBER(Custumer[[#This Row],[CreditLimit]]),Custumer[[#This Row],[CreditLimit]],MID(Custumer[[#This Row],[CreditLimit]],2,10)))</f>
        <v>500000</v>
      </c>
    </row>
    <row r="21" spans="1:14" x14ac:dyDescent="0.25">
      <c r="A21" t="s">
        <v>456</v>
      </c>
      <c r="B21" t="s">
        <v>3161</v>
      </c>
      <c r="C21" t="str">
        <f>PROPER(TRIM(Custumer[[#This Row],[CustomerName]]))</f>
        <v>Romero Inc</v>
      </c>
      <c r="D21" t="s">
        <v>43</v>
      </c>
      <c r="E21" t="str">
        <f>TRIM(PROPER(Custumer[[#This Row],[CustomerSegment]]))</f>
        <v>Energy &amp; Utilities</v>
      </c>
      <c r="F21" t="s">
        <v>3100</v>
      </c>
      <c r="G21" t="s">
        <v>76</v>
      </c>
      <c r="H21" t="str">
        <f>SUBSTITUTE(SUBSTITUTE(UPPER(Custumer[[#This Row],[Region]]),"NORTH AMERICA","N. AMERICA"),"LATAM","LATIN AMERICA")</f>
        <v>EMEA</v>
      </c>
      <c r="I21" t="s">
        <v>3162</v>
      </c>
      <c r="J21" t="s">
        <v>3102</v>
      </c>
      <c r="K21" t="str">
        <f>IF(Custumer[[#This Row],[AccountStatus]]="","Missing Value",Custumer[[#This Row],[AccountStatus]])</f>
        <v>Active</v>
      </c>
      <c r="L21" t="s">
        <v>3163</v>
      </c>
      <c r="M21">
        <v>50000</v>
      </c>
      <c r="N21">
        <f>VALUE(IF(ISNUMBER(Custumer[[#This Row],[CreditLimit]]),Custumer[[#This Row],[CreditLimit]],MID(Custumer[[#This Row],[CreditLimit]],2,10)))</f>
        <v>50000</v>
      </c>
    </row>
    <row r="22" spans="1:14" x14ac:dyDescent="0.25">
      <c r="A22" t="s">
        <v>157</v>
      </c>
      <c r="B22" t="s">
        <v>3164</v>
      </c>
      <c r="C22" t="str">
        <f>PROPER(TRIM(Custumer[[#This Row],[CustomerName]]))</f>
        <v>Gonzalez Brooks And Martin Sa</v>
      </c>
      <c r="D22" t="s">
        <v>49</v>
      </c>
      <c r="E22" t="str">
        <f>TRIM(PROPER(Custumer[[#This Row],[CustomerSegment]]))</f>
        <v>Manufacturing</v>
      </c>
      <c r="F22" t="s">
        <v>3117</v>
      </c>
      <c r="G22" t="s">
        <v>76</v>
      </c>
      <c r="H22" t="str">
        <f>SUBSTITUTE(SUBSTITUTE(UPPER(Custumer[[#This Row],[Region]]),"NORTH AMERICA","N. AMERICA"),"LATAM","LATIN AMERICA")</f>
        <v>EMEA</v>
      </c>
      <c r="I22" t="s">
        <v>3107</v>
      </c>
      <c r="J22" t="s">
        <v>3102</v>
      </c>
      <c r="K22" t="str">
        <f>IF(Custumer[[#This Row],[AccountStatus]]="","Missing Value",Custumer[[#This Row],[AccountStatus]])</f>
        <v>Active</v>
      </c>
      <c r="L22" t="s">
        <v>3165</v>
      </c>
      <c r="M22">
        <v>1000000</v>
      </c>
      <c r="N22">
        <f>VALUE(IF(ISNUMBER(Custumer[[#This Row],[CreditLimit]]),Custumer[[#This Row],[CreditLimit]],MID(Custumer[[#This Row],[CreditLimit]],2,10)))</f>
        <v>1000000</v>
      </c>
    </row>
    <row r="23" spans="1:14" x14ac:dyDescent="0.25">
      <c r="A23" t="s">
        <v>1385</v>
      </c>
      <c r="B23" t="s">
        <v>3166</v>
      </c>
      <c r="C23" t="str">
        <f>PROPER(TRIM(Custumer[[#This Row],[CustomerName]]))</f>
        <v>Nguyen Smith And Hickman Llc</v>
      </c>
      <c r="D23" t="s">
        <v>49</v>
      </c>
      <c r="E23" t="str">
        <f>TRIM(PROPER(Custumer[[#This Row],[CustomerSegment]]))</f>
        <v>Manufacturing</v>
      </c>
      <c r="F23" t="s">
        <v>3100</v>
      </c>
      <c r="G23" t="s">
        <v>20</v>
      </c>
      <c r="H23" t="str">
        <f>SUBSTITUTE(SUBSTITUTE(UPPER(Custumer[[#This Row],[Region]]),"NORTH AMERICA","N. AMERICA"),"LATAM","LATIN AMERICA")</f>
        <v>N. AMERICA</v>
      </c>
      <c r="I23" t="s">
        <v>3167</v>
      </c>
      <c r="J23" t="s">
        <v>3102</v>
      </c>
      <c r="K23" t="str">
        <f>IF(Custumer[[#This Row],[AccountStatus]]="","Missing Value",Custumer[[#This Row],[AccountStatus]])</f>
        <v>Active</v>
      </c>
      <c r="L23" t="s">
        <v>3168</v>
      </c>
      <c r="M23">
        <v>50000</v>
      </c>
      <c r="N23">
        <f>VALUE(IF(ISNUMBER(Custumer[[#This Row],[CreditLimit]]),Custumer[[#This Row],[CreditLimit]],MID(Custumer[[#This Row],[CreditLimit]],2,10)))</f>
        <v>50000</v>
      </c>
    </row>
    <row r="24" spans="1:14" x14ac:dyDescent="0.25">
      <c r="A24" t="s">
        <v>1395</v>
      </c>
      <c r="B24" t="s">
        <v>3169</v>
      </c>
      <c r="C24" t="str">
        <f>PROPER(TRIM(Custumer[[#This Row],[CustomerName]]))</f>
        <v>Allen Plc</v>
      </c>
      <c r="D24" t="s">
        <v>49</v>
      </c>
      <c r="E24" t="str">
        <f>TRIM(PROPER(Custumer[[#This Row],[CustomerSegment]]))</f>
        <v>Manufacturing</v>
      </c>
      <c r="F24" t="s">
        <v>3106</v>
      </c>
      <c r="G24" t="s">
        <v>20</v>
      </c>
      <c r="H24" t="str">
        <f>SUBSTITUTE(SUBSTITUTE(UPPER(Custumer[[#This Row],[Region]]),"NORTH AMERICA","N. AMERICA"),"LATAM","LATIN AMERICA")</f>
        <v>N. AMERICA</v>
      </c>
      <c r="I24" t="s">
        <v>3111</v>
      </c>
      <c r="J24" t="s">
        <v>3102</v>
      </c>
      <c r="K24" t="str">
        <f>IF(Custumer[[#This Row],[AccountStatus]]="","Missing Value",Custumer[[#This Row],[AccountStatus]])</f>
        <v>Active</v>
      </c>
      <c r="L24" t="s">
        <v>3170</v>
      </c>
      <c r="M24">
        <v>250000</v>
      </c>
      <c r="N24">
        <f>VALUE(IF(ISNUMBER(Custumer[[#This Row],[CreditLimit]]),Custumer[[#This Row],[CreditLimit]],MID(Custumer[[#This Row],[CreditLimit]],2,10)))</f>
        <v>250000</v>
      </c>
    </row>
    <row r="25" spans="1:14" x14ac:dyDescent="0.25">
      <c r="A25" t="s">
        <v>367</v>
      </c>
      <c r="B25" t="s">
        <v>3171</v>
      </c>
      <c r="C25" t="str">
        <f>PROPER(TRIM(Custumer[[#This Row],[CustomerName]]))</f>
        <v>Spence Plc</v>
      </c>
      <c r="D25" t="s">
        <v>65</v>
      </c>
      <c r="E25" t="str">
        <f>TRIM(PROPER(Custumer[[#This Row],[CustomerSegment]]))</f>
        <v>Research &amp; Labs</v>
      </c>
      <c r="F25" t="s">
        <v>3117</v>
      </c>
      <c r="G25" t="s">
        <v>30</v>
      </c>
      <c r="H25" t="str">
        <f>SUBSTITUTE(SUBSTITUTE(UPPER(Custumer[[#This Row],[Region]]),"NORTH AMERICA","N. AMERICA"),"LATAM","LATIN AMERICA")</f>
        <v>APAC</v>
      </c>
      <c r="I25" t="s">
        <v>3172</v>
      </c>
      <c r="J25" t="s">
        <v>3102</v>
      </c>
      <c r="K25" t="str">
        <f>IF(Custumer[[#This Row],[AccountStatus]]="","Missing Value",Custumer[[#This Row],[AccountStatus]])</f>
        <v>Active</v>
      </c>
      <c r="L25" t="s">
        <v>3173</v>
      </c>
      <c r="M25">
        <v>250000</v>
      </c>
      <c r="N25">
        <f>VALUE(IF(ISNUMBER(Custumer[[#This Row],[CreditLimit]]),Custumer[[#This Row],[CreditLimit]],MID(Custumer[[#This Row],[CreditLimit]],2,10)))</f>
        <v>250000</v>
      </c>
    </row>
    <row r="26" spans="1:14" x14ac:dyDescent="0.25">
      <c r="A26" t="s">
        <v>779</v>
      </c>
      <c r="B26" t="s">
        <v>3174</v>
      </c>
      <c r="C26" t="str">
        <f>PROPER(TRIM(Custumer[[#This Row],[CustomerName]]))</f>
        <v>Martin Rose And Obrien Llc</v>
      </c>
      <c r="D26" t="s">
        <v>26</v>
      </c>
      <c r="E26" t="str">
        <f>TRIM(PROPER(Custumer[[#This Row],[CustomerSegment]]))</f>
        <v>Aerospace &amp; Defense</v>
      </c>
      <c r="F26" t="s">
        <v>3117</v>
      </c>
      <c r="G26" t="s">
        <v>82</v>
      </c>
      <c r="H26" t="str">
        <f>SUBSTITUTE(SUBSTITUTE(UPPER(Custumer[[#This Row],[Region]]),"NORTH AMERICA","N. AMERICA"),"LATAM","LATIN AMERICA")</f>
        <v>LATIN AMERICA</v>
      </c>
      <c r="I26" t="s">
        <v>3175</v>
      </c>
      <c r="J26" t="s">
        <v>3102</v>
      </c>
      <c r="K26" t="str">
        <f>IF(Custumer[[#This Row],[AccountStatus]]="","Missing Value",Custumer[[#This Row],[AccountStatus]])</f>
        <v>Active</v>
      </c>
      <c r="L26" t="s">
        <v>3176</v>
      </c>
      <c r="M26">
        <v>100000</v>
      </c>
      <c r="N26">
        <f>VALUE(IF(ISNUMBER(Custumer[[#This Row],[CreditLimit]]),Custumer[[#This Row],[CreditLimit]],MID(Custumer[[#This Row],[CreditLimit]],2,10)))</f>
        <v>100000</v>
      </c>
    </row>
    <row r="27" spans="1:14" x14ac:dyDescent="0.25">
      <c r="A27" t="s">
        <v>1937</v>
      </c>
      <c r="B27" t="s">
        <v>3177</v>
      </c>
      <c r="C27" t="str">
        <f>PROPER(TRIM(Custumer[[#This Row],[CustomerName]]))</f>
        <v>Harris Collins And Carney Gmbh</v>
      </c>
      <c r="D27" t="s">
        <v>43</v>
      </c>
      <c r="E27" t="str">
        <f>TRIM(PROPER(Custumer[[#This Row],[CustomerSegment]]))</f>
        <v>Energy &amp; Utilities</v>
      </c>
      <c r="F27" t="s">
        <v>3106</v>
      </c>
      <c r="G27" t="s">
        <v>30</v>
      </c>
      <c r="H27" t="str">
        <f>SUBSTITUTE(SUBSTITUTE(UPPER(Custumer[[#This Row],[Region]]),"NORTH AMERICA","N. AMERICA"),"LATAM","LATIN AMERICA")</f>
        <v>APAC</v>
      </c>
      <c r="I27" t="s">
        <v>3178</v>
      </c>
      <c r="J27" t="s">
        <v>3102</v>
      </c>
      <c r="K27" t="str">
        <f>IF(Custumer[[#This Row],[AccountStatus]]="","Missing Value",Custumer[[#This Row],[AccountStatus]])</f>
        <v>Active</v>
      </c>
      <c r="L27" t="s">
        <v>3179</v>
      </c>
      <c r="M27">
        <v>250000</v>
      </c>
      <c r="N27">
        <f>VALUE(IF(ISNUMBER(Custumer[[#This Row],[CreditLimit]]),Custumer[[#This Row],[CreditLimit]],MID(Custumer[[#This Row],[CreditLimit]],2,10)))</f>
        <v>250000</v>
      </c>
    </row>
    <row r="28" spans="1:14" x14ac:dyDescent="0.25">
      <c r="A28" t="s">
        <v>38</v>
      </c>
      <c r="B28" t="s">
        <v>3180</v>
      </c>
      <c r="C28" t="str">
        <f>PROPER(TRIM(Custumer[[#This Row],[CustomerName]]))</f>
        <v>Wright Inc</v>
      </c>
      <c r="D28" t="s">
        <v>43</v>
      </c>
      <c r="E28" t="str">
        <f>TRIM(PROPER(Custumer[[#This Row],[CustomerSegment]]))</f>
        <v>Energy &amp; Utilities</v>
      </c>
      <c r="F28" t="s">
        <v>3126</v>
      </c>
      <c r="G28" t="s">
        <v>20</v>
      </c>
      <c r="H28" t="str">
        <f>SUBSTITUTE(SUBSTITUTE(UPPER(Custumer[[#This Row],[Region]]),"NORTH AMERICA","N. AMERICA"),"LATAM","LATIN AMERICA")</f>
        <v>N. AMERICA</v>
      </c>
      <c r="I28" t="s">
        <v>3101</v>
      </c>
      <c r="J28" t="s">
        <v>3102</v>
      </c>
      <c r="K28" t="str">
        <f>IF(Custumer[[#This Row],[AccountStatus]]="","Missing Value",Custumer[[#This Row],[AccountStatus]])</f>
        <v>Active</v>
      </c>
      <c r="L28" t="s">
        <v>3181</v>
      </c>
      <c r="M28">
        <v>1000000</v>
      </c>
      <c r="N28">
        <f>VALUE(IF(ISNUMBER(Custumer[[#This Row],[CreditLimit]]),Custumer[[#This Row],[CreditLimit]],MID(Custumer[[#This Row],[CreditLimit]],2,10)))</f>
        <v>1000000</v>
      </c>
    </row>
    <row r="29" spans="1:14" x14ac:dyDescent="0.25">
      <c r="A29" t="s">
        <v>1592</v>
      </c>
      <c r="B29" t="s">
        <v>3182</v>
      </c>
      <c r="C29" t="str">
        <f>PROPER(TRIM(Custumer[[#This Row],[CustomerName]]))</f>
        <v>Smith Ltd Inc</v>
      </c>
      <c r="D29" t="s">
        <v>43</v>
      </c>
      <c r="E29" t="str">
        <f>TRIM(PROPER(Custumer[[#This Row],[CustomerSegment]]))</f>
        <v>Energy &amp; Utilities</v>
      </c>
      <c r="F29" t="s">
        <v>3100</v>
      </c>
      <c r="G29" t="s">
        <v>76</v>
      </c>
      <c r="H29" t="str">
        <f>SUBSTITUTE(SUBSTITUTE(UPPER(Custumer[[#This Row],[Region]]),"NORTH AMERICA","N. AMERICA"),"LATAM","LATIN AMERICA")</f>
        <v>EMEA</v>
      </c>
      <c r="I29" t="s">
        <v>3144</v>
      </c>
      <c r="J29" t="s">
        <v>3102</v>
      </c>
      <c r="K29" t="str">
        <f>IF(Custumer[[#This Row],[AccountStatus]]="","Missing Value",Custumer[[#This Row],[AccountStatus]])</f>
        <v>Active</v>
      </c>
      <c r="L29" t="s">
        <v>3183</v>
      </c>
      <c r="M29">
        <v>2500000</v>
      </c>
      <c r="N29">
        <f>VALUE(IF(ISNUMBER(Custumer[[#This Row],[CreditLimit]]),Custumer[[#This Row],[CreditLimit]],MID(Custumer[[#This Row],[CreditLimit]],2,10)))</f>
        <v>2500000</v>
      </c>
    </row>
    <row r="30" spans="1:14" x14ac:dyDescent="0.25">
      <c r="A30" t="s">
        <v>380</v>
      </c>
      <c r="B30" t="s">
        <v>3184</v>
      </c>
      <c r="C30" t="str">
        <f>PROPER(TRIM(Custumer[[#This Row],[CustomerName]]))</f>
        <v>Jones-Young Corp</v>
      </c>
      <c r="D30" t="s">
        <v>65</v>
      </c>
      <c r="E30" t="str">
        <f>TRIM(PROPER(Custumer[[#This Row],[CustomerSegment]]))</f>
        <v>Research &amp; Labs</v>
      </c>
      <c r="F30" t="s">
        <v>3100</v>
      </c>
      <c r="G30" t="s">
        <v>20</v>
      </c>
      <c r="H30" t="str">
        <f>SUBSTITUTE(SUBSTITUTE(UPPER(Custumer[[#This Row],[Region]]),"NORTH AMERICA","N. AMERICA"),"LATAM","LATIN AMERICA")</f>
        <v>N. AMERICA</v>
      </c>
      <c r="I30" t="s">
        <v>3172</v>
      </c>
      <c r="J30" t="s">
        <v>3102</v>
      </c>
      <c r="K30" t="str">
        <f>IF(Custumer[[#This Row],[AccountStatus]]="","Missing Value",Custumer[[#This Row],[AccountStatus]])</f>
        <v>Active</v>
      </c>
      <c r="L30" t="s">
        <v>3185</v>
      </c>
      <c r="M30">
        <v>100000</v>
      </c>
      <c r="N30">
        <f>VALUE(IF(ISNUMBER(Custumer[[#This Row],[CreditLimit]]),Custumer[[#This Row],[CreditLimit]],MID(Custumer[[#This Row],[CreditLimit]],2,10)))</f>
        <v>100000</v>
      </c>
    </row>
    <row r="31" spans="1:14" x14ac:dyDescent="0.25">
      <c r="A31" t="s">
        <v>325</v>
      </c>
      <c r="B31" t="s">
        <v>3186</v>
      </c>
      <c r="C31" t="str">
        <f>PROPER(TRIM(Custumer[[#This Row],[CustomerName]]))</f>
        <v>Johnston Sanchez And Kennedy</v>
      </c>
      <c r="D31" t="s">
        <v>49</v>
      </c>
      <c r="E31" t="str">
        <f>TRIM(PROPER(Custumer[[#This Row],[CustomerSegment]]))</f>
        <v>Manufacturing</v>
      </c>
      <c r="F31" t="s">
        <v>3100</v>
      </c>
      <c r="G31" t="s">
        <v>76</v>
      </c>
      <c r="H31" t="str">
        <f>SUBSTITUTE(SUBSTITUTE(UPPER(Custumer[[#This Row],[Region]]),"NORTH AMERICA","N. AMERICA"),"LATAM","LATIN AMERICA")</f>
        <v>EMEA</v>
      </c>
      <c r="I31" t="s">
        <v>3167</v>
      </c>
      <c r="J31" t="s">
        <v>3102</v>
      </c>
      <c r="K31" t="str">
        <f>IF(Custumer[[#This Row],[AccountStatus]]="","Missing Value",Custumer[[#This Row],[AccountStatus]])</f>
        <v>Active</v>
      </c>
      <c r="L31" t="s">
        <v>3187</v>
      </c>
      <c r="M31">
        <v>100000</v>
      </c>
      <c r="N31">
        <f>VALUE(IF(ISNUMBER(Custumer[[#This Row],[CreditLimit]]),Custumer[[#This Row],[CreditLimit]],MID(Custumer[[#This Row],[CreditLimit]],2,10)))</f>
        <v>100000</v>
      </c>
    </row>
    <row r="32" spans="1:14" x14ac:dyDescent="0.25">
      <c r="A32" t="s">
        <v>1578</v>
      </c>
      <c r="B32" t="s">
        <v>3188</v>
      </c>
      <c r="C32" t="str">
        <f>PROPER(TRIM(Custumer[[#This Row],[CustomerName]]))</f>
        <v>Henderson-Owens Bv</v>
      </c>
      <c r="D32" t="s">
        <v>65</v>
      </c>
      <c r="E32" t="str">
        <f>TRIM(PROPER(Custumer[[#This Row],[CustomerSegment]]))</f>
        <v>Research &amp; Labs</v>
      </c>
      <c r="F32" t="s">
        <v>3117</v>
      </c>
      <c r="G32" t="s">
        <v>20</v>
      </c>
      <c r="H32" t="str">
        <f>SUBSTITUTE(SUBSTITUTE(UPPER(Custumer[[#This Row],[Region]]),"NORTH AMERICA","N. AMERICA"),"LATAM","LATIN AMERICA")</f>
        <v>N. AMERICA</v>
      </c>
      <c r="I32" t="s">
        <v>3189</v>
      </c>
      <c r="J32" t="s">
        <v>3102</v>
      </c>
      <c r="K32" t="str">
        <f>IF(Custumer[[#This Row],[AccountStatus]]="","Missing Value",Custumer[[#This Row],[AccountStatus]])</f>
        <v>Active</v>
      </c>
      <c r="L32" t="s">
        <v>3190</v>
      </c>
      <c r="M32">
        <v>2500000</v>
      </c>
      <c r="N32">
        <f>VALUE(IF(ISNUMBER(Custumer[[#This Row],[CreditLimit]]),Custumer[[#This Row],[CreditLimit]],MID(Custumer[[#This Row],[CreditLimit]],2,10)))</f>
        <v>2500000</v>
      </c>
    </row>
    <row r="33" spans="1:14" x14ac:dyDescent="0.25">
      <c r="A33" t="s">
        <v>1235</v>
      </c>
      <c r="B33" t="s">
        <v>3191</v>
      </c>
      <c r="C33" t="str">
        <f>PROPER(TRIM(Custumer[[#This Row],[CustomerName]]))</f>
        <v>Brown Ltd</v>
      </c>
      <c r="D33" t="s">
        <v>49</v>
      </c>
      <c r="E33" t="str">
        <f>TRIM(PROPER(Custumer[[#This Row],[CustomerSegment]]))</f>
        <v>Manufacturing</v>
      </c>
      <c r="F33" t="s">
        <v>3100</v>
      </c>
      <c r="G33" t="s">
        <v>76</v>
      </c>
      <c r="H33" t="str">
        <f>SUBSTITUTE(SUBSTITUTE(UPPER(Custumer[[#This Row],[Region]]),"NORTH AMERICA","N. AMERICA"),"LATAM","LATIN AMERICA")</f>
        <v>EMEA</v>
      </c>
      <c r="I33" t="s">
        <v>3192</v>
      </c>
      <c r="J33" t="s">
        <v>3102</v>
      </c>
      <c r="K33" t="str">
        <f>IF(Custumer[[#This Row],[AccountStatus]]="","Missing Value",Custumer[[#This Row],[AccountStatus]])</f>
        <v>Active</v>
      </c>
      <c r="L33" t="s">
        <v>3193</v>
      </c>
      <c r="M33">
        <v>500000</v>
      </c>
      <c r="N33">
        <f>VALUE(IF(ISNUMBER(Custumer[[#This Row],[CreditLimit]]),Custumer[[#This Row],[CreditLimit]],MID(Custumer[[#This Row],[CreditLimit]],2,10)))</f>
        <v>500000</v>
      </c>
    </row>
    <row r="34" spans="1:14" x14ac:dyDescent="0.25">
      <c r="A34" t="s">
        <v>333</v>
      </c>
      <c r="B34" t="s">
        <v>3194</v>
      </c>
      <c r="C34" t="str">
        <f>PROPER(TRIM(Custumer[[#This Row],[CustomerName]]))</f>
        <v>Herrera And Sons Ltd</v>
      </c>
      <c r="D34" t="s">
        <v>43</v>
      </c>
      <c r="E34" t="str">
        <f>TRIM(PROPER(Custumer[[#This Row],[CustomerSegment]]))</f>
        <v>Energy &amp; Utilities</v>
      </c>
      <c r="F34" t="s">
        <v>3100</v>
      </c>
      <c r="G34" t="s">
        <v>76</v>
      </c>
      <c r="H34" t="str">
        <f>SUBSTITUTE(SUBSTITUTE(UPPER(Custumer[[#This Row],[Region]]),"NORTH AMERICA","N. AMERICA"),"LATAM","LATIN AMERICA")</f>
        <v>EMEA</v>
      </c>
      <c r="I34" t="s">
        <v>3178</v>
      </c>
      <c r="J34" t="s">
        <v>3102</v>
      </c>
      <c r="K34" t="str">
        <f>IF(Custumer[[#This Row],[AccountStatus]]="","Missing Value",Custumer[[#This Row],[AccountStatus]])</f>
        <v>Active</v>
      </c>
      <c r="L34" t="s">
        <v>3195</v>
      </c>
      <c r="M34" t="s">
        <v>3154</v>
      </c>
      <c r="N34">
        <f>VALUE(IF(ISNUMBER(Custumer[[#This Row],[CreditLimit]]),Custumer[[#This Row],[CreditLimit]],MID(Custumer[[#This Row],[CreditLimit]],2,10)))</f>
        <v>50000</v>
      </c>
    </row>
    <row r="35" spans="1:14" x14ac:dyDescent="0.25">
      <c r="A35" t="s">
        <v>131</v>
      </c>
      <c r="B35" t="s">
        <v>3196</v>
      </c>
      <c r="C35" t="str">
        <f>PROPER(TRIM(Custumer[[#This Row],[CustomerName]]))</f>
        <v>Ramos Plc</v>
      </c>
      <c r="D35" t="s">
        <v>26</v>
      </c>
      <c r="E35" t="str">
        <f>TRIM(PROPER(Custumer[[#This Row],[CustomerSegment]]))</f>
        <v>Aerospace &amp; Defense</v>
      </c>
      <c r="F35" t="s">
        <v>3117</v>
      </c>
      <c r="G35" t="s">
        <v>20</v>
      </c>
      <c r="H35" t="str">
        <f>SUBSTITUTE(SUBSTITUTE(UPPER(Custumer[[#This Row],[Region]]),"NORTH AMERICA","N. AMERICA"),"LATAM","LATIN AMERICA")</f>
        <v>N. AMERICA</v>
      </c>
      <c r="I35" t="s">
        <v>3152</v>
      </c>
      <c r="J35" t="s">
        <v>3102</v>
      </c>
      <c r="K35" t="str">
        <f>IF(Custumer[[#This Row],[AccountStatus]]="","Missing Value",Custumer[[#This Row],[AccountStatus]])</f>
        <v>Active</v>
      </c>
      <c r="L35" t="s">
        <v>3197</v>
      </c>
      <c r="M35">
        <v>250000</v>
      </c>
      <c r="N35">
        <f>VALUE(IF(ISNUMBER(Custumer[[#This Row],[CreditLimit]]),Custumer[[#This Row],[CreditLimit]],MID(Custumer[[#This Row],[CreditLimit]],2,10)))</f>
        <v>250000</v>
      </c>
    </row>
    <row r="36" spans="1:14" x14ac:dyDescent="0.25">
      <c r="A36" t="s">
        <v>57</v>
      </c>
      <c r="B36" t="s">
        <v>3198</v>
      </c>
      <c r="C36" t="str">
        <f>PROPER(TRIM(Custumer[[#This Row],[CustomerName]]))</f>
        <v>Novak And Sons</v>
      </c>
      <c r="D36" t="s">
        <v>35</v>
      </c>
      <c r="E36" t="str">
        <f>TRIM(PROPER(Custumer[[#This Row],[CustomerSegment]]))</f>
        <v>Process Industries</v>
      </c>
      <c r="F36" t="s">
        <v>3100</v>
      </c>
      <c r="G36" t="s">
        <v>3118</v>
      </c>
      <c r="H36" t="str">
        <f>SUBSTITUTE(SUBSTITUTE(UPPER(Custumer[[#This Row],[Region]]),"NORTH AMERICA","N. AMERICA"),"LATAM","LATIN AMERICA")</f>
        <v>N. AMERICA</v>
      </c>
      <c r="I36" t="s">
        <v>3147</v>
      </c>
      <c r="J36" t="s">
        <v>3102</v>
      </c>
      <c r="K36" t="str">
        <f>IF(Custumer[[#This Row],[AccountStatus]]="","Missing Value",Custumer[[#This Row],[AccountStatus]])</f>
        <v>Active</v>
      </c>
      <c r="L36" t="s">
        <v>3199</v>
      </c>
      <c r="M36">
        <v>250000</v>
      </c>
      <c r="N36">
        <f>VALUE(IF(ISNUMBER(Custumer[[#This Row],[CreditLimit]]),Custumer[[#This Row],[CreditLimit]],MID(Custumer[[#This Row],[CreditLimit]],2,10)))</f>
        <v>250000</v>
      </c>
    </row>
    <row r="37" spans="1:14" x14ac:dyDescent="0.25">
      <c r="A37" t="s">
        <v>1095</v>
      </c>
      <c r="B37" t="s">
        <v>3200</v>
      </c>
      <c r="C37" t="str">
        <f>PROPER(TRIM(Custumer[[#This Row],[CustomerName]]))</f>
        <v>Barrera-Martin</v>
      </c>
      <c r="D37" t="s">
        <v>49</v>
      </c>
      <c r="E37" t="str">
        <f>TRIM(PROPER(Custumer[[#This Row],[CustomerSegment]]))</f>
        <v>Manufacturing</v>
      </c>
      <c r="F37" t="s">
        <v>3100</v>
      </c>
      <c r="G37" t="s">
        <v>76</v>
      </c>
      <c r="H37" t="str">
        <f>SUBSTITUTE(SUBSTITUTE(UPPER(Custumer[[#This Row],[Region]]),"NORTH AMERICA","N. AMERICA"),"LATAM","LATIN AMERICA")</f>
        <v>EMEA</v>
      </c>
      <c r="I37" t="s">
        <v>3192</v>
      </c>
      <c r="J37" t="s">
        <v>3102</v>
      </c>
      <c r="K37" t="str">
        <f>IF(Custumer[[#This Row],[AccountStatus]]="","Missing Value",Custumer[[#This Row],[AccountStatus]])</f>
        <v>Active</v>
      </c>
      <c r="L37" t="s">
        <v>3201</v>
      </c>
      <c r="M37">
        <v>50000</v>
      </c>
      <c r="N37">
        <f>VALUE(IF(ISNUMBER(Custumer[[#This Row],[CreditLimit]]),Custumer[[#This Row],[CreditLimit]],MID(Custumer[[#This Row],[CreditLimit]],2,10)))</f>
        <v>50000</v>
      </c>
    </row>
    <row r="38" spans="1:14" x14ac:dyDescent="0.25">
      <c r="A38" t="s">
        <v>354</v>
      </c>
      <c r="B38" t="s">
        <v>3202</v>
      </c>
      <c r="C38" t="str">
        <f>PROPER(TRIM(Custumer[[#This Row],[CustomerName]]))</f>
        <v>Mitchell-Horton Ltd</v>
      </c>
      <c r="D38" t="s">
        <v>43</v>
      </c>
      <c r="E38" t="str">
        <f>TRIM(PROPER(Custumer[[#This Row],[CustomerSegment]]))</f>
        <v>Energy &amp; Utilities</v>
      </c>
      <c r="F38" t="s">
        <v>3106</v>
      </c>
      <c r="G38" t="s">
        <v>20</v>
      </c>
      <c r="H38" t="str">
        <f>SUBSTITUTE(SUBSTITUTE(UPPER(Custumer[[#This Row],[Region]]),"NORTH AMERICA","N. AMERICA"),"LATAM","LATIN AMERICA")</f>
        <v>N. AMERICA</v>
      </c>
      <c r="I38" t="s">
        <v>3162</v>
      </c>
      <c r="J38" t="s">
        <v>3102</v>
      </c>
      <c r="K38" t="str">
        <f>IF(Custumer[[#This Row],[AccountStatus]]="","Missing Value",Custumer[[#This Row],[AccountStatus]])</f>
        <v>Active</v>
      </c>
      <c r="L38" t="s">
        <v>3203</v>
      </c>
      <c r="M38">
        <v>100000</v>
      </c>
      <c r="N38">
        <f>VALUE(IF(ISNUMBER(Custumer[[#This Row],[CreditLimit]]),Custumer[[#This Row],[CreditLimit]],MID(Custumer[[#This Row],[CreditLimit]],2,10)))</f>
        <v>100000</v>
      </c>
    </row>
    <row r="39" spans="1:14" x14ac:dyDescent="0.25">
      <c r="A39" t="s">
        <v>28</v>
      </c>
      <c r="B39" t="s">
        <v>3204</v>
      </c>
      <c r="C39" t="str">
        <f>PROPER(TRIM(Custumer[[#This Row],[CustomerName]]))</f>
        <v>Moore-Phillips Inc</v>
      </c>
      <c r="D39" t="s">
        <v>35</v>
      </c>
      <c r="E39" t="str">
        <f>TRIM(PROPER(Custumer[[#This Row],[CustomerSegment]]))</f>
        <v>Process Industries</v>
      </c>
      <c r="F39" t="s">
        <v>3100</v>
      </c>
      <c r="G39" t="s">
        <v>30</v>
      </c>
      <c r="H39" t="str">
        <f>SUBSTITUTE(SUBSTITUTE(UPPER(Custumer[[#This Row],[Region]]),"NORTH AMERICA","N. AMERICA"),"LATAM","LATIN AMERICA")</f>
        <v>APAC</v>
      </c>
      <c r="I39" t="s">
        <v>3119</v>
      </c>
      <c r="J39" t="s">
        <v>3102</v>
      </c>
      <c r="K39" t="str">
        <f>IF(Custumer[[#This Row],[AccountStatus]]="","Missing Value",Custumer[[#This Row],[AccountStatus]])</f>
        <v>Active</v>
      </c>
      <c r="L39" t="s">
        <v>3205</v>
      </c>
      <c r="M39" t="s">
        <v>3134</v>
      </c>
      <c r="N39">
        <f>VALUE(IF(ISNUMBER(Custumer[[#This Row],[CreditLimit]]),Custumer[[#This Row],[CreditLimit]],MID(Custumer[[#This Row],[CreditLimit]],2,10)))</f>
        <v>100000</v>
      </c>
    </row>
    <row r="40" spans="1:14" x14ac:dyDescent="0.25">
      <c r="A40" t="s">
        <v>81</v>
      </c>
      <c r="B40" t="s">
        <v>3206</v>
      </c>
      <c r="C40" t="str">
        <f>PROPER(TRIM(Custumer[[#This Row],[CustomerName]]))</f>
        <v>Edwards Williams And Woods Ltd</v>
      </c>
      <c r="D40" t="s">
        <v>49</v>
      </c>
      <c r="E40" t="str">
        <f>TRIM(PROPER(Custumer[[#This Row],[CustomerSegment]]))</f>
        <v>Manufacturing</v>
      </c>
      <c r="F40" t="s">
        <v>3106</v>
      </c>
      <c r="G40" t="s">
        <v>82</v>
      </c>
      <c r="H40" t="str">
        <f>SUBSTITUTE(SUBSTITUTE(UPPER(Custumer[[#This Row],[Region]]),"NORTH AMERICA","N. AMERICA"),"LATAM","LATIN AMERICA")</f>
        <v>LATIN AMERICA</v>
      </c>
      <c r="I40" t="s">
        <v>3192</v>
      </c>
      <c r="J40" t="s">
        <v>3102</v>
      </c>
      <c r="K40" t="str">
        <f>IF(Custumer[[#This Row],[AccountStatus]]="","Missing Value",Custumer[[#This Row],[AccountStatus]])</f>
        <v>Active</v>
      </c>
      <c r="L40" t="s">
        <v>3207</v>
      </c>
      <c r="M40">
        <v>100000</v>
      </c>
      <c r="N40">
        <f>VALUE(IF(ISNUMBER(Custumer[[#This Row],[CreditLimit]]),Custumer[[#This Row],[CreditLimit]],MID(Custumer[[#This Row],[CreditLimit]],2,10)))</f>
        <v>100000</v>
      </c>
    </row>
    <row r="41" spans="1:14" x14ac:dyDescent="0.25">
      <c r="A41" t="s">
        <v>3208</v>
      </c>
      <c r="B41" t="s">
        <v>3209</v>
      </c>
      <c r="C41" t="str">
        <f>PROPER(TRIM(Custumer[[#This Row],[CustomerName]]))</f>
        <v>Miller Lopez And Larson Pty Ltd</v>
      </c>
      <c r="D41" t="s">
        <v>43</v>
      </c>
      <c r="E41" t="str">
        <f>TRIM(PROPER(Custumer[[#This Row],[CustomerSegment]]))</f>
        <v>Energy &amp; Utilities</v>
      </c>
      <c r="F41" t="s">
        <v>3106</v>
      </c>
      <c r="G41" t="s">
        <v>30</v>
      </c>
      <c r="H41" t="str">
        <f>SUBSTITUTE(SUBSTITUTE(UPPER(Custumer[[#This Row],[Region]]),"NORTH AMERICA","N. AMERICA"),"LATAM","LATIN AMERICA")</f>
        <v>APAC</v>
      </c>
      <c r="I41" t="s">
        <v>3162</v>
      </c>
      <c r="J41" t="s">
        <v>3102</v>
      </c>
      <c r="K41" t="str">
        <f>IF(Custumer[[#This Row],[AccountStatus]]="","Missing Value",Custumer[[#This Row],[AccountStatus]])</f>
        <v>Active</v>
      </c>
      <c r="L41" t="s">
        <v>3210</v>
      </c>
      <c r="M41">
        <v>500000</v>
      </c>
      <c r="N41">
        <f>VALUE(IF(ISNUMBER(Custumer[[#This Row],[CreditLimit]]),Custumer[[#This Row],[CreditLimit]],MID(Custumer[[#This Row],[CreditLimit]],2,10)))</f>
        <v>500000</v>
      </c>
    </row>
    <row r="42" spans="1:14" x14ac:dyDescent="0.25">
      <c r="A42" t="s">
        <v>402</v>
      </c>
      <c r="B42" t="s">
        <v>3211</v>
      </c>
      <c r="C42" t="str">
        <f>PROPER(TRIM(Custumer[[#This Row],[CustomerName]]))</f>
        <v>Sanchez Wheeler And Harvey Bv</v>
      </c>
      <c r="D42" t="s">
        <v>35</v>
      </c>
      <c r="E42" t="str">
        <f>TRIM(PROPER(Custumer[[#This Row],[CustomerSegment]]))</f>
        <v>Process Industries</v>
      </c>
      <c r="F42" t="s">
        <v>3117</v>
      </c>
      <c r="G42" t="s">
        <v>3118</v>
      </c>
      <c r="H42" t="str">
        <f>SUBSTITUTE(SUBSTITUTE(UPPER(Custumer[[#This Row],[Region]]),"NORTH AMERICA","N. AMERICA"),"LATAM","LATIN AMERICA")</f>
        <v>N. AMERICA</v>
      </c>
      <c r="I42" t="s">
        <v>3127</v>
      </c>
      <c r="J42" t="s">
        <v>3102</v>
      </c>
      <c r="K42" t="str">
        <f>IF(Custumer[[#This Row],[AccountStatus]]="","Missing Value",Custumer[[#This Row],[AccountStatus]])</f>
        <v>Active</v>
      </c>
      <c r="L42" t="s">
        <v>3212</v>
      </c>
      <c r="M42">
        <v>250000</v>
      </c>
      <c r="N42">
        <f>VALUE(IF(ISNUMBER(Custumer[[#This Row],[CreditLimit]]),Custumer[[#This Row],[CreditLimit]],MID(Custumer[[#This Row],[CreditLimit]],2,10)))</f>
        <v>250000</v>
      </c>
    </row>
    <row r="43" spans="1:14" x14ac:dyDescent="0.25">
      <c r="A43" t="s">
        <v>447</v>
      </c>
      <c r="B43" t="s">
        <v>3213</v>
      </c>
      <c r="C43" t="str">
        <f>PROPER(TRIM(Custumer[[#This Row],[CustomerName]]))</f>
        <v>Harris-Moran</v>
      </c>
      <c r="D43" t="s">
        <v>3110</v>
      </c>
      <c r="E43" t="str">
        <f>TRIM(PROPER(Custumer[[#This Row],[CustomerSegment]]))</f>
        <v>Manufacturing</v>
      </c>
      <c r="F43" t="s">
        <v>3100</v>
      </c>
      <c r="G43" t="s">
        <v>20</v>
      </c>
      <c r="H43" t="str">
        <f>SUBSTITUTE(SUBSTITUTE(UPPER(Custumer[[#This Row],[Region]]),"NORTH AMERICA","N. AMERICA"),"LATAM","LATIN AMERICA")</f>
        <v>N. AMERICA</v>
      </c>
      <c r="I43" t="s">
        <v>3111</v>
      </c>
      <c r="J43" t="s">
        <v>3102</v>
      </c>
      <c r="K43" t="str">
        <f>IF(Custumer[[#This Row],[AccountStatus]]="","Missing Value",Custumer[[#This Row],[AccountStatus]])</f>
        <v>Active</v>
      </c>
      <c r="L43" t="s">
        <v>3214</v>
      </c>
      <c r="M43">
        <v>100000</v>
      </c>
      <c r="N43">
        <f>VALUE(IF(ISNUMBER(Custumer[[#This Row],[CreditLimit]]),Custumer[[#This Row],[CreditLimit]],MID(Custumer[[#This Row],[CreditLimit]],2,10)))</f>
        <v>100000</v>
      </c>
    </row>
    <row r="44" spans="1:14" x14ac:dyDescent="0.25">
      <c r="A44" t="s">
        <v>250</v>
      </c>
      <c r="B44" t="s">
        <v>3215</v>
      </c>
      <c r="C44" t="str">
        <f>PROPER(TRIM(Custumer[[#This Row],[CustomerName]]))</f>
        <v>Bryant-Hickman</v>
      </c>
      <c r="D44" t="s">
        <v>35</v>
      </c>
      <c r="E44" t="str">
        <f>TRIM(PROPER(Custumer[[#This Row],[CustomerSegment]]))</f>
        <v>Process Industries</v>
      </c>
      <c r="F44" t="s">
        <v>3100</v>
      </c>
      <c r="G44" t="s">
        <v>76</v>
      </c>
      <c r="H44" t="str">
        <f>SUBSTITUTE(SUBSTITUTE(UPPER(Custumer[[#This Row],[Region]]),"NORTH AMERICA","N. AMERICA"),"LATAM","LATIN AMERICA")</f>
        <v>EMEA</v>
      </c>
      <c r="I44" t="s">
        <v>3119</v>
      </c>
      <c r="J44" t="s">
        <v>3102</v>
      </c>
      <c r="K44" t="str">
        <f>IF(Custumer[[#This Row],[AccountStatus]]="","Missing Value",Custumer[[#This Row],[AccountStatus]])</f>
        <v>Active</v>
      </c>
      <c r="L44" t="s">
        <v>3216</v>
      </c>
      <c r="M44">
        <v>500000</v>
      </c>
      <c r="N44">
        <f>VALUE(IF(ISNUMBER(Custumer[[#This Row],[CreditLimit]]),Custumer[[#This Row],[CreditLimit]],MID(Custumer[[#This Row],[CreditLimit]],2,10)))</f>
        <v>500000</v>
      </c>
    </row>
    <row r="45" spans="1:14" x14ac:dyDescent="0.25">
      <c r="A45" t="s">
        <v>808</v>
      </c>
      <c r="B45" t="s">
        <v>3217</v>
      </c>
      <c r="C45" t="str">
        <f>PROPER(TRIM(Custumer[[#This Row],[CustomerName]]))</f>
        <v>Ferrell Jones And Lewis</v>
      </c>
      <c r="D45" t="s">
        <v>49</v>
      </c>
      <c r="E45" t="str">
        <f>TRIM(PROPER(Custumer[[#This Row],[CustomerSegment]]))</f>
        <v>Manufacturing</v>
      </c>
      <c r="F45" t="s">
        <v>3100</v>
      </c>
      <c r="G45" t="s">
        <v>20</v>
      </c>
      <c r="H45" t="str">
        <f>SUBSTITUTE(SUBSTITUTE(UPPER(Custumer[[#This Row],[Region]]),"NORTH AMERICA","N. AMERICA"),"LATAM","LATIN AMERICA")</f>
        <v>N. AMERICA</v>
      </c>
      <c r="I45" t="s">
        <v>3167</v>
      </c>
      <c r="J45" t="s">
        <v>3102</v>
      </c>
      <c r="K45" t="str">
        <f>IF(Custumer[[#This Row],[AccountStatus]]="","Missing Value",Custumer[[#This Row],[AccountStatus]])</f>
        <v>Active</v>
      </c>
      <c r="L45" t="s">
        <v>3218</v>
      </c>
      <c r="M45">
        <v>500000</v>
      </c>
      <c r="N45">
        <f>VALUE(IF(ISNUMBER(Custumer[[#This Row],[CreditLimit]]),Custumer[[#This Row],[CreditLimit]],MID(Custumer[[#This Row],[CreditLimit]],2,10)))</f>
        <v>500000</v>
      </c>
    </row>
    <row r="46" spans="1:14" x14ac:dyDescent="0.25">
      <c r="A46" t="s">
        <v>247</v>
      </c>
      <c r="B46" t="s">
        <v>3219</v>
      </c>
      <c r="C46" t="str">
        <f>PROPER(TRIM(Custumer[[#This Row],[CustomerName]]))</f>
        <v>Wood And Sons</v>
      </c>
      <c r="D46" t="s">
        <v>35</v>
      </c>
      <c r="E46" t="str">
        <f>TRIM(PROPER(Custumer[[#This Row],[CustomerSegment]]))</f>
        <v>Process Industries</v>
      </c>
      <c r="F46" t="s">
        <v>3126</v>
      </c>
      <c r="G46" t="s">
        <v>76</v>
      </c>
      <c r="H46" t="str">
        <f>SUBSTITUTE(SUBSTITUTE(UPPER(Custumer[[#This Row],[Region]]),"NORTH AMERICA","N. AMERICA"),"LATAM","LATIN AMERICA")</f>
        <v>EMEA</v>
      </c>
      <c r="I46" t="s">
        <v>3127</v>
      </c>
      <c r="J46" t="s">
        <v>3102</v>
      </c>
      <c r="K46" t="str">
        <f>IF(Custumer[[#This Row],[AccountStatus]]="","Missing Value",Custumer[[#This Row],[AccountStatus]])</f>
        <v>Active</v>
      </c>
      <c r="L46" t="s">
        <v>3220</v>
      </c>
      <c r="M46">
        <v>100000</v>
      </c>
      <c r="N46">
        <f>VALUE(IF(ISNUMBER(Custumer[[#This Row],[CreditLimit]]),Custumer[[#This Row],[CreditLimit]],MID(Custumer[[#This Row],[CreditLimit]],2,10)))</f>
        <v>100000</v>
      </c>
    </row>
    <row r="47" spans="1:14" x14ac:dyDescent="0.25">
      <c r="A47" t="s">
        <v>2373</v>
      </c>
      <c r="B47" t="s">
        <v>3221</v>
      </c>
      <c r="C47" t="str">
        <f>PROPER(TRIM(Custumer[[#This Row],[CustomerName]]))</f>
        <v>Rice Contreras And Spe...</v>
      </c>
      <c r="D47" t="s">
        <v>49</v>
      </c>
      <c r="E47" t="str">
        <f>TRIM(PROPER(Custumer[[#This Row],[CustomerSegment]]))</f>
        <v>Manufacturing</v>
      </c>
      <c r="F47" t="s">
        <v>3100</v>
      </c>
      <c r="G47" t="s">
        <v>82</v>
      </c>
      <c r="H47" t="str">
        <f>SUBSTITUTE(SUBSTITUTE(UPPER(Custumer[[#This Row],[Region]]),"NORTH AMERICA","N. AMERICA"),"LATAM","LATIN AMERICA")</f>
        <v>LATIN AMERICA</v>
      </c>
      <c r="I47" t="s">
        <v>3107</v>
      </c>
      <c r="J47" t="s">
        <v>3102</v>
      </c>
      <c r="K47" t="str">
        <f>IF(Custumer[[#This Row],[AccountStatus]]="","Missing Value",Custumer[[#This Row],[AccountStatus]])</f>
        <v>Active</v>
      </c>
      <c r="L47" t="s">
        <v>3222</v>
      </c>
      <c r="M47">
        <v>250000</v>
      </c>
      <c r="N47">
        <f>VALUE(IF(ISNUMBER(Custumer[[#This Row],[CreditLimit]]),Custumer[[#This Row],[CreditLimit]],MID(Custumer[[#This Row],[CreditLimit]],2,10)))</f>
        <v>250000</v>
      </c>
    </row>
    <row r="48" spans="1:14" x14ac:dyDescent="0.25">
      <c r="A48" t="s">
        <v>919</v>
      </c>
      <c r="B48" t="s">
        <v>3223</v>
      </c>
      <c r="C48" t="str">
        <f>PROPER(TRIM(Custumer[[#This Row],[CustomerName]]))</f>
        <v>Wilson-Rodriguez Gmbh</v>
      </c>
      <c r="D48" t="s">
        <v>26</v>
      </c>
      <c r="E48" t="str">
        <f>TRIM(PROPER(Custumer[[#This Row],[CustomerSegment]]))</f>
        <v>Aerospace &amp; Defense</v>
      </c>
      <c r="F48" t="s">
        <v>3100</v>
      </c>
      <c r="G48" t="s">
        <v>76</v>
      </c>
      <c r="H48" t="str">
        <f>SUBSTITUTE(SUBSTITUTE(UPPER(Custumer[[#This Row],[Region]]),"NORTH AMERICA","N. AMERICA"),"LATAM","LATIN AMERICA")</f>
        <v>EMEA</v>
      </c>
      <c r="I48" t="s">
        <v>3175</v>
      </c>
      <c r="J48" t="s">
        <v>3102</v>
      </c>
      <c r="K48" t="str">
        <f>IF(Custumer[[#This Row],[AccountStatus]]="","Missing Value",Custumer[[#This Row],[AccountStatus]])</f>
        <v>Active</v>
      </c>
      <c r="L48" t="s">
        <v>3224</v>
      </c>
      <c r="M48">
        <v>100000</v>
      </c>
      <c r="N48">
        <f>VALUE(IF(ISNUMBER(Custumer[[#This Row],[CreditLimit]]),Custumer[[#This Row],[CreditLimit]],MID(Custumer[[#This Row],[CreditLimit]],2,10)))</f>
        <v>100000</v>
      </c>
    </row>
    <row r="49" spans="1:14" x14ac:dyDescent="0.25">
      <c r="A49" t="s">
        <v>18</v>
      </c>
      <c r="B49" t="s">
        <v>3225</v>
      </c>
      <c r="C49" t="str">
        <f>PROPER(TRIM(Custumer[[#This Row],[CustomerName]]))</f>
        <v>Cooper Watts And Farrell Corp</v>
      </c>
      <c r="D49" t="s">
        <v>26</v>
      </c>
      <c r="E49" t="str">
        <f>TRIM(PROPER(Custumer[[#This Row],[CustomerSegment]]))</f>
        <v>Aerospace &amp; Defense</v>
      </c>
      <c r="F49" t="s">
        <v>3126</v>
      </c>
      <c r="G49" t="s">
        <v>20</v>
      </c>
      <c r="H49" t="str">
        <f>SUBSTITUTE(SUBSTITUTE(UPPER(Custumer[[#This Row],[Region]]),"NORTH AMERICA","N. AMERICA"),"LATAM","LATIN AMERICA")</f>
        <v>N. AMERICA</v>
      </c>
      <c r="I49" t="s">
        <v>3152</v>
      </c>
      <c r="J49" t="s">
        <v>3102</v>
      </c>
      <c r="K49" t="str">
        <f>IF(Custumer[[#This Row],[AccountStatus]]="","Missing Value",Custumer[[#This Row],[AccountStatus]])</f>
        <v>Active</v>
      </c>
      <c r="L49" t="s">
        <v>3226</v>
      </c>
      <c r="M49">
        <v>100000</v>
      </c>
      <c r="N49">
        <f>VALUE(IF(ISNUMBER(Custumer[[#This Row],[CreditLimit]]),Custumer[[#This Row],[CreditLimit]],MID(Custumer[[#This Row],[CreditLimit]],2,10)))</f>
        <v>100000</v>
      </c>
    </row>
    <row r="50" spans="1:14" x14ac:dyDescent="0.25">
      <c r="A50" t="s">
        <v>652</v>
      </c>
      <c r="B50" t="s">
        <v>3227</v>
      </c>
      <c r="C50" t="str">
        <f>PROPER(TRIM(Custumer[[#This Row],[CustomerName]]))</f>
        <v>Davis Group</v>
      </c>
      <c r="D50" t="s">
        <v>3228</v>
      </c>
      <c r="E50" t="str">
        <f>TRIM(PROPER(Custumer[[#This Row],[CustomerSegment]]))</f>
        <v>Research &amp; Labs</v>
      </c>
      <c r="F50" t="s">
        <v>3106</v>
      </c>
      <c r="G50" t="s">
        <v>3229</v>
      </c>
      <c r="H50" t="str">
        <f>SUBSTITUTE(SUBSTITUTE(UPPER(Custumer[[#This Row],[Region]]),"NORTH AMERICA","N. AMERICA"),"LATAM","LATIN AMERICA")</f>
        <v>LATIN AMERICA</v>
      </c>
      <c r="I50" t="s">
        <v>3172</v>
      </c>
      <c r="J50" t="s">
        <v>3102</v>
      </c>
      <c r="K50" t="str">
        <f>IF(Custumer[[#This Row],[AccountStatus]]="","Missing Value",Custumer[[#This Row],[AccountStatus]])</f>
        <v>Active</v>
      </c>
      <c r="L50" t="s">
        <v>3230</v>
      </c>
      <c r="M50">
        <v>50000</v>
      </c>
      <c r="N50">
        <f>VALUE(IF(ISNUMBER(Custumer[[#This Row],[CreditLimit]]),Custumer[[#This Row],[CreditLimit]],MID(Custumer[[#This Row],[CreditLimit]],2,10)))</f>
        <v>50000</v>
      </c>
    </row>
    <row r="51" spans="1:14" x14ac:dyDescent="0.25">
      <c r="A51" t="s">
        <v>1417</v>
      </c>
      <c r="B51" t="s">
        <v>3231</v>
      </c>
      <c r="C51" t="str">
        <f>PROPER(TRIM(Custumer[[#This Row],[CustomerName]]))</f>
        <v>Walsh Llc Ltd</v>
      </c>
      <c r="D51" t="s">
        <v>65</v>
      </c>
      <c r="E51" t="str">
        <f>TRIM(PROPER(Custumer[[#This Row],[CustomerSegment]]))</f>
        <v>Research &amp; Labs</v>
      </c>
      <c r="F51" t="s">
        <v>3106</v>
      </c>
      <c r="G51" t="s">
        <v>76</v>
      </c>
      <c r="H51" t="str">
        <f>SUBSTITUTE(SUBSTITUTE(UPPER(Custumer[[#This Row],[Region]]),"NORTH AMERICA","N. AMERICA"),"LATAM","LATIN AMERICA")</f>
        <v>EMEA</v>
      </c>
      <c r="I51" t="s">
        <v>3141</v>
      </c>
      <c r="J51" t="s">
        <v>3232</v>
      </c>
      <c r="K51" t="str">
        <f>IF(Custumer[[#This Row],[AccountStatus]]="","Missing Value",Custumer[[#This Row],[AccountStatus]])</f>
        <v>On Hold</v>
      </c>
      <c r="L51" t="s">
        <v>3233</v>
      </c>
      <c r="M51">
        <v>500000</v>
      </c>
      <c r="N51">
        <f>VALUE(IF(ISNUMBER(Custumer[[#This Row],[CreditLimit]]),Custumer[[#This Row],[CreditLimit]],MID(Custumer[[#This Row],[CreditLimit]],2,10)))</f>
        <v>500000</v>
      </c>
    </row>
    <row r="52" spans="1:14" x14ac:dyDescent="0.25">
      <c r="A52" t="s">
        <v>973</v>
      </c>
      <c r="B52" t="s">
        <v>3234</v>
      </c>
      <c r="C52" t="str">
        <f>PROPER(TRIM(Custumer[[#This Row],[CustomerName]]))</f>
        <v>Smith Jones And Ware Bv</v>
      </c>
      <c r="D52" t="s">
        <v>49</v>
      </c>
      <c r="E52" t="str">
        <f>TRIM(PROPER(Custumer[[#This Row],[CustomerSegment]]))</f>
        <v>Manufacturing</v>
      </c>
      <c r="F52" t="s">
        <v>3106</v>
      </c>
      <c r="G52" t="s">
        <v>20</v>
      </c>
      <c r="H52" t="str">
        <f>SUBSTITUTE(SUBSTITUTE(UPPER(Custumer[[#This Row],[Region]]),"NORTH AMERICA","N. AMERICA"),"LATAM","LATIN AMERICA")</f>
        <v>N. AMERICA</v>
      </c>
      <c r="I52" t="s">
        <v>3111</v>
      </c>
      <c r="J52" t="s">
        <v>3102</v>
      </c>
      <c r="K52" t="str">
        <f>IF(Custumer[[#This Row],[AccountStatus]]="","Missing Value",Custumer[[#This Row],[AccountStatus]])</f>
        <v>Active</v>
      </c>
      <c r="L52" t="s">
        <v>3235</v>
      </c>
      <c r="M52">
        <v>100000</v>
      </c>
      <c r="N52">
        <f>VALUE(IF(ISNUMBER(Custumer[[#This Row],[CreditLimit]]),Custumer[[#This Row],[CreditLimit]],MID(Custumer[[#This Row],[CreditLimit]],2,10)))</f>
        <v>100000</v>
      </c>
    </row>
    <row r="53" spans="1:14" x14ac:dyDescent="0.25">
      <c r="A53" t="s">
        <v>935</v>
      </c>
      <c r="B53" t="s">
        <v>3236</v>
      </c>
      <c r="C53" t="str">
        <f>PROPER(TRIM(Custumer[[#This Row],[CustomerName]]))</f>
        <v>Tran Jordan And Williams Sa</v>
      </c>
      <c r="D53" t="s">
        <v>35</v>
      </c>
      <c r="E53" t="str">
        <f>TRIM(PROPER(Custumer[[#This Row],[CustomerSegment]]))</f>
        <v>Process Industries</v>
      </c>
      <c r="F53" t="s">
        <v>3100</v>
      </c>
      <c r="G53" t="s">
        <v>82</v>
      </c>
      <c r="H53" t="str">
        <f>SUBSTITUTE(SUBSTITUTE(UPPER(Custumer[[#This Row],[Region]]),"NORTH AMERICA","N. AMERICA"),"LATAM","LATIN AMERICA")</f>
        <v>LATIN AMERICA</v>
      </c>
      <c r="I53" t="s">
        <v>3127</v>
      </c>
      <c r="J53" t="s">
        <v>3102</v>
      </c>
      <c r="K53" t="str">
        <f>IF(Custumer[[#This Row],[AccountStatus]]="","Missing Value",Custumer[[#This Row],[AccountStatus]])</f>
        <v>Active</v>
      </c>
      <c r="L53" t="s">
        <v>3237</v>
      </c>
      <c r="M53">
        <v>50000</v>
      </c>
      <c r="N53">
        <f>VALUE(IF(ISNUMBER(Custumer[[#This Row],[CreditLimit]]),Custumer[[#This Row],[CreditLimit]],MID(Custumer[[#This Row],[CreditLimit]],2,10)))</f>
        <v>50000</v>
      </c>
    </row>
    <row r="54" spans="1:14" x14ac:dyDescent="0.25">
      <c r="A54" t="s">
        <v>580</v>
      </c>
      <c r="B54" t="s">
        <v>3238</v>
      </c>
      <c r="C54" t="str">
        <f>PROPER(TRIM(Custumer[[#This Row],[CustomerName]]))</f>
        <v>Nolan And Sons Llc</v>
      </c>
      <c r="D54" t="s">
        <v>35</v>
      </c>
      <c r="E54" t="str">
        <f>TRIM(PROPER(Custumer[[#This Row],[CustomerSegment]]))</f>
        <v>Process Industries</v>
      </c>
      <c r="F54" t="s">
        <v>3117</v>
      </c>
      <c r="G54" t="s">
        <v>82</v>
      </c>
      <c r="H54" t="str">
        <f>SUBSTITUTE(SUBSTITUTE(UPPER(Custumer[[#This Row],[Region]]),"NORTH AMERICA","N. AMERICA"),"LATAM","LATIN AMERICA")</f>
        <v>LATIN AMERICA</v>
      </c>
      <c r="I54" t="s">
        <v>3119</v>
      </c>
      <c r="J54" t="s">
        <v>3102</v>
      </c>
      <c r="K54" t="str">
        <f>IF(Custumer[[#This Row],[AccountStatus]]="","Missing Value",Custumer[[#This Row],[AccountStatus]])</f>
        <v>Active</v>
      </c>
      <c r="L54" t="s">
        <v>3239</v>
      </c>
      <c r="M54">
        <v>500000</v>
      </c>
      <c r="N54">
        <f>VALUE(IF(ISNUMBER(Custumer[[#This Row],[CreditLimit]]),Custumer[[#This Row],[CreditLimit]],MID(Custumer[[#This Row],[CreditLimit]],2,10)))</f>
        <v>500000</v>
      </c>
    </row>
    <row r="55" spans="1:14" x14ac:dyDescent="0.25">
      <c r="A55" t="s">
        <v>523</v>
      </c>
      <c r="B55" t="s">
        <v>3240</v>
      </c>
      <c r="C55" t="str">
        <f>PROPER(TRIM(Custumer[[#This Row],[CustomerName]]))</f>
        <v>Henson Russell And Oliver Bv</v>
      </c>
      <c r="D55" t="s">
        <v>26</v>
      </c>
      <c r="E55" t="str">
        <f>TRIM(PROPER(Custumer[[#This Row],[CustomerSegment]]))</f>
        <v>Aerospace &amp; Defense</v>
      </c>
      <c r="F55" t="s">
        <v>3100</v>
      </c>
      <c r="G55" t="s">
        <v>76</v>
      </c>
      <c r="H55" t="str">
        <f>SUBSTITUTE(SUBSTITUTE(UPPER(Custumer[[#This Row],[Region]]),"NORTH AMERICA","N. AMERICA"),"LATAM","LATIN AMERICA")</f>
        <v>EMEA</v>
      </c>
      <c r="I55" t="s">
        <v>3130</v>
      </c>
      <c r="J55" t="s">
        <v>3102</v>
      </c>
      <c r="K55" t="str">
        <f>IF(Custumer[[#This Row],[AccountStatus]]="","Missing Value",Custumer[[#This Row],[AccountStatus]])</f>
        <v>Active</v>
      </c>
      <c r="L55" t="s">
        <v>3241</v>
      </c>
      <c r="M55">
        <v>100000</v>
      </c>
      <c r="N55">
        <f>VALUE(IF(ISNUMBER(Custumer[[#This Row],[CreditLimit]]),Custumer[[#This Row],[CreditLimit]],MID(Custumer[[#This Row],[CreditLimit]],2,10)))</f>
        <v>100000</v>
      </c>
    </row>
    <row r="56" spans="1:14" x14ac:dyDescent="0.25">
      <c r="A56" t="s">
        <v>1906</v>
      </c>
      <c r="B56" t="s">
        <v>3242</v>
      </c>
      <c r="C56" t="str">
        <f>PROPER(TRIM(Custumer[[#This Row],[CustomerName]]))</f>
        <v>Keith Inc</v>
      </c>
      <c r="D56" t="s">
        <v>26</v>
      </c>
      <c r="E56" t="str">
        <f>TRIM(PROPER(Custumer[[#This Row],[CustomerSegment]]))</f>
        <v>Aerospace &amp; Defense</v>
      </c>
      <c r="F56" t="s">
        <v>3106</v>
      </c>
      <c r="G56" t="s">
        <v>30</v>
      </c>
      <c r="H56" t="str">
        <f>SUBSTITUTE(SUBSTITUTE(UPPER(Custumer[[#This Row],[Region]]),"NORTH AMERICA","N. AMERICA"),"LATAM","LATIN AMERICA")</f>
        <v>APAC</v>
      </c>
      <c r="I56" t="s">
        <v>3175</v>
      </c>
      <c r="J56" t="s">
        <v>3102</v>
      </c>
      <c r="K56" t="str">
        <f>IF(Custumer[[#This Row],[AccountStatus]]="","Missing Value",Custumer[[#This Row],[AccountStatus]])</f>
        <v>Active</v>
      </c>
      <c r="L56" t="s">
        <v>3243</v>
      </c>
      <c r="M56">
        <v>250000</v>
      </c>
      <c r="N56">
        <f>VALUE(IF(ISNUMBER(Custumer[[#This Row],[CreditLimit]]),Custumer[[#This Row],[CreditLimit]],MID(Custumer[[#This Row],[CreditLimit]],2,10)))</f>
        <v>250000</v>
      </c>
    </row>
    <row r="57" spans="1:14" x14ac:dyDescent="0.25">
      <c r="A57" t="s">
        <v>1026</v>
      </c>
      <c r="B57" t="s">
        <v>3244</v>
      </c>
      <c r="C57" t="str">
        <f>PROPER(TRIM(Custumer[[#This Row],[CustomerName]]))</f>
        <v>Pham-Shields Bv</v>
      </c>
      <c r="D57" t="s">
        <v>43</v>
      </c>
      <c r="E57" t="str">
        <f>TRIM(PROPER(Custumer[[#This Row],[CustomerSegment]]))</f>
        <v>Energy &amp; Utilities</v>
      </c>
      <c r="F57" t="s">
        <v>3100</v>
      </c>
      <c r="G57" t="s">
        <v>30</v>
      </c>
      <c r="H57" t="str">
        <f>SUBSTITUTE(SUBSTITUTE(UPPER(Custumer[[#This Row],[Region]]),"NORTH AMERICA","N. AMERICA"),"LATAM","LATIN AMERICA")</f>
        <v>APAC</v>
      </c>
      <c r="I57" t="s">
        <v>3178</v>
      </c>
      <c r="J57" t="s">
        <v>3102</v>
      </c>
      <c r="K57" t="str">
        <f>IF(Custumer[[#This Row],[AccountStatus]]="","Missing Value",Custumer[[#This Row],[AccountStatus]])</f>
        <v>Active</v>
      </c>
      <c r="L57" t="s">
        <v>3245</v>
      </c>
      <c r="M57">
        <v>500000</v>
      </c>
      <c r="N57">
        <f>VALUE(IF(ISNUMBER(Custumer[[#This Row],[CreditLimit]]),Custumer[[#This Row],[CreditLimit]],MID(Custumer[[#This Row],[CreditLimit]],2,10)))</f>
        <v>500000</v>
      </c>
    </row>
    <row r="58" spans="1:14" x14ac:dyDescent="0.25">
      <c r="A58" t="s">
        <v>96</v>
      </c>
      <c r="B58" t="s">
        <v>3246</v>
      </c>
      <c r="C58" t="str">
        <f>PROPER(TRIM(Custumer[[#This Row],[CustomerName]]))</f>
        <v>Reyes Inc. Co</v>
      </c>
      <c r="D58" t="s">
        <v>65</v>
      </c>
      <c r="E58" t="str">
        <f>TRIM(PROPER(Custumer[[#This Row],[CustomerSegment]]))</f>
        <v>Research &amp; Labs</v>
      </c>
      <c r="F58" t="s">
        <v>3100</v>
      </c>
      <c r="G58" t="s">
        <v>20</v>
      </c>
      <c r="H58" t="str">
        <f>SUBSTITUTE(SUBSTITUTE(UPPER(Custumer[[#This Row],[Region]]),"NORTH AMERICA","N. AMERICA"),"LATAM","LATIN AMERICA")</f>
        <v>N. AMERICA</v>
      </c>
      <c r="I58" t="s">
        <v>3189</v>
      </c>
      <c r="J58" t="s">
        <v>3102</v>
      </c>
      <c r="K58" t="str">
        <f>IF(Custumer[[#This Row],[AccountStatus]]="","Missing Value",Custumer[[#This Row],[AccountStatus]])</f>
        <v>Active</v>
      </c>
      <c r="L58" t="s">
        <v>3247</v>
      </c>
      <c r="M58">
        <v>250000</v>
      </c>
      <c r="N58">
        <f>VALUE(IF(ISNUMBER(Custumer[[#This Row],[CreditLimit]]),Custumer[[#This Row],[CreditLimit]],MID(Custumer[[#This Row],[CreditLimit]],2,10)))</f>
        <v>250000</v>
      </c>
    </row>
    <row r="59" spans="1:14" x14ac:dyDescent="0.25">
      <c r="A59" t="s">
        <v>1133</v>
      </c>
      <c r="B59" t="s">
        <v>3248</v>
      </c>
      <c r="C59" t="str">
        <f>PROPER(TRIM(Custumer[[#This Row],[CustomerName]]))</f>
        <v>Bailey-Hoover</v>
      </c>
      <c r="D59" t="s">
        <v>49</v>
      </c>
      <c r="E59" t="str">
        <f>TRIM(PROPER(Custumer[[#This Row],[CustomerSegment]]))</f>
        <v>Manufacturing</v>
      </c>
      <c r="F59" t="s">
        <v>3100</v>
      </c>
      <c r="G59" t="s">
        <v>76</v>
      </c>
      <c r="H59" t="str">
        <f>SUBSTITUTE(SUBSTITUTE(UPPER(Custumer[[#This Row],[Region]]),"NORTH AMERICA","N. AMERICA"),"LATAM","LATIN AMERICA")</f>
        <v>EMEA</v>
      </c>
      <c r="I59" t="s">
        <v>3107</v>
      </c>
      <c r="J59" t="s">
        <v>3102</v>
      </c>
      <c r="K59" t="str">
        <f>IF(Custumer[[#This Row],[AccountStatus]]="","Missing Value",Custumer[[#This Row],[AccountStatus]])</f>
        <v>Active</v>
      </c>
      <c r="L59" t="s">
        <v>3249</v>
      </c>
      <c r="M59">
        <v>250000</v>
      </c>
      <c r="N59">
        <f>VALUE(IF(ISNUMBER(Custumer[[#This Row],[CreditLimit]]),Custumer[[#This Row],[CreditLimit]],MID(Custumer[[#This Row],[CreditLimit]],2,10)))</f>
        <v>250000</v>
      </c>
    </row>
    <row r="60" spans="1:14" x14ac:dyDescent="0.25">
      <c r="A60" t="s">
        <v>243</v>
      </c>
      <c r="B60" t="s">
        <v>3250</v>
      </c>
      <c r="C60" t="str">
        <f>PROPER(TRIM(Custumer[[#This Row],[CustomerName]]))</f>
        <v>Murphy-Lin</v>
      </c>
      <c r="D60" t="s">
        <v>49</v>
      </c>
      <c r="E60" t="str">
        <f>TRIM(PROPER(Custumer[[#This Row],[CustomerSegment]]))</f>
        <v>Manufacturing</v>
      </c>
      <c r="F60" t="s">
        <v>3106</v>
      </c>
      <c r="G60" t="s">
        <v>20</v>
      </c>
      <c r="H60" t="str">
        <f>SUBSTITUTE(SUBSTITUTE(UPPER(Custumer[[#This Row],[Region]]),"NORTH AMERICA","N. AMERICA"),"LATAM","LATIN AMERICA")</f>
        <v>N. AMERICA</v>
      </c>
      <c r="I60" t="s">
        <v>3192</v>
      </c>
      <c r="J60" t="s">
        <v>3102</v>
      </c>
      <c r="K60" t="str">
        <f>IF(Custumer[[#This Row],[AccountStatus]]="","Missing Value",Custumer[[#This Row],[AccountStatus]])</f>
        <v>Active</v>
      </c>
      <c r="L60" t="s">
        <v>3251</v>
      </c>
      <c r="M60">
        <v>50000</v>
      </c>
      <c r="N60">
        <f>VALUE(IF(ISNUMBER(Custumer[[#This Row],[CreditLimit]]),Custumer[[#This Row],[CreditLimit]],MID(Custumer[[#This Row],[CreditLimit]],2,10)))</f>
        <v>50000</v>
      </c>
    </row>
    <row r="61" spans="1:14" x14ac:dyDescent="0.25">
      <c r="A61" t="s">
        <v>571</v>
      </c>
      <c r="B61" t="s">
        <v>3252</v>
      </c>
      <c r="C61" t="str">
        <f>PROPER(TRIM(Custumer[[#This Row],[CustomerName]]))</f>
        <v>Frazier-Anthony</v>
      </c>
      <c r="D61" t="s">
        <v>43</v>
      </c>
      <c r="E61" t="str">
        <f>TRIM(PROPER(Custumer[[#This Row],[CustomerSegment]]))</f>
        <v>Energy &amp; Utilities</v>
      </c>
      <c r="F61" t="s">
        <v>3117</v>
      </c>
      <c r="G61" t="s">
        <v>30</v>
      </c>
      <c r="H61" t="str">
        <f>SUBSTITUTE(SUBSTITUTE(UPPER(Custumer[[#This Row],[Region]]),"NORTH AMERICA","N. AMERICA"),"LATAM","LATIN AMERICA")</f>
        <v>APAC</v>
      </c>
      <c r="I61" t="s">
        <v>3144</v>
      </c>
      <c r="K61" t="str">
        <f>IF(Custumer[[#This Row],[AccountStatus]]="","Missing Value",Custumer[[#This Row],[AccountStatus]])</f>
        <v>Missing Value</v>
      </c>
      <c r="L61" t="s">
        <v>3253</v>
      </c>
      <c r="M61">
        <v>50000</v>
      </c>
      <c r="N61">
        <f>VALUE(IF(ISNUMBER(Custumer[[#This Row],[CreditLimit]]),Custumer[[#This Row],[CreditLimit]],MID(Custumer[[#This Row],[CreditLimit]],2,10)))</f>
        <v>50000</v>
      </c>
    </row>
    <row r="62" spans="1:14" x14ac:dyDescent="0.25">
      <c r="A62" t="s">
        <v>150</v>
      </c>
      <c r="B62" t="s">
        <v>3254</v>
      </c>
      <c r="C62" t="str">
        <f>PROPER(TRIM(Custumer[[#This Row],[CustomerName]]))</f>
        <v>White-Estes Ag</v>
      </c>
      <c r="D62" t="s">
        <v>49</v>
      </c>
      <c r="E62" t="str">
        <f>TRIM(PROPER(Custumer[[#This Row],[CustomerSegment]]))</f>
        <v>Manufacturing</v>
      </c>
      <c r="F62" t="s">
        <v>3100</v>
      </c>
      <c r="G62" t="s">
        <v>76</v>
      </c>
      <c r="H62" t="str">
        <f>SUBSTITUTE(SUBSTITUTE(UPPER(Custumer[[#This Row],[Region]]),"NORTH AMERICA","N. AMERICA"),"LATAM","LATIN AMERICA")</f>
        <v>EMEA</v>
      </c>
      <c r="I62" t="s">
        <v>3192</v>
      </c>
      <c r="J62" t="s">
        <v>3102</v>
      </c>
      <c r="K62" t="str">
        <f>IF(Custumer[[#This Row],[AccountStatus]]="","Missing Value",Custumer[[#This Row],[AccountStatus]])</f>
        <v>Active</v>
      </c>
      <c r="L62" t="s">
        <v>3255</v>
      </c>
      <c r="M62">
        <v>500000</v>
      </c>
      <c r="N62">
        <f>VALUE(IF(ISNUMBER(Custumer[[#This Row],[CreditLimit]]),Custumer[[#This Row],[CreditLimit]],MID(Custumer[[#This Row],[CreditLimit]],2,10)))</f>
        <v>500000</v>
      </c>
    </row>
    <row r="63" spans="1:14" x14ac:dyDescent="0.25">
      <c r="A63" t="s">
        <v>176</v>
      </c>
      <c r="B63" t="s">
        <v>3256</v>
      </c>
      <c r="C63" t="str">
        <f>PROPER(TRIM(Custumer[[#This Row],[CustomerName]]))</f>
        <v>Hartman Graham And Joyce Llc</v>
      </c>
      <c r="D63" t="s">
        <v>65</v>
      </c>
      <c r="E63" t="str">
        <f>TRIM(PROPER(Custumer[[#This Row],[CustomerSegment]]))</f>
        <v>Research &amp; Labs</v>
      </c>
      <c r="F63" t="s">
        <v>3117</v>
      </c>
      <c r="G63" t="s">
        <v>76</v>
      </c>
      <c r="H63" t="str">
        <f>SUBSTITUTE(SUBSTITUTE(UPPER(Custumer[[#This Row],[Region]]),"NORTH AMERICA","N. AMERICA"),"LATAM","LATIN AMERICA")</f>
        <v>EMEA</v>
      </c>
      <c r="I63" t="s">
        <v>3141</v>
      </c>
      <c r="J63" t="s">
        <v>3102</v>
      </c>
      <c r="K63" t="str">
        <f>IF(Custumer[[#This Row],[AccountStatus]]="","Missing Value",Custumer[[#This Row],[AccountStatus]])</f>
        <v>Active</v>
      </c>
      <c r="L63" t="s">
        <v>3257</v>
      </c>
      <c r="M63">
        <v>100000</v>
      </c>
      <c r="N63">
        <f>VALUE(IF(ISNUMBER(Custumer[[#This Row],[CreditLimit]]),Custumer[[#This Row],[CreditLimit]],MID(Custumer[[#This Row],[CreditLimit]],2,10)))</f>
        <v>100000</v>
      </c>
    </row>
    <row r="64" spans="1:14" x14ac:dyDescent="0.25">
      <c r="A64" t="s">
        <v>186</v>
      </c>
      <c r="B64" t="s">
        <v>3258</v>
      </c>
      <c r="C64" t="str">
        <f>PROPER(TRIM(Custumer[[#This Row],[CustomerName]]))</f>
        <v>Fletcher Inc Co</v>
      </c>
      <c r="D64" t="s">
        <v>43</v>
      </c>
      <c r="E64" t="str">
        <f>TRIM(PROPER(Custumer[[#This Row],[CustomerSegment]]))</f>
        <v>Energy &amp; Utilities</v>
      </c>
      <c r="F64" t="s">
        <v>3126</v>
      </c>
      <c r="G64" t="s">
        <v>20</v>
      </c>
      <c r="H64" t="str">
        <f>SUBSTITUTE(SUBSTITUTE(UPPER(Custumer[[#This Row],[Region]]),"NORTH AMERICA","N. AMERICA"),"LATAM","LATIN AMERICA")</f>
        <v>N. AMERICA</v>
      </c>
      <c r="I64" t="s">
        <v>3178</v>
      </c>
      <c r="K64" t="str">
        <f>IF(Custumer[[#This Row],[AccountStatus]]="","Missing Value",Custumer[[#This Row],[AccountStatus]])</f>
        <v>Missing Value</v>
      </c>
      <c r="L64" t="s">
        <v>3259</v>
      </c>
      <c r="M64">
        <v>500000</v>
      </c>
      <c r="N64">
        <f>VALUE(IF(ISNUMBER(Custumer[[#This Row],[CreditLimit]]),Custumer[[#This Row],[CreditLimit]],MID(Custumer[[#This Row],[CreditLimit]],2,10)))</f>
        <v>500000</v>
      </c>
    </row>
    <row r="65" spans="1:14" x14ac:dyDescent="0.25">
      <c r="A65" t="s">
        <v>621</v>
      </c>
      <c r="B65" t="s">
        <v>3260</v>
      </c>
      <c r="C65" t="str">
        <f>PROPER(TRIM(Custumer[[#This Row],[CustomerName]]))</f>
        <v>Mclaughlin Gonzalez And Reynolds Inc</v>
      </c>
      <c r="D65" t="s">
        <v>35</v>
      </c>
      <c r="E65" t="str">
        <f>TRIM(PROPER(Custumer[[#This Row],[CustomerSegment]]))</f>
        <v>Process Industries</v>
      </c>
      <c r="F65" t="s">
        <v>3117</v>
      </c>
      <c r="G65" t="s">
        <v>20</v>
      </c>
      <c r="H65" t="str">
        <f>SUBSTITUTE(SUBSTITUTE(UPPER(Custumer[[#This Row],[Region]]),"NORTH AMERICA","N. AMERICA"),"LATAM","LATIN AMERICA")</f>
        <v>N. AMERICA</v>
      </c>
      <c r="I65" t="s">
        <v>3119</v>
      </c>
      <c r="J65" t="s">
        <v>3102</v>
      </c>
      <c r="K65" t="str">
        <f>IF(Custumer[[#This Row],[AccountStatus]]="","Missing Value",Custumer[[#This Row],[AccountStatus]])</f>
        <v>Active</v>
      </c>
      <c r="L65" t="s">
        <v>3261</v>
      </c>
      <c r="M65">
        <v>100000</v>
      </c>
      <c r="N65">
        <f>VALUE(IF(ISNUMBER(Custumer[[#This Row],[CreditLimit]]),Custumer[[#This Row],[CreditLimit]],MID(Custumer[[#This Row],[CreditLimit]],2,10)))</f>
        <v>100000</v>
      </c>
    </row>
    <row r="66" spans="1:14" x14ac:dyDescent="0.25">
      <c r="A66" t="s">
        <v>292</v>
      </c>
      <c r="B66" t="s">
        <v>3262</v>
      </c>
      <c r="C66" t="str">
        <f>PROPER(TRIM(Custumer[[#This Row],[CustomerName]]))</f>
        <v>Charles Cortez And Evans</v>
      </c>
      <c r="D66" t="s">
        <v>35</v>
      </c>
      <c r="E66" t="str">
        <f>TRIM(PROPER(Custumer[[#This Row],[CustomerSegment]]))</f>
        <v>Process Industries</v>
      </c>
      <c r="F66" t="s">
        <v>3100</v>
      </c>
      <c r="G66" t="s">
        <v>30</v>
      </c>
      <c r="H66" t="str">
        <f>SUBSTITUTE(SUBSTITUTE(UPPER(Custumer[[#This Row],[Region]]),"NORTH AMERICA","N. AMERICA"),"LATAM","LATIN AMERICA")</f>
        <v>APAC</v>
      </c>
      <c r="I66" t="s">
        <v>3119</v>
      </c>
      <c r="J66" t="s">
        <v>3102</v>
      </c>
      <c r="K66" t="str">
        <f>IF(Custumer[[#This Row],[AccountStatus]]="","Missing Value",Custumer[[#This Row],[AccountStatus]])</f>
        <v>Active</v>
      </c>
      <c r="L66" t="s">
        <v>3263</v>
      </c>
      <c r="M66">
        <v>1000000</v>
      </c>
      <c r="N66">
        <f>VALUE(IF(ISNUMBER(Custumer[[#This Row],[CreditLimit]]),Custumer[[#This Row],[CreditLimit]],MID(Custumer[[#This Row],[CreditLimit]],2,10)))</f>
        <v>1000000</v>
      </c>
    </row>
    <row r="67" spans="1:14" x14ac:dyDescent="0.25">
      <c r="A67" t="s">
        <v>1321</v>
      </c>
      <c r="B67" t="s">
        <v>3264</v>
      </c>
      <c r="C67" t="str">
        <f>PROPER(TRIM(Custumer[[#This Row],[CustomerName]]))</f>
        <v>Spencer-Lee</v>
      </c>
      <c r="D67" t="s">
        <v>26</v>
      </c>
      <c r="E67" t="str">
        <f>TRIM(PROPER(Custumer[[#This Row],[CustomerSegment]]))</f>
        <v>Aerospace &amp; Defense</v>
      </c>
      <c r="F67" t="s">
        <v>3100</v>
      </c>
      <c r="G67" t="s">
        <v>76</v>
      </c>
      <c r="H67" t="str">
        <f>SUBSTITUTE(SUBSTITUTE(UPPER(Custumer[[#This Row],[Region]]),"NORTH AMERICA","N. AMERICA"),"LATAM","LATIN AMERICA")</f>
        <v>EMEA</v>
      </c>
      <c r="I67" t="s">
        <v>3152</v>
      </c>
      <c r="J67" t="s">
        <v>3102</v>
      </c>
      <c r="K67" t="str">
        <f>IF(Custumer[[#This Row],[AccountStatus]]="","Missing Value",Custumer[[#This Row],[AccountStatus]])</f>
        <v>Active</v>
      </c>
      <c r="L67" t="s">
        <v>3265</v>
      </c>
      <c r="M67">
        <v>100000</v>
      </c>
      <c r="N67">
        <f>VALUE(IF(ISNUMBER(Custumer[[#This Row],[CreditLimit]]),Custumer[[#This Row],[CreditLimit]],MID(Custumer[[#This Row],[CreditLimit]],2,10)))</f>
        <v>100000</v>
      </c>
    </row>
    <row r="68" spans="1:14" x14ac:dyDescent="0.25">
      <c r="A68" t="s">
        <v>360</v>
      </c>
      <c r="B68" t="s">
        <v>3266</v>
      </c>
      <c r="C68" t="str">
        <f>PROPER(TRIM(Custumer[[#This Row],[CustomerName]]))</f>
        <v>Gilbert Llc Llc</v>
      </c>
      <c r="D68" t="s">
        <v>43</v>
      </c>
      <c r="E68" t="str">
        <f>TRIM(PROPER(Custumer[[#This Row],[CustomerSegment]]))</f>
        <v>Energy &amp; Utilities</v>
      </c>
      <c r="F68" t="s">
        <v>3126</v>
      </c>
      <c r="G68" t="s">
        <v>30</v>
      </c>
      <c r="H68" t="str">
        <f>SUBSTITUTE(SUBSTITUTE(UPPER(Custumer[[#This Row],[Region]]),"NORTH AMERICA","N. AMERICA"),"LATAM","LATIN AMERICA")</f>
        <v>APAC</v>
      </c>
      <c r="I68" t="s">
        <v>3144</v>
      </c>
      <c r="J68" t="s">
        <v>3102</v>
      </c>
      <c r="K68" t="str">
        <f>IF(Custumer[[#This Row],[AccountStatus]]="","Missing Value",Custumer[[#This Row],[AccountStatus]])</f>
        <v>Active</v>
      </c>
      <c r="L68" t="s">
        <v>3267</v>
      </c>
      <c r="M68">
        <v>50000</v>
      </c>
      <c r="N68">
        <f>VALUE(IF(ISNUMBER(Custumer[[#This Row],[CreditLimit]]),Custumer[[#This Row],[CreditLimit]],MID(Custumer[[#This Row],[CreditLimit]],2,10)))</f>
        <v>50000</v>
      </c>
    </row>
    <row r="69" spans="1:14" x14ac:dyDescent="0.25">
      <c r="A69" t="s">
        <v>851</v>
      </c>
      <c r="B69" t="s">
        <v>3268</v>
      </c>
      <c r="C69" t="str">
        <f>PROPER(TRIM(Custumer[[#This Row],[CustomerName]]))</f>
        <v>Jordan Plc</v>
      </c>
      <c r="D69" t="s">
        <v>49</v>
      </c>
      <c r="E69" t="str">
        <f>TRIM(PROPER(Custumer[[#This Row],[CustomerSegment]]))</f>
        <v>Manufacturing</v>
      </c>
      <c r="F69" t="s">
        <v>3100</v>
      </c>
      <c r="G69" t="s">
        <v>30</v>
      </c>
      <c r="H69" t="str">
        <f>SUBSTITUTE(SUBSTITUTE(UPPER(Custumer[[#This Row],[Region]]),"NORTH AMERICA","N. AMERICA"),"LATAM","LATIN AMERICA")</f>
        <v>APAC</v>
      </c>
      <c r="I69" t="s">
        <v>3107</v>
      </c>
      <c r="J69" t="s">
        <v>3102</v>
      </c>
      <c r="K69" t="str">
        <f>IF(Custumer[[#This Row],[AccountStatus]]="","Missing Value",Custumer[[#This Row],[AccountStatus]])</f>
        <v>Active</v>
      </c>
      <c r="L69" t="s">
        <v>3269</v>
      </c>
      <c r="M69">
        <v>50000</v>
      </c>
      <c r="N69">
        <f>VALUE(IF(ISNUMBER(Custumer[[#This Row],[CreditLimit]]),Custumer[[#This Row],[CreditLimit]],MID(Custumer[[#This Row],[CreditLimit]],2,10)))</f>
        <v>50000</v>
      </c>
    </row>
    <row r="70" spans="1:14" x14ac:dyDescent="0.25">
      <c r="A70" t="s">
        <v>1367</v>
      </c>
      <c r="B70" t="s">
        <v>3270</v>
      </c>
      <c r="C70" t="str">
        <f>PROPER(TRIM(Custumer[[#This Row],[CustomerName]]))</f>
        <v>Lewis Kennedy And Santana Co</v>
      </c>
      <c r="D70" t="s">
        <v>43</v>
      </c>
      <c r="E70" t="str">
        <f>TRIM(PROPER(Custumer[[#This Row],[CustomerSegment]]))</f>
        <v>Energy &amp; Utilities</v>
      </c>
      <c r="F70" t="s">
        <v>3117</v>
      </c>
      <c r="G70" t="s">
        <v>76</v>
      </c>
      <c r="H70" t="str">
        <f>SUBSTITUTE(SUBSTITUTE(UPPER(Custumer[[#This Row],[Region]]),"NORTH AMERICA","N. AMERICA"),"LATAM","LATIN AMERICA")</f>
        <v>EMEA</v>
      </c>
      <c r="I70" t="s">
        <v>3162</v>
      </c>
      <c r="J70" t="s">
        <v>3102</v>
      </c>
      <c r="K70" t="str">
        <f>IF(Custumer[[#This Row],[AccountStatus]]="","Missing Value",Custumer[[#This Row],[AccountStatus]])</f>
        <v>Active</v>
      </c>
      <c r="L70" t="s">
        <v>3271</v>
      </c>
      <c r="M70">
        <v>100000</v>
      </c>
      <c r="N70">
        <f>VALUE(IF(ISNUMBER(Custumer[[#This Row],[CreditLimit]]),Custumer[[#This Row],[CreditLimit]],MID(Custumer[[#This Row],[CreditLimit]],2,10)))</f>
        <v>100000</v>
      </c>
    </row>
    <row r="71" spans="1:14" x14ac:dyDescent="0.25">
      <c r="A71" t="s">
        <v>200</v>
      </c>
      <c r="B71" t="s">
        <v>3272</v>
      </c>
      <c r="C71" t="str">
        <f>PROPER(TRIM(Custumer[[#This Row],[CustomerName]]))</f>
        <v>Beck Harvey And Davis Bv</v>
      </c>
      <c r="D71" t="s">
        <v>35</v>
      </c>
      <c r="E71" t="str">
        <f>TRIM(PROPER(Custumer[[#This Row],[CustomerSegment]]))</f>
        <v>Process Industries</v>
      </c>
      <c r="F71" t="s">
        <v>3126</v>
      </c>
      <c r="G71" t="s">
        <v>76</v>
      </c>
      <c r="H71" t="str">
        <f>SUBSTITUTE(SUBSTITUTE(UPPER(Custumer[[#This Row],[Region]]),"NORTH AMERICA","N. AMERICA"),"LATAM","LATIN AMERICA")</f>
        <v>EMEA</v>
      </c>
      <c r="I71" t="s">
        <v>3147</v>
      </c>
      <c r="J71" t="s">
        <v>3102</v>
      </c>
      <c r="K71" t="str">
        <f>IF(Custumer[[#This Row],[AccountStatus]]="","Missing Value",Custumer[[#This Row],[AccountStatus]])</f>
        <v>Active</v>
      </c>
      <c r="L71" t="s">
        <v>3273</v>
      </c>
      <c r="M71">
        <v>250000</v>
      </c>
      <c r="N71">
        <f>VALUE(IF(ISNUMBER(Custumer[[#This Row],[CreditLimit]]),Custumer[[#This Row],[CreditLimit]],MID(Custumer[[#This Row],[CreditLimit]],2,10)))</f>
        <v>250000</v>
      </c>
    </row>
    <row r="72" spans="1:14" x14ac:dyDescent="0.25">
      <c r="A72" t="s">
        <v>764</v>
      </c>
      <c r="B72" t="s">
        <v>3274</v>
      </c>
      <c r="C72" t="str">
        <f>PROPER(TRIM(Custumer[[#This Row],[CustomerName]]))</f>
        <v>Hernandez Inc Corp</v>
      </c>
      <c r="D72" t="s">
        <v>43</v>
      </c>
      <c r="E72" t="str">
        <f>TRIM(PROPER(Custumer[[#This Row],[CustomerSegment]]))</f>
        <v>Energy &amp; Utilities</v>
      </c>
      <c r="F72" t="s">
        <v>3100</v>
      </c>
      <c r="G72" t="s">
        <v>30</v>
      </c>
      <c r="H72" t="str">
        <f>SUBSTITUTE(SUBSTITUTE(UPPER(Custumer[[#This Row],[Region]]),"NORTH AMERICA","N. AMERICA"),"LATAM","LATIN AMERICA")</f>
        <v>APAC</v>
      </c>
      <c r="I72" t="s">
        <v>3162</v>
      </c>
      <c r="J72" t="s">
        <v>3102</v>
      </c>
      <c r="K72" t="str">
        <f>IF(Custumer[[#This Row],[AccountStatus]]="","Missing Value",Custumer[[#This Row],[AccountStatus]])</f>
        <v>Active</v>
      </c>
      <c r="L72" t="s">
        <v>3275</v>
      </c>
      <c r="M72">
        <v>50000</v>
      </c>
      <c r="N72">
        <f>VALUE(IF(ISNUMBER(Custumer[[#This Row],[CreditLimit]]),Custumer[[#This Row],[CreditLimit]],MID(Custumer[[#This Row],[CreditLimit]],2,10)))</f>
        <v>50000</v>
      </c>
    </row>
    <row r="73" spans="1:14" x14ac:dyDescent="0.25">
      <c r="A73" t="s">
        <v>956</v>
      </c>
      <c r="B73" t="s">
        <v>3276</v>
      </c>
      <c r="C73" t="str">
        <f>PROPER(TRIM(Custumer[[#This Row],[CustomerName]]))</f>
        <v>Gibson Ltd Pty Ltd</v>
      </c>
      <c r="D73" t="s">
        <v>35</v>
      </c>
      <c r="E73" t="str">
        <f>TRIM(PROPER(Custumer[[#This Row],[CustomerSegment]]))</f>
        <v>Process Industries</v>
      </c>
      <c r="F73" t="s">
        <v>3100</v>
      </c>
      <c r="G73" t="s">
        <v>20</v>
      </c>
      <c r="H73" t="str">
        <f>SUBSTITUTE(SUBSTITUTE(UPPER(Custumer[[#This Row],[Region]]),"NORTH AMERICA","N. AMERICA"),"LATAM","LATIN AMERICA")</f>
        <v>N. AMERICA</v>
      </c>
      <c r="I73" t="s">
        <v>3147</v>
      </c>
      <c r="J73" t="s">
        <v>3102</v>
      </c>
      <c r="K73" t="str">
        <f>IF(Custumer[[#This Row],[AccountStatus]]="","Missing Value",Custumer[[#This Row],[AccountStatus]])</f>
        <v>Active</v>
      </c>
      <c r="L73" t="s">
        <v>3277</v>
      </c>
      <c r="M73">
        <v>250000</v>
      </c>
      <c r="N73">
        <f>VALUE(IF(ISNUMBER(Custumer[[#This Row],[CreditLimit]]),Custumer[[#This Row],[CreditLimit]],MID(Custumer[[#This Row],[CreditLimit]],2,10)))</f>
        <v>250000</v>
      </c>
    </row>
    <row r="74" spans="1:14" x14ac:dyDescent="0.25">
      <c r="A74" t="s">
        <v>913</v>
      </c>
      <c r="B74" t="s">
        <v>3278</v>
      </c>
      <c r="C74" t="str">
        <f>PROPER(TRIM(Custumer[[#This Row],[CustomerName]]))</f>
        <v>Sanchez-Douglas</v>
      </c>
      <c r="D74" t="s">
        <v>43</v>
      </c>
      <c r="E74" t="str">
        <f>TRIM(PROPER(Custumer[[#This Row],[CustomerSegment]]))</f>
        <v>Energy &amp; Utilities</v>
      </c>
      <c r="F74" t="s">
        <v>3100</v>
      </c>
      <c r="G74" t="s">
        <v>76</v>
      </c>
      <c r="H74" t="str">
        <f>SUBSTITUTE(SUBSTITUTE(UPPER(Custumer[[#This Row],[Region]]),"NORTH AMERICA","N. AMERICA"),"LATAM","LATIN AMERICA")</f>
        <v>EMEA</v>
      </c>
      <c r="I74" t="s">
        <v>3101</v>
      </c>
      <c r="J74" t="s">
        <v>3102</v>
      </c>
      <c r="K74" t="str">
        <f>IF(Custumer[[#This Row],[AccountStatus]]="","Missing Value",Custumer[[#This Row],[AccountStatus]])</f>
        <v>Active</v>
      </c>
      <c r="L74" t="s">
        <v>3279</v>
      </c>
      <c r="M74">
        <v>1000000</v>
      </c>
      <c r="N74">
        <f>VALUE(IF(ISNUMBER(Custumer[[#This Row],[CreditLimit]]),Custumer[[#This Row],[CreditLimit]],MID(Custumer[[#This Row],[CreditLimit]],2,10)))</f>
        <v>1000000</v>
      </c>
    </row>
    <row r="75" spans="1:14" x14ac:dyDescent="0.25">
      <c r="A75" t="s">
        <v>1065</v>
      </c>
      <c r="B75" t="s">
        <v>3280</v>
      </c>
      <c r="C75" t="str">
        <f>PROPER(TRIM(Custumer[[#This Row],[CustomerName]]))</f>
        <v>Osborne And Sons</v>
      </c>
      <c r="D75" t="s">
        <v>43</v>
      </c>
      <c r="E75" t="str">
        <f>TRIM(PROPER(Custumer[[#This Row],[CustomerSegment]]))</f>
        <v>Energy &amp; Utilities</v>
      </c>
      <c r="F75" t="s">
        <v>3106</v>
      </c>
      <c r="G75" t="s">
        <v>82</v>
      </c>
      <c r="H75" t="str">
        <f>SUBSTITUTE(SUBSTITUTE(UPPER(Custumer[[#This Row],[Region]]),"NORTH AMERICA","N. AMERICA"),"LATAM","LATIN AMERICA")</f>
        <v>LATIN AMERICA</v>
      </c>
      <c r="I75" t="s">
        <v>3101</v>
      </c>
      <c r="K75" t="str">
        <f>IF(Custumer[[#This Row],[AccountStatus]]="","Missing Value",Custumer[[#This Row],[AccountStatus]])</f>
        <v>Missing Value</v>
      </c>
      <c r="L75" t="s">
        <v>3281</v>
      </c>
      <c r="M75">
        <v>50000</v>
      </c>
      <c r="N75">
        <f>VALUE(IF(ISNUMBER(Custumer[[#This Row],[CreditLimit]]),Custumer[[#This Row],[CreditLimit]],MID(Custumer[[#This Row],[CreditLimit]],2,10)))</f>
        <v>50000</v>
      </c>
    </row>
    <row r="76" spans="1:14" x14ac:dyDescent="0.25">
      <c r="A76" t="s">
        <v>541</v>
      </c>
      <c r="B76" t="s">
        <v>3282</v>
      </c>
      <c r="C76" t="str">
        <f>PROPER(TRIM(Custumer[[#This Row],[CustomerName]]))</f>
        <v>Grant Inc Sa</v>
      </c>
      <c r="D76" t="s">
        <v>49</v>
      </c>
      <c r="E76" t="str">
        <f>TRIM(PROPER(Custumer[[#This Row],[CustomerSegment]]))</f>
        <v>Manufacturing</v>
      </c>
      <c r="F76" t="s">
        <v>3126</v>
      </c>
      <c r="G76" t="s">
        <v>20</v>
      </c>
      <c r="H76" t="str">
        <f>SUBSTITUTE(SUBSTITUTE(UPPER(Custumer[[#This Row],[Region]]),"NORTH AMERICA","N. AMERICA"),"LATAM","LATIN AMERICA")</f>
        <v>N. AMERICA</v>
      </c>
      <c r="I76" t="s">
        <v>3111</v>
      </c>
      <c r="J76" t="s">
        <v>3102</v>
      </c>
      <c r="K76" t="str">
        <f>IF(Custumer[[#This Row],[AccountStatus]]="","Missing Value",Custumer[[#This Row],[AccountStatus]])</f>
        <v>Active</v>
      </c>
      <c r="L76" t="s">
        <v>3283</v>
      </c>
      <c r="M76">
        <v>50000</v>
      </c>
      <c r="N76">
        <f>VALUE(IF(ISNUMBER(Custumer[[#This Row],[CreditLimit]]),Custumer[[#This Row],[CreditLimit]],MID(Custumer[[#This Row],[CreditLimit]],2,10)))</f>
        <v>50000</v>
      </c>
    </row>
    <row r="77" spans="1:14" x14ac:dyDescent="0.25">
      <c r="A77" t="s">
        <v>208</v>
      </c>
      <c r="B77" t="s">
        <v>3284</v>
      </c>
      <c r="C77" t="str">
        <f>PROPER(TRIM(Custumer[[#This Row],[CustomerName]]))</f>
        <v>Larson Dodson And Vance Llc</v>
      </c>
      <c r="D77" t="s">
        <v>49</v>
      </c>
      <c r="E77" t="str">
        <f>TRIM(PROPER(Custumer[[#This Row],[CustomerSegment]]))</f>
        <v>Manufacturing</v>
      </c>
      <c r="F77" t="s">
        <v>3126</v>
      </c>
      <c r="G77" t="s">
        <v>30</v>
      </c>
      <c r="H77" t="str">
        <f>SUBSTITUTE(SUBSTITUTE(UPPER(Custumer[[#This Row],[Region]]),"NORTH AMERICA","N. AMERICA"),"LATAM","LATIN AMERICA")</f>
        <v>APAC</v>
      </c>
      <c r="I77" t="s">
        <v>3192</v>
      </c>
      <c r="J77" t="s">
        <v>3102</v>
      </c>
      <c r="K77" t="str">
        <f>IF(Custumer[[#This Row],[AccountStatus]]="","Missing Value",Custumer[[#This Row],[AccountStatus]])</f>
        <v>Active</v>
      </c>
      <c r="L77" t="s">
        <v>3285</v>
      </c>
      <c r="M77">
        <v>100000</v>
      </c>
      <c r="N77">
        <f>VALUE(IF(ISNUMBER(Custumer[[#This Row],[CreditLimit]]),Custumer[[#This Row],[CreditLimit]],MID(Custumer[[#This Row],[CreditLimit]],2,10)))</f>
        <v>100000</v>
      </c>
    </row>
    <row r="78" spans="1:14" x14ac:dyDescent="0.25">
      <c r="A78" t="s">
        <v>1727</v>
      </c>
      <c r="B78" t="s">
        <v>3286</v>
      </c>
      <c r="C78" t="str">
        <f>PROPER(TRIM(Custumer[[#This Row],[CustomerName]]))</f>
        <v>Griffin Moore And Hensley Ltd</v>
      </c>
      <c r="D78" t="s">
        <v>49</v>
      </c>
      <c r="E78" t="str">
        <f>TRIM(PROPER(Custumer[[#This Row],[CustomerSegment]]))</f>
        <v>Manufacturing</v>
      </c>
      <c r="F78" t="s">
        <v>3100</v>
      </c>
      <c r="G78" t="s">
        <v>76</v>
      </c>
      <c r="H78" t="str">
        <f>SUBSTITUTE(SUBSTITUTE(UPPER(Custumer[[#This Row],[Region]]),"NORTH AMERICA","N. AMERICA"),"LATAM","LATIN AMERICA")</f>
        <v>EMEA</v>
      </c>
      <c r="I78" t="s">
        <v>3167</v>
      </c>
      <c r="J78" t="s">
        <v>3102</v>
      </c>
      <c r="K78" t="str">
        <f>IF(Custumer[[#This Row],[AccountStatus]]="","Missing Value",Custumer[[#This Row],[AccountStatus]])</f>
        <v>Active</v>
      </c>
      <c r="L78" t="s">
        <v>3287</v>
      </c>
      <c r="M78">
        <v>500000</v>
      </c>
      <c r="N78">
        <f>VALUE(IF(ISNUMBER(Custumer[[#This Row],[CreditLimit]]),Custumer[[#This Row],[CreditLimit]],MID(Custumer[[#This Row],[CreditLimit]],2,10)))</f>
        <v>500000</v>
      </c>
    </row>
    <row r="79" spans="1:14" x14ac:dyDescent="0.25">
      <c r="A79" t="s">
        <v>357</v>
      </c>
      <c r="B79" t="s">
        <v>3288</v>
      </c>
      <c r="C79" t="str">
        <f>PROPER(TRIM(Custumer[[#This Row],[CustomerName]]))</f>
        <v>Cannon-Boyd Corp</v>
      </c>
      <c r="D79" t="s">
        <v>26</v>
      </c>
      <c r="E79" t="str">
        <f>TRIM(PROPER(Custumer[[#This Row],[CustomerSegment]]))</f>
        <v>Aerospace &amp; Defense</v>
      </c>
      <c r="F79" t="s">
        <v>3117</v>
      </c>
      <c r="G79" t="s">
        <v>20</v>
      </c>
      <c r="H79" t="str">
        <f>SUBSTITUTE(SUBSTITUTE(UPPER(Custumer[[#This Row],[Region]]),"NORTH AMERICA","N. AMERICA"),"LATAM","LATIN AMERICA")</f>
        <v>N. AMERICA</v>
      </c>
      <c r="I79" t="s">
        <v>3123</v>
      </c>
      <c r="J79" t="s">
        <v>3102</v>
      </c>
      <c r="K79" t="str">
        <f>IF(Custumer[[#This Row],[AccountStatus]]="","Missing Value",Custumer[[#This Row],[AccountStatus]])</f>
        <v>Active</v>
      </c>
      <c r="L79" t="s">
        <v>3289</v>
      </c>
      <c r="M79">
        <v>500000</v>
      </c>
      <c r="N79">
        <f>VALUE(IF(ISNUMBER(Custumer[[#This Row],[CreditLimit]]),Custumer[[#This Row],[CreditLimit]],MID(Custumer[[#This Row],[CreditLimit]],2,10)))</f>
        <v>500000</v>
      </c>
    </row>
    <row r="80" spans="1:14" x14ac:dyDescent="0.25">
      <c r="A80" t="s">
        <v>193</v>
      </c>
      <c r="B80" t="s">
        <v>3290</v>
      </c>
      <c r="C80" t="str">
        <f>PROPER(TRIM(Custumer[[#This Row],[CustomerName]]))</f>
        <v>Young-Rogers</v>
      </c>
      <c r="D80" t="s">
        <v>65</v>
      </c>
      <c r="E80" t="str">
        <f>TRIM(PROPER(Custumer[[#This Row],[CustomerSegment]]))</f>
        <v>Research &amp; Labs</v>
      </c>
      <c r="F80" t="s">
        <v>3100</v>
      </c>
      <c r="G80" t="s">
        <v>20</v>
      </c>
      <c r="H80" t="str">
        <f>SUBSTITUTE(SUBSTITUTE(UPPER(Custumer[[#This Row],[Region]]),"NORTH AMERICA","N. AMERICA"),"LATAM","LATIN AMERICA")</f>
        <v>N. AMERICA</v>
      </c>
      <c r="I80" t="s">
        <v>3141</v>
      </c>
      <c r="J80" t="s">
        <v>3102</v>
      </c>
      <c r="K80" t="str">
        <f>IF(Custumer[[#This Row],[AccountStatus]]="","Missing Value",Custumer[[#This Row],[AccountStatus]])</f>
        <v>Active</v>
      </c>
      <c r="L80" t="s">
        <v>3291</v>
      </c>
      <c r="M80">
        <v>100000</v>
      </c>
      <c r="N80">
        <f>VALUE(IF(ISNUMBER(Custumer[[#This Row],[CreditLimit]]),Custumer[[#This Row],[CreditLimit]],MID(Custumer[[#This Row],[CreditLimit]],2,10)))</f>
        <v>100000</v>
      </c>
    </row>
    <row r="81" spans="1:14" x14ac:dyDescent="0.25">
      <c r="A81" t="s">
        <v>1914</v>
      </c>
      <c r="B81" t="s">
        <v>3292</v>
      </c>
      <c r="C81" t="str">
        <f>PROPER(TRIM(Custumer[[#This Row],[CustomerName]]))</f>
        <v>Benson-Mccarthy Ag</v>
      </c>
      <c r="D81" t="s">
        <v>65</v>
      </c>
      <c r="E81" t="str">
        <f>TRIM(PROPER(Custumer[[#This Row],[CustomerSegment]]))</f>
        <v>Research &amp; Labs</v>
      </c>
      <c r="F81" t="s">
        <v>3100</v>
      </c>
      <c r="G81" t="s">
        <v>30</v>
      </c>
      <c r="H81" t="str">
        <f>SUBSTITUTE(SUBSTITUTE(UPPER(Custumer[[#This Row],[Region]]),"NORTH AMERICA","N. AMERICA"),"LATAM","LATIN AMERICA")</f>
        <v>APAC</v>
      </c>
      <c r="I81" t="s">
        <v>3141</v>
      </c>
      <c r="J81" t="s">
        <v>3102</v>
      </c>
      <c r="K81" t="str">
        <f>IF(Custumer[[#This Row],[AccountStatus]]="","Missing Value",Custumer[[#This Row],[AccountStatus]])</f>
        <v>Active</v>
      </c>
      <c r="L81" t="s">
        <v>3293</v>
      </c>
      <c r="M81">
        <v>500000</v>
      </c>
      <c r="N81">
        <f>VALUE(IF(ISNUMBER(Custumer[[#This Row],[CreditLimit]]),Custumer[[#This Row],[CreditLimit]],MID(Custumer[[#This Row],[CreditLimit]],2,10)))</f>
        <v>500000</v>
      </c>
    </row>
    <row r="82" spans="1:14" x14ac:dyDescent="0.25">
      <c r="A82" t="s">
        <v>289</v>
      </c>
      <c r="B82" t="s">
        <v>3294</v>
      </c>
      <c r="C82" t="str">
        <f>PROPER(TRIM(Custumer[[#This Row],[CustomerName]]))</f>
        <v>Brown-Wall</v>
      </c>
      <c r="D82" t="s">
        <v>49</v>
      </c>
      <c r="E82" t="str">
        <f>TRIM(PROPER(Custumer[[#This Row],[CustomerSegment]]))</f>
        <v>Manufacturing</v>
      </c>
      <c r="F82" t="s">
        <v>3100</v>
      </c>
      <c r="G82" t="s">
        <v>82</v>
      </c>
      <c r="H82" t="str">
        <f>SUBSTITUTE(SUBSTITUTE(UPPER(Custumer[[#This Row],[Region]]),"NORTH AMERICA","N. AMERICA"),"LATAM","LATIN AMERICA")</f>
        <v>LATIN AMERICA</v>
      </c>
      <c r="I82" t="s">
        <v>3107</v>
      </c>
      <c r="J82" t="s">
        <v>3102</v>
      </c>
      <c r="K82" t="str">
        <f>IF(Custumer[[#This Row],[AccountStatus]]="","Missing Value",Custumer[[#This Row],[AccountStatus]])</f>
        <v>Active</v>
      </c>
      <c r="L82" t="s">
        <v>3295</v>
      </c>
      <c r="M82">
        <v>100000</v>
      </c>
      <c r="N82">
        <f>VALUE(IF(ISNUMBER(Custumer[[#This Row],[CreditLimit]]),Custumer[[#This Row],[CreditLimit]],MID(Custumer[[#This Row],[CreditLimit]],2,10)))</f>
        <v>100000</v>
      </c>
    </row>
    <row r="83" spans="1:14" x14ac:dyDescent="0.25">
      <c r="A83" t="s">
        <v>190</v>
      </c>
      <c r="B83" t="s">
        <v>3296</v>
      </c>
      <c r="C83" t="str">
        <f>PROPER(TRIM(Custumer[[#This Row],[CustomerName]]))</f>
        <v>Gates Plc Bv</v>
      </c>
      <c r="D83" t="s">
        <v>65</v>
      </c>
      <c r="E83" t="str">
        <f>TRIM(PROPER(Custumer[[#This Row],[CustomerSegment]]))</f>
        <v>Research &amp; Labs</v>
      </c>
      <c r="F83" t="s">
        <v>3126</v>
      </c>
      <c r="G83" t="s">
        <v>20</v>
      </c>
      <c r="H83" t="str">
        <f>SUBSTITUTE(SUBSTITUTE(UPPER(Custumer[[#This Row],[Region]]),"NORTH AMERICA","N. AMERICA"),"LATAM","LATIN AMERICA")</f>
        <v>N. AMERICA</v>
      </c>
      <c r="I83" t="s">
        <v>3189</v>
      </c>
      <c r="J83" t="s">
        <v>3102</v>
      </c>
      <c r="K83" t="str">
        <f>IF(Custumer[[#This Row],[AccountStatus]]="","Missing Value",Custumer[[#This Row],[AccountStatus]])</f>
        <v>Active</v>
      </c>
      <c r="L83" t="s">
        <v>3297</v>
      </c>
      <c r="M83">
        <v>50000</v>
      </c>
      <c r="N83">
        <f>VALUE(IF(ISNUMBER(Custumer[[#This Row],[CreditLimit]]),Custumer[[#This Row],[CreditLimit]],MID(Custumer[[#This Row],[CreditLimit]],2,10)))</f>
        <v>50000</v>
      </c>
    </row>
    <row r="84" spans="1:14" x14ac:dyDescent="0.25">
      <c r="A84" t="s">
        <v>562</v>
      </c>
      <c r="B84" t="s">
        <v>3298</v>
      </c>
      <c r="C84" t="str">
        <f>PROPER(TRIM(Custumer[[#This Row],[CustomerName]]))</f>
        <v>Castaneda-Ashley Pty Limited</v>
      </c>
      <c r="D84" t="s">
        <v>49</v>
      </c>
      <c r="E84" t="str">
        <f>TRIM(PROPER(Custumer[[#This Row],[CustomerSegment]]))</f>
        <v>Manufacturing</v>
      </c>
      <c r="F84" t="s">
        <v>3106</v>
      </c>
      <c r="G84" t="s">
        <v>82</v>
      </c>
      <c r="H84" t="str">
        <f>SUBSTITUTE(SUBSTITUTE(UPPER(Custumer[[#This Row],[Region]]),"NORTH AMERICA","N. AMERICA"),"LATAM","LATIN AMERICA")</f>
        <v>LATIN AMERICA</v>
      </c>
      <c r="I84" t="s">
        <v>3111</v>
      </c>
      <c r="J84" t="s">
        <v>3102</v>
      </c>
      <c r="K84" t="str">
        <f>IF(Custumer[[#This Row],[AccountStatus]]="","Missing Value",Custumer[[#This Row],[AccountStatus]])</f>
        <v>Active</v>
      </c>
      <c r="L84" t="s">
        <v>3299</v>
      </c>
      <c r="M84" t="s">
        <v>3300</v>
      </c>
      <c r="N84">
        <f>VALUE(IF(ISNUMBER(Custumer[[#This Row],[CreditLimit]]),Custumer[[#This Row],[CreditLimit]],MID(Custumer[[#This Row],[CreditLimit]],2,10)))</f>
        <v>250000</v>
      </c>
    </row>
    <row r="85" spans="1:14" x14ac:dyDescent="0.25">
      <c r="A85" t="s">
        <v>385</v>
      </c>
      <c r="B85" t="s">
        <v>3301</v>
      </c>
      <c r="C85" t="str">
        <f>PROPER(TRIM(Custumer[[#This Row],[CustomerName]]))</f>
        <v>Hurst Freeman And Nelson Inc</v>
      </c>
      <c r="D85" t="s">
        <v>43</v>
      </c>
      <c r="E85" t="str">
        <f>TRIM(PROPER(Custumer[[#This Row],[CustomerSegment]]))</f>
        <v>Energy &amp; Utilities</v>
      </c>
      <c r="F85" t="s">
        <v>3117</v>
      </c>
      <c r="G85" t="s">
        <v>3118</v>
      </c>
      <c r="H85" t="str">
        <f>SUBSTITUTE(SUBSTITUTE(UPPER(Custumer[[#This Row],[Region]]),"NORTH AMERICA","N. AMERICA"),"LATAM","LATIN AMERICA")</f>
        <v>N. AMERICA</v>
      </c>
      <c r="I85" t="s">
        <v>3162</v>
      </c>
      <c r="J85" t="s">
        <v>3102</v>
      </c>
      <c r="K85" t="str">
        <f>IF(Custumer[[#This Row],[AccountStatus]]="","Missing Value",Custumer[[#This Row],[AccountStatus]])</f>
        <v>Active</v>
      </c>
      <c r="L85" t="s">
        <v>3302</v>
      </c>
      <c r="M85">
        <v>500000</v>
      </c>
      <c r="N85">
        <f>VALUE(IF(ISNUMBER(Custumer[[#This Row],[CreditLimit]]),Custumer[[#This Row],[CreditLimit]],MID(Custumer[[#This Row],[CreditLimit]],2,10)))</f>
        <v>500000</v>
      </c>
    </row>
    <row r="86" spans="1:14" x14ac:dyDescent="0.25">
      <c r="A86" t="s">
        <v>647</v>
      </c>
      <c r="B86" t="s">
        <v>3303</v>
      </c>
      <c r="C86" t="str">
        <f>PROPER(TRIM(Custumer[[#This Row],[CustomerName]]))</f>
        <v>Martin Mcdonald And Anderson Bv</v>
      </c>
      <c r="D86" t="s">
        <v>26</v>
      </c>
      <c r="E86" t="str">
        <f>TRIM(PROPER(Custumer[[#This Row],[CustomerSegment]]))</f>
        <v>Aerospace &amp; Defense</v>
      </c>
      <c r="F86" t="s">
        <v>3126</v>
      </c>
      <c r="G86" t="s">
        <v>30</v>
      </c>
      <c r="H86" t="str">
        <f>SUBSTITUTE(SUBSTITUTE(UPPER(Custumer[[#This Row],[Region]]),"NORTH AMERICA","N. AMERICA"),"LATAM","LATIN AMERICA")</f>
        <v>APAC</v>
      </c>
      <c r="I86" t="s">
        <v>3152</v>
      </c>
      <c r="J86" t="s">
        <v>3102</v>
      </c>
      <c r="K86" t="str">
        <f>IF(Custumer[[#This Row],[AccountStatus]]="","Missing Value",Custumer[[#This Row],[AccountStatus]])</f>
        <v>Active</v>
      </c>
      <c r="L86" t="s">
        <v>3304</v>
      </c>
      <c r="M86">
        <v>50000</v>
      </c>
      <c r="N86">
        <f>VALUE(IF(ISNUMBER(Custumer[[#This Row],[CreditLimit]]),Custumer[[#This Row],[CreditLimit]],MID(Custumer[[#This Row],[CreditLimit]],2,10)))</f>
        <v>50000</v>
      </c>
    </row>
    <row r="87" spans="1:14" x14ac:dyDescent="0.25">
      <c r="A87" t="s">
        <v>605</v>
      </c>
      <c r="B87" t="s">
        <v>3305</v>
      </c>
      <c r="C87" t="str">
        <f>PROPER(TRIM(Custumer[[#This Row],[CustomerName]]))</f>
        <v>Alvarado Miller And Patterson Ag</v>
      </c>
      <c r="D87" t="s">
        <v>35</v>
      </c>
      <c r="E87" t="str">
        <f>TRIM(PROPER(Custumer[[#This Row],[CustomerSegment]]))</f>
        <v>Process Industries</v>
      </c>
      <c r="F87" t="s">
        <v>3106</v>
      </c>
      <c r="G87" t="s">
        <v>76</v>
      </c>
      <c r="H87" t="str">
        <f>SUBSTITUTE(SUBSTITUTE(UPPER(Custumer[[#This Row],[Region]]),"NORTH AMERICA","N. AMERICA"),"LATAM","LATIN AMERICA")</f>
        <v>EMEA</v>
      </c>
      <c r="I87" t="s">
        <v>3147</v>
      </c>
      <c r="J87" t="s">
        <v>3102</v>
      </c>
      <c r="K87" t="str">
        <f>IF(Custumer[[#This Row],[AccountStatus]]="","Missing Value",Custumer[[#This Row],[AccountStatus]])</f>
        <v>Active</v>
      </c>
      <c r="L87" t="s">
        <v>3306</v>
      </c>
      <c r="M87">
        <v>50000</v>
      </c>
      <c r="N87">
        <f>VALUE(IF(ISNUMBER(Custumer[[#This Row],[CreditLimit]]),Custumer[[#This Row],[CreditLimit]],MID(Custumer[[#This Row],[CreditLimit]],2,10)))</f>
        <v>50000</v>
      </c>
    </row>
    <row r="88" spans="1:14" x14ac:dyDescent="0.25">
      <c r="A88" t="s">
        <v>568</v>
      </c>
      <c r="B88" t="s">
        <v>3307</v>
      </c>
      <c r="C88" t="str">
        <f>PROPER(TRIM(Custumer[[#This Row],[CustomerName]]))</f>
        <v>Lewis-Murphy Gmbh</v>
      </c>
      <c r="D88" t="s">
        <v>3110</v>
      </c>
      <c r="E88" t="str">
        <f>TRIM(PROPER(Custumer[[#This Row],[CustomerSegment]]))</f>
        <v>Manufacturing</v>
      </c>
      <c r="F88" t="s">
        <v>3100</v>
      </c>
      <c r="G88" t="s">
        <v>30</v>
      </c>
      <c r="H88" t="str">
        <f>SUBSTITUTE(SUBSTITUTE(UPPER(Custumer[[#This Row],[Region]]),"NORTH AMERICA","N. AMERICA"),"LATAM","LATIN AMERICA")</f>
        <v>APAC</v>
      </c>
      <c r="I88" t="s">
        <v>3107</v>
      </c>
      <c r="J88" t="s">
        <v>3102</v>
      </c>
      <c r="K88" t="str">
        <f>IF(Custumer[[#This Row],[AccountStatus]]="","Missing Value",Custumer[[#This Row],[AccountStatus]])</f>
        <v>Active</v>
      </c>
      <c r="L88" t="s">
        <v>3308</v>
      </c>
      <c r="M88">
        <v>50000</v>
      </c>
      <c r="N88">
        <f>VALUE(IF(ISNUMBER(Custumer[[#This Row],[CreditLimit]]),Custumer[[#This Row],[CreditLimit]],MID(Custumer[[#This Row],[CreditLimit]],2,10)))</f>
        <v>50000</v>
      </c>
    </row>
    <row r="89" spans="1:14" x14ac:dyDescent="0.25">
      <c r="A89" t="s">
        <v>585</v>
      </c>
      <c r="B89" t="s">
        <v>3309</v>
      </c>
      <c r="C89" t="str">
        <f>PROPER(TRIM(Custumer[[#This Row],[CustomerName]]))</f>
        <v>King-Miller</v>
      </c>
      <c r="D89" t="s">
        <v>35</v>
      </c>
      <c r="E89" t="str">
        <f>TRIM(PROPER(Custumer[[#This Row],[CustomerSegment]]))</f>
        <v>Process Industries</v>
      </c>
      <c r="F89" t="s">
        <v>3106</v>
      </c>
      <c r="G89" t="s">
        <v>20</v>
      </c>
      <c r="H89" t="str">
        <f>SUBSTITUTE(SUBSTITUTE(UPPER(Custumer[[#This Row],[Region]]),"NORTH AMERICA","N. AMERICA"),"LATAM","LATIN AMERICA")</f>
        <v>N. AMERICA</v>
      </c>
      <c r="I89" t="s">
        <v>3119</v>
      </c>
      <c r="J89" t="s">
        <v>3102</v>
      </c>
      <c r="K89" t="str">
        <f>IF(Custumer[[#This Row],[AccountStatus]]="","Missing Value",Custumer[[#This Row],[AccountStatus]])</f>
        <v>Active</v>
      </c>
      <c r="L89" t="s">
        <v>3310</v>
      </c>
      <c r="M89">
        <v>50000</v>
      </c>
      <c r="N89">
        <f>VALUE(IF(ISNUMBER(Custumer[[#This Row],[CreditLimit]]),Custumer[[#This Row],[CreditLimit]],MID(Custumer[[#This Row],[CreditLimit]],2,10)))</f>
        <v>50000</v>
      </c>
    </row>
    <row r="90" spans="1:14" x14ac:dyDescent="0.25">
      <c r="A90" t="s">
        <v>300</v>
      </c>
      <c r="B90" t="s">
        <v>3311</v>
      </c>
      <c r="C90" t="str">
        <f>PROPER(TRIM(Custumer[[#This Row],[CustomerName]]))</f>
        <v>Walker-Jones</v>
      </c>
      <c r="D90" t="s">
        <v>49</v>
      </c>
      <c r="E90" t="str">
        <f>TRIM(PROPER(Custumer[[#This Row],[CustomerSegment]]))</f>
        <v>Manufacturing</v>
      </c>
      <c r="F90" t="s">
        <v>3100</v>
      </c>
      <c r="G90" t="s">
        <v>82</v>
      </c>
      <c r="H90" t="str">
        <f>SUBSTITUTE(SUBSTITUTE(UPPER(Custumer[[#This Row],[Region]]),"NORTH AMERICA","N. AMERICA"),"LATAM","LATIN AMERICA")</f>
        <v>LATIN AMERICA</v>
      </c>
      <c r="I90" t="s">
        <v>3111</v>
      </c>
      <c r="J90" t="s">
        <v>3102</v>
      </c>
      <c r="K90" t="str">
        <f>IF(Custumer[[#This Row],[AccountStatus]]="","Missing Value",Custumer[[#This Row],[AccountStatus]])</f>
        <v>Active</v>
      </c>
      <c r="L90" t="s">
        <v>3312</v>
      </c>
      <c r="M90">
        <v>500000</v>
      </c>
      <c r="N90">
        <f>VALUE(IF(ISNUMBER(Custumer[[#This Row],[CreditLimit]]),Custumer[[#This Row],[CreditLimit]],MID(Custumer[[#This Row],[CreditLimit]],2,10)))</f>
        <v>500000</v>
      </c>
    </row>
    <row r="91" spans="1:14" x14ac:dyDescent="0.25">
      <c r="A91" t="s">
        <v>1492</v>
      </c>
      <c r="B91" t="s">
        <v>3313</v>
      </c>
      <c r="C91" t="str">
        <f>PROPER(TRIM(Custumer[[#This Row],[CustomerName]]))</f>
        <v>Gonzalez Inc Bv</v>
      </c>
      <c r="D91" t="s">
        <v>65</v>
      </c>
      <c r="E91" t="str">
        <f>TRIM(PROPER(Custumer[[#This Row],[CustomerSegment]]))</f>
        <v>Research &amp; Labs</v>
      </c>
      <c r="F91" t="s">
        <v>3100</v>
      </c>
      <c r="G91" t="s">
        <v>82</v>
      </c>
      <c r="H91" t="str">
        <f>SUBSTITUTE(SUBSTITUTE(UPPER(Custumer[[#This Row],[Region]]),"NORTH AMERICA","N. AMERICA"),"LATAM","LATIN AMERICA")</f>
        <v>LATIN AMERICA</v>
      </c>
      <c r="I91" t="s">
        <v>3172</v>
      </c>
      <c r="J91" t="s">
        <v>3102</v>
      </c>
      <c r="K91" t="str">
        <f>IF(Custumer[[#This Row],[AccountStatus]]="","Missing Value",Custumer[[#This Row],[AccountStatus]])</f>
        <v>Active</v>
      </c>
      <c r="L91" t="s">
        <v>3314</v>
      </c>
      <c r="M91">
        <v>50000</v>
      </c>
      <c r="N91">
        <f>VALUE(IF(ISNUMBER(Custumer[[#This Row],[CreditLimit]]),Custumer[[#This Row],[CreditLimit]],MID(Custumer[[#This Row],[CreditLimit]],2,10)))</f>
        <v>50000</v>
      </c>
    </row>
    <row r="92" spans="1:14" x14ac:dyDescent="0.25">
      <c r="A92" t="s">
        <v>507</v>
      </c>
      <c r="B92" t="s">
        <v>3315</v>
      </c>
      <c r="C92" t="str">
        <f>PROPER(TRIM(Custumer[[#This Row],[CustomerName]]))</f>
        <v>Elliott And Sons Ag</v>
      </c>
      <c r="D92" t="s">
        <v>26</v>
      </c>
      <c r="E92" t="str">
        <f>TRIM(PROPER(Custumer[[#This Row],[CustomerSegment]]))</f>
        <v>Aerospace &amp; Defense</v>
      </c>
      <c r="F92" t="s">
        <v>3100</v>
      </c>
      <c r="G92" t="s">
        <v>76</v>
      </c>
      <c r="H92" t="str">
        <f>SUBSTITUTE(SUBSTITUTE(UPPER(Custumer[[#This Row],[Region]]),"NORTH AMERICA","N. AMERICA"),"LATAM","LATIN AMERICA")</f>
        <v>EMEA</v>
      </c>
      <c r="I92" t="s">
        <v>3130</v>
      </c>
      <c r="J92" t="s">
        <v>3102</v>
      </c>
      <c r="K92" t="str">
        <f>IF(Custumer[[#This Row],[AccountStatus]]="","Missing Value",Custumer[[#This Row],[AccountStatus]])</f>
        <v>Active</v>
      </c>
      <c r="L92" t="s">
        <v>3316</v>
      </c>
      <c r="M92">
        <v>50000</v>
      </c>
      <c r="N92">
        <f>VALUE(IF(ISNUMBER(Custumer[[#This Row],[CreditLimit]]),Custumer[[#This Row],[CreditLimit]],MID(Custumer[[#This Row],[CreditLimit]],2,10)))</f>
        <v>50000</v>
      </c>
    </row>
    <row r="93" spans="1:14" x14ac:dyDescent="0.25">
      <c r="A93" t="s">
        <v>239</v>
      </c>
      <c r="B93" t="s">
        <v>3317</v>
      </c>
      <c r="C93" t="str">
        <f>PROPER(TRIM(Custumer[[#This Row],[CustomerName]]))</f>
        <v>Lawson Adkins And Wilson</v>
      </c>
      <c r="D93" t="s">
        <v>43</v>
      </c>
      <c r="E93" t="str">
        <f>TRIM(PROPER(Custumer[[#This Row],[CustomerSegment]]))</f>
        <v>Energy &amp; Utilities</v>
      </c>
      <c r="F93" t="s">
        <v>3100</v>
      </c>
      <c r="G93" t="s">
        <v>20</v>
      </c>
      <c r="H93" t="str">
        <f>SUBSTITUTE(SUBSTITUTE(UPPER(Custumer[[#This Row],[Region]]),"NORTH AMERICA","N. AMERICA"),"LATAM","LATIN AMERICA")</f>
        <v>N. AMERICA</v>
      </c>
      <c r="I93" t="s">
        <v>3101</v>
      </c>
      <c r="J93" t="s">
        <v>3102</v>
      </c>
      <c r="K93" t="str">
        <f>IF(Custumer[[#This Row],[AccountStatus]]="","Missing Value",Custumer[[#This Row],[AccountStatus]])</f>
        <v>Active</v>
      </c>
      <c r="L93" t="s">
        <v>3318</v>
      </c>
      <c r="M93">
        <v>50000</v>
      </c>
      <c r="N93">
        <f>VALUE(IF(ISNUMBER(Custumer[[#This Row],[CreditLimit]]),Custumer[[#This Row],[CreditLimit]],MID(Custumer[[#This Row],[CreditLimit]],2,10)))</f>
        <v>50000</v>
      </c>
    </row>
    <row r="94" spans="1:14" x14ac:dyDescent="0.25">
      <c r="A94" t="s">
        <v>408</v>
      </c>
      <c r="B94" t="s">
        <v>3319</v>
      </c>
      <c r="C94" t="str">
        <f>PROPER(TRIM(Custumer[[#This Row],[CustomerName]]))</f>
        <v>Hickman Plc Llc</v>
      </c>
      <c r="D94" t="s">
        <v>49</v>
      </c>
      <c r="E94" t="str">
        <f>TRIM(PROPER(Custumer[[#This Row],[CustomerSegment]]))</f>
        <v>Manufacturing</v>
      </c>
      <c r="F94" t="s">
        <v>3100</v>
      </c>
      <c r="G94" t="s">
        <v>76</v>
      </c>
      <c r="H94" t="str">
        <f>SUBSTITUTE(SUBSTITUTE(UPPER(Custumer[[#This Row],[Region]]),"NORTH AMERICA","N. AMERICA"),"LATAM","LATIN AMERICA")</f>
        <v>EMEA</v>
      </c>
      <c r="I94" t="s">
        <v>3192</v>
      </c>
      <c r="J94" t="s">
        <v>3102</v>
      </c>
      <c r="K94" t="str">
        <f>IF(Custumer[[#This Row],[AccountStatus]]="","Missing Value",Custumer[[#This Row],[AccountStatus]])</f>
        <v>Active</v>
      </c>
      <c r="L94" t="s">
        <v>3320</v>
      </c>
      <c r="M94">
        <v>2500000</v>
      </c>
      <c r="N94">
        <f>VALUE(IF(ISNUMBER(Custumer[[#This Row],[CreditLimit]]),Custumer[[#This Row],[CreditLimit]],MID(Custumer[[#This Row],[CreditLimit]],2,10)))</f>
        <v>2500000</v>
      </c>
    </row>
    <row r="95" spans="1:14" x14ac:dyDescent="0.25">
      <c r="A95" t="s">
        <v>953</v>
      </c>
      <c r="B95" t="s">
        <v>3321</v>
      </c>
      <c r="C95" t="str">
        <f>PROPER(TRIM(Custumer[[#This Row],[CustomerName]]))</f>
        <v>Gonzalez Vargas And Rivas Co</v>
      </c>
      <c r="D95" t="s">
        <v>43</v>
      </c>
      <c r="E95" t="str">
        <f>TRIM(PROPER(Custumer[[#This Row],[CustomerSegment]]))</f>
        <v>Energy &amp; Utilities</v>
      </c>
      <c r="F95" t="s">
        <v>3106</v>
      </c>
      <c r="G95" t="s">
        <v>20</v>
      </c>
      <c r="H95" t="str">
        <f>SUBSTITUTE(SUBSTITUTE(UPPER(Custumer[[#This Row],[Region]]),"NORTH AMERICA","N. AMERICA"),"LATAM","LATIN AMERICA")</f>
        <v>N. AMERICA</v>
      </c>
      <c r="I95" t="s">
        <v>3178</v>
      </c>
      <c r="J95" t="s">
        <v>3102</v>
      </c>
      <c r="K95" t="str">
        <f>IF(Custumer[[#This Row],[AccountStatus]]="","Missing Value",Custumer[[#This Row],[AccountStatus]])</f>
        <v>Active</v>
      </c>
      <c r="L95" t="s">
        <v>3322</v>
      </c>
      <c r="M95">
        <v>2500000</v>
      </c>
      <c r="N95">
        <f>VALUE(IF(ISNUMBER(Custumer[[#This Row],[CreditLimit]]),Custumer[[#This Row],[CreditLimit]],MID(Custumer[[#This Row],[CreditLimit]],2,10)))</f>
        <v>2500000</v>
      </c>
    </row>
    <row r="96" spans="1:14" x14ac:dyDescent="0.25">
      <c r="A96" t="s">
        <v>146</v>
      </c>
      <c r="B96" t="s">
        <v>3323</v>
      </c>
      <c r="C96" t="str">
        <f>PROPER(TRIM(Custumer[[#This Row],[CustomerName]]))</f>
        <v>Burke Martinez And Riggs Inc</v>
      </c>
      <c r="D96" t="s">
        <v>49</v>
      </c>
      <c r="E96" t="str">
        <f>TRIM(PROPER(Custumer[[#This Row],[CustomerSegment]]))</f>
        <v>Manufacturing</v>
      </c>
      <c r="F96" t="s">
        <v>3126</v>
      </c>
      <c r="G96" t="s">
        <v>82</v>
      </c>
      <c r="H96" t="str">
        <f>SUBSTITUTE(SUBSTITUTE(UPPER(Custumer[[#This Row],[Region]]),"NORTH AMERICA","N. AMERICA"),"LATAM","LATIN AMERICA")</f>
        <v>LATIN AMERICA</v>
      </c>
      <c r="I96" t="s">
        <v>3111</v>
      </c>
      <c r="J96" t="s">
        <v>3102</v>
      </c>
      <c r="K96" t="str">
        <f>IF(Custumer[[#This Row],[AccountStatus]]="","Missing Value",Custumer[[#This Row],[AccountStatus]])</f>
        <v>Active</v>
      </c>
      <c r="L96" t="s">
        <v>3324</v>
      </c>
      <c r="M96">
        <v>250000</v>
      </c>
      <c r="N96">
        <f>VALUE(IF(ISNUMBER(Custumer[[#This Row],[CreditLimit]]),Custumer[[#This Row],[CreditLimit]],MID(Custumer[[#This Row],[CreditLimit]],2,10)))</f>
        <v>250000</v>
      </c>
    </row>
    <row r="97" spans="1:14" x14ac:dyDescent="0.25">
      <c r="A97" t="s">
        <v>1871</v>
      </c>
      <c r="B97" t="s">
        <v>3325</v>
      </c>
      <c r="C97" t="str">
        <f>PROPER(TRIM(Custumer[[#This Row],[CustomerName]]))</f>
        <v>Jones-Holland Co</v>
      </c>
      <c r="D97" t="s">
        <v>65</v>
      </c>
      <c r="E97" t="str">
        <f>TRIM(PROPER(Custumer[[#This Row],[CustomerSegment]]))</f>
        <v>Research &amp; Labs</v>
      </c>
      <c r="F97" t="s">
        <v>3100</v>
      </c>
      <c r="G97" t="s">
        <v>20</v>
      </c>
      <c r="H97" t="str">
        <f>SUBSTITUTE(SUBSTITUTE(UPPER(Custumer[[#This Row],[Region]]),"NORTH AMERICA","N. AMERICA"),"LATAM","LATIN AMERICA")</f>
        <v>N. AMERICA</v>
      </c>
      <c r="I97" t="s">
        <v>3138</v>
      </c>
      <c r="J97" t="s">
        <v>3232</v>
      </c>
      <c r="K97" t="str">
        <f>IF(Custumer[[#This Row],[AccountStatus]]="","Missing Value",Custumer[[#This Row],[AccountStatus]])</f>
        <v>On Hold</v>
      </c>
      <c r="L97" t="s">
        <v>3326</v>
      </c>
      <c r="M97">
        <v>250000</v>
      </c>
      <c r="N97">
        <f>VALUE(IF(ISNUMBER(Custumer[[#This Row],[CreditLimit]]),Custumer[[#This Row],[CreditLimit]],MID(Custumer[[#This Row],[CreditLimit]],2,10)))</f>
        <v>250000</v>
      </c>
    </row>
    <row r="98" spans="1:14" x14ac:dyDescent="0.25">
      <c r="A98" t="s">
        <v>2826</v>
      </c>
      <c r="B98" t="s">
        <v>3327</v>
      </c>
      <c r="C98" t="str">
        <f>PROPER(TRIM(Custumer[[#This Row],[CustomerName]]))</f>
        <v>Yu-Reid</v>
      </c>
      <c r="D98" t="s">
        <v>35</v>
      </c>
      <c r="E98" t="str">
        <f>TRIM(PROPER(Custumer[[#This Row],[CustomerSegment]]))</f>
        <v>Process Industries</v>
      </c>
      <c r="F98" t="s">
        <v>3100</v>
      </c>
      <c r="G98" t="s">
        <v>76</v>
      </c>
      <c r="H98" t="str">
        <f>SUBSTITUTE(SUBSTITUTE(UPPER(Custumer[[#This Row],[Region]]),"NORTH AMERICA","N. AMERICA"),"LATAM","LATIN AMERICA")</f>
        <v>EMEA</v>
      </c>
      <c r="I98" t="s">
        <v>3328</v>
      </c>
      <c r="J98" t="s">
        <v>3102</v>
      </c>
      <c r="K98" t="str">
        <f>IF(Custumer[[#This Row],[AccountStatus]]="","Missing Value",Custumer[[#This Row],[AccountStatus]])</f>
        <v>Active</v>
      </c>
      <c r="L98" t="s">
        <v>3329</v>
      </c>
      <c r="M98">
        <v>250000</v>
      </c>
      <c r="N98">
        <f>VALUE(IF(ISNUMBER(Custumer[[#This Row],[CreditLimit]]),Custumer[[#This Row],[CreditLimit]],MID(Custumer[[#This Row],[CreditLimit]],2,10)))</f>
        <v>250000</v>
      </c>
    </row>
    <row r="99" spans="1:14" x14ac:dyDescent="0.25">
      <c r="A99" t="s">
        <v>218</v>
      </c>
      <c r="B99" t="s">
        <v>3330</v>
      </c>
      <c r="C99" t="str">
        <f>PROPER(TRIM(Custumer[[#This Row],[CustomerName]]))</f>
        <v>Boyd Santos And Gilbert</v>
      </c>
      <c r="D99" t="s">
        <v>65</v>
      </c>
      <c r="E99" t="str">
        <f>TRIM(PROPER(Custumer[[#This Row],[CustomerSegment]]))</f>
        <v>Research &amp; Labs</v>
      </c>
      <c r="F99" t="s">
        <v>3117</v>
      </c>
      <c r="G99" t="s">
        <v>20</v>
      </c>
      <c r="H99" t="str">
        <f>SUBSTITUTE(SUBSTITUTE(UPPER(Custumer[[#This Row],[Region]]),"NORTH AMERICA","N. AMERICA"),"LATAM","LATIN AMERICA")</f>
        <v>N. AMERICA</v>
      </c>
      <c r="I99" t="s">
        <v>3138</v>
      </c>
      <c r="K99" t="str">
        <f>IF(Custumer[[#This Row],[AccountStatus]]="","Missing Value",Custumer[[#This Row],[AccountStatus]])</f>
        <v>Missing Value</v>
      </c>
      <c r="L99" t="s">
        <v>3331</v>
      </c>
      <c r="M99">
        <v>1000000</v>
      </c>
      <c r="N99">
        <f>VALUE(IF(ISNUMBER(Custumer[[#This Row],[CreditLimit]]),Custumer[[#This Row],[CreditLimit]],MID(Custumer[[#This Row],[CreditLimit]],2,10)))</f>
        <v>1000000</v>
      </c>
    </row>
    <row r="100" spans="1:14" x14ac:dyDescent="0.25">
      <c r="A100" t="s">
        <v>172</v>
      </c>
      <c r="B100" t="s">
        <v>3332</v>
      </c>
      <c r="C100" t="str">
        <f>PROPER(TRIM(Custumer[[#This Row],[CustomerName]]))</f>
        <v>Vargas Morris And Sanchez Pty Ltd</v>
      </c>
      <c r="D100" t="s">
        <v>43</v>
      </c>
      <c r="E100" t="str">
        <f>TRIM(PROPER(Custumer[[#This Row],[CustomerSegment]]))</f>
        <v>Energy &amp; Utilities</v>
      </c>
      <c r="F100" t="s">
        <v>3117</v>
      </c>
      <c r="G100" t="s">
        <v>76</v>
      </c>
      <c r="H100" t="str">
        <f>SUBSTITUTE(SUBSTITUTE(UPPER(Custumer[[#This Row],[Region]]),"NORTH AMERICA","N. AMERICA"),"LATAM","LATIN AMERICA")</f>
        <v>EMEA</v>
      </c>
      <c r="I100" t="s">
        <v>3178</v>
      </c>
      <c r="J100" t="s">
        <v>3102</v>
      </c>
      <c r="K100" t="str">
        <f>IF(Custumer[[#This Row],[AccountStatus]]="","Missing Value",Custumer[[#This Row],[AccountStatus]])</f>
        <v>Active</v>
      </c>
      <c r="L100" t="s">
        <v>3333</v>
      </c>
      <c r="M100" t="s">
        <v>3300</v>
      </c>
      <c r="N100">
        <f>VALUE(IF(ISNUMBER(Custumer[[#This Row],[CreditLimit]]),Custumer[[#This Row],[CreditLimit]],MID(Custumer[[#This Row],[CreditLimit]],2,10)))</f>
        <v>250000</v>
      </c>
    </row>
    <row r="101" spans="1:14" x14ac:dyDescent="0.25">
      <c r="A101" t="s">
        <v>110</v>
      </c>
      <c r="B101" t="s">
        <v>3334</v>
      </c>
      <c r="C101" t="str">
        <f>PROPER(TRIM(Custumer[[#This Row],[CustomerName]]))</f>
        <v>Hudson-Barnett</v>
      </c>
      <c r="D101" t="s">
        <v>43</v>
      </c>
      <c r="E101" t="str">
        <f>TRIM(PROPER(Custumer[[#This Row],[CustomerSegment]]))</f>
        <v>Energy &amp; Utilities</v>
      </c>
      <c r="F101" t="s">
        <v>3126</v>
      </c>
      <c r="G101" t="s">
        <v>76</v>
      </c>
      <c r="H101" t="str">
        <f>SUBSTITUTE(SUBSTITUTE(UPPER(Custumer[[#This Row],[Region]]),"NORTH AMERICA","N. AMERICA"),"LATAM","LATIN AMERICA")</f>
        <v>EMEA</v>
      </c>
      <c r="I101" t="s">
        <v>3144</v>
      </c>
      <c r="J101" t="s">
        <v>3232</v>
      </c>
      <c r="K101" t="str">
        <f>IF(Custumer[[#This Row],[AccountStatus]]="","Missing Value",Custumer[[#This Row],[AccountStatus]])</f>
        <v>On Hold</v>
      </c>
      <c r="L101" t="s">
        <v>3335</v>
      </c>
      <c r="M101">
        <v>2500000</v>
      </c>
      <c r="N101">
        <f>VALUE(IF(ISNUMBER(Custumer[[#This Row],[CreditLimit]]),Custumer[[#This Row],[CreditLimit]],MID(Custumer[[#This Row],[CreditLimit]],2,10)))</f>
        <v>2500000</v>
      </c>
    </row>
    <row r="102" spans="1:14" x14ac:dyDescent="0.25">
      <c r="A102" t="s">
        <v>284</v>
      </c>
      <c r="B102" t="s">
        <v>3336</v>
      </c>
      <c r="C102" t="str">
        <f>PROPER(TRIM(Custumer[[#This Row],[CustomerName]]))</f>
        <v>Lewis-Salinas Corp</v>
      </c>
      <c r="D102" t="s">
        <v>3116</v>
      </c>
      <c r="E102" t="str">
        <f>TRIM(PROPER(Custumer[[#This Row],[CustomerSegment]]))</f>
        <v>Process Industries</v>
      </c>
      <c r="F102" t="s">
        <v>3117</v>
      </c>
      <c r="G102" t="s">
        <v>76</v>
      </c>
      <c r="H102" t="str">
        <f>SUBSTITUTE(SUBSTITUTE(UPPER(Custumer[[#This Row],[Region]]),"NORTH AMERICA","N. AMERICA"),"LATAM","LATIN AMERICA")</f>
        <v>EMEA</v>
      </c>
      <c r="I102" t="s">
        <v>3119</v>
      </c>
      <c r="J102" t="s">
        <v>3102</v>
      </c>
      <c r="K102" t="str">
        <f>IF(Custumer[[#This Row],[AccountStatus]]="","Missing Value",Custumer[[#This Row],[AccountStatus]])</f>
        <v>Active</v>
      </c>
      <c r="L102" t="s">
        <v>3337</v>
      </c>
      <c r="M102">
        <v>250000</v>
      </c>
      <c r="N102">
        <f>VALUE(IF(ISNUMBER(Custumer[[#This Row],[CreditLimit]]),Custumer[[#This Row],[CreditLimit]],MID(Custumer[[#This Row],[CreditLimit]],2,10)))</f>
        <v>250000</v>
      </c>
    </row>
    <row r="103" spans="1:14" x14ac:dyDescent="0.25">
      <c r="A103" t="s">
        <v>374</v>
      </c>
      <c r="B103" t="s">
        <v>3338</v>
      </c>
      <c r="C103" t="str">
        <f>PROPER(TRIM(Custumer[[#This Row],[CustomerName]]))</f>
        <v>Peters-Black Co</v>
      </c>
      <c r="D103" t="s">
        <v>49</v>
      </c>
      <c r="E103" t="str">
        <f>TRIM(PROPER(Custumer[[#This Row],[CustomerSegment]]))</f>
        <v>Manufacturing</v>
      </c>
      <c r="F103" t="s">
        <v>3106</v>
      </c>
      <c r="G103" t="s">
        <v>82</v>
      </c>
      <c r="H103" t="str">
        <f>SUBSTITUTE(SUBSTITUTE(UPPER(Custumer[[#This Row],[Region]]),"NORTH AMERICA","N. AMERICA"),"LATAM","LATIN AMERICA")</f>
        <v>LATIN AMERICA</v>
      </c>
      <c r="I103" t="s">
        <v>3111</v>
      </c>
      <c r="J103" t="s">
        <v>3102</v>
      </c>
      <c r="K103" t="str">
        <f>IF(Custumer[[#This Row],[AccountStatus]]="","Missing Value",Custumer[[#This Row],[AccountStatus]])</f>
        <v>Active</v>
      </c>
      <c r="L103" t="s">
        <v>3339</v>
      </c>
      <c r="M103">
        <v>500000</v>
      </c>
      <c r="N103">
        <f>VALUE(IF(ISNUMBER(Custumer[[#This Row],[CreditLimit]]),Custumer[[#This Row],[CreditLimit]],MID(Custumer[[#This Row],[CreditLimit]],2,10)))</f>
        <v>500000</v>
      </c>
    </row>
    <row r="104" spans="1:14" x14ac:dyDescent="0.25">
      <c r="A104" t="s">
        <v>1339</v>
      </c>
      <c r="B104" t="s">
        <v>3340</v>
      </c>
      <c r="C104" t="str">
        <f>PROPER(TRIM(Custumer[[#This Row],[CustomerName]]))</f>
        <v>Chang Vaughn And Brewer Llc</v>
      </c>
      <c r="D104" t="s">
        <v>35</v>
      </c>
      <c r="E104" t="str">
        <f>TRIM(PROPER(Custumer[[#This Row],[CustomerSegment]]))</f>
        <v>Process Industries</v>
      </c>
      <c r="F104" t="s">
        <v>3106</v>
      </c>
      <c r="G104" t="s">
        <v>20</v>
      </c>
      <c r="H104" t="str">
        <f>SUBSTITUTE(SUBSTITUTE(UPPER(Custumer[[#This Row],[Region]]),"NORTH AMERICA","N. AMERICA"),"LATAM","LATIN AMERICA")</f>
        <v>N. AMERICA</v>
      </c>
      <c r="I104" t="s">
        <v>3127</v>
      </c>
      <c r="J104" t="s">
        <v>3102</v>
      </c>
      <c r="K104" t="str">
        <f>IF(Custumer[[#This Row],[AccountStatus]]="","Missing Value",Custumer[[#This Row],[AccountStatus]])</f>
        <v>Active</v>
      </c>
      <c r="L104" t="s">
        <v>3341</v>
      </c>
      <c r="M104">
        <v>50000</v>
      </c>
      <c r="N104">
        <f>VALUE(IF(ISNUMBER(Custumer[[#This Row],[CreditLimit]]),Custumer[[#This Row],[CreditLimit]],MID(Custumer[[#This Row],[CreditLimit]],2,10)))</f>
        <v>50000</v>
      </c>
    </row>
    <row r="105" spans="1:14" x14ac:dyDescent="0.25">
      <c r="A105" t="s">
        <v>484</v>
      </c>
      <c r="B105" t="s">
        <v>3342</v>
      </c>
      <c r="C105" t="str">
        <f>PROPER(TRIM(Custumer[[#This Row],[CustomerName]]))</f>
        <v>Sanchez Beck And Wood Sa</v>
      </c>
      <c r="D105" t="s">
        <v>3110</v>
      </c>
      <c r="E105" t="str">
        <f>TRIM(PROPER(Custumer[[#This Row],[CustomerSegment]]))</f>
        <v>Manufacturing</v>
      </c>
      <c r="F105" t="s">
        <v>3100</v>
      </c>
      <c r="G105" t="s">
        <v>20</v>
      </c>
      <c r="H105" t="str">
        <f>SUBSTITUTE(SUBSTITUTE(UPPER(Custumer[[#This Row],[Region]]),"NORTH AMERICA","N. AMERICA"),"LATAM","LATIN AMERICA")</f>
        <v>N. AMERICA</v>
      </c>
      <c r="I105" t="s">
        <v>3111</v>
      </c>
      <c r="J105" t="s">
        <v>3343</v>
      </c>
      <c r="K105" t="str">
        <f>IF(Custumer[[#This Row],[AccountStatus]]="","Missing Value",Custumer[[#This Row],[AccountStatus]])</f>
        <v>Inactive</v>
      </c>
      <c r="L105" t="s">
        <v>3344</v>
      </c>
      <c r="M105" t="s">
        <v>3134</v>
      </c>
      <c r="N105">
        <f>VALUE(IF(ISNUMBER(Custumer[[#This Row],[CreditLimit]]),Custumer[[#This Row],[CreditLimit]],MID(Custumer[[#This Row],[CreditLimit]],2,10)))</f>
        <v>100000</v>
      </c>
    </row>
    <row r="106" spans="1:14" x14ac:dyDescent="0.25">
      <c r="A106" t="s">
        <v>70</v>
      </c>
      <c r="B106" t="s">
        <v>3345</v>
      </c>
      <c r="C106" t="str">
        <f>PROPER(TRIM(Custumer[[#This Row],[CustomerName]]))</f>
        <v>Rivera Warner And Nelson</v>
      </c>
      <c r="D106" t="s">
        <v>35</v>
      </c>
      <c r="E106" t="str">
        <f>TRIM(PROPER(Custumer[[#This Row],[CustomerSegment]]))</f>
        <v>Process Industries</v>
      </c>
      <c r="F106" t="s">
        <v>3106</v>
      </c>
      <c r="G106" t="s">
        <v>20</v>
      </c>
      <c r="H106" t="str">
        <f>SUBSTITUTE(SUBSTITUTE(UPPER(Custumer[[#This Row],[Region]]),"NORTH AMERICA","N. AMERICA"),"LATAM","LATIN AMERICA")</f>
        <v>N. AMERICA</v>
      </c>
      <c r="I106" t="s">
        <v>3127</v>
      </c>
      <c r="J106" t="s">
        <v>3102</v>
      </c>
      <c r="K106" t="str">
        <f>IF(Custumer[[#This Row],[AccountStatus]]="","Missing Value",Custumer[[#This Row],[AccountStatus]])</f>
        <v>Active</v>
      </c>
      <c r="L106" t="s">
        <v>3346</v>
      </c>
      <c r="M106">
        <v>500000</v>
      </c>
      <c r="N106">
        <f>VALUE(IF(ISNUMBER(Custumer[[#This Row],[CreditLimit]]),Custumer[[#This Row],[CreditLimit]],MID(Custumer[[#This Row],[CreditLimit]],2,10)))</f>
        <v>500000</v>
      </c>
    </row>
    <row r="107" spans="1:14" x14ac:dyDescent="0.25">
      <c r="A107" t="s">
        <v>916</v>
      </c>
      <c r="B107" t="s">
        <v>3347</v>
      </c>
      <c r="C107" t="str">
        <f>PROPER(TRIM(Custumer[[#This Row],[CustomerName]]))</f>
        <v>Newton Ltd Bv</v>
      </c>
      <c r="D107" t="s">
        <v>43</v>
      </c>
      <c r="E107" t="str">
        <f>TRIM(PROPER(Custumer[[#This Row],[CustomerSegment]]))</f>
        <v>Energy &amp; Utilities</v>
      </c>
      <c r="F107" t="s">
        <v>3117</v>
      </c>
      <c r="G107" t="s">
        <v>20</v>
      </c>
      <c r="H107" t="str">
        <f>SUBSTITUTE(SUBSTITUTE(UPPER(Custumer[[#This Row],[Region]]),"NORTH AMERICA","N. AMERICA"),"LATAM","LATIN AMERICA")</f>
        <v>N. AMERICA</v>
      </c>
      <c r="I107" t="s">
        <v>3144</v>
      </c>
      <c r="J107" t="s">
        <v>3102</v>
      </c>
      <c r="K107" t="str">
        <f>IF(Custumer[[#This Row],[AccountStatus]]="","Missing Value",Custumer[[#This Row],[AccountStatus]])</f>
        <v>Active</v>
      </c>
      <c r="L107" t="s">
        <v>3348</v>
      </c>
      <c r="M107">
        <v>500000</v>
      </c>
      <c r="N107">
        <f>VALUE(IF(ISNUMBER(Custumer[[#This Row],[CreditLimit]]),Custumer[[#This Row],[CreditLimit]],MID(Custumer[[#This Row],[CreditLimit]],2,10)))</f>
        <v>500000</v>
      </c>
    </row>
    <row r="108" spans="1:14" x14ac:dyDescent="0.25">
      <c r="A108" t="s">
        <v>2963</v>
      </c>
      <c r="B108" t="s">
        <v>3349</v>
      </c>
      <c r="C108" t="str">
        <f>PROPER(TRIM(Custumer[[#This Row],[CustomerName]]))</f>
        <v>Lawrence Wolf And Carlson</v>
      </c>
      <c r="D108" t="s">
        <v>26</v>
      </c>
      <c r="E108" t="str">
        <f>TRIM(PROPER(Custumer[[#This Row],[CustomerSegment]]))</f>
        <v>Aerospace &amp; Defense</v>
      </c>
      <c r="F108" t="s">
        <v>3106</v>
      </c>
      <c r="G108" t="s">
        <v>82</v>
      </c>
      <c r="H108" t="str">
        <f>SUBSTITUTE(SUBSTITUTE(UPPER(Custumer[[#This Row],[Region]]),"NORTH AMERICA","N. AMERICA"),"LATAM","LATIN AMERICA")</f>
        <v>LATIN AMERICA</v>
      </c>
      <c r="I108" t="s">
        <v>3130</v>
      </c>
      <c r="J108" t="s">
        <v>3102</v>
      </c>
      <c r="K108" t="str">
        <f>IF(Custumer[[#This Row],[AccountStatus]]="","Missing Value",Custumer[[#This Row],[AccountStatus]])</f>
        <v>Active</v>
      </c>
      <c r="L108" t="s">
        <v>3350</v>
      </c>
      <c r="M108">
        <v>500000</v>
      </c>
      <c r="N108">
        <f>VALUE(IF(ISNUMBER(Custumer[[#This Row],[CreditLimit]]),Custumer[[#This Row],[CreditLimit]],MID(Custumer[[#This Row],[CreditLimit]],2,10)))</f>
        <v>500000</v>
      </c>
    </row>
    <row r="109" spans="1:14" x14ac:dyDescent="0.25">
      <c r="A109" t="s">
        <v>61</v>
      </c>
      <c r="B109" t="s">
        <v>3351</v>
      </c>
      <c r="C109" t="str">
        <f>PROPER(TRIM(Custumer[[#This Row],[CustomerName]]))</f>
        <v>Smith-Ferguson</v>
      </c>
      <c r="D109" t="s">
        <v>65</v>
      </c>
      <c r="E109" t="str">
        <f>TRIM(PROPER(Custumer[[#This Row],[CustomerSegment]]))</f>
        <v>Research &amp; Labs</v>
      </c>
      <c r="F109" t="s">
        <v>3117</v>
      </c>
      <c r="G109" t="s">
        <v>30</v>
      </c>
      <c r="H109" t="str">
        <f>SUBSTITUTE(SUBSTITUTE(UPPER(Custumer[[#This Row],[Region]]),"NORTH AMERICA","N. AMERICA"),"LATAM","LATIN AMERICA")</f>
        <v>APAC</v>
      </c>
      <c r="I109" t="s">
        <v>3138</v>
      </c>
      <c r="J109" t="s">
        <v>3102</v>
      </c>
      <c r="K109" t="str">
        <f>IF(Custumer[[#This Row],[AccountStatus]]="","Missing Value",Custumer[[#This Row],[AccountStatus]])</f>
        <v>Active</v>
      </c>
      <c r="L109" t="s">
        <v>3352</v>
      </c>
      <c r="M109" t="s">
        <v>3154</v>
      </c>
      <c r="N109">
        <f>VALUE(IF(ISNUMBER(Custumer[[#This Row],[CreditLimit]]),Custumer[[#This Row],[CreditLimit]],MID(Custumer[[#This Row],[CreditLimit]],2,10)))</f>
        <v>50000</v>
      </c>
    </row>
    <row r="110" spans="1:14" x14ac:dyDescent="0.25">
      <c r="A110" t="s">
        <v>336</v>
      </c>
      <c r="B110" t="s">
        <v>3353</v>
      </c>
      <c r="C110" t="str">
        <f>PROPER(TRIM(Custumer[[#This Row],[CustomerName]]))</f>
        <v>Raymond Little And Mullins</v>
      </c>
      <c r="D110" t="s">
        <v>65</v>
      </c>
      <c r="E110" t="str">
        <f>TRIM(PROPER(Custumer[[#This Row],[CustomerSegment]]))</f>
        <v>Research &amp; Labs</v>
      </c>
      <c r="F110" t="s">
        <v>3117</v>
      </c>
      <c r="G110" t="s">
        <v>76</v>
      </c>
      <c r="H110" t="str">
        <f>SUBSTITUTE(SUBSTITUTE(UPPER(Custumer[[#This Row],[Region]]),"NORTH AMERICA","N. AMERICA"),"LATAM","LATIN AMERICA")</f>
        <v>EMEA</v>
      </c>
      <c r="I110" t="s">
        <v>3141</v>
      </c>
      <c r="J110" t="s">
        <v>3102</v>
      </c>
      <c r="K110" t="str">
        <f>IF(Custumer[[#This Row],[AccountStatus]]="","Missing Value",Custumer[[#This Row],[AccountStatus]])</f>
        <v>Active</v>
      </c>
      <c r="L110" t="s">
        <v>3354</v>
      </c>
      <c r="M110">
        <v>250000</v>
      </c>
      <c r="N110">
        <f>VALUE(IF(ISNUMBER(Custumer[[#This Row],[CreditLimit]]),Custumer[[#This Row],[CreditLimit]],MID(Custumer[[#This Row],[CreditLimit]],2,10)))</f>
        <v>250000</v>
      </c>
    </row>
    <row r="111" spans="1:14" x14ac:dyDescent="0.25">
      <c r="A111" t="s">
        <v>399</v>
      </c>
      <c r="B111" t="s">
        <v>3355</v>
      </c>
      <c r="C111" t="str">
        <f>PROPER(TRIM(Custumer[[#This Row],[CustomerName]]))</f>
        <v>Alexander-Lopez</v>
      </c>
      <c r="D111" t="s">
        <v>43</v>
      </c>
      <c r="E111" t="str">
        <f>TRIM(PROPER(Custumer[[#This Row],[CustomerSegment]]))</f>
        <v>Energy &amp; Utilities</v>
      </c>
      <c r="F111" t="s">
        <v>3100</v>
      </c>
      <c r="G111" t="s">
        <v>20</v>
      </c>
      <c r="H111" t="str">
        <f>SUBSTITUTE(SUBSTITUTE(UPPER(Custumer[[#This Row],[Region]]),"NORTH AMERICA","N. AMERICA"),"LATAM","LATIN AMERICA")</f>
        <v>N. AMERICA</v>
      </c>
      <c r="I111" t="s">
        <v>3178</v>
      </c>
      <c r="J111" t="s">
        <v>3102</v>
      </c>
      <c r="K111" t="str">
        <f>IF(Custumer[[#This Row],[AccountStatus]]="","Missing Value",Custumer[[#This Row],[AccountStatus]])</f>
        <v>Active</v>
      </c>
      <c r="L111" t="s">
        <v>3356</v>
      </c>
      <c r="M111">
        <v>500000</v>
      </c>
      <c r="N111">
        <f>VALUE(IF(ISNUMBER(Custumer[[#This Row],[CreditLimit]]),Custumer[[#This Row],[CreditLimit]],MID(Custumer[[#This Row],[CreditLimit]],2,10)))</f>
        <v>500000</v>
      </c>
    </row>
    <row r="112" spans="1:14" x14ac:dyDescent="0.25">
      <c r="A112" t="s">
        <v>467</v>
      </c>
      <c r="B112" t="s">
        <v>3357</v>
      </c>
      <c r="C112" t="str">
        <f>PROPER(TRIM(Custumer[[#This Row],[CustomerName]]))</f>
        <v>Morales Inc Corp</v>
      </c>
      <c r="D112" t="s">
        <v>43</v>
      </c>
      <c r="E112" t="str">
        <f>TRIM(PROPER(Custumer[[#This Row],[CustomerSegment]]))</f>
        <v>Energy &amp; Utilities</v>
      </c>
      <c r="F112" t="s">
        <v>3100</v>
      </c>
      <c r="G112" t="s">
        <v>30</v>
      </c>
      <c r="H112" t="str">
        <f>SUBSTITUTE(SUBSTITUTE(UPPER(Custumer[[#This Row],[Region]]),"NORTH AMERICA","N. AMERICA"),"LATAM","LATIN AMERICA")</f>
        <v>APAC</v>
      </c>
      <c r="I112" t="s">
        <v>3178</v>
      </c>
      <c r="J112" t="s">
        <v>3102</v>
      </c>
      <c r="K112" t="str">
        <f>IF(Custumer[[#This Row],[AccountStatus]]="","Missing Value",Custumer[[#This Row],[AccountStatus]])</f>
        <v>Active</v>
      </c>
      <c r="L112" t="s">
        <v>3358</v>
      </c>
      <c r="M112">
        <v>500000</v>
      </c>
      <c r="N112">
        <f>VALUE(IF(ISNUMBER(Custumer[[#This Row],[CreditLimit]]),Custumer[[#This Row],[CreditLimit]],MID(Custumer[[#This Row],[CreditLimit]],2,10)))</f>
        <v>500000</v>
      </c>
    </row>
    <row r="113" spans="1:14" x14ac:dyDescent="0.25">
      <c r="A113" t="s">
        <v>135</v>
      </c>
      <c r="B113" t="s">
        <v>3359</v>
      </c>
      <c r="C113" t="str">
        <f>PROPER(TRIM(Custumer[[#This Row],[CustomerName]]))</f>
        <v>Avery Miller And Wright Co</v>
      </c>
      <c r="D113" t="s">
        <v>43</v>
      </c>
      <c r="E113" t="str">
        <f>TRIM(PROPER(Custumer[[#This Row],[CustomerSegment]]))</f>
        <v>Energy &amp; Utilities</v>
      </c>
      <c r="F113" t="s">
        <v>3126</v>
      </c>
      <c r="G113" t="s">
        <v>20</v>
      </c>
      <c r="H113" t="str">
        <f>SUBSTITUTE(SUBSTITUTE(UPPER(Custumer[[#This Row],[Region]]),"NORTH AMERICA","N. AMERICA"),"LATAM","LATIN AMERICA")</f>
        <v>N. AMERICA</v>
      </c>
      <c r="I113" t="s">
        <v>3178</v>
      </c>
      <c r="J113" t="s">
        <v>3102</v>
      </c>
      <c r="K113" t="str">
        <f>IF(Custumer[[#This Row],[AccountStatus]]="","Missing Value",Custumer[[#This Row],[AccountStatus]])</f>
        <v>Active</v>
      </c>
      <c r="L113" t="s">
        <v>3360</v>
      </c>
      <c r="M113">
        <v>250000</v>
      </c>
      <c r="N113">
        <f>VALUE(IF(ISNUMBER(Custumer[[#This Row],[CreditLimit]]),Custumer[[#This Row],[CreditLimit]],MID(Custumer[[#This Row],[CreditLimit]],2,10)))</f>
        <v>250000</v>
      </c>
    </row>
    <row r="114" spans="1:14" x14ac:dyDescent="0.25">
      <c r="A114" t="s">
        <v>271</v>
      </c>
      <c r="B114" t="s">
        <v>3361</v>
      </c>
      <c r="C114" t="str">
        <f>PROPER(TRIM(Custumer[[#This Row],[CustomerName]]))</f>
        <v>Perez Mills And Hayes</v>
      </c>
      <c r="D114" t="s">
        <v>35</v>
      </c>
      <c r="E114" t="str">
        <f>TRIM(PROPER(Custumer[[#This Row],[CustomerSegment]]))</f>
        <v>Process Industries</v>
      </c>
      <c r="F114" t="s">
        <v>3117</v>
      </c>
      <c r="G114" t="s">
        <v>20</v>
      </c>
      <c r="H114" t="str">
        <f>SUBSTITUTE(SUBSTITUTE(UPPER(Custumer[[#This Row],[Region]]),"NORTH AMERICA","N. AMERICA"),"LATAM","LATIN AMERICA")</f>
        <v>N. AMERICA</v>
      </c>
      <c r="I114" t="s">
        <v>3328</v>
      </c>
      <c r="J114" t="s">
        <v>3102</v>
      </c>
      <c r="K114" t="str">
        <f>IF(Custumer[[#This Row],[AccountStatus]]="","Missing Value",Custumer[[#This Row],[AccountStatus]])</f>
        <v>Active</v>
      </c>
      <c r="L114" t="s">
        <v>3362</v>
      </c>
      <c r="M114">
        <v>100000</v>
      </c>
      <c r="N114">
        <f>VALUE(IF(ISNUMBER(Custumer[[#This Row],[CreditLimit]]),Custumer[[#This Row],[CreditLimit]],MID(Custumer[[#This Row],[CreditLimit]],2,10)))</f>
        <v>100000</v>
      </c>
    </row>
    <row r="115" spans="1:14" x14ac:dyDescent="0.25">
      <c r="A115" t="s">
        <v>1143</v>
      </c>
      <c r="B115" t="s">
        <v>3363</v>
      </c>
      <c r="C115" t="str">
        <f>PROPER(TRIM(Custumer[[#This Row],[CustomerName]]))</f>
        <v>Carroll-Brown</v>
      </c>
      <c r="D115" t="s">
        <v>35</v>
      </c>
      <c r="E115" t="str">
        <f>TRIM(PROPER(Custumer[[#This Row],[CustomerSegment]]))</f>
        <v>Process Industries</v>
      </c>
      <c r="F115" t="s">
        <v>3100</v>
      </c>
      <c r="G115" t="s">
        <v>20</v>
      </c>
      <c r="H115" t="str">
        <f>SUBSTITUTE(SUBSTITUTE(UPPER(Custumer[[#This Row],[Region]]),"NORTH AMERICA","N. AMERICA"),"LATAM","LATIN AMERICA")</f>
        <v>N. AMERICA</v>
      </c>
      <c r="I115" t="s">
        <v>3127</v>
      </c>
      <c r="J115" t="s">
        <v>3102</v>
      </c>
      <c r="K115" t="str">
        <f>IF(Custumer[[#This Row],[AccountStatus]]="","Missing Value",Custumer[[#This Row],[AccountStatus]])</f>
        <v>Active</v>
      </c>
      <c r="L115" t="s">
        <v>3364</v>
      </c>
      <c r="M115">
        <v>100000</v>
      </c>
      <c r="N115">
        <f>VALUE(IF(ISNUMBER(Custumer[[#This Row],[CreditLimit]]),Custumer[[#This Row],[CreditLimit]],MID(Custumer[[#This Row],[CreditLimit]],2,10)))</f>
        <v>100000</v>
      </c>
    </row>
    <row r="116" spans="1:14" x14ac:dyDescent="0.25">
      <c r="A116" t="s">
        <v>3365</v>
      </c>
      <c r="B116" t="s">
        <v>3366</v>
      </c>
      <c r="C116" t="str">
        <f>PROPER(TRIM(Custumer[[#This Row],[CustomerName]]))</f>
        <v>Clark Guerrero And Moore Gmbh</v>
      </c>
      <c r="D116" t="s">
        <v>43</v>
      </c>
      <c r="E116" t="str">
        <f>TRIM(PROPER(Custumer[[#This Row],[CustomerSegment]]))</f>
        <v>Energy &amp; Utilities</v>
      </c>
      <c r="F116" t="s">
        <v>3100</v>
      </c>
      <c r="G116" t="s">
        <v>30</v>
      </c>
      <c r="H116" t="str">
        <f>SUBSTITUTE(SUBSTITUTE(UPPER(Custumer[[#This Row],[Region]]),"NORTH AMERICA","N. AMERICA"),"LATAM","LATIN AMERICA")</f>
        <v>APAC</v>
      </c>
      <c r="I116" t="s">
        <v>3101</v>
      </c>
      <c r="J116" t="s">
        <v>3102</v>
      </c>
      <c r="K116" t="str">
        <f>IF(Custumer[[#This Row],[AccountStatus]]="","Missing Value",Custumer[[#This Row],[AccountStatus]])</f>
        <v>Active</v>
      </c>
      <c r="L116" t="s">
        <v>3367</v>
      </c>
      <c r="M116">
        <v>500000</v>
      </c>
      <c r="N116">
        <f>VALUE(IF(ISNUMBER(Custumer[[#This Row],[CreditLimit]]),Custumer[[#This Row],[CreditLimit]],MID(Custumer[[#This Row],[CreditLimit]],2,10)))</f>
        <v>500000</v>
      </c>
    </row>
    <row r="117" spans="1:14" x14ac:dyDescent="0.25">
      <c r="A117" t="s">
        <v>1179</v>
      </c>
      <c r="B117" t="s">
        <v>3368</v>
      </c>
      <c r="C117" t="str">
        <f>PROPER(TRIM(Custumer[[#This Row],[CustomerName]]))</f>
        <v>Norris-Harrison Pty Ltd</v>
      </c>
      <c r="D117" t="s">
        <v>3228</v>
      </c>
      <c r="E117" t="str">
        <f>TRIM(PROPER(Custumer[[#This Row],[CustomerSegment]]))</f>
        <v>Research &amp; Labs</v>
      </c>
      <c r="F117" t="s">
        <v>3106</v>
      </c>
      <c r="G117" t="s">
        <v>20</v>
      </c>
      <c r="H117" t="str">
        <f>SUBSTITUTE(SUBSTITUTE(UPPER(Custumer[[#This Row],[Region]]),"NORTH AMERICA","N. AMERICA"),"LATAM","LATIN AMERICA")</f>
        <v>N. AMERICA</v>
      </c>
      <c r="I117" t="s">
        <v>3138</v>
      </c>
      <c r="J117" t="s">
        <v>3102</v>
      </c>
      <c r="K117" t="str">
        <f>IF(Custumer[[#This Row],[AccountStatus]]="","Missing Value",Custumer[[#This Row],[AccountStatus]])</f>
        <v>Active</v>
      </c>
      <c r="L117" t="s">
        <v>3369</v>
      </c>
      <c r="M117">
        <v>100000</v>
      </c>
      <c r="N117">
        <f>VALUE(IF(ISNUMBER(Custumer[[#This Row],[CreditLimit]]),Custumer[[#This Row],[CreditLimit]],MID(Custumer[[#This Row],[CreditLimit]],2,10)))</f>
        <v>100000</v>
      </c>
    </row>
    <row r="118" spans="1:14" x14ac:dyDescent="0.25">
      <c r="A118" t="s">
        <v>1660</v>
      </c>
      <c r="B118" t="s">
        <v>3370</v>
      </c>
      <c r="C118" t="str">
        <f>PROPER(TRIM(Custumer[[#This Row],[CustomerName]]))</f>
        <v>Jones-Hall Sa</v>
      </c>
      <c r="D118" t="s">
        <v>43</v>
      </c>
      <c r="E118" t="str">
        <f>TRIM(PROPER(Custumer[[#This Row],[CustomerSegment]]))</f>
        <v>Energy &amp; Utilities</v>
      </c>
      <c r="F118" t="s">
        <v>3100</v>
      </c>
      <c r="G118" t="s">
        <v>82</v>
      </c>
      <c r="H118" t="str">
        <f>SUBSTITUTE(SUBSTITUTE(UPPER(Custumer[[#This Row],[Region]]),"NORTH AMERICA","N. AMERICA"),"LATAM","LATIN AMERICA")</f>
        <v>LATIN AMERICA</v>
      </c>
      <c r="I118" t="s">
        <v>3178</v>
      </c>
      <c r="J118" t="s">
        <v>3102</v>
      </c>
      <c r="K118" t="str">
        <f>IF(Custumer[[#This Row],[AccountStatus]]="","Missing Value",Custumer[[#This Row],[AccountStatus]])</f>
        <v>Active</v>
      </c>
      <c r="L118" t="s">
        <v>3371</v>
      </c>
      <c r="M118">
        <v>250000</v>
      </c>
      <c r="N118">
        <f>VALUE(IF(ISNUMBER(Custumer[[#This Row],[CreditLimit]]),Custumer[[#This Row],[CreditLimit]],MID(Custumer[[#This Row],[CreditLimit]],2,10)))</f>
        <v>250000</v>
      </c>
    </row>
    <row r="119" spans="1:14" x14ac:dyDescent="0.25">
      <c r="A119" t="s">
        <v>795</v>
      </c>
      <c r="B119" t="s">
        <v>3372</v>
      </c>
      <c r="C119" t="str">
        <f>PROPER(TRIM(Custumer[[#This Row],[CustomerName]]))</f>
        <v>Coleman Plc</v>
      </c>
      <c r="D119" t="s">
        <v>49</v>
      </c>
      <c r="E119" t="str">
        <f>TRIM(PROPER(Custumer[[#This Row],[CustomerSegment]]))</f>
        <v>Manufacturing</v>
      </c>
      <c r="F119" t="s">
        <v>3117</v>
      </c>
      <c r="G119" t="s">
        <v>20</v>
      </c>
      <c r="H119" t="str">
        <f>SUBSTITUTE(SUBSTITUTE(UPPER(Custumer[[#This Row],[Region]]),"NORTH AMERICA","N. AMERICA"),"LATAM","LATIN AMERICA")</f>
        <v>N. AMERICA</v>
      </c>
      <c r="I119" t="s">
        <v>3167</v>
      </c>
      <c r="J119" t="s">
        <v>3102</v>
      </c>
      <c r="K119" t="str">
        <f>IF(Custumer[[#This Row],[AccountStatus]]="","Missing Value",Custumer[[#This Row],[AccountStatus]])</f>
        <v>Active</v>
      </c>
      <c r="L119" t="s">
        <v>3373</v>
      </c>
      <c r="M119">
        <v>100000</v>
      </c>
      <c r="N119">
        <f>VALUE(IF(ISNUMBER(Custumer[[#This Row],[CreditLimit]]),Custumer[[#This Row],[CreditLimit]],MID(Custumer[[#This Row],[CreditLimit]],2,10)))</f>
        <v>100000</v>
      </c>
    </row>
    <row r="120" spans="1:14" x14ac:dyDescent="0.25">
      <c r="A120" t="s">
        <v>267</v>
      </c>
      <c r="B120" t="s">
        <v>3374</v>
      </c>
      <c r="C120" t="str">
        <f>PROPER(TRIM(Custumer[[#This Row],[CustomerName]]))</f>
        <v>Jones And Sons Bv</v>
      </c>
      <c r="D120" t="s">
        <v>49</v>
      </c>
      <c r="E120" t="str">
        <f>TRIM(PROPER(Custumer[[#This Row],[CustomerSegment]]))</f>
        <v>Manufacturing</v>
      </c>
      <c r="F120" t="s">
        <v>3117</v>
      </c>
      <c r="G120" t="s">
        <v>76</v>
      </c>
      <c r="H120" t="str">
        <f>SUBSTITUTE(SUBSTITUTE(UPPER(Custumer[[#This Row],[Region]]),"NORTH AMERICA","N. AMERICA"),"LATAM","LATIN AMERICA")</f>
        <v>EMEA</v>
      </c>
      <c r="I120" t="s">
        <v>3192</v>
      </c>
      <c r="J120" t="s">
        <v>3102</v>
      </c>
      <c r="K120" t="str">
        <f>IF(Custumer[[#This Row],[AccountStatus]]="","Missing Value",Custumer[[#This Row],[AccountStatus]])</f>
        <v>Active</v>
      </c>
      <c r="L120" t="s">
        <v>3375</v>
      </c>
      <c r="M120">
        <v>1000000</v>
      </c>
      <c r="N120">
        <f>VALUE(IF(ISNUMBER(Custumer[[#This Row],[CreditLimit]]),Custumer[[#This Row],[CreditLimit]],MID(Custumer[[#This Row],[CreditLimit]],2,10)))</f>
        <v>1000000</v>
      </c>
    </row>
    <row r="121" spans="1:14" x14ac:dyDescent="0.25">
      <c r="A121" t="s">
        <v>102</v>
      </c>
      <c r="B121" t="s">
        <v>3376</v>
      </c>
      <c r="C121" t="str">
        <f>PROPER(TRIM(Custumer[[#This Row],[CustomerName]]))</f>
        <v>Gonzales-Harrison Corp</v>
      </c>
      <c r="D121" t="s">
        <v>43</v>
      </c>
      <c r="E121" t="str">
        <f>TRIM(PROPER(Custumer[[#This Row],[CustomerSegment]]))</f>
        <v>Energy &amp; Utilities</v>
      </c>
      <c r="F121" t="s">
        <v>3117</v>
      </c>
      <c r="G121" t="s">
        <v>76</v>
      </c>
      <c r="H121" t="str">
        <f>SUBSTITUTE(SUBSTITUTE(UPPER(Custumer[[#This Row],[Region]]),"NORTH AMERICA","N. AMERICA"),"LATAM","LATIN AMERICA")</f>
        <v>EMEA</v>
      </c>
      <c r="I121" t="s">
        <v>3101</v>
      </c>
      <c r="J121" t="s">
        <v>3102</v>
      </c>
      <c r="K121" t="str">
        <f>IF(Custumer[[#This Row],[AccountStatus]]="","Missing Value",Custumer[[#This Row],[AccountStatus]])</f>
        <v>Active</v>
      </c>
      <c r="L121" t="s">
        <v>3377</v>
      </c>
      <c r="M121">
        <v>50000</v>
      </c>
      <c r="N121">
        <f>VALUE(IF(ISNUMBER(Custumer[[#This Row],[CreditLimit]]),Custumer[[#This Row],[CreditLimit]],MID(Custumer[[#This Row],[CreditLimit]],2,10)))</f>
        <v>50000</v>
      </c>
    </row>
    <row r="122" spans="1:14" x14ac:dyDescent="0.25">
      <c r="A122" t="s">
        <v>423</v>
      </c>
      <c r="B122" t="s">
        <v>3378</v>
      </c>
      <c r="C122" t="str">
        <f>PROPER(TRIM(Custumer[[#This Row],[CustomerName]]))</f>
        <v>Snyder Miller And Williams</v>
      </c>
      <c r="D122" t="s">
        <v>49</v>
      </c>
      <c r="E122" t="str">
        <f>TRIM(PROPER(Custumer[[#This Row],[CustomerSegment]]))</f>
        <v>Manufacturing</v>
      </c>
      <c r="F122" t="s">
        <v>3117</v>
      </c>
      <c r="G122" t="s">
        <v>20</v>
      </c>
      <c r="H122" t="str">
        <f>SUBSTITUTE(SUBSTITUTE(UPPER(Custumer[[#This Row],[Region]]),"NORTH AMERICA","N. AMERICA"),"LATAM","LATIN AMERICA")</f>
        <v>N. AMERICA</v>
      </c>
      <c r="I122" t="s">
        <v>3107</v>
      </c>
      <c r="J122" t="s">
        <v>3102</v>
      </c>
      <c r="K122" t="str">
        <f>IF(Custumer[[#This Row],[AccountStatus]]="","Missing Value",Custumer[[#This Row],[AccountStatus]])</f>
        <v>Active</v>
      </c>
      <c r="L122" t="s">
        <v>3379</v>
      </c>
      <c r="M122">
        <v>50000</v>
      </c>
      <c r="N122">
        <f>VALUE(IF(ISNUMBER(Custumer[[#This Row],[CreditLimit]]),Custumer[[#This Row],[CreditLimit]],MID(Custumer[[#This Row],[CreditLimit]],2,10)))</f>
        <v>50000</v>
      </c>
    </row>
    <row r="123" spans="1:14" x14ac:dyDescent="0.25">
      <c r="A123" t="s">
        <v>1023</v>
      </c>
      <c r="B123" t="s">
        <v>3380</v>
      </c>
      <c r="C123" t="str">
        <f>PROPER(TRIM(Custumer[[#This Row],[CustomerName]]))</f>
        <v>Perez Ltd Sa</v>
      </c>
      <c r="D123" t="s">
        <v>43</v>
      </c>
      <c r="E123" t="str">
        <f>TRIM(PROPER(Custumer[[#This Row],[CustomerSegment]]))</f>
        <v>Energy &amp; Utilities</v>
      </c>
      <c r="F123" t="s">
        <v>3100</v>
      </c>
      <c r="G123" t="s">
        <v>20</v>
      </c>
      <c r="H123" t="str">
        <f>SUBSTITUTE(SUBSTITUTE(UPPER(Custumer[[#This Row],[Region]]),"NORTH AMERICA","N. AMERICA"),"LATAM","LATIN AMERICA")</f>
        <v>N. AMERICA</v>
      </c>
      <c r="I123" t="s">
        <v>3178</v>
      </c>
      <c r="J123" t="s">
        <v>3102</v>
      </c>
      <c r="K123" t="str">
        <f>IF(Custumer[[#This Row],[AccountStatus]]="","Missing Value",Custumer[[#This Row],[AccountStatus]])</f>
        <v>Active</v>
      </c>
      <c r="L123" t="s">
        <v>3381</v>
      </c>
      <c r="M123">
        <v>250000</v>
      </c>
      <c r="N123">
        <f>VALUE(IF(ISNUMBER(Custumer[[#This Row],[CreditLimit]]),Custumer[[#This Row],[CreditLimit]],MID(Custumer[[#This Row],[CreditLimit]],2,10)))</f>
        <v>250000</v>
      </c>
    </row>
    <row r="124" spans="1:14" x14ac:dyDescent="0.25">
      <c r="A124" t="s">
        <v>3382</v>
      </c>
      <c r="B124" t="s">
        <v>3383</v>
      </c>
      <c r="C124" t="str">
        <f>PROPER(TRIM(Custumer[[#This Row],[CustomerName]]))</f>
        <v>Underwood Johnston And Hines Inc</v>
      </c>
      <c r="D124" t="s">
        <v>49</v>
      </c>
      <c r="E124" t="str">
        <f>TRIM(PROPER(Custumer[[#This Row],[CustomerSegment]]))</f>
        <v>Manufacturing</v>
      </c>
      <c r="F124" t="s">
        <v>3100</v>
      </c>
      <c r="G124" t="s">
        <v>30</v>
      </c>
      <c r="H124" t="str">
        <f>SUBSTITUTE(SUBSTITUTE(UPPER(Custumer[[#This Row],[Region]]),"NORTH AMERICA","N. AMERICA"),"LATAM","LATIN AMERICA")</f>
        <v>APAC</v>
      </c>
      <c r="I124" t="s">
        <v>3167</v>
      </c>
      <c r="J124" t="s">
        <v>3102</v>
      </c>
      <c r="K124" t="str">
        <f>IF(Custumer[[#This Row],[AccountStatus]]="","Missing Value",Custumer[[#This Row],[AccountStatus]])</f>
        <v>Active</v>
      </c>
      <c r="L124" t="s">
        <v>3384</v>
      </c>
      <c r="M124" t="s">
        <v>3385</v>
      </c>
      <c r="N124">
        <f>VALUE(IF(ISNUMBER(Custumer[[#This Row],[CreditLimit]]),Custumer[[#This Row],[CreditLimit]],MID(Custumer[[#This Row],[CreditLimit]],2,10)))</f>
        <v>500000</v>
      </c>
    </row>
    <row r="125" spans="1:14" x14ac:dyDescent="0.25">
      <c r="A125" t="s">
        <v>1017</v>
      </c>
      <c r="B125" t="s">
        <v>3386</v>
      </c>
      <c r="C125" t="str">
        <f>PROPER(TRIM(Custumer[[#This Row],[CustomerName]]))</f>
        <v>White-Richards Inc</v>
      </c>
      <c r="D125" t="s">
        <v>65</v>
      </c>
      <c r="E125" t="str">
        <f>TRIM(PROPER(Custumer[[#This Row],[CustomerSegment]]))</f>
        <v>Research &amp; Labs</v>
      </c>
      <c r="F125" t="s">
        <v>3117</v>
      </c>
      <c r="G125" t="s">
        <v>20</v>
      </c>
      <c r="H125" t="str">
        <f>SUBSTITUTE(SUBSTITUTE(UPPER(Custumer[[#This Row],[Region]]),"NORTH AMERICA","N. AMERICA"),"LATAM","LATIN AMERICA")</f>
        <v>N. AMERICA</v>
      </c>
      <c r="I125" t="s">
        <v>3138</v>
      </c>
      <c r="J125" t="s">
        <v>3102</v>
      </c>
      <c r="K125" t="str">
        <f>IF(Custumer[[#This Row],[AccountStatus]]="","Missing Value",Custumer[[#This Row],[AccountStatus]])</f>
        <v>Active</v>
      </c>
      <c r="L125" t="s">
        <v>3387</v>
      </c>
      <c r="M125">
        <v>500000</v>
      </c>
      <c r="N125">
        <f>VALUE(IF(ISNUMBER(Custumer[[#This Row],[CreditLimit]]),Custumer[[#This Row],[CreditLimit]],MID(Custumer[[#This Row],[CreditLimit]],2,10)))</f>
        <v>500000</v>
      </c>
    </row>
    <row r="126" spans="1:14" x14ac:dyDescent="0.25">
      <c r="A126" t="s">
        <v>345</v>
      </c>
      <c r="B126" t="s">
        <v>3388</v>
      </c>
      <c r="C126" t="str">
        <f>PROPER(TRIM(Custumer[[#This Row],[CustomerName]]))</f>
        <v>Ortiz-Morris Llc</v>
      </c>
      <c r="D126" t="s">
        <v>3110</v>
      </c>
      <c r="E126" t="str">
        <f>TRIM(PROPER(Custumer[[#This Row],[CustomerSegment]]))</f>
        <v>Manufacturing</v>
      </c>
      <c r="F126" t="s">
        <v>3100</v>
      </c>
      <c r="G126" t="s">
        <v>20</v>
      </c>
      <c r="H126" t="str">
        <f>SUBSTITUTE(SUBSTITUTE(UPPER(Custumer[[#This Row],[Region]]),"NORTH AMERICA","N. AMERICA"),"LATAM","LATIN AMERICA")</f>
        <v>N. AMERICA</v>
      </c>
      <c r="I126" t="s">
        <v>3111</v>
      </c>
      <c r="J126" t="s">
        <v>3102</v>
      </c>
      <c r="K126" t="str">
        <f>IF(Custumer[[#This Row],[AccountStatus]]="","Missing Value",Custumer[[#This Row],[AccountStatus]])</f>
        <v>Active</v>
      </c>
      <c r="L126" t="s">
        <v>3389</v>
      </c>
      <c r="M126" t="s">
        <v>3300</v>
      </c>
      <c r="N126">
        <f>VALUE(IF(ISNUMBER(Custumer[[#This Row],[CreditLimit]]),Custumer[[#This Row],[CreditLimit]],MID(Custumer[[#This Row],[CreditLimit]],2,10)))</f>
        <v>250000</v>
      </c>
    </row>
    <row r="127" spans="1:14" x14ac:dyDescent="0.25">
      <c r="A127" t="s">
        <v>412</v>
      </c>
      <c r="B127" t="s">
        <v>3390</v>
      </c>
      <c r="C127" t="str">
        <f>PROPER(TRIM(Custumer[[#This Row],[CustomerName]]))</f>
        <v>Roberts-Landry Ag</v>
      </c>
      <c r="D127" t="s">
        <v>43</v>
      </c>
      <c r="E127" t="str">
        <f>TRIM(PROPER(Custumer[[#This Row],[CustomerSegment]]))</f>
        <v>Energy &amp; Utilities</v>
      </c>
      <c r="F127" t="s">
        <v>3100</v>
      </c>
      <c r="G127" t="s">
        <v>76</v>
      </c>
      <c r="H127" t="str">
        <f>SUBSTITUTE(SUBSTITUTE(UPPER(Custumer[[#This Row],[Region]]),"NORTH AMERICA","N. AMERICA"),"LATAM","LATIN AMERICA")</f>
        <v>EMEA</v>
      </c>
      <c r="I127" t="s">
        <v>3162</v>
      </c>
      <c r="J127" t="s">
        <v>3102</v>
      </c>
      <c r="K127" t="str">
        <f>IF(Custumer[[#This Row],[AccountStatus]]="","Missing Value",Custumer[[#This Row],[AccountStatus]])</f>
        <v>Active</v>
      </c>
      <c r="L127" t="s">
        <v>3391</v>
      </c>
      <c r="M127">
        <v>100000</v>
      </c>
      <c r="N127">
        <f>VALUE(IF(ISNUMBER(Custumer[[#This Row],[CreditLimit]]),Custumer[[#This Row],[CreditLimit]],MID(Custumer[[#This Row],[CreditLimit]],2,10)))</f>
        <v>100000</v>
      </c>
    </row>
    <row r="128" spans="1:14" x14ac:dyDescent="0.25">
      <c r="A128" t="s">
        <v>1808</v>
      </c>
      <c r="B128" t="s">
        <v>3392</v>
      </c>
      <c r="C128" t="str">
        <f>PROPER(TRIM(Custumer[[#This Row],[CustomerName]]))</f>
        <v>King-Wilson</v>
      </c>
      <c r="D128" t="s">
        <v>35</v>
      </c>
      <c r="E128" t="str">
        <f>TRIM(PROPER(Custumer[[#This Row],[CustomerSegment]]))</f>
        <v>Process Industries</v>
      </c>
      <c r="F128" t="s">
        <v>3100</v>
      </c>
      <c r="G128" t="s">
        <v>82</v>
      </c>
      <c r="H128" t="str">
        <f>SUBSTITUTE(SUBSTITUTE(UPPER(Custumer[[#This Row],[Region]]),"NORTH AMERICA","N. AMERICA"),"LATAM","LATIN AMERICA")</f>
        <v>LATIN AMERICA</v>
      </c>
      <c r="I128" t="s">
        <v>3328</v>
      </c>
      <c r="J128" t="s">
        <v>3102</v>
      </c>
      <c r="K128" t="str">
        <f>IF(Custumer[[#This Row],[AccountStatus]]="","Missing Value",Custumer[[#This Row],[AccountStatus]])</f>
        <v>Active</v>
      </c>
      <c r="L128" t="s">
        <v>3393</v>
      </c>
      <c r="M128">
        <v>50000</v>
      </c>
      <c r="N128">
        <f>VALUE(IF(ISNUMBER(Custumer[[#This Row],[CreditLimit]]),Custumer[[#This Row],[CreditLimit]],MID(Custumer[[#This Row],[CreditLimit]],2,10)))</f>
        <v>50000</v>
      </c>
    </row>
    <row r="129" spans="1:14" x14ac:dyDescent="0.25">
      <c r="A129" t="s">
        <v>394</v>
      </c>
      <c r="B129" t="s">
        <v>3394</v>
      </c>
      <c r="C129" t="str">
        <f>PROPER(TRIM(Custumer[[#This Row],[CustomerName]]))</f>
        <v>Sandoval Plc</v>
      </c>
      <c r="D129" t="s">
        <v>43</v>
      </c>
      <c r="E129" t="str">
        <f>TRIM(PROPER(Custumer[[#This Row],[CustomerSegment]]))</f>
        <v>Energy &amp; Utilities</v>
      </c>
      <c r="F129" t="s">
        <v>3117</v>
      </c>
      <c r="G129" t="s">
        <v>76</v>
      </c>
      <c r="H129" t="str">
        <f>SUBSTITUTE(SUBSTITUTE(UPPER(Custumer[[#This Row],[Region]]),"NORTH AMERICA","N. AMERICA"),"LATAM","LATIN AMERICA")</f>
        <v>EMEA</v>
      </c>
      <c r="I129" t="s">
        <v>3178</v>
      </c>
      <c r="J129" t="s">
        <v>3102</v>
      </c>
      <c r="K129" t="str">
        <f>IF(Custumer[[#This Row],[AccountStatus]]="","Missing Value",Custumer[[#This Row],[AccountStatus]])</f>
        <v>Active</v>
      </c>
      <c r="L129" t="s">
        <v>3395</v>
      </c>
      <c r="M129">
        <v>100000</v>
      </c>
      <c r="N129">
        <f>VALUE(IF(ISNUMBER(Custumer[[#This Row],[CreditLimit]]),Custumer[[#This Row],[CreditLimit]],MID(Custumer[[#This Row],[CreditLimit]],2,10)))</f>
        <v>100000</v>
      </c>
    </row>
    <row r="130" spans="1:14" x14ac:dyDescent="0.25">
      <c r="A130" t="s">
        <v>276</v>
      </c>
      <c r="B130" t="s">
        <v>3396</v>
      </c>
      <c r="C130" t="str">
        <f>PROPER(TRIM(Custumer[[#This Row],[CustomerName]]))</f>
        <v>Avila Garrett And Wolf</v>
      </c>
      <c r="D130" t="s">
        <v>49</v>
      </c>
      <c r="E130" t="str">
        <f>TRIM(PROPER(Custumer[[#This Row],[CustomerSegment]]))</f>
        <v>Manufacturing</v>
      </c>
      <c r="F130" t="s">
        <v>3117</v>
      </c>
      <c r="G130" t="s">
        <v>20</v>
      </c>
      <c r="H130" t="str">
        <f>SUBSTITUTE(SUBSTITUTE(UPPER(Custumer[[#This Row],[Region]]),"NORTH AMERICA","N. AMERICA"),"LATAM","LATIN AMERICA")</f>
        <v>N. AMERICA</v>
      </c>
      <c r="I130" t="s">
        <v>3107</v>
      </c>
      <c r="J130" t="s">
        <v>3102</v>
      </c>
      <c r="K130" t="str">
        <f>IF(Custumer[[#This Row],[AccountStatus]]="","Missing Value",Custumer[[#This Row],[AccountStatus]])</f>
        <v>Active</v>
      </c>
      <c r="L130" t="s">
        <v>3397</v>
      </c>
      <c r="M130">
        <v>50000</v>
      </c>
      <c r="N130">
        <f>VALUE(IF(ISNUMBER(Custumer[[#This Row],[CreditLimit]]),Custumer[[#This Row],[CreditLimit]],MID(Custumer[[#This Row],[CreditLimit]],2,10)))</f>
        <v>50000</v>
      </c>
    </row>
    <row r="131" spans="1:14" x14ac:dyDescent="0.25">
      <c r="A131" t="s">
        <v>370</v>
      </c>
      <c r="B131" t="s">
        <v>3398</v>
      </c>
      <c r="C131" t="str">
        <f>PROPER(TRIM(Custumer[[#This Row],[CustomerName]]))</f>
        <v>Gilmore-Washington</v>
      </c>
      <c r="D131" t="s">
        <v>65</v>
      </c>
      <c r="E131" t="str">
        <f>TRIM(PROPER(Custumer[[#This Row],[CustomerSegment]]))</f>
        <v>Research &amp; Labs</v>
      </c>
      <c r="F131" t="s">
        <v>3100</v>
      </c>
      <c r="G131" t="s">
        <v>76</v>
      </c>
      <c r="H131" t="str">
        <f>SUBSTITUTE(SUBSTITUTE(UPPER(Custumer[[#This Row],[Region]]),"NORTH AMERICA","N. AMERICA"),"LATAM","LATIN AMERICA")</f>
        <v>EMEA</v>
      </c>
      <c r="I131" t="s">
        <v>3141</v>
      </c>
      <c r="J131" t="s">
        <v>3102</v>
      </c>
      <c r="K131" t="str">
        <f>IF(Custumer[[#This Row],[AccountStatus]]="","Missing Value",Custumer[[#This Row],[AccountStatus]])</f>
        <v>Active</v>
      </c>
      <c r="L131" t="s">
        <v>3399</v>
      </c>
      <c r="M131">
        <v>250000</v>
      </c>
      <c r="N131">
        <f>VALUE(IF(ISNUMBER(Custumer[[#This Row],[CreditLimit]]),Custumer[[#This Row],[CreditLimit]],MID(Custumer[[#This Row],[CreditLimit]],2,10)))</f>
        <v>250000</v>
      </c>
    </row>
    <row r="132" spans="1:14" x14ac:dyDescent="0.25">
      <c r="A132" t="s">
        <v>687</v>
      </c>
      <c r="B132" t="s">
        <v>3400</v>
      </c>
      <c r="C132" t="str">
        <f>PROPER(TRIM(Custumer[[#This Row],[CustomerName]]))</f>
        <v>Moore Pierce And Tran Sa</v>
      </c>
      <c r="D132" t="s">
        <v>49</v>
      </c>
      <c r="E132" t="str">
        <f>TRIM(PROPER(Custumer[[#This Row],[CustomerSegment]]))</f>
        <v>Manufacturing</v>
      </c>
      <c r="F132" t="s">
        <v>3100</v>
      </c>
      <c r="G132" t="s">
        <v>76</v>
      </c>
      <c r="H132" t="str">
        <f>SUBSTITUTE(SUBSTITUTE(UPPER(Custumer[[#This Row],[Region]]),"NORTH AMERICA","N. AMERICA"),"LATAM","LATIN AMERICA")</f>
        <v>EMEA</v>
      </c>
      <c r="I132" t="s">
        <v>3192</v>
      </c>
      <c r="J132" t="s">
        <v>3102</v>
      </c>
      <c r="K132" t="str">
        <f>IF(Custumer[[#This Row],[AccountStatus]]="","Missing Value",Custumer[[#This Row],[AccountStatus]])</f>
        <v>Active</v>
      </c>
      <c r="L132" t="s">
        <v>3401</v>
      </c>
      <c r="M132">
        <v>250000</v>
      </c>
      <c r="N132">
        <f>VALUE(IF(ISNUMBER(Custumer[[#This Row],[CreditLimit]]),Custumer[[#This Row],[CreditLimit]],MID(Custumer[[#This Row],[CreditLimit]],2,10)))</f>
        <v>250000</v>
      </c>
    </row>
    <row r="133" spans="1:14" x14ac:dyDescent="0.25">
      <c r="A133" t="s">
        <v>494</v>
      </c>
      <c r="B133" t="s">
        <v>3402</v>
      </c>
      <c r="C133" t="str">
        <f>PROPER(TRIM(Custumer[[#This Row],[CustomerName]]))</f>
        <v>Valentine-Holland</v>
      </c>
      <c r="D133" t="s">
        <v>49</v>
      </c>
      <c r="E133" t="str">
        <f>TRIM(PROPER(Custumer[[#This Row],[CustomerSegment]]))</f>
        <v>Manufacturing</v>
      </c>
      <c r="F133" t="s">
        <v>3100</v>
      </c>
      <c r="G133" t="s">
        <v>20</v>
      </c>
      <c r="H133" t="str">
        <f>SUBSTITUTE(SUBSTITUTE(UPPER(Custumer[[#This Row],[Region]]),"NORTH AMERICA","N. AMERICA"),"LATAM","LATIN AMERICA")</f>
        <v>N. AMERICA</v>
      </c>
      <c r="I133" t="s">
        <v>3107</v>
      </c>
      <c r="J133" t="s">
        <v>3102</v>
      </c>
      <c r="K133" t="str">
        <f>IF(Custumer[[#This Row],[AccountStatus]]="","Missing Value",Custumer[[#This Row],[AccountStatus]])</f>
        <v>Active</v>
      </c>
      <c r="L133" t="s">
        <v>3403</v>
      </c>
      <c r="M133">
        <v>250000</v>
      </c>
      <c r="N133">
        <f>VALUE(IF(ISNUMBER(Custumer[[#This Row],[CreditLimit]]),Custumer[[#This Row],[CreditLimit]],MID(Custumer[[#This Row],[CreditLimit]],2,10)))</f>
        <v>250000</v>
      </c>
    </row>
    <row r="134" spans="1:14" x14ac:dyDescent="0.25">
      <c r="A134" t="s">
        <v>491</v>
      </c>
      <c r="B134" t="s">
        <v>3404</v>
      </c>
      <c r="C134" t="str">
        <f>PROPER(TRIM(Custumer[[#This Row],[CustomerName]]))</f>
        <v>Hill Davenport And Baird Corp</v>
      </c>
      <c r="D134" t="s">
        <v>43</v>
      </c>
      <c r="E134" t="str">
        <f>TRIM(PROPER(Custumer[[#This Row],[CustomerSegment]]))</f>
        <v>Energy &amp; Utilities</v>
      </c>
      <c r="F134" t="s">
        <v>3100</v>
      </c>
      <c r="G134" t="s">
        <v>82</v>
      </c>
      <c r="H134" t="str">
        <f>SUBSTITUTE(SUBSTITUTE(UPPER(Custumer[[#This Row],[Region]]),"NORTH AMERICA","N. AMERICA"),"LATAM","LATIN AMERICA")</f>
        <v>LATIN AMERICA</v>
      </c>
      <c r="I134" t="s">
        <v>3162</v>
      </c>
      <c r="J134" t="s">
        <v>3102</v>
      </c>
      <c r="K134" t="str">
        <f>IF(Custumer[[#This Row],[AccountStatus]]="","Missing Value",Custumer[[#This Row],[AccountStatus]])</f>
        <v>Active</v>
      </c>
      <c r="L134" t="s">
        <v>3405</v>
      </c>
      <c r="M134">
        <v>50000</v>
      </c>
      <c r="N134">
        <f>VALUE(IF(ISNUMBER(Custumer[[#This Row],[CreditLimit]]),Custumer[[#This Row],[CreditLimit]],MID(Custumer[[#This Row],[CreditLimit]],2,10)))</f>
        <v>50000</v>
      </c>
    </row>
    <row r="135" spans="1:14" x14ac:dyDescent="0.25">
      <c r="A135" t="s">
        <v>890</v>
      </c>
      <c r="B135" t="s">
        <v>3406</v>
      </c>
      <c r="C135" t="str">
        <f>PROPER(TRIM(Custumer[[#This Row],[CustomerName]]))</f>
        <v>Romero Suarez And Shields</v>
      </c>
      <c r="D135" t="s">
        <v>49</v>
      </c>
      <c r="E135" t="str">
        <f>TRIM(PROPER(Custumer[[#This Row],[CustomerSegment]]))</f>
        <v>Manufacturing</v>
      </c>
      <c r="F135" t="s">
        <v>3117</v>
      </c>
      <c r="G135" t="s">
        <v>20</v>
      </c>
      <c r="H135" t="str">
        <f>SUBSTITUTE(SUBSTITUTE(UPPER(Custumer[[#This Row],[Region]]),"NORTH AMERICA","N. AMERICA"),"LATAM","LATIN AMERICA")</f>
        <v>N. AMERICA</v>
      </c>
      <c r="I135" t="s">
        <v>3192</v>
      </c>
      <c r="J135" t="s">
        <v>3102</v>
      </c>
      <c r="K135" t="str">
        <f>IF(Custumer[[#This Row],[AccountStatus]]="","Missing Value",Custumer[[#This Row],[AccountStatus]])</f>
        <v>Active</v>
      </c>
      <c r="L135" t="s">
        <v>3407</v>
      </c>
      <c r="M135">
        <v>100000</v>
      </c>
      <c r="N135">
        <f>VALUE(IF(ISNUMBER(Custumer[[#This Row],[CreditLimit]]),Custumer[[#This Row],[CreditLimit]],MID(Custumer[[#This Row],[CreditLimit]],2,10)))</f>
        <v>100000</v>
      </c>
    </row>
    <row r="136" spans="1:14" x14ac:dyDescent="0.25">
      <c r="A136" t="s">
        <v>1343</v>
      </c>
      <c r="B136" t="s">
        <v>3408</v>
      </c>
      <c r="C136" t="str">
        <f>PROPER(TRIM(Custumer[[#This Row],[CustomerName]]))</f>
        <v>Adams Smith And Barber Bv</v>
      </c>
      <c r="D136" t="s">
        <v>49</v>
      </c>
      <c r="E136" t="str">
        <f>TRIM(PROPER(Custumer[[#This Row],[CustomerSegment]]))</f>
        <v>Manufacturing</v>
      </c>
      <c r="F136" t="s">
        <v>3126</v>
      </c>
      <c r="G136" t="s">
        <v>3229</v>
      </c>
      <c r="H136" t="str">
        <f>SUBSTITUTE(SUBSTITUTE(UPPER(Custumer[[#This Row],[Region]]),"NORTH AMERICA","N. AMERICA"),"LATAM","LATIN AMERICA")</f>
        <v>LATIN AMERICA</v>
      </c>
      <c r="I136" t="s">
        <v>3167</v>
      </c>
      <c r="J136" t="s">
        <v>3102</v>
      </c>
      <c r="K136" t="str">
        <f>IF(Custumer[[#This Row],[AccountStatus]]="","Missing Value",Custumer[[#This Row],[AccountStatus]])</f>
        <v>Active</v>
      </c>
      <c r="L136" t="s">
        <v>3409</v>
      </c>
      <c r="M136">
        <v>250000</v>
      </c>
      <c r="N136">
        <f>VALUE(IF(ISNUMBER(Custumer[[#This Row],[CreditLimit]]),Custumer[[#This Row],[CreditLimit]],MID(Custumer[[#This Row],[CreditLimit]],2,10)))</f>
        <v>250000</v>
      </c>
    </row>
    <row r="137" spans="1:14" x14ac:dyDescent="0.25">
      <c r="A137" t="s">
        <v>550</v>
      </c>
      <c r="B137" t="s">
        <v>3410</v>
      </c>
      <c r="C137" t="str">
        <f>PROPER(TRIM(Custumer[[#This Row],[CustomerName]]))</f>
        <v>Griffin Group Llc</v>
      </c>
      <c r="D137" t="s">
        <v>65</v>
      </c>
      <c r="E137" t="str">
        <f>TRIM(PROPER(Custumer[[#This Row],[CustomerSegment]]))</f>
        <v>Research &amp; Labs</v>
      </c>
      <c r="F137" t="s">
        <v>3100</v>
      </c>
      <c r="G137" t="s">
        <v>20</v>
      </c>
      <c r="H137" t="str">
        <f>SUBSTITUTE(SUBSTITUTE(UPPER(Custumer[[#This Row],[Region]]),"NORTH AMERICA","N. AMERICA"),"LATAM","LATIN AMERICA")</f>
        <v>N. AMERICA</v>
      </c>
      <c r="I137" t="s">
        <v>3172</v>
      </c>
      <c r="J137" t="s">
        <v>3232</v>
      </c>
      <c r="K137" t="str">
        <f>IF(Custumer[[#This Row],[AccountStatus]]="","Missing Value",Custumer[[#This Row],[AccountStatus]])</f>
        <v>On Hold</v>
      </c>
      <c r="L137" t="s">
        <v>3411</v>
      </c>
      <c r="M137">
        <v>500000</v>
      </c>
      <c r="N137">
        <f>VALUE(IF(ISNUMBER(Custumer[[#This Row],[CreditLimit]]),Custumer[[#This Row],[CreditLimit]],MID(Custumer[[#This Row],[CreditLimit]],2,10)))</f>
        <v>500000</v>
      </c>
    </row>
    <row r="138" spans="1:14" x14ac:dyDescent="0.25">
      <c r="A138" t="s">
        <v>1000</v>
      </c>
      <c r="B138" t="s">
        <v>3412</v>
      </c>
      <c r="C138" t="str">
        <f>PROPER(TRIM(Custumer[[#This Row],[CustomerName]]))</f>
        <v>Cantu-Kane Llc</v>
      </c>
      <c r="D138" t="s">
        <v>26</v>
      </c>
      <c r="E138" t="str">
        <f>TRIM(PROPER(Custumer[[#This Row],[CustomerSegment]]))</f>
        <v>Aerospace &amp; Defense</v>
      </c>
      <c r="F138" t="s">
        <v>3117</v>
      </c>
      <c r="G138" t="s">
        <v>20</v>
      </c>
      <c r="H138" t="str">
        <f>SUBSTITUTE(SUBSTITUTE(UPPER(Custumer[[#This Row],[Region]]),"NORTH AMERICA","N. AMERICA"),"LATAM","LATIN AMERICA")</f>
        <v>N. AMERICA</v>
      </c>
      <c r="I138" t="s">
        <v>3123</v>
      </c>
      <c r="J138" t="s">
        <v>3102</v>
      </c>
      <c r="K138" t="str">
        <f>IF(Custumer[[#This Row],[AccountStatus]]="","Missing Value",Custumer[[#This Row],[AccountStatus]])</f>
        <v>Active</v>
      </c>
      <c r="L138" t="s">
        <v>3413</v>
      </c>
      <c r="M138">
        <v>1000000</v>
      </c>
      <c r="N138">
        <f>VALUE(IF(ISNUMBER(Custumer[[#This Row],[CreditLimit]]),Custumer[[#This Row],[CreditLimit]],MID(Custumer[[#This Row],[CreditLimit]],2,10)))</f>
        <v>1000000</v>
      </c>
    </row>
    <row r="139" spans="1:14" x14ac:dyDescent="0.25">
      <c r="A139" t="s">
        <v>1518</v>
      </c>
      <c r="B139" t="s">
        <v>3414</v>
      </c>
      <c r="C139" t="str">
        <f>PROPER(TRIM(Custumer[[#This Row],[CustomerName]]))</f>
        <v>Williams-Garner Corp</v>
      </c>
      <c r="D139" t="s">
        <v>35</v>
      </c>
      <c r="E139" t="str">
        <f>TRIM(PROPER(Custumer[[#This Row],[CustomerSegment]]))</f>
        <v>Process Industries</v>
      </c>
      <c r="F139" t="s">
        <v>3117</v>
      </c>
      <c r="G139" t="s">
        <v>76</v>
      </c>
      <c r="H139" t="str">
        <f>SUBSTITUTE(SUBSTITUTE(UPPER(Custumer[[#This Row],[Region]]),"NORTH AMERICA","N. AMERICA"),"LATAM","LATIN AMERICA")</f>
        <v>EMEA</v>
      </c>
      <c r="I139" t="s">
        <v>3127</v>
      </c>
      <c r="J139" t="s">
        <v>3102</v>
      </c>
      <c r="K139" t="str">
        <f>IF(Custumer[[#This Row],[AccountStatus]]="","Missing Value",Custumer[[#This Row],[AccountStatus]])</f>
        <v>Active</v>
      </c>
      <c r="L139" t="s">
        <v>3415</v>
      </c>
      <c r="M139">
        <v>100000</v>
      </c>
      <c r="N139">
        <f>VALUE(IF(ISNUMBER(Custumer[[#This Row],[CreditLimit]]),Custumer[[#This Row],[CreditLimit]],MID(Custumer[[#This Row],[CreditLimit]],2,10)))</f>
        <v>100000</v>
      </c>
    </row>
    <row r="140" spans="1:14" x14ac:dyDescent="0.25">
      <c r="A140" t="s">
        <v>740</v>
      </c>
      <c r="B140" t="s">
        <v>3416</v>
      </c>
      <c r="C140" t="str">
        <f>PROPER(TRIM(Custumer[[#This Row],[CustomerName]]))</f>
        <v>Sparks Pearson And Hernandez Ag</v>
      </c>
      <c r="D140" t="s">
        <v>43</v>
      </c>
      <c r="E140" t="str">
        <f>TRIM(PROPER(Custumer[[#This Row],[CustomerSegment]]))</f>
        <v>Energy &amp; Utilities</v>
      </c>
      <c r="F140" t="s">
        <v>3100</v>
      </c>
      <c r="G140" t="s">
        <v>76</v>
      </c>
      <c r="H140" t="str">
        <f>SUBSTITUTE(SUBSTITUTE(UPPER(Custumer[[#This Row],[Region]]),"NORTH AMERICA","N. AMERICA"),"LATAM","LATIN AMERICA")</f>
        <v>EMEA</v>
      </c>
      <c r="I140" t="s">
        <v>3162</v>
      </c>
      <c r="J140" t="s">
        <v>3102</v>
      </c>
      <c r="K140" t="str">
        <f>IF(Custumer[[#This Row],[AccountStatus]]="","Missing Value",Custumer[[#This Row],[AccountStatus]])</f>
        <v>Active</v>
      </c>
      <c r="L140" t="s">
        <v>3417</v>
      </c>
      <c r="M140">
        <v>50000</v>
      </c>
      <c r="N140">
        <f>VALUE(IF(ISNUMBER(Custumer[[#This Row],[CreditLimit]]),Custumer[[#This Row],[CreditLimit]],MID(Custumer[[#This Row],[CreditLimit]],2,10)))</f>
        <v>50000</v>
      </c>
    </row>
    <row r="141" spans="1:14" x14ac:dyDescent="0.25">
      <c r="A141" t="s">
        <v>1636</v>
      </c>
      <c r="B141" t="s">
        <v>3418</v>
      </c>
      <c r="C141" t="str">
        <f>PROPER(TRIM(Custumer[[#This Row],[CustomerName]]))</f>
        <v>Kane-Sawyer</v>
      </c>
      <c r="D141" t="s">
        <v>35</v>
      </c>
      <c r="E141" t="str">
        <f>TRIM(PROPER(Custumer[[#This Row],[CustomerSegment]]))</f>
        <v>Process Industries</v>
      </c>
      <c r="F141" t="s">
        <v>3100</v>
      </c>
      <c r="G141" t="s">
        <v>20</v>
      </c>
      <c r="H141" t="str">
        <f>SUBSTITUTE(SUBSTITUTE(UPPER(Custumer[[#This Row],[Region]]),"NORTH AMERICA","N. AMERICA"),"LATAM","LATIN AMERICA")</f>
        <v>N. AMERICA</v>
      </c>
      <c r="I141" t="s">
        <v>3127</v>
      </c>
      <c r="J141" t="s">
        <v>3102</v>
      </c>
      <c r="K141" t="str">
        <f>IF(Custumer[[#This Row],[AccountStatus]]="","Missing Value",Custumer[[#This Row],[AccountStatus]])</f>
        <v>Active</v>
      </c>
      <c r="L141" t="s">
        <v>3419</v>
      </c>
      <c r="M141">
        <v>250000</v>
      </c>
      <c r="N141">
        <f>VALUE(IF(ISNUMBER(Custumer[[#This Row],[CreditLimit]]),Custumer[[#This Row],[CreditLimit]],MID(Custumer[[#This Row],[CreditLimit]],2,10)))</f>
        <v>250000</v>
      </c>
    </row>
    <row r="142" spans="1:14" x14ac:dyDescent="0.25">
      <c r="A142" t="s">
        <v>1535</v>
      </c>
      <c r="B142" t="s">
        <v>3420</v>
      </c>
      <c r="C142" t="str">
        <f>PROPER(TRIM(Custumer[[#This Row],[CustomerName]]))</f>
        <v>Thomas Pitts And Booker</v>
      </c>
      <c r="D142" t="s">
        <v>43</v>
      </c>
      <c r="E142" t="str">
        <f>TRIM(PROPER(Custumer[[#This Row],[CustomerSegment]]))</f>
        <v>Energy &amp; Utilities</v>
      </c>
      <c r="F142" t="s">
        <v>3117</v>
      </c>
      <c r="G142" t="s">
        <v>20</v>
      </c>
      <c r="H142" t="str">
        <f>SUBSTITUTE(SUBSTITUTE(UPPER(Custumer[[#This Row],[Region]]),"NORTH AMERICA","N. AMERICA"),"LATAM","LATIN AMERICA")</f>
        <v>N. AMERICA</v>
      </c>
      <c r="I142" t="s">
        <v>3101</v>
      </c>
      <c r="J142" t="s">
        <v>3102</v>
      </c>
      <c r="K142" t="str">
        <f>IF(Custumer[[#This Row],[AccountStatus]]="","Missing Value",Custumer[[#This Row],[AccountStatus]])</f>
        <v>Active</v>
      </c>
      <c r="L142" t="s">
        <v>3421</v>
      </c>
      <c r="M142">
        <v>50000</v>
      </c>
      <c r="N142">
        <f>VALUE(IF(ISNUMBER(Custumer[[#This Row],[CreditLimit]]),Custumer[[#This Row],[CreditLimit]],MID(Custumer[[#This Row],[CreditLimit]],2,10)))</f>
        <v>50000</v>
      </c>
    </row>
    <row r="143" spans="1:14" x14ac:dyDescent="0.25">
      <c r="A143" t="s">
        <v>396</v>
      </c>
      <c r="B143" t="s">
        <v>3422</v>
      </c>
      <c r="C143" t="str">
        <f>PROPER(TRIM(Custumer[[#This Row],[CustomerName]]))</f>
        <v>Schwartz Santos And Christian</v>
      </c>
      <c r="D143" t="s">
        <v>3228</v>
      </c>
      <c r="E143" t="str">
        <f>TRIM(PROPER(Custumer[[#This Row],[CustomerSegment]]))</f>
        <v>Research &amp; Labs</v>
      </c>
      <c r="F143" t="s">
        <v>3100</v>
      </c>
      <c r="G143" t="s">
        <v>20</v>
      </c>
      <c r="H143" t="str">
        <f>SUBSTITUTE(SUBSTITUTE(UPPER(Custumer[[#This Row],[Region]]),"NORTH AMERICA","N. AMERICA"),"LATAM","LATIN AMERICA")</f>
        <v>N. AMERICA</v>
      </c>
      <c r="I143" t="s">
        <v>3138</v>
      </c>
      <c r="J143" t="s">
        <v>3102</v>
      </c>
      <c r="K143" t="str">
        <f>IF(Custumer[[#This Row],[AccountStatus]]="","Missing Value",Custumer[[#This Row],[AccountStatus]])</f>
        <v>Active</v>
      </c>
      <c r="L143" t="s">
        <v>3423</v>
      </c>
      <c r="M143">
        <v>250000</v>
      </c>
      <c r="N143">
        <f>VALUE(IF(ISNUMBER(Custumer[[#This Row],[CreditLimit]]),Custumer[[#This Row],[CreditLimit]],MID(Custumer[[#This Row],[CreditLimit]],2,10)))</f>
        <v>250000</v>
      </c>
    </row>
    <row r="144" spans="1:14" x14ac:dyDescent="0.25">
      <c r="A144" t="s">
        <v>1668</v>
      </c>
      <c r="B144" t="s">
        <v>3424</v>
      </c>
      <c r="C144" t="str">
        <f>PROPER(TRIM(Custumer[[#This Row],[CustomerName]]))</f>
        <v>Sims-Clay Gmbh</v>
      </c>
      <c r="D144" t="s">
        <v>3122</v>
      </c>
      <c r="E144" t="str">
        <f>TRIM(PROPER(Custumer[[#This Row],[CustomerSegment]]))</f>
        <v>Aerospace &amp; Defense</v>
      </c>
      <c r="F144" t="s">
        <v>3100</v>
      </c>
      <c r="G144" t="s">
        <v>76</v>
      </c>
      <c r="H144" t="str">
        <f>SUBSTITUTE(SUBSTITUTE(UPPER(Custumer[[#This Row],[Region]]),"NORTH AMERICA","N. AMERICA"),"LATAM","LATIN AMERICA")</f>
        <v>EMEA</v>
      </c>
      <c r="I144" t="s">
        <v>3130</v>
      </c>
      <c r="J144" t="s">
        <v>3102</v>
      </c>
      <c r="K144" t="str">
        <f>IF(Custumer[[#This Row],[AccountStatus]]="","Missing Value",Custumer[[#This Row],[AccountStatus]])</f>
        <v>Active</v>
      </c>
      <c r="L144" t="s">
        <v>3425</v>
      </c>
      <c r="M144">
        <v>100000</v>
      </c>
      <c r="N144">
        <f>VALUE(IF(ISNUMBER(Custumer[[#This Row],[CreditLimit]]),Custumer[[#This Row],[CreditLimit]],MID(Custumer[[#This Row],[CreditLimit]],2,10)))</f>
        <v>100000</v>
      </c>
    </row>
    <row r="145" spans="1:14" x14ac:dyDescent="0.25">
      <c r="A145" t="s">
        <v>253</v>
      </c>
      <c r="B145" t="s">
        <v>3426</v>
      </c>
      <c r="C145" t="str">
        <f>PROPER(TRIM(Custumer[[#This Row],[CustomerName]]))</f>
        <v>Mccall Bright And Francis Pty Ltd</v>
      </c>
      <c r="D145" t="s">
        <v>65</v>
      </c>
      <c r="E145" t="str">
        <f>TRIM(PROPER(Custumer[[#This Row],[CustomerSegment]]))</f>
        <v>Research &amp; Labs</v>
      </c>
      <c r="F145" t="s">
        <v>3106</v>
      </c>
      <c r="G145" t="s">
        <v>30</v>
      </c>
      <c r="H145" t="str">
        <f>SUBSTITUTE(SUBSTITUTE(UPPER(Custumer[[#This Row],[Region]]),"NORTH AMERICA","N. AMERICA"),"LATAM","LATIN AMERICA")</f>
        <v>APAC</v>
      </c>
      <c r="I145" t="s">
        <v>3138</v>
      </c>
      <c r="J145" t="s">
        <v>3102</v>
      </c>
      <c r="K145" t="str">
        <f>IF(Custumer[[#This Row],[AccountStatus]]="","Missing Value",Custumer[[#This Row],[AccountStatus]])</f>
        <v>Active</v>
      </c>
      <c r="L145" t="s">
        <v>3427</v>
      </c>
      <c r="M145">
        <v>500000</v>
      </c>
      <c r="N145">
        <f>VALUE(IF(ISNUMBER(Custumer[[#This Row],[CreditLimit]]),Custumer[[#This Row],[CreditLimit]],MID(Custumer[[#This Row],[CreditLimit]],2,10)))</f>
        <v>500000</v>
      </c>
    </row>
    <row r="146" spans="1:14" x14ac:dyDescent="0.25">
      <c r="A146" t="s">
        <v>329</v>
      </c>
      <c r="B146" t="s">
        <v>3428</v>
      </c>
      <c r="C146" t="str">
        <f>PROPER(TRIM(Custumer[[#This Row],[CustomerName]]))</f>
        <v>Wallace Ltd</v>
      </c>
      <c r="D146" t="s">
        <v>65</v>
      </c>
      <c r="E146" t="str">
        <f>TRIM(PROPER(Custumer[[#This Row],[CustomerSegment]]))</f>
        <v>Research &amp; Labs</v>
      </c>
      <c r="F146" t="s">
        <v>3126</v>
      </c>
      <c r="G146" t="s">
        <v>20</v>
      </c>
      <c r="H146" t="str">
        <f>SUBSTITUTE(SUBSTITUTE(UPPER(Custumer[[#This Row],[Region]]),"NORTH AMERICA","N. AMERICA"),"LATAM","LATIN AMERICA")</f>
        <v>N. AMERICA</v>
      </c>
      <c r="I146" t="s">
        <v>3138</v>
      </c>
      <c r="J146" t="s">
        <v>3102</v>
      </c>
      <c r="K146" t="str">
        <f>IF(Custumer[[#This Row],[AccountStatus]]="","Missing Value",Custumer[[#This Row],[AccountStatus]])</f>
        <v>Active</v>
      </c>
      <c r="L146" t="s">
        <v>3429</v>
      </c>
      <c r="M146">
        <v>250000</v>
      </c>
      <c r="N146">
        <f>VALUE(IF(ISNUMBER(Custumer[[#This Row],[CreditLimit]]),Custumer[[#This Row],[CreditLimit]],MID(Custumer[[#This Row],[CreditLimit]],2,10)))</f>
        <v>250000</v>
      </c>
    </row>
    <row r="147" spans="1:14" x14ac:dyDescent="0.25">
      <c r="A147" t="s">
        <v>2040</v>
      </c>
      <c r="B147" t="s">
        <v>3430</v>
      </c>
      <c r="C147" t="str">
        <f>PROPER(TRIM(Custumer[[#This Row],[CustomerName]]))</f>
        <v>Carter Llc Ag</v>
      </c>
      <c r="D147" t="s">
        <v>26</v>
      </c>
      <c r="E147" t="str">
        <f>TRIM(PROPER(Custumer[[#This Row],[CustomerSegment]]))</f>
        <v>Aerospace &amp; Defense</v>
      </c>
      <c r="F147" t="s">
        <v>3100</v>
      </c>
      <c r="G147" t="s">
        <v>20</v>
      </c>
      <c r="H147" t="str">
        <f>SUBSTITUTE(SUBSTITUTE(UPPER(Custumer[[#This Row],[Region]]),"NORTH AMERICA","N. AMERICA"),"LATAM","LATIN AMERICA")</f>
        <v>N. AMERICA</v>
      </c>
      <c r="I147" t="s">
        <v>3130</v>
      </c>
      <c r="J147" t="s">
        <v>3102</v>
      </c>
      <c r="K147" t="str">
        <f>IF(Custumer[[#This Row],[AccountStatus]]="","Missing Value",Custumer[[#This Row],[AccountStatus]])</f>
        <v>Active</v>
      </c>
      <c r="L147" t="s">
        <v>3431</v>
      </c>
      <c r="M147">
        <v>100000</v>
      </c>
      <c r="N147">
        <f>VALUE(IF(ISNUMBER(Custumer[[#This Row],[CreditLimit]]),Custumer[[#This Row],[CreditLimit]],MID(Custumer[[#This Row],[CreditLimit]],2,10)))</f>
        <v>100000</v>
      </c>
    </row>
    <row r="148" spans="1:14" x14ac:dyDescent="0.25">
      <c r="A148" t="s">
        <v>91</v>
      </c>
      <c r="B148" t="s">
        <v>3432</v>
      </c>
      <c r="C148" t="str">
        <f>PROPER(TRIM(Custumer[[#This Row],[CustomerName]]))</f>
        <v>Sparks Jackson And Miller Co</v>
      </c>
      <c r="D148" t="s">
        <v>49</v>
      </c>
      <c r="E148" t="str">
        <f>TRIM(PROPER(Custumer[[#This Row],[CustomerSegment]]))</f>
        <v>Manufacturing</v>
      </c>
      <c r="F148" t="s">
        <v>3100</v>
      </c>
      <c r="G148" t="s">
        <v>30</v>
      </c>
      <c r="H148" t="str">
        <f>SUBSTITUTE(SUBSTITUTE(UPPER(Custumer[[#This Row],[Region]]),"NORTH AMERICA","N. AMERICA"),"LATAM","LATIN AMERICA")</f>
        <v>APAC</v>
      </c>
      <c r="I148" t="s">
        <v>3107</v>
      </c>
      <c r="J148" t="s">
        <v>3102</v>
      </c>
      <c r="K148" t="str">
        <f>IF(Custumer[[#This Row],[AccountStatus]]="","Missing Value",Custumer[[#This Row],[AccountStatus]])</f>
        <v>Active</v>
      </c>
      <c r="L148" t="s">
        <v>3433</v>
      </c>
      <c r="M148">
        <v>100000</v>
      </c>
      <c r="N148">
        <f>VALUE(IF(ISNUMBER(Custumer[[#This Row],[CreditLimit]]),Custumer[[#This Row],[CreditLimit]],MID(Custumer[[#This Row],[CreditLimit]],2,10)))</f>
        <v>100000</v>
      </c>
    </row>
    <row r="149" spans="1:14" x14ac:dyDescent="0.25">
      <c r="A149" t="s">
        <v>262</v>
      </c>
      <c r="B149" t="s">
        <v>3434</v>
      </c>
      <c r="C149" t="str">
        <f>PROPER(TRIM(Custumer[[#This Row],[CustomerName]]))</f>
        <v>Thomas Murray And King...</v>
      </c>
      <c r="D149" t="s">
        <v>65</v>
      </c>
      <c r="E149" t="str">
        <f>TRIM(PROPER(Custumer[[#This Row],[CustomerSegment]]))</f>
        <v>Research &amp; Labs</v>
      </c>
      <c r="F149" t="s">
        <v>3100</v>
      </c>
      <c r="G149" t="s">
        <v>3118</v>
      </c>
      <c r="H149" t="str">
        <f>SUBSTITUTE(SUBSTITUTE(UPPER(Custumer[[#This Row],[Region]]),"NORTH AMERICA","N. AMERICA"),"LATAM","LATIN AMERICA")</f>
        <v>N. AMERICA</v>
      </c>
      <c r="I149" t="s">
        <v>3141</v>
      </c>
      <c r="J149" t="s">
        <v>3102</v>
      </c>
      <c r="K149" t="str">
        <f>IF(Custumer[[#This Row],[AccountStatus]]="","Missing Value",Custumer[[#This Row],[AccountStatus]])</f>
        <v>Active</v>
      </c>
      <c r="L149" t="s">
        <v>3435</v>
      </c>
      <c r="M149">
        <v>100000</v>
      </c>
      <c r="N149">
        <f>VALUE(IF(ISNUMBER(Custumer[[#This Row],[CreditLimit]]),Custumer[[#This Row],[CreditLimit]],MID(Custumer[[#This Row],[CreditLimit]],2,10)))</f>
        <v>100000</v>
      </c>
    </row>
    <row r="150" spans="1:14" x14ac:dyDescent="0.25">
      <c r="A150" t="s">
        <v>2232</v>
      </c>
      <c r="B150" t="s">
        <v>3436</v>
      </c>
      <c r="C150" t="str">
        <f>PROPER(TRIM(Custumer[[#This Row],[CustomerName]]))</f>
        <v>Byrd-Moore Ag</v>
      </c>
      <c r="D150" t="s">
        <v>43</v>
      </c>
      <c r="E150" t="str">
        <f>TRIM(PROPER(Custumer[[#This Row],[CustomerSegment]]))</f>
        <v>Energy &amp; Utilities</v>
      </c>
      <c r="F150" t="s">
        <v>3100</v>
      </c>
      <c r="G150" t="s">
        <v>20</v>
      </c>
      <c r="H150" t="str">
        <f>SUBSTITUTE(SUBSTITUTE(UPPER(Custumer[[#This Row],[Region]]),"NORTH AMERICA","N. AMERICA"),"LATAM","LATIN AMERICA")</f>
        <v>N. AMERICA</v>
      </c>
      <c r="I150" t="s">
        <v>3178</v>
      </c>
      <c r="J150" t="s">
        <v>3102</v>
      </c>
      <c r="K150" t="str">
        <f>IF(Custumer[[#This Row],[AccountStatus]]="","Missing Value",Custumer[[#This Row],[AccountStatus]])</f>
        <v>Active</v>
      </c>
      <c r="L150" t="s">
        <v>3437</v>
      </c>
      <c r="M150">
        <v>100000</v>
      </c>
      <c r="N150">
        <f>VALUE(IF(ISNUMBER(Custumer[[#This Row],[CreditLimit]]),Custumer[[#This Row],[CreditLimit]],MID(Custumer[[#This Row],[CreditLimit]],2,10)))</f>
        <v>100000</v>
      </c>
    </row>
    <row r="151" spans="1:14" x14ac:dyDescent="0.25">
      <c r="A151" t="s">
        <v>1553</v>
      </c>
      <c r="B151" t="s">
        <v>3438</v>
      </c>
      <c r="C151" t="str">
        <f>PROPER(TRIM(Custumer[[#This Row],[CustomerName]]))</f>
        <v>Hayden Vaughn And Bryant Corp</v>
      </c>
      <c r="D151" t="s">
        <v>65</v>
      </c>
      <c r="E151" t="str">
        <f>TRIM(PROPER(Custumer[[#This Row],[CustomerSegment]]))</f>
        <v>Research &amp; Labs</v>
      </c>
      <c r="F151" t="s">
        <v>3100</v>
      </c>
      <c r="G151" t="s">
        <v>3118</v>
      </c>
      <c r="H151" t="str">
        <f>SUBSTITUTE(SUBSTITUTE(UPPER(Custumer[[#This Row],[Region]]),"NORTH AMERICA","N. AMERICA"),"LATAM","LATIN AMERICA")</f>
        <v>N. AMERICA</v>
      </c>
      <c r="I151" t="s">
        <v>3138</v>
      </c>
      <c r="J151" t="s">
        <v>3102</v>
      </c>
      <c r="K151" t="str">
        <f>IF(Custumer[[#This Row],[AccountStatus]]="","Missing Value",Custumer[[#This Row],[AccountStatus]])</f>
        <v>Active</v>
      </c>
      <c r="L151" t="s">
        <v>3439</v>
      </c>
      <c r="M151">
        <v>250000</v>
      </c>
      <c r="N151">
        <f>VALUE(IF(ISNUMBER(Custumer[[#This Row],[CreditLimit]]),Custumer[[#This Row],[CreditLimit]],MID(Custumer[[#This Row],[CreditLimit]],2,10)))</f>
        <v>250000</v>
      </c>
    </row>
    <row r="152" spans="1:14" x14ac:dyDescent="0.25">
      <c r="A152" t="s">
        <v>470</v>
      </c>
      <c r="B152" t="s">
        <v>3440</v>
      </c>
      <c r="C152" t="str">
        <f>PROPER(TRIM(Custumer[[#This Row],[CustomerName]]))</f>
        <v>Young Plc</v>
      </c>
      <c r="D152" t="s">
        <v>49</v>
      </c>
      <c r="E152" t="str">
        <f>TRIM(PROPER(Custumer[[#This Row],[CustomerSegment]]))</f>
        <v>Manufacturing</v>
      </c>
      <c r="F152" t="s">
        <v>3100</v>
      </c>
      <c r="G152" t="s">
        <v>82</v>
      </c>
      <c r="H152" t="str">
        <f>SUBSTITUTE(SUBSTITUTE(UPPER(Custumer[[#This Row],[Region]]),"NORTH AMERICA","N. AMERICA"),"LATAM","LATIN AMERICA")</f>
        <v>LATIN AMERICA</v>
      </c>
      <c r="I152" t="s">
        <v>3111</v>
      </c>
      <c r="J152" t="s">
        <v>3102</v>
      </c>
      <c r="K152" t="str">
        <f>IF(Custumer[[#This Row],[AccountStatus]]="","Missing Value",Custumer[[#This Row],[AccountStatus]])</f>
        <v>Active</v>
      </c>
      <c r="L152" t="s">
        <v>3441</v>
      </c>
      <c r="M152">
        <v>50000</v>
      </c>
      <c r="N152">
        <f>VALUE(IF(ISNUMBER(Custumer[[#This Row],[CreditLimit]]),Custumer[[#This Row],[CreditLimit]],MID(Custumer[[#This Row],[CreditLimit]],2,10)))</f>
        <v>50000</v>
      </c>
    </row>
    <row r="153" spans="1:14" x14ac:dyDescent="0.25">
      <c r="A153" t="s">
        <v>74</v>
      </c>
      <c r="B153" t="s">
        <v>3442</v>
      </c>
      <c r="C153" t="str">
        <f>PROPER(TRIM(Custumer[[#This Row],[CustomerName]]))</f>
        <v>Spence Ltd</v>
      </c>
      <c r="D153" t="s">
        <v>26</v>
      </c>
      <c r="E153" t="str">
        <f>TRIM(PROPER(Custumer[[#This Row],[CustomerSegment]]))</f>
        <v>Aerospace &amp; Defense</v>
      </c>
      <c r="F153" t="s">
        <v>3100</v>
      </c>
      <c r="G153" t="s">
        <v>76</v>
      </c>
      <c r="H153" t="str">
        <f>SUBSTITUTE(SUBSTITUTE(UPPER(Custumer[[#This Row],[Region]]),"NORTH AMERICA","N. AMERICA"),"LATAM","LATIN AMERICA")</f>
        <v>EMEA</v>
      </c>
      <c r="I153" t="s">
        <v>3152</v>
      </c>
      <c r="J153" t="s">
        <v>3102</v>
      </c>
      <c r="K153" t="str">
        <f>IF(Custumer[[#This Row],[AccountStatus]]="","Missing Value",Custumer[[#This Row],[AccountStatus]])</f>
        <v>Active</v>
      </c>
      <c r="L153" t="s">
        <v>3443</v>
      </c>
      <c r="M153" t="s">
        <v>3385</v>
      </c>
      <c r="N153">
        <f>VALUE(IF(ISNUMBER(Custumer[[#This Row],[CreditLimit]]),Custumer[[#This Row],[CreditLimit]],MID(Custumer[[#This Row],[CreditLimit]],2,10)))</f>
        <v>500000</v>
      </c>
    </row>
    <row r="154" spans="1:14" x14ac:dyDescent="0.25">
      <c r="A154" t="s">
        <v>460</v>
      </c>
      <c r="B154" t="s">
        <v>3444</v>
      </c>
      <c r="C154" t="str">
        <f>PROPER(TRIM(Custumer[[#This Row],[CustomerName]]))</f>
        <v>Beltran Lozano And Mcgee Pty Ltd</v>
      </c>
      <c r="D154" t="s">
        <v>49</v>
      </c>
      <c r="E154" t="str">
        <f>TRIM(PROPER(Custumer[[#This Row],[CustomerSegment]]))</f>
        <v>Manufacturing</v>
      </c>
      <c r="F154" t="s">
        <v>3117</v>
      </c>
      <c r="G154" t="s">
        <v>20</v>
      </c>
      <c r="H154" t="str">
        <f>SUBSTITUTE(SUBSTITUTE(UPPER(Custumer[[#This Row],[Region]]),"NORTH AMERICA","N. AMERICA"),"LATAM","LATIN AMERICA")</f>
        <v>N. AMERICA</v>
      </c>
      <c r="I154" t="s">
        <v>3167</v>
      </c>
      <c r="J154" t="s">
        <v>3102</v>
      </c>
      <c r="K154" t="str">
        <f>IF(Custumer[[#This Row],[AccountStatus]]="","Missing Value",Custumer[[#This Row],[AccountStatus]])</f>
        <v>Active</v>
      </c>
      <c r="L154" t="s">
        <v>3445</v>
      </c>
      <c r="M154">
        <v>50000</v>
      </c>
      <c r="N154">
        <f>VALUE(IF(ISNUMBER(Custumer[[#This Row],[CreditLimit]]),Custumer[[#This Row],[CreditLimit]],MID(Custumer[[#This Row],[CreditLimit]],2,10)))</f>
        <v>50000</v>
      </c>
    </row>
    <row r="155" spans="1:14" x14ac:dyDescent="0.25">
      <c r="A155" t="s">
        <v>257</v>
      </c>
      <c r="B155" t="s">
        <v>3446</v>
      </c>
      <c r="C155" t="str">
        <f>PROPER(TRIM(Custumer[[#This Row],[CustomerName]]))</f>
        <v>Lawson Llc Gmbh</v>
      </c>
      <c r="D155" t="s">
        <v>35</v>
      </c>
      <c r="E155" t="str">
        <f>TRIM(PROPER(Custumer[[#This Row],[CustomerSegment]]))</f>
        <v>Process Industries</v>
      </c>
      <c r="F155" t="s">
        <v>3106</v>
      </c>
      <c r="G155" t="s">
        <v>30</v>
      </c>
      <c r="H155" t="str">
        <f>SUBSTITUTE(SUBSTITUTE(UPPER(Custumer[[#This Row],[Region]]),"NORTH AMERICA","N. AMERICA"),"LATAM","LATIN AMERICA")</f>
        <v>APAC</v>
      </c>
      <c r="I155" t="s">
        <v>3328</v>
      </c>
      <c r="J155" t="s">
        <v>3102</v>
      </c>
      <c r="K155" t="str">
        <f>IF(Custumer[[#This Row],[AccountStatus]]="","Missing Value",Custumer[[#This Row],[AccountStatus]])</f>
        <v>Active</v>
      </c>
      <c r="L155" t="s">
        <v>3447</v>
      </c>
      <c r="M155">
        <v>500000</v>
      </c>
      <c r="N155">
        <f>VALUE(IF(ISNUMBER(Custumer[[#This Row],[CreditLimit]]),Custumer[[#This Row],[CreditLimit]],MID(Custumer[[#This Row],[CreditLimit]],2,10)))</f>
        <v>500000</v>
      </c>
    </row>
    <row r="156" spans="1:14" x14ac:dyDescent="0.25">
      <c r="A156" t="s">
        <v>45</v>
      </c>
      <c r="B156" t="s">
        <v>3448</v>
      </c>
      <c r="C156" t="str">
        <f>PROPER(TRIM(Custumer[[#This Row],[CustomerName]]))</f>
        <v>Saunders Becker And Taylor Pty Ltd</v>
      </c>
      <c r="D156" t="s">
        <v>49</v>
      </c>
      <c r="E156" t="str">
        <f>TRIM(PROPER(Custumer[[#This Row],[CustomerSegment]]))</f>
        <v>Manufacturing</v>
      </c>
      <c r="F156" t="s">
        <v>3117</v>
      </c>
      <c r="G156" t="s">
        <v>30</v>
      </c>
      <c r="H156" t="str">
        <f>SUBSTITUTE(SUBSTITUTE(UPPER(Custumer[[#This Row],[Region]]),"NORTH AMERICA","N. AMERICA"),"LATAM","LATIN AMERICA")</f>
        <v>APAC</v>
      </c>
      <c r="I156" t="s">
        <v>3107</v>
      </c>
      <c r="J156" t="s">
        <v>3102</v>
      </c>
      <c r="K156" t="str">
        <f>IF(Custumer[[#This Row],[AccountStatus]]="","Missing Value",Custumer[[#This Row],[AccountStatus]])</f>
        <v>Active</v>
      </c>
      <c r="L156" t="s">
        <v>3449</v>
      </c>
      <c r="M156">
        <v>500000</v>
      </c>
      <c r="N156">
        <f>VALUE(IF(ISNUMBER(Custumer[[#This Row],[CreditLimit]]),Custumer[[#This Row],[CreditLimit]],MID(Custumer[[#This Row],[CreditLimit]],2,10)))</f>
        <v>500000</v>
      </c>
    </row>
    <row r="157" spans="1:14" x14ac:dyDescent="0.25">
      <c r="A157" t="s">
        <v>610</v>
      </c>
      <c r="B157" t="s">
        <v>3450</v>
      </c>
      <c r="C157" t="str">
        <f>PROPER(TRIM(Custumer[[#This Row],[CustomerName]]))</f>
        <v>Johnson-Diaz</v>
      </c>
      <c r="D157" t="s">
        <v>49</v>
      </c>
      <c r="E157" t="str">
        <f>TRIM(PROPER(Custumer[[#This Row],[CustomerSegment]]))</f>
        <v>Manufacturing</v>
      </c>
      <c r="F157" t="s">
        <v>3100</v>
      </c>
      <c r="G157" t="s">
        <v>3118</v>
      </c>
      <c r="H157" t="str">
        <f>SUBSTITUTE(SUBSTITUTE(UPPER(Custumer[[#This Row],[Region]]),"NORTH AMERICA","N. AMERICA"),"LATAM","LATIN AMERICA")</f>
        <v>N. AMERICA</v>
      </c>
      <c r="I157" t="s">
        <v>3167</v>
      </c>
      <c r="J157" t="s">
        <v>3102</v>
      </c>
      <c r="K157" t="str">
        <f>IF(Custumer[[#This Row],[AccountStatus]]="","Missing Value",Custumer[[#This Row],[AccountStatus]])</f>
        <v>Active</v>
      </c>
      <c r="L157" t="s">
        <v>3451</v>
      </c>
      <c r="M157">
        <v>250000</v>
      </c>
      <c r="N157">
        <f>VALUE(IF(ISNUMBER(Custumer[[#This Row],[CreditLimit]]),Custumer[[#This Row],[CreditLimit]],MID(Custumer[[#This Row],[CreditLimit]],2,10)))</f>
        <v>250000</v>
      </c>
    </row>
    <row r="158" spans="1:14" x14ac:dyDescent="0.25">
      <c r="A158" t="s">
        <v>630</v>
      </c>
      <c r="B158" t="s">
        <v>3452</v>
      </c>
      <c r="C158" t="str">
        <f>PROPER(TRIM(Custumer[[#This Row],[CustomerName]]))</f>
        <v>Thompson-Anderson Inc</v>
      </c>
      <c r="D158" t="s">
        <v>35</v>
      </c>
      <c r="E158" t="str">
        <f>TRIM(PROPER(Custumer[[#This Row],[CustomerSegment]]))</f>
        <v>Process Industries</v>
      </c>
      <c r="F158" t="s">
        <v>3117</v>
      </c>
      <c r="G158" t="s">
        <v>76</v>
      </c>
      <c r="H158" t="str">
        <f>SUBSTITUTE(SUBSTITUTE(UPPER(Custumer[[#This Row],[Region]]),"NORTH AMERICA","N. AMERICA"),"LATAM","LATIN AMERICA")</f>
        <v>EMEA</v>
      </c>
      <c r="I158" t="s">
        <v>3127</v>
      </c>
      <c r="J158" t="s">
        <v>3102</v>
      </c>
      <c r="K158" t="str">
        <f>IF(Custumer[[#This Row],[AccountStatus]]="","Missing Value",Custumer[[#This Row],[AccountStatus]])</f>
        <v>Active</v>
      </c>
      <c r="L158" t="s">
        <v>3453</v>
      </c>
      <c r="M158">
        <v>100000</v>
      </c>
      <c r="N158">
        <f>VALUE(IF(ISNUMBER(Custumer[[#This Row],[CreditLimit]]),Custumer[[#This Row],[CreditLimit]],MID(Custumer[[#This Row],[CreditLimit]],2,10)))</f>
        <v>100000</v>
      </c>
    </row>
    <row r="159" spans="1:14" x14ac:dyDescent="0.25">
      <c r="A159" t="s">
        <v>180</v>
      </c>
      <c r="B159" t="s">
        <v>3454</v>
      </c>
      <c r="C159" t="str">
        <f>PROPER(TRIM(Custumer[[#This Row],[CustomerName]]))</f>
        <v>Rivas-Scott Pty Ltd</v>
      </c>
      <c r="D159" t="s">
        <v>65</v>
      </c>
      <c r="E159" t="str">
        <f>TRIM(PROPER(Custumer[[#This Row],[CustomerSegment]]))</f>
        <v>Research &amp; Labs</v>
      </c>
      <c r="F159" t="s">
        <v>3100</v>
      </c>
      <c r="G159" t="s">
        <v>76</v>
      </c>
      <c r="H159" t="str">
        <f>SUBSTITUTE(SUBSTITUTE(UPPER(Custumer[[#This Row],[Region]]),"NORTH AMERICA","N. AMERICA"),"LATAM","LATIN AMERICA")</f>
        <v>EMEA</v>
      </c>
      <c r="I159" t="s">
        <v>3138</v>
      </c>
      <c r="J159" t="s">
        <v>3102</v>
      </c>
      <c r="K159" t="str">
        <f>IF(Custumer[[#This Row],[AccountStatus]]="","Missing Value",Custumer[[#This Row],[AccountStatus]])</f>
        <v>Active</v>
      </c>
      <c r="L159" t="s">
        <v>3455</v>
      </c>
      <c r="M159">
        <v>1000000</v>
      </c>
      <c r="N159">
        <f>VALUE(IF(ISNUMBER(Custumer[[#This Row],[CreditLimit]]),Custumer[[#This Row],[CreditLimit]],MID(Custumer[[#This Row],[CreditLimit]],2,10)))</f>
        <v>1000000</v>
      </c>
    </row>
    <row r="160" spans="1:14" x14ac:dyDescent="0.25">
      <c r="A160" t="s">
        <v>784</v>
      </c>
      <c r="B160" t="s">
        <v>3456</v>
      </c>
      <c r="C160" t="str">
        <f>PROPER(TRIM(Custumer[[#This Row],[CustomerName]]))</f>
        <v>Harrell Brock And Mcdonald Bv</v>
      </c>
      <c r="D160" t="s">
        <v>49</v>
      </c>
      <c r="E160" t="str">
        <f>TRIM(PROPER(Custumer[[#This Row],[CustomerSegment]]))</f>
        <v>Manufacturing</v>
      </c>
      <c r="F160" t="s">
        <v>3100</v>
      </c>
      <c r="G160" t="s">
        <v>76</v>
      </c>
      <c r="H160" t="str">
        <f>SUBSTITUTE(SUBSTITUTE(UPPER(Custumer[[#This Row],[Region]]),"NORTH AMERICA","N. AMERICA"),"LATAM","LATIN AMERICA")</f>
        <v>EMEA</v>
      </c>
      <c r="I160" t="s">
        <v>3107</v>
      </c>
      <c r="J160" t="s">
        <v>3102</v>
      </c>
      <c r="K160" t="str">
        <f>IF(Custumer[[#This Row],[AccountStatus]]="","Missing Value",Custumer[[#This Row],[AccountStatus]])</f>
        <v>Active</v>
      </c>
      <c r="L160" t="s">
        <v>3457</v>
      </c>
      <c r="M160">
        <v>50000</v>
      </c>
      <c r="N160">
        <f>VALUE(IF(ISNUMBER(Custumer[[#This Row],[CreditLimit]]),Custumer[[#This Row],[CreditLimit]],MID(Custumer[[#This Row],[CreditLimit]],2,10)))</f>
        <v>50000</v>
      </c>
    </row>
    <row r="161" spans="1:14" x14ac:dyDescent="0.25">
      <c r="A161" t="s">
        <v>960</v>
      </c>
      <c r="B161" t="s">
        <v>3458</v>
      </c>
      <c r="C161" t="str">
        <f>PROPER(TRIM(Custumer[[#This Row],[CustomerName]]))</f>
        <v>Ramsey Whitney And Coffey Ltd</v>
      </c>
      <c r="D161" t="s">
        <v>65</v>
      </c>
      <c r="E161" t="str">
        <f>TRIM(PROPER(Custumer[[#This Row],[CustomerSegment]]))</f>
        <v>Research &amp; Labs</v>
      </c>
      <c r="F161" t="s">
        <v>3100</v>
      </c>
      <c r="G161" t="s">
        <v>82</v>
      </c>
      <c r="H161" t="str">
        <f>SUBSTITUTE(SUBSTITUTE(UPPER(Custumer[[#This Row],[Region]]),"NORTH AMERICA","N. AMERICA"),"LATAM","LATIN AMERICA")</f>
        <v>LATIN AMERICA</v>
      </c>
      <c r="I161" t="s">
        <v>3141</v>
      </c>
      <c r="J161" t="s">
        <v>3102</v>
      </c>
      <c r="K161" t="str">
        <f>IF(Custumer[[#This Row],[AccountStatus]]="","Missing Value",Custumer[[#This Row],[AccountStatus]])</f>
        <v>Active</v>
      </c>
      <c r="L161" t="s">
        <v>3459</v>
      </c>
      <c r="M161">
        <v>1000000</v>
      </c>
      <c r="N161">
        <f>VALUE(IF(ISNUMBER(Custumer[[#This Row],[CreditLimit]]),Custumer[[#This Row],[CreditLimit]],MID(Custumer[[#This Row],[CreditLimit]],2,10)))</f>
        <v>1000000</v>
      </c>
    </row>
    <row r="162" spans="1:14" x14ac:dyDescent="0.25">
      <c r="A162" t="s">
        <v>153</v>
      </c>
      <c r="B162" t="s">
        <v>3460</v>
      </c>
      <c r="C162" t="str">
        <f>PROPER(TRIM(Custumer[[#This Row],[CustomerName]]))</f>
        <v>Baker Inc Co</v>
      </c>
      <c r="D162" t="s">
        <v>35</v>
      </c>
      <c r="E162" t="str">
        <f>TRIM(PROPER(Custumer[[#This Row],[CustomerSegment]]))</f>
        <v>Process Industries</v>
      </c>
      <c r="F162" t="s">
        <v>3100</v>
      </c>
      <c r="G162" t="s">
        <v>20</v>
      </c>
      <c r="H162" t="str">
        <f>SUBSTITUTE(SUBSTITUTE(UPPER(Custumer[[#This Row],[Region]]),"NORTH AMERICA","N. AMERICA"),"LATAM","LATIN AMERICA")</f>
        <v>N. AMERICA</v>
      </c>
      <c r="I162" t="s">
        <v>3127</v>
      </c>
      <c r="J162" t="s">
        <v>3102</v>
      </c>
      <c r="K162" t="str">
        <f>IF(Custumer[[#This Row],[AccountStatus]]="","Missing Value",Custumer[[#This Row],[AccountStatus]])</f>
        <v>Active</v>
      </c>
      <c r="L162" t="s">
        <v>3461</v>
      </c>
      <c r="M162">
        <v>250000</v>
      </c>
      <c r="N162">
        <f>VALUE(IF(ISNUMBER(Custumer[[#This Row],[CreditLimit]]),Custumer[[#This Row],[CreditLimit]],MID(Custumer[[#This Row],[CreditLimit]],2,10)))</f>
        <v>250000</v>
      </c>
    </row>
    <row r="163" spans="1:14" x14ac:dyDescent="0.25">
      <c r="A163" t="s">
        <v>665</v>
      </c>
      <c r="B163" t="s">
        <v>3462</v>
      </c>
      <c r="C163" t="str">
        <f>PROPER(TRIM(Custumer[[#This Row],[CustomerName]]))</f>
        <v>James Little And Watson Llc</v>
      </c>
      <c r="D163" t="s">
        <v>26</v>
      </c>
      <c r="E163" t="str">
        <f>TRIM(PROPER(Custumer[[#This Row],[CustomerSegment]]))</f>
        <v>Aerospace &amp; Defense</v>
      </c>
      <c r="F163" t="s">
        <v>3106</v>
      </c>
      <c r="G163" t="s">
        <v>82</v>
      </c>
      <c r="H163" t="str">
        <f>SUBSTITUTE(SUBSTITUTE(UPPER(Custumer[[#This Row],[Region]]),"NORTH AMERICA","N. AMERICA"),"LATAM","LATIN AMERICA")</f>
        <v>LATIN AMERICA</v>
      </c>
      <c r="I163" t="s">
        <v>3152</v>
      </c>
      <c r="J163" t="s">
        <v>3102</v>
      </c>
      <c r="K163" t="str">
        <f>IF(Custumer[[#This Row],[AccountStatus]]="","Missing Value",Custumer[[#This Row],[AccountStatus]])</f>
        <v>Active</v>
      </c>
      <c r="L163" t="s">
        <v>3463</v>
      </c>
      <c r="M163">
        <v>50000</v>
      </c>
      <c r="N163">
        <f>VALUE(IF(ISNUMBER(Custumer[[#This Row],[CreditLimit]]),Custumer[[#This Row],[CreditLimit]],MID(Custumer[[#This Row],[CreditLimit]],2,10)))</f>
        <v>50000</v>
      </c>
    </row>
    <row r="164" spans="1:14" x14ac:dyDescent="0.25">
      <c r="A164" t="s">
        <v>405</v>
      </c>
      <c r="B164" t="s">
        <v>3464</v>
      </c>
      <c r="C164" t="str">
        <f>PROPER(TRIM(Custumer[[#This Row],[CustomerName]]))</f>
        <v>Murphy Bishop And Holland Llc</v>
      </c>
      <c r="D164" t="s">
        <v>3228</v>
      </c>
      <c r="E164" t="str">
        <f>TRIM(PROPER(Custumer[[#This Row],[CustomerSegment]]))</f>
        <v>Research &amp; Labs</v>
      </c>
      <c r="F164" t="s">
        <v>3117</v>
      </c>
      <c r="G164" t="s">
        <v>30</v>
      </c>
      <c r="H164" t="str">
        <f>SUBSTITUTE(SUBSTITUTE(UPPER(Custumer[[#This Row],[Region]]),"NORTH AMERICA","N. AMERICA"),"LATAM","LATIN AMERICA")</f>
        <v>APAC</v>
      </c>
      <c r="I164" t="s">
        <v>3172</v>
      </c>
      <c r="J164" t="s">
        <v>3102</v>
      </c>
      <c r="K164" t="str">
        <f>IF(Custumer[[#This Row],[AccountStatus]]="","Missing Value",Custumer[[#This Row],[AccountStatus]])</f>
        <v>Active</v>
      </c>
      <c r="L164" t="s">
        <v>3465</v>
      </c>
      <c r="M164">
        <v>500000</v>
      </c>
      <c r="N164">
        <f>VALUE(IF(ISNUMBER(Custumer[[#This Row],[CreditLimit]]),Custumer[[#This Row],[CreditLimit]],MID(Custumer[[#This Row],[CreditLimit]],2,10)))</f>
        <v>500000</v>
      </c>
    </row>
    <row r="165" spans="1:14" x14ac:dyDescent="0.25">
      <c r="A165" t="s">
        <v>163</v>
      </c>
      <c r="B165" t="s">
        <v>3466</v>
      </c>
      <c r="C165" t="str">
        <f>PROPER(TRIM(Custumer[[#This Row],[CustomerName]]))</f>
        <v>Ortiz Taylor And Shah Llc</v>
      </c>
      <c r="D165" t="s">
        <v>43</v>
      </c>
      <c r="E165" t="str">
        <f>TRIM(PROPER(Custumer[[#This Row],[CustomerSegment]]))</f>
        <v>Energy &amp; Utilities</v>
      </c>
      <c r="F165" t="s">
        <v>3100</v>
      </c>
      <c r="G165" t="s">
        <v>76</v>
      </c>
      <c r="H165" t="str">
        <f>SUBSTITUTE(SUBSTITUTE(UPPER(Custumer[[#This Row],[Region]]),"NORTH AMERICA","N. AMERICA"),"LATAM","LATIN AMERICA")</f>
        <v>EMEA</v>
      </c>
      <c r="I165" t="s">
        <v>3162</v>
      </c>
      <c r="J165" t="s">
        <v>3102</v>
      </c>
      <c r="K165" t="str">
        <f>IF(Custumer[[#This Row],[AccountStatus]]="","Missing Value",Custumer[[#This Row],[AccountStatus]])</f>
        <v>Active</v>
      </c>
      <c r="L165" t="s">
        <v>3467</v>
      </c>
      <c r="M165">
        <v>100000</v>
      </c>
      <c r="N165">
        <f>VALUE(IF(ISNUMBER(Custumer[[#This Row],[CreditLimit]]),Custumer[[#This Row],[CreditLimit]],MID(Custumer[[#This Row],[CreditLimit]],2,10)))</f>
        <v>100000</v>
      </c>
    </row>
    <row r="166" spans="1:14" x14ac:dyDescent="0.25">
      <c r="A166" t="s">
        <v>694</v>
      </c>
      <c r="B166" t="s">
        <v>3468</v>
      </c>
      <c r="C166" t="str">
        <f>PROPER(TRIM(Custumer[[#This Row],[CustomerName]]))</f>
        <v>Taylor Chavez And Santiago</v>
      </c>
      <c r="D166" t="s">
        <v>26</v>
      </c>
      <c r="E166" t="str">
        <f>TRIM(PROPER(Custumer[[#This Row],[CustomerSegment]]))</f>
        <v>Aerospace &amp; Defense</v>
      </c>
      <c r="F166" t="s">
        <v>3117</v>
      </c>
      <c r="G166" t="s">
        <v>3118</v>
      </c>
      <c r="H166" t="str">
        <f>SUBSTITUTE(SUBSTITUTE(UPPER(Custumer[[#This Row],[Region]]),"NORTH AMERICA","N. AMERICA"),"LATAM","LATIN AMERICA")</f>
        <v>N. AMERICA</v>
      </c>
      <c r="I166" t="s">
        <v>3130</v>
      </c>
      <c r="J166" t="s">
        <v>3102</v>
      </c>
      <c r="K166" t="str">
        <f>IF(Custumer[[#This Row],[AccountStatus]]="","Missing Value",Custumer[[#This Row],[AccountStatus]])</f>
        <v>Active</v>
      </c>
      <c r="L166" t="s">
        <v>3469</v>
      </c>
      <c r="M166">
        <v>250000</v>
      </c>
      <c r="N166">
        <f>VALUE(IF(ISNUMBER(Custumer[[#This Row],[CreditLimit]]),Custumer[[#This Row],[CreditLimit]],MID(Custumer[[#This Row],[CreditLimit]],2,10)))</f>
        <v>250000</v>
      </c>
    </row>
    <row r="167" spans="1:14" x14ac:dyDescent="0.25">
      <c r="A167" t="s">
        <v>613</v>
      </c>
      <c r="B167" t="s">
        <v>3470</v>
      </c>
      <c r="C167" t="str">
        <f>PROPER(TRIM(Custumer[[#This Row],[CustomerName]]))</f>
        <v>Barber Mcclure And Pena Co</v>
      </c>
      <c r="D167" t="s">
        <v>65</v>
      </c>
      <c r="E167" t="str">
        <f>TRIM(PROPER(Custumer[[#This Row],[CustomerSegment]]))</f>
        <v>Research &amp; Labs</v>
      </c>
      <c r="F167" t="s">
        <v>3100</v>
      </c>
      <c r="G167" t="s">
        <v>20</v>
      </c>
      <c r="H167" t="str">
        <f>SUBSTITUTE(SUBSTITUTE(UPPER(Custumer[[#This Row],[Region]]),"NORTH AMERICA","N. AMERICA"),"LATAM","LATIN AMERICA")</f>
        <v>N. AMERICA</v>
      </c>
      <c r="I167" t="s">
        <v>3172</v>
      </c>
      <c r="J167" t="s">
        <v>3102</v>
      </c>
      <c r="K167" t="str">
        <f>IF(Custumer[[#This Row],[AccountStatus]]="","Missing Value",Custumer[[#This Row],[AccountStatus]])</f>
        <v>Active</v>
      </c>
      <c r="L167" t="s">
        <v>3471</v>
      </c>
      <c r="M167">
        <v>250000</v>
      </c>
      <c r="N167">
        <f>VALUE(IF(ISNUMBER(Custumer[[#This Row],[CreditLimit]]),Custumer[[#This Row],[CreditLimit]],MID(Custumer[[#This Row],[CreditLimit]],2,10)))</f>
        <v>250000</v>
      </c>
    </row>
    <row r="168" spans="1:14" x14ac:dyDescent="0.25">
      <c r="A168" t="s">
        <v>116</v>
      </c>
      <c r="B168" t="s">
        <v>3472</v>
      </c>
      <c r="C168" t="str">
        <f>PROPER(TRIM(Custumer[[#This Row],[CustomerName]]))</f>
        <v>Johnson-Wood</v>
      </c>
      <c r="D168" t="s">
        <v>49</v>
      </c>
      <c r="E168" t="str">
        <f>TRIM(PROPER(Custumer[[#This Row],[CustomerSegment]]))</f>
        <v>Manufacturing</v>
      </c>
      <c r="F168" t="s">
        <v>3117</v>
      </c>
      <c r="G168" t="s">
        <v>76</v>
      </c>
      <c r="H168" t="str">
        <f>SUBSTITUTE(SUBSTITUTE(UPPER(Custumer[[#This Row],[Region]]),"NORTH AMERICA","N. AMERICA"),"LATAM","LATIN AMERICA")</f>
        <v>EMEA</v>
      </c>
      <c r="I168" t="s">
        <v>3192</v>
      </c>
      <c r="J168" t="s">
        <v>3102</v>
      </c>
      <c r="K168" t="str">
        <f>IF(Custumer[[#This Row],[AccountStatus]]="","Missing Value",Custumer[[#This Row],[AccountStatus]])</f>
        <v>Active</v>
      </c>
      <c r="L168" t="s">
        <v>3473</v>
      </c>
      <c r="M168">
        <v>250000</v>
      </c>
      <c r="N168">
        <f>VALUE(IF(ISNUMBER(Custumer[[#This Row],[CreditLimit]]),Custumer[[#This Row],[CreditLimit]],MID(Custumer[[#This Row],[CreditLimit]],2,10)))</f>
        <v>250000</v>
      </c>
    </row>
    <row r="169" spans="1:14" x14ac:dyDescent="0.25">
      <c r="A169" t="s">
        <v>1250</v>
      </c>
      <c r="B169" t="s">
        <v>3474</v>
      </c>
      <c r="C169" t="str">
        <f>PROPER(TRIM(Custumer[[#This Row],[CustomerName]]))</f>
        <v>Pollard Llc Llc</v>
      </c>
      <c r="D169" t="s">
        <v>43</v>
      </c>
      <c r="E169" t="str">
        <f>TRIM(PROPER(Custumer[[#This Row],[CustomerSegment]]))</f>
        <v>Energy &amp; Utilities</v>
      </c>
      <c r="F169" t="s">
        <v>3100</v>
      </c>
      <c r="G169" t="s">
        <v>82</v>
      </c>
      <c r="H169" t="str">
        <f>SUBSTITUTE(SUBSTITUTE(UPPER(Custumer[[#This Row],[Region]]),"NORTH AMERICA","N. AMERICA"),"LATAM","LATIN AMERICA")</f>
        <v>LATIN AMERICA</v>
      </c>
      <c r="I169" t="s">
        <v>3178</v>
      </c>
      <c r="J169" t="s">
        <v>3102</v>
      </c>
      <c r="K169" t="str">
        <f>IF(Custumer[[#This Row],[AccountStatus]]="","Missing Value",Custumer[[#This Row],[AccountStatus]])</f>
        <v>Active</v>
      </c>
      <c r="L169" t="s">
        <v>3475</v>
      </c>
      <c r="M169">
        <v>250000</v>
      </c>
      <c r="N169">
        <f>VALUE(IF(ISNUMBER(Custumer[[#This Row],[CreditLimit]]),Custumer[[#This Row],[CreditLimit]],MID(Custumer[[#This Row],[CreditLimit]],2,10)))</f>
        <v>250000</v>
      </c>
    </row>
    <row r="170" spans="1:14" x14ac:dyDescent="0.25">
      <c r="A170" t="s">
        <v>214</v>
      </c>
      <c r="B170" t="s">
        <v>3476</v>
      </c>
      <c r="C170" t="str">
        <f>PROPER(TRIM(Custumer[[#This Row],[CustomerName]]))</f>
        <v>Hill-Donaldson</v>
      </c>
      <c r="D170" t="s">
        <v>49</v>
      </c>
      <c r="E170" t="str">
        <f>TRIM(PROPER(Custumer[[#This Row],[CustomerSegment]]))</f>
        <v>Manufacturing</v>
      </c>
      <c r="F170" t="s">
        <v>3117</v>
      </c>
      <c r="G170" t="s">
        <v>76</v>
      </c>
      <c r="H170" t="str">
        <f>SUBSTITUTE(SUBSTITUTE(UPPER(Custumer[[#This Row],[Region]]),"NORTH AMERICA","N. AMERICA"),"LATAM","LATIN AMERICA")</f>
        <v>EMEA</v>
      </c>
      <c r="I170" t="s">
        <v>3111</v>
      </c>
      <c r="J170" t="s">
        <v>3232</v>
      </c>
      <c r="K170" t="str">
        <f>IF(Custumer[[#This Row],[AccountStatus]]="","Missing Value",Custumer[[#This Row],[AccountStatus]])</f>
        <v>On Hold</v>
      </c>
      <c r="L170" t="s">
        <v>3477</v>
      </c>
      <c r="M170">
        <v>50000</v>
      </c>
      <c r="N170">
        <f>VALUE(IF(ISNUMBER(Custumer[[#This Row],[CreditLimit]]),Custumer[[#This Row],[CreditLimit]],MID(Custumer[[#This Row],[CreditLimit]],2,10)))</f>
        <v>50000</v>
      </c>
    </row>
    <row r="171" spans="1:14" x14ac:dyDescent="0.25">
      <c r="A171" t="s">
        <v>627</v>
      </c>
      <c r="B171" t="s">
        <v>3478</v>
      </c>
      <c r="C171" t="str">
        <f>PROPER(TRIM(Custumer[[#This Row],[CustomerName]]))</f>
        <v>May Plc</v>
      </c>
      <c r="D171" t="s">
        <v>43</v>
      </c>
      <c r="E171" t="str">
        <f>TRIM(PROPER(Custumer[[#This Row],[CustomerSegment]]))</f>
        <v>Energy &amp; Utilities</v>
      </c>
      <c r="F171" t="s">
        <v>3106</v>
      </c>
      <c r="G171" t="s">
        <v>20</v>
      </c>
      <c r="H171" t="str">
        <f>SUBSTITUTE(SUBSTITUTE(UPPER(Custumer[[#This Row],[Region]]),"NORTH AMERICA","N. AMERICA"),"LATAM","LATIN AMERICA")</f>
        <v>N. AMERICA</v>
      </c>
      <c r="I171" t="s">
        <v>3101</v>
      </c>
      <c r="J171" t="s">
        <v>3102</v>
      </c>
      <c r="K171" t="str">
        <f>IF(Custumer[[#This Row],[AccountStatus]]="","Missing Value",Custumer[[#This Row],[AccountStatus]])</f>
        <v>Active</v>
      </c>
      <c r="L171" t="s">
        <v>3479</v>
      </c>
      <c r="M171">
        <v>250000</v>
      </c>
      <c r="N171">
        <f>VALUE(IF(ISNUMBER(Custumer[[#This Row],[CreditLimit]]),Custumer[[#This Row],[CreditLimit]],MID(Custumer[[#This Row],[CreditLimit]],2,10)))</f>
        <v>250000</v>
      </c>
    </row>
    <row r="172" spans="1:14" x14ac:dyDescent="0.25">
      <c r="A172" t="s">
        <v>139</v>
      </c>
      <c r="B172" t="s">
        <v>3480</v>
      </c>
      <c r="C172" t="str">
        <f>PROPER(TRIM(Custumer[[#This Row],[CustomerName]]))</f>
        <v>Buchanan And Sons</v>
      </c>
      <c r="D172" t="s">
        <v>49</v>
      </c>
      <c r="E172" t="str">
        <f>TRIM(PROPER(Custumer[[#This Row],[CustomerSegment]]))</f>
        <v>Manufacturing</v>
      </c>
      <c r="F172" t="s">
        <v>3117</v>
      </c>
      <c r="G172" t="s">
        <v>30</v>
      </c>
      <c r="H172" t="str">
        <f>SUBSTITUTE(SUBSTITUTE(UPPER(Custumer[[#This Row],[Region]]),"NORTH AMERICA","N. AMERICA"),"LATAM","LATIN AMERICA")</f>
        <v>APAC</v>
      </c>
      <c r="I172" t="s">
        <v>3107</v>
      </c>
      <c r="J172" t="s">
        <v>3102</v>
      </c>
      <c r="K172" t="str">
        <f>IF(Custumer[[#This Row],[AccountStatus]]="","Missing Value",Custumer[[#This Row],[AccountStatus]])</f>
        <v>Active</v>
      </c>
      <c r="L172" t="s">
        <v>3481</v>
      </c>
      <c r="M172">
        <v>100000</v>
      </c>
      <c r="N172">
        <f>VALUE(IF(ISNUMBER(Custumer[[#This Row],[CreditLimit]]),Custumer[[#This Row],[CreditLimit]],MID(Custumer[[#This Row],[CreditLimit]],2,10)))</f>
        <v>100000</v>
      </c>
    </row>
    <row r="173" spans="1:14" x14ac:dyDescent="0.25">
      <c r="A173" t="s">
        <v>1285</v>
      </c>
      <c r="B173" t="s">
        <v>3482</v>
      </c>
      <c r="C173" t="str">
        <f>PROPER(TRIM(Custumer[[#This Row],[CustomerName]]))</f>
        <v>Li And Sons Ag</v>
      </c>
      <c r="D173" t="s">
        <v>49</v>
      </c>
      <c r="E173" t="str">
        <f>TRIM(PROPER(Custumer[[#This Row],[CustomerSegment]]))</f>
        <v>Manufacturing</v>
      </c>
      <c r="F173" t="s">
        <v>3100</v>
      </c>
      <c r="G173" t="s">
        <v>20</v>
      </c>
      <c r="H173" t="str">
        <f>SUBSTITUTE(SUBSTITUTE(UPPER(Custumer[[#This Row],[Region]]),"NORTH AMERICA","N. AMERICA"),"LATAM","LATIN AMERICA")</f>
        <v>N. AMERICA</v>
      </c>
      <c r="I173" t="s">
        <v>3192</v>
      </c>
      <c r="J173" t="s">
        <v>3102</v>
      </c>
      <c r="K173" t="str">
        <f>IF(Custumer[[#This Row],[AccountStatus]]="","Missing Value",Custumer[[#This Row],[AccountStatus]])</f>
        <v>Active</v>
      </c>
      <c r="L173" t="s">
        <v>3483</v>
      </c>
      <c r="M173">
        <v>50000</v>
      </c>
      <c r="N173">
        <f>VALUE(IF(ISNUMBER(Custumer[[#This Row],[CreditLimit]]),Custumer[[#This Row],[CreditLimit]],MID(Custumer[[#This Row],[CreditLimit]],2,10)))</f>
        <v>50000</v>
      </c>
    </row>
    <row r="174" spans="1:14" x14ac:dyDescent="0.25">
      <c r="A174" t="s">
        <v>518</v>
      </c>
      <c r="B174" t="s">
        <v>3484</v>
      </c>
      <c r="C174" t="str">
        <f>PROPER(TRIM(Custumer[[#This Row],[CustomerName]]))</f>
        <v>Ramirez And Sons Llc</v>
      </c>
      <c r="D174" t="s">
        <v>26</v>
      </c>
      <c r="E174" t="str">
        <f>TRIM(PROPER(Custumer[[#This Row],[CustomerSegment]]))</f>
        <v>Aerospace &amp; Defense</v>
      </c>
      <c r="F174" t="s">
        <v>3100</v>
      </c>
      <c r="G174" t="s">
        <v>76</v>
      </c>
      <c r="H174" t="str">
        <f>SUBSTITUTE(SUBSTITUTE(UPPER(Custumer[[#This Row],[Region]]),"NORTH AMERICA","N. AMERICA"),"LATAM","LATIN AMERICA")</f>
        <v>EMEA</v>
      </c>
      <c r="I174" t="s">
        <v>3130</v>
      </c>
      <c r="J174" t="s">
        <v>3102</v>
      </c>
      <c r="K174" t="str">
        <f>IF(Custumer[[#This Row],[AccountStatus]]="","Missing Value",Custumer[[#This Row],[AccountStatus]])</f>
        <v>Active</v>
      </c>
      <c r="L174" t="s">
        <v>3485</v>
      </c>
      <c r="M174" t="s">
        <v>3300</v>
      </c>
      <c r="N174">
        <f>VALUE(IF(ISNUMBER(Custumer[[#This Row],[CreditLimit]]),Custumer[[#This Row],[CreditLimit]],MID(Custumer[[#This Row],[CreditLimit]],2,10)))</f>
        <v>250000</v>
      </c>
    </row>
    <row r="175" spans="1:14" x14ac:dyDescent="0.25">
      <c r="A175" t="s">
        <v>476</v>
      </c>
      <c r="B175" t="s">
        <v>3486</v>
      </c>
      <c r="C175" t="str">
        <f>PROPER(TRIM(Custumer[[#This Row],[CustomerName]]))</f>
        <v>Anderson Llc Bv</v>
      </c>
      <c r="D175" t="s">
        <v>35</v>
      </c>
      <c r="E175" t="str">
        <f>TRIM(PROPER(Custumer[[#This Row],[CustomerSegment]]))</f>
        <v>Process Industries</v>
      </c>
      <c r="F175" t="s">
        <v>3117</v>
      </c>
      <c r="G175" t="s">
        <v>3118</v>
      </c>
      <c r="H175" t="str">
        <f>SUBSTITUTE(SUBSTITUTE(UPPER(Custumer[[#This Row],[Region]]),"NORTH AMERICA","N. AMERICA"),"LATAM","LATIN AMERICA")</f>
        <v>N. AMERICA</v>
      </c>
      <c r="I175" t="s">
        <v>3127</v>
      </c>
      <c r="J175" t="s">
        <v>3102</v>
      </c>
      <c r="K175" t="str">
        <f>IF(Custumer[[#This Row],[AccountStatus]]="","Missing Value",Custumer[[#This Row],[AccountStatus]])</f>
        <v>Active</v>
      </c>
      <c r="L175" t="s">
        <v>3487</v>
      </c>
      <c r="M175">
        <v>1000000</v>
      </c>
      <c r="N175">
        <f>VALUE(IF(ISNUMBER(Custumer[[#This Row],[CreditLimit]]),Custumer[[#This Row],[CreditLimit]],MID(Custumer[[#This Row],[CreditLimit]],2,10)))</f>
        <v>1000000</v>
      </c>
    </row>
    <row r="176" spans="1:14" x14ac:dyDescent="0.25">
      <c r="A176" t="s">
        <v>67</v>
      </c>
      <c r="B176" t="s">
        <v>3488</v>
      </c>
      <c r="C176" t="str">
        <f>PROPER(TRIM(Custumer[[#This Row],[CustomerName]]))</f>
        <v>Baker And Sons</v>
      </c>
      <c r="D176" t="s">
        <v>43</v>
      </c>
      <c r="E176" t="str">
        <f>TRIM(PROPER(Custumer[[#This Row],[CustomerSegment]]))</f>
        <v>Energy &amp; Utilities</v>
      </c>
      <c r="F176" t="s">
        <v>3100</v>
      </c>
      <c r="G176" t="s">
        <v>20</v>
      </c>
      <c r="H176" t="str">
        <f>SUBSTITUTE(SUBSTITUTE(UPPER(Custumer[[#This Row],[Region]]),"NORTH AMERICA","N. AMERICA"),"LATAM","LATIN AMERICA")</f>
        <v>N. AMERICA</v>
      </c>
      <c r="I176" t="s">
        <v>3162</v>
      </c>
      <c r="J176" t="s">
        <v>3102</v>
      </c>
      <c r="K176" t="str">
        <f>IF(Custumer[[#This Row],[AccountStatus]]="","Missing Value",Custumer[[#This Row],[AccountStatus]])</f>
        <v>Active</v>
      </c>
      <c r="L176" t="s">
        <v>3489</v>
      </c>
      <c r="M176">
        <v>50000</v>
      </c>
      <c r="N176">
        <f>VALUE(IF(ISNUMBER(Custumer[[#This Row],[CreditLimit]]),Custumer[[#This Row],[CreditLimit]],MID(Custumer[[#This Row],[CreditLimit]],2,10)))</f>
        <v>50000</v>
      </c>
    </row>
    <row r="177" spans="1:14" x14ac:dyDescent="0.25">
      <c r="A177" t="s">
        <v>498</v>
      </c>
      <c r="B177" t="s">
        <v>3490</v>
      </c>
      <c r="C177" t="str">
        <f>PROPER(TRIM(Custumer[[#This Row],[CustomerName]]))</f>
        <v>West-Cox</v>
      </c>
      <c r="D177" t="s">
        <v>49</v>
      </c>
      <c r="E177" t="str">
        <f>TRIM(PROPER(Custumer[[#This Row],[CustomerSegment]]))</f>
        <v>Manufacturing</v>
      </c>
      <c r="F177" t="s">
        <v>3100</v>
      </c>
      <c r="G177" t="s">
        <v>30</v>
      </c>
      <c r="H177" t="str">
        <f>SUBSTITUTE(SUBSTITUTE(UPPER(Custumer[[#This Row],[Region]]),"NORTH AMERICA","N. AMERICA"),"LATAM","LATIN AMERICA")</f>
        <v>APAC</v>
      </c>
      <c r="I177" t="s">
        <v>3192</v>
      </c>
      <c r="J177" t="s">
        <v>3102</v>
      </c>
      <c r="K177" t="str">
        <f>IF(Custumer[[#This Row],[AccountStatus]]="","Missing Value",Custumer[[#This Row],[AccountStatus]])</f>
        <v>Active</v>
      </c>
      <c r="L177" t="s">
        <v>3491</v>
      </c>
      <c r="M177">
        <v>100000</v>
      </c>
      <c r="N177">
        <f>VALUE(IF(ISNUMBER(Custumer[[#This Row],[CreditLimit]]),Custumer[[#This Row],[CreditLimit]],MID(Custumer[[#This Row],[CreditLimit]],2,10)))</f>
        <v>100000</v>
      </c>
    </row>
    <row r="178" spans="1:14" x14ac:dyDescent="0.25">
      <c r="A178" t="s">
        <v>86</v>
      </c>
      <c r="B178" t="s">
        <v>3492</v>
      </c>
      <c r="C178" t="str">
        <f>PROPER(TRIM(Custumer[[#This Row],[CustomerName]]))</f>
        <v>Williams Logan And Camacho</v>
      </c>
      <c r="D178" t="s">
        <v>49</v>
      </c>
      <c r="E178" t="str">
        <f>TRIM(PROPER(Custumer[[#This Row],[CustomerSegment]]))</f>
        <v>Manufacturing</v>
      </c>
      <c r="F178" t="s">
        <v>3126</v>
      </c>
      <c r="G178" t="s">
        <v>76</v>
      </c>
      <c r="H178" t="str">
        <f>SUBSTITUTE(SUBSTITUTE(UPPER(Custumer[[#This Row],[Region]]),"NORTH AMERICA","N. AMERICA"),"LATAM","LATIN AMERICA")</f>
        <v>EMEA</v>
      </c>
      <c r="I178" t="s">
        <v>3192</v>
      </c>
      <c r="J178" t="s">
        <v>3102</v>
      </c>
      <c r="K178" t="str">
        <f>IF(Custumer[[#This Row],[AccountStatus]]="","Missing Value",Custumer[[#This Row],[AccountStatus]])</f>
        <v>Active</v>
      </c>
      <c r="L178" t="s">
        <v>3493</v>
      </c>
      <c r="M178" t="s">
        <v>3385</v>
      </c>
      <c r="N178">
        <f>VALUE(IF(ISNUMBER(Custumer[[#This Row],[CreditLimit]]),Custumer[[#This Row],[CreditLimit]],MID(Custumer[[#This Row],[CreditLimit]],2,10)))</f>
        <v>500000</v>
      </c>
    </row>
    <row r="179" spans="1:14" x14ac:dyDescent="0.25">
      <c r="A179" t="s">
        <v>1152</v>
      </c>
      <c r="B179" t="s">
        <v>3494</v>
      </c>
      <c r="C179" t="str">
        <f>PROPER(TRIM(Custumer[[#This Row],[CustomerName]]))</f>
        <v>Lutz Group</v>
      </c>
      <c r="D179" t="s">
        <v>49</v>
      </c>
      <c r="E179" t="str">
        <f>TRIM(PROPER(Custumer[[#This Row],[CustomerSegment]]))</f>
        <v>Manufacturing</v>
      </c>
      <c r="F179" t="s">
        <v>3117</v>
      </c>
      <c r="G179" t="s">
        <v>76</v>
      </c>
      <c r="H179" t="str">
        <f>SUBSTITUTE(SUBSTITUTE(UPPER(Custumer[[#This Row],[Region]]),"NORTH AMERICA","N. AMERICA"),"LATAM","LATIN AMERICA")</f>
        <v>EMEA</v>
      </c>
      <c r="I179" t="s">
        <v>3192</v>
      </c>
      <c r="K179" t="str">
        <f>IF(Custumer[[#This Row],[AccountStatus]]="","Missing Value",Custumer[[#This Row],[AccountStatus]])</f>
        <v>Missing Value</v>
      </c>
      <c r="L179" t="s">
        <v>3495</v>
      </c>
      <c r="M179">
        <v>100000</v>
      </c>
      <c r="N179">
        <f>VALUE(IF(ISNUMBER(Custumer[[#This Row],[CreditLimit]]),Custumer[[#This Row],[CreditLimit]],MID(Custumer[[#This Row],[CreditLimit]],2,10)))</f>
        <v>100000</v>
      </c>
    </row>
    <row r="180" spans="1:14" x14ac:dyDescent="0.25">
      <c r="A180" t="s">
        <v>1515</v>
      </c>
      <c r="B180" t="s">
        <v>3496</v>
      </c>
      <c r="C180" t="str">
        <f>PROPER(TRIM(Custumer[[#This Row],[CustomerName]]))</f>
        <v>Jones-Miller Llc</v>
      </c>
      <c r="D180" t="s">
        <v>26</v>
      </c>
      <c r="E180" t="str">
        <f>TRIM(PROPER(Custumer[[#This Row],[CustomerSegment]]))</f>
        <v>Aerospace &amp; Defense</v>
      </c>
      <c r="F180" t="s">
        <v>3106</v>
      </c>
      <c r="G180" t="s">
        <v>30</v>
      </c>
      <c r="H180" t="str">
        <f>SUBSTITUTE(SUBSTITUTE(UPPER(Custumer[[#This Row],[Region]]),"NORTH AMERICA","N. AMERICA"),"LATAM","LATIN AMERICA")</f>
        <v>APAC</v>
      </c>
      <c r="I180" t="s">
        <v>3152</v>
      </c>
      <c r="J180" t="s">
        <v>3102</v>
      </c>
      <c r="K180" t="str">
        <f>IF(Custumer[[#This Row],[AccountStatus]]="","Missing Value",Custumer[[#This Row],[AccountStatus]])</f>
        <v>Active</v>
      </c>
      <c r="L180" t="s">
        <v>3497</v>
      </c>
      <c r="M180">
        <v>250000</v>
      </c>
      <c r="N180">
        <f>VALUE(IF(ISNUMBER(Custumer[[#This Row],[CreditLimit]]),Custumer[[#This Row],[CreditLimit]],MID(Custumer[[#This Row],[CreditLimit]],2,10)))</f>
        <v>250000</v>
      </c>
    </row>
    <row r="181" spans="1:14" x14ac:dyDescent="0.25">
      <c r="A181" t="s">
        <v>2362</v>
      </c>
      <c r="B181" t="s">
        <v>3498</v>
      </c>
      <c r="C181" t="str">
        <f>PROPER(TRIM(Custumer[[#This Row],[CustomerName]]))</f>
        <v>Richards Joseph And James</v>
      </c>
      <c r="D181" t="s">
        <v>49</v>
      </c>
      <c r="E181" t="str">
        <f>TRIM(PROPER(Custumer[[#This Row],[CustomerSegment]]))</f>
        <v>Manufacturing</v>
      </c>
      <c r="F181" t="s">
        <v>3106</v>
      </c>
      <c r="G181" t="s">
        <v>20</v>
      </c>
      <c r="H181" t="str">
        <f>SUBSTITUTE(SUBSTITUTE(UPPER(Custumer[[#This Row],[Region]]),"NORTH AMERICA","N. AMERICA"),"LATAM","LATIN AMERICA")</f>
        <v>N. AMERICA</v>
      </c>
      <c r="I181" t="s">
        <v>3192</v>
      </c>
      <c r="J181" t="s">
        <v>3102</v>
      </c>
      <c r="K181" t="str">
        <f>IF(Custumer[[#This Row],[AccountStatus]]="","Missing Value",Custumer[[#This Row],[AccountStatus]])</f>
        <v>Active</v>
      </c>
      <c r="L181" t="s">
        <v>3499</v>
      </c>
      <c r="M181">
        <v>50000</v>
      </c>
      <c r="N181">
        <f>VALUE(IF(ISNUMBER(Custumer[[#This Row],[CreditLimit]]),Custumer[[#This Row],[CreditLimit]],MID(Custumer[[#This Row],[CreditLimit]],2,10)))</f>
        <v>50000</v>
      </c>
    </row>
    <row r="182" spans="1:14" x14ac:dyDescent="0.25">
      <c r="A182" t="s">
        <v>297</v>
      </c>
      <c r="B182" t="s">
        <v>3500</v>
      </c>
      <c r="C182" t="str">
        <f>PROPER(TRIM(Custumer[[#This Row],[CustomerName]]))</f>
        <v>Garcia-Miles</v>
      </c>
      <c r="D182" t="s">
        <v>49</v>
      </c>
      <c r="E182" t="str">
        <f>TRIM(PROPER(Custumer[[#This Row],[CustomerSegment]]))</f>
        <v>Manufacturing</v>
      </c>
      <c r="F182" t="s">
        <v>3117</v>
      </c>
      <c r="G182" t="s">
        <v>20</v>
      </c>
      <c r="H182" t="str">
        <f>SUBSTITUTE(SUBSTITUTE(UPPER(Custumer[[#This Row],[Region]]),"NORTH AMERICA","N. AMERICA"),"LATAM","LATIN AMERICA")</f>
        <v>N. AMERICA</v>
      </c>
      <c r="I182" t="s">
        <v>3167</v>
      </c>
      <c r="J182" t="s">
        <v>3102</v>
      </c>
      <c r="K182" t="str">
        <f>IF(Custumer[[#This Row],[AccountStatus]]="","Missing Value",Custumer[[#This Row],[AccountStatus]])</f>
        <v>Active</v>
      </c>
      <c r="L182" t="s">
        <v>3501</v>
      </c>
      <c r="M182">
        <v>250000</v>
      </c>
      <c r="N182">
        <f>VALUE(IF(ISNUMBER(Custumer[[#This Row],[CreditLimit]]),Custumer[[#This Row],[CreditLimit]],MID(Custumer[[#This Row],[CreditLimit]],2,10)))</f>
        <v>250000</v>
      </c>
    </row>
    <row r="183" spans="1:14" x14ac:dyDescent="0.25">
      <c r="A183" t="s">
        <v>826</v>
      </c>
      <c r="B183" t="s">
        <v>3502</v>
      </c>
      <c r="C183" t="str">
        <f>PROPER(TRIM(Custumer[[#This Row],[CustomerName]]))</f>
        <v>Glenn Jordan And Beasley Gmbh</v>
      </c>
      <c r="D183" t="s">
        <v>65</v>
      </c>
      <c r="E183" t="str">
        <f>TRIM(PROPER(Custumer[[#This Row],[CustomerSegment]]))</f>
        <v>Research &amp; Labs</v>
      </c>
      <c r="F183" t="s">
        <v>3100</v>
      </c>
      <c r="G183" t="s">
        <v>30</v>
      </c>
      <c r="H183" t="str">
        <f>SUBSTITUTE(SUBSTITUTE(UPPER(Custumer[[#This Row],[Region]]),"NORTH AMERICA","N. AMERICA"),"LATAM","LATIN AMERICA")</f>
        <v>APAC</v>
      </c>
      <c r="I183" t="s">
        <v>3172</v>
      </c>
      <c r="J183" t="s">
        <v>3102</v>
      </c>
      <c r="K183" t="str">
        <f>IF(Custumer[[#This Row],[AccountStatus]]="","Missing Value",Custumer[[#This Row],[AccountStatus]])</f>
        <v>Active</v>
      </c>
      <c r="L183" t="s">
        <v>3503</v>
      </c>
      <c r="M183">
        <v>100000</v>
      </c>
      <c r="N183">
        <f>VALUE(IF(ISNUMBER(Custumer[[#This Row],[CreditLimit]]),Custumer[[#This Row],[CreditLimit]],MID(Custumer[[#This Row],[CreditLimit]],2,10)))</f>
        <v>100000</v>
      </c>
    </row>
    <row r="184" spans="1:14" x14ac:dyDescent="0.25">
      <c r="A184" t="s">
        <v>1671</v>
      </c>
      <c r="B184" t="s">
        <v>3504</v>
      </c>
      <c r="C184" t="str">
        <f>PROPER(TRIM(Custumer[[#This Row],[CustomerName]]))</f>
        <v>Davis Simmons And Ortega Sa</v>
      </c>
      <c r="D184" t="s">
        <v>35</v>
      </c>
      <c r="E184" t="str">
        <f>TRIM(PROPER(Custumer[[#This Row],[CustomerSegment]]))</f>
        <v>Process Industries</v>
      </c>
      <c r="F184" t="s">
        <v>3100</v>
      </c>
      <c r="G184" t="s">
        <v>20</v>
      </c>
      <c r="H184" t="str">
        <f>SUBSTITUTE(SUBSTITUTE(UPPER(Custumer[[#This Row],[Region]]),"NORTH AMERICA","N. AMERICA"),"LATAM","LATIN AMERICA")</f>
        <v>N. AMERICA</v>
      </c>
      <c r="I184" t="s">
        <v>3119</v>
      </c>
      <c r="J184" t="s">
        <v>3102</v>
      </c>
      <c r="K184" t="str">
        <f>IF(Custumer[[#This Row],[AccountStatus]]="","Missing Value",Custumer[[#This Row],[AccountStatus]])</f>
        <v>Active</v>
      </c>
      <c r="L184" t="s">
        <v>3505</v>
      </c>
      <c r="M184">
        <v>250000</v>
      </c>
      <c r="N184">
        <f>VALUE(IF(ISNUMBER(Custumer[[#This Row],[CreditLimit]]),Custumer[[#This Row],[CreditLimit]],MID(Custumer[[#This Row],[CreditLimit]],2,10)))</f>
        <v>250000</v>
      </c>
    </row>
    <row r="185" spans="1:14" x14ac:dyDescent="0.25">
      <c r="A185" t="s">
        <v>388</v>
      </c>
      <c r="B185" t="s">
        <v>3506</v>
      </c>
      <c r="C185" t="str">
        <f>PROPER(TRIM(Custumer[[#This Row],[CustomerName]]))</f>
        <v>Davis Inc Llc</v>
      </c>
      <c r="D185" t="s">
        <v>43</v>
      </c>
      <c r="E185" t="str">
        <f>TRIM(PROPER(Custumer[[#This Row],[CustomerSegment]]))</f>
        <v>Energy &amp; Utilities</v>
      </c>
      <c r="F185" t="s">
        <v>3106</v>
      </c>
      <c r="G185" t="s">
        <v>3118</v>
      </c>
      <c r="H185" t="str">
        <f>SUBSTITUTE(SUBSTITUTE(UPPER(Custumer[[#This Row],[Region]]),"NORTH AMERICA","N. AMERICA"),"LATAM","LATIN AMERICA")</f>
        <v>N. AMERICA</v>
      </c>
      <c r="I185" t="s">
        <v>3162</v>
      </c>
      <c r="J185" t="s">
        <v>3102</v>
      </c>
      <c r="K185" t="str">
        <f>IF(Custumer[[#This Row],[AccountStatus]]="","Missing Value",Custumer[[#This Row],[AccountStatus]])</f>
        <v>Active</v>
      </c>
      <c r="L185" t="s">
        <v>3507</v>
      </c>
      <c r="M185">
        <v>50000</v>
      </c>
      <c r="N185">
        <f>VALUE(IF(ISNUMBER(Custumer[[#This Row],[CreditLimit]]),Custumer[[#This Row],[CreditLimit]],MID(Custumer[[#This Row],[CreditLimit]],2,10)))</f>
        <v>50000</v>
      </c>
    </row>
    <row r="186" spans="1:14" x14ac:dyDescent="0.25">
      <c r="A186" t="s">
        <v>3508</v>
      </c>
      <c r="B186" t="s">
        <v>3509</v>
      </c>
      <c r="C186" t="str">
        <f>PROPER(TRIM(Custumer[[#This Row],[CustomerName]]))</f>
        <v>Hawkins Plc</v>
      </c>
      <c r="D186" t="s">
        <v>26</v>
      </c>
      <c r="E186" t="str">
        <f>TRIM(PROPER(Custumer[[#This Row],[CustomerSegment]]))</f>
        <v>Aerospace &amp; Defense</v>
      </c>
      <c r="F186" t="s">
        <v>3106</v>
      </c>
      <c r="G186" t="s">
        <v>76</v>
      </c>
      <c r="H186" t="str">
        <f>SUBSTITUTE(SUBSTITUTE(UPPER(Custumer[[#This Row],[Region]]),"NORTH AMERICA","N. AMERICA"),"LATAM","LATIN AMERICA")</f>
        <v>EMEA</v>
      </c>
      <c r="I186" t="s">
        <v>3175</v>
      </c>
      <c r="J186" t="s">
        <v>3102</v>
      </c>
      <c r="K186" t="str">
        <f>IF(Custumer[[#This Row],[AccountStatus]]="","Missing Value",Custumer[[#This Row],[AccountStatus]])</f>
        <v>Active</v>
      </c>
      <c r="L186" t="s">
        <v>3510</v>
      </c>
      <c r="M186">
        <v>250000</v>
      </c>
      <c r="N186">
        <f>VALUE(IF(ISNUMBER(Custumer[[#This Row],[CreditLimit]]),Custumer[[#This Row],[CreditLimit]],MID(Custumer[[#This Row],[CreditLimit]],2,10)))</f>
        <v>250000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zoomScale="130" zoomScaleNormal="130" workbookViewId="0">
      <selection sqref="A1:L20"/>
    </sheetView>
  </sheetViews>
  <sheetFormatPr defaultRowHeight="15" x14ac:dyDescent="0.25"/>
  <cols>
    <col min="1" max="1" width="12" bestFit="1" customWidth="1"/>
    <col min="2" max="2" width="39.140625" bestFit="1" customWidth="1"/>
    <col min="3" max="3" width="39.140625" customWidth="1"/>
    <col min="4" max="4" width="20.85546875" bestFit="1" customWidth="1"/>
    <col min="5" max="5" width="20.85546875" customWidth="1"/>
    <col min="6" max="6" width="18.42578125" bestFit="1" customWidth="1"/>
    <col min="7" max="7" width="18.42578125" customWidth="1"/>
    <col min="8" max="8" width="20.42578125" customWidth="1"/>
    <col min="9" max="9" width="10.7109375" bestFit="1" customWidth="1"/>
    <col min="10" max="10" width="13" bestFit="1" customWidth="1"/>
    <col min="11" max="11" width="19.140625" bestFit="1" customWidth="1"/>
    <col min="12" max="12" width="15.28515625" customWidth="1"/>
  </cols>
  <sheetData>
    <row r="1" spans="1:12" x14ac:dyDescent="0.25">
      <c r="A1" t="s">
        <v>3</v>
      </c>
      <c r="B1" t="s">
        <v>3511</v>
      </c>
      <c r="C1" t="s">
        <v>4084</v>
      </c>
      <c r="D1" t="s">
        <v>3512</v>
      </c>
      <c r="E1" t="s">
        <v>4085</v>
      </c>
      <c r="F1" t="s">
        <v>3513</v>
      </c>
      <c r="G1" t="s">
        <v>4087</v>
      </c>
      <c r="H1" t="s">
        <v>3514</v>
      </c>
      <c r="I1" t="s">
        <v>9</v>
      </c>
      <c r="J1" t="s">
        <v>3515</v>
      </c>
      <c r="K1" t="s">
        <v>4086</v>
      </c>
      <c r="L1" t="s">
        <v>3516</v>
      </c>
    </row>
    <row r="2" spans="1:12" x14ac:dyDescent="0.25">
      <c r="A2" t="s">
        <v>121</v>
      </c>
      <c r="B2" t="s">
        <v>3544</v>
      </c>
      <c r="C2" t="str">
        <f>PROPER(TRIM(Product[[#This Row],[ProductName]]))</f>
        <v>On-Site Commissioning &amp; Calibration</v>
      </c>
      <c r="D2" t="s">
        <v>3545</v>
      </c>
      <c r="E2" t="str">
        <f>PROPER(TRIM(Product[[#This Row],[Category]]))</f>
        <v>Services</v>
      </c>
      <c r="F2" t="s">
        <v>3546</v>
      </c>
      <c r="G2" t="str">
        <f>PROPER(Product[[#This Row],[Family]])</f>
        <v>Commissioning</v>
      </c>
      <c r="H2" t="s">
        <v>21</v>
      </c>
      <c r="I2">
        <v>1850</v>
      </c>
      <c r="J2">
        <v>980</v>
      </c>
      <c r="K2">
        <f>IF(ISNUMBER(Product[[#This Row],[StdVarCost]]),Product[[#This Row],[StdVarCost]],IF(Product[[#This Row],[StdVarCost]]="",NA(),VALUE(MID(Product[[#This Row],[StdVarCost]],2,10))))</f>
        <v>980</v>
      </c>
      <c r="L2">
        <v>220</v>
      </c>
    </row>
    <row r="3" spans="1:12" x14ac:dyDescent="0.25">
      <c r="A3" t="s">
        <v>268</v>
      </c>
      <c r="B3" t="s">
        <v>3547</v>
      </c>
      <c r="C3" t="str">
        <f>PROPER(TRIM(Product[[#This Row],[ProductName]]))</f>
        <v>Annual Maint. Contract - Standard</v>
      </c>
      <c r="D3" t="s">
        <v>3545</v>
      </c>
      <c r="E3" t="str">
        <f>PROPER(TRIM(Product[[#This Row],[Category]]))</f>
        <v>Services</v>
      </c>
      <c r="F3" t="s">
        <v>3548</v>
      </c>
      <c r="G3" t="str">
        <f>PROPER(Product[[#This Row],[Family]])</f>
        <v>Maintenance</v>
      </c>
      <c r="H3" t="s">
        <v>21</v>
      </c>
      <c r="I3">
        <v>2400</v>
      </c>
      <c r="J3">
        <v>1120</v>
      </c>
      <c r="K3">
        <f>IF(ISNUMBER(Product[[#This Row],[StdVarCost]]),Product[[#This Row],[StdVarCost]],IF(Product[[#This Row],[StdVarCost]]="",NA(),VALUE(MID(Product[[#This Row],[StdVarCost]],2,10))))</f>
        <v>1120</v>
      </c>
      <c r="L3">
        <v>280</v>
      </c>
    </row>
    <row r="4" spans="1:12" x14ac:dyDescent="0.25">
      <c r="A4" t="s">
        <v>222</v>
      </c>
      <c r="B4" t="s">
        <v>3549</v>
      </c>
      <c r="C4" t="str">
        <f>PROPER(TRIM(Product[[#This Row],[ProductName]]))</f>
        <v>Annual Maintenance Contract - Premium</v>
      </c>
      <c r="D4" t="s">
        <v>3545</v>
      </c>
      <c r="E4" t="str">
        <f>PROPER(TRIM(Product[[#This Row],[Category]]))</f>
        <v>Services</v>
      </c>
      <c r="F4" t="s">
        <v>3548</v>
      </c>
      <c r="G4" t="str">
        <f>PROPER(Product[[#This Row],[Family]])</f>
        <v>Maintenance</v>
      </c>
      <c r="H4" t="s">
        <v>21</v>
      </c>
      <c r="I4">
        <v>4100</v>
      </c>
      <c r="J4">
        <v>1850</v>
      </c>
      <c r="K4">
        <f>IF(ISNUMBER(Product[[#This Row],[StdVarCost]]),Product[[#This Row],[StdVarCost]],IF(Product[[#This Row],[StdVarCost]]="",NA(),VALUE(MID(Product[[#This Row],[StdVarCost]],2,10))))</f>
        <v>1850</v>
      </c>
      <c r="L4">
        <v>410</v>
      </c>
    </row>
    <row r="5" spans="1:12" x14ac:dyDescent="0.25">
      <c r="A5" t="s">
        <v>19</v>
      </c>
      <c r="B5" t="s">
        <v>3550</v>
      </c>
      <c r="C5" t="str">
        <f>PROPER(TRIM(Product[[#This Row],[ProductName]]))</f>
        <v>Emergency Response Call-Out</v>
      </c>
      <c r="D5" t="s">
        <v>3551</v>
      </c>
      <c r="E5" t="str">
        <f>PROPER(TRIM(Product[[#This Row],[Category]]))</f>
        <v>Services</v>
      </c>
      <c r="F5" t="s">
        <v>3552</v>
      </c>
      <c r="G5" t="str">
        <f>PROPER(Product[[#This Row],[Family]])</f>
        <v>Emergency</v>
      </c>
      <c r="H5" t="s">
        <v>21</v>
      </c>
      <c r="I5">
        <v>3200</v>
      </c>
      <c r="J5" t="s">
        <v>1995</v>
      </c>
      <c r="K5">
        <f>IF(ISNUMBER(Product[[#This Row],[StdVarCost]]),Product[[#This Row],[StdVarCost]],IF(Product[[#This Row],[StdVarCost]]="",NA(),VALUE(MID(Product[[#This Row],[StdVarCost]],2,10))))</f>
        <v>1650</v>
      </c>
      <c r="L5">
        <v>350</v>
      </c>
    </row>
    <row r="6" spans="1:12" x14ac:dyDescent="0.25">
      <c r="A6" t="s">
        <v>103</v>
      </c>
      <c r="B6" t="s">
        <v>3553</v>
      </c>
      <c r="C6" t="str">
        <f>PROPER(TRIM(Product[[#This Row],[ProductName]]))</f>
        <v>Training Workshop - Operator Level</v>
      </c>
      <c r="D6" t="s">
        <v>3545</v>
      </c>
      <c r="E6" t="str">
        <f>PROPER(TRIM(Product[[#This Row],[Category]]))</f>
        <v>Services</v>
      </c>
      <c r="F6" t="s">
        <v>3554</v>
      </c>
      <c r="G6" t="str">
        <f>PROPER(Product[[#This Row],[Family]])</f>
        <v>Training</v>
      </c>
      <c r="H6" t="s">
        <v>21</v>
      </c>
      <c r="I6">
        <v>950</v>
      </c>
      <c r="J6">
        <v>420</v>
      </c>
      <c r="K6">
        <f>IF(ISNUMBER(Product[[#This Row],[StdVarCost]]),Product[[#This Row],[StdVarCost]],IF(Product[[#This Row],[StdVarCost]]="",NA(),VALUE(MID(Product[[#This Row],[StdVarCost]],2,10))))</f>
        <v>420</v>
      </c>
      <c r="L6">
        <v>95</v>
      </c>
    </row>
    <row r="7" spans="1:12" x14ac:dyDescent="0.25">
      <c r="A7" t="s">
        <v>39</v>
      </c>
      <c r="B7" t="s">
        <v>3555</v>
      </c>
      <c r="C7" t="str">
        <f>PROPER(TRIM(Product[[#This Row],[ProductName]]))</f>
        <v>Remote Diagnostics Support (Annual)</v>
      </c>
      <c r="D7" t="s">
        <v>3545</v>
      </c>
      <c r="E7" t="str">
        <f>PROPER(TRIM(Product[[#This Row],[Category]]))</f>
        <v>Services</v>
      </c>
      <c r="F7" t="s">
        <v>3556</v>
      </c>
      <c r="G7" t="str">
        <f>PROPER(Product[[#This Row],[Family]])</f>
        <v>Support</v>
      </c>
      <c r="H7" t="s">
        <v>21</v>
      </c>
      <c r="I7">
        <v>1450</v>
      </c>
      <c r="J7">
        <v>380</v>
      </c>
      <c r="K7">
        <f>IF(ISNUMBER(Product[[#This Row],[StdVarCost]]),Product[[#This Row],[StdVarCost]],IF(Product[[#This Row],[StdVarCost]]="",NA(),VALUE(MID(Product[[#This Row],[StdVarCost]],2,10))))</f>
        <v>380</v>
      </c>
      <c r="L7">
        <v>175</v>
      </c>
    </row>
    <row r="8" spans="1:12" x14ac:dyDescent="0.25">
      <c r="A8" t="s">
        <v>29</v>
      </c>
      <c r="B8" t="s">
        <v>3533</v>
      </c>
      <c r="C8" t="str">
        <f>PROPER(TRIM(Product[[#This Row],[ProductName]]))</f>
        <v>Aetherview Analytics Plat. - Std</v>
      </c>
      <c r="D8" t="s">
        <v>3534</v>
      </c>
      <c r="E8" t="str">
        <f>PROPER(TRIM(Product[[#This Row],[Category]]))</f>
        <v>Software</v>
      </c>
      <c r="F8" t="s">
        <v>3535</v>
      </c>
      <c r="G8" t="str">
        <f>PROPER(Product[[#This Row],[Family]])</f>
        <v>Analytics Platform</v>
      </c>
      <c r="H8" t="s">
        <v>31</v>
      </c>
      <c r="I8">
        <v>4200</v>
      </c>
      <c r="J8">
        <v>185</v>
      </c>
      <c r="K8">
        <f>IF(ISNUMBER(Product[[#This Row],[StdVarCost]]),Product[[#This Row],[StdVarCost]],IF(Product[[#This Row],[StdVarCost]]="",NA(),VALUE(MID(Product[[#This Row],[StdVarCost]],2,10))))</f>
        <v>185</v>
      </c>
      <c r="L8">
        <v>310</v>
      </c>
    </row>
    <row r="9" spans="1:12" x14ac:dyDescent="0.25">
      <c r="A9" t="s">
        <v>226</v>
      </c>
      <c r="B9" t="s">
        <v>3536</v>
      </c>
      <c r="C9" t="str">
        <f>PROPER(TRIM(Product[[#This Row],[ProductName]]))</f>
        <v>Aetherview Analytics Platform Enterprise</v>
      </c>
      <c r="D9" t="s">
        <v>3534</v>
      </c>
      <c r="E9" t="str">
        <f>PROPER(TRIM(Product[[#This Row],[Category]]))</f>
        <v>Software</v>
      </c>
      <c r="F9" t="s">
        <v>3535</v>
      </c>
      <c r="G9" t="str">
        <f>PROPER(Product[[#This Row],[Family]])</f>
        <v>Analytics Platform</v>
      </c>
      <c r="H9" t="s">
        <v>31</v>
      </c>
      <c r="I9">
        <v>9800</v>
      </c>
      <c r="J9">
        <v>420</v>
      </c>
      <c r="K9">
        <f>IF(ISNUMBER(Product[[#This Row],[StdVarCost]]),Product[[#This Row],[StdVarCost]],IF(Product[[#This Row],[StdVarCost]]="",NA(),VALUE(MID(Product[[#This Row],[StdVarCost]],2,10))))</f>
        <v>420</v>
      </c>
      <c r="L9">
        <v>680</v>
      </c>
    </row>
    <row r="10" spans="1:12" x14ac:dyDescent="0.25">
      <c r="A10" t="s">
        <v>258</v>
      </c>
      <c r="B10" t="s">
        <v>3537</v>
      </c>
      <c r="C10" t="str">
        <f>PROPER(TRIM(Product[[#This Row],[ProductName]]))</f>
        <v>Conditioniq Predictive Module</v>
      </c>
      <c r="D10" t="s">
        <v>3534</v>
      </c>
      <c r="E10" t="str">
        <f>PROPER(TRIM(Product[[#This Row],[Category]]))</f>
        <v>Software</v>
      </c>
      <c r="F10" t="s">
        <v>3538</v>
      </c>
      <c r="G10" t="str">
        <f>PROPER(Product[[#This Row],[Family]])</f>
        <v>Predictive Modules</v>
      </c>
      <c r="H10" t="s">
        <v>31</v>
      </c>
      <c r="I10">
        <v>2750</v>
      </c>
      <c r="J10">
        <v>95</v>
      </c>
      <c r="K10">
        <f>IF(ISNUMBER(Product[[#This Row],[StdVarCost]]),Product[[#This Row],[StdVarCost]],IF(Product[[#This Row],[StdVarCost]]="",NA(),VALUE(MID(Product[[#This Row],[StdVarCost]],2,10))))</f>
        <v>95</v>
      </c>
      <c r="L10">
        <v>210</v>
      </c>
    </row>
    <row r="11" spans="1:12" x14ac:dyDescent="0.25">
      <c r="A11" t="s">
        <v>111</v>
      </c>
      <c r="B11" t="s">
        <v>3539</v>
      </c>
      <c r="C11" t="str">
        <f>PROPER(TRIM(Product[[#This Row],[ProductName]]))</f>
        <v>Assethealth Dashboard License</v>
      </c>
      <c r="D11" t="s">
        <v>3534</v>
      </c>
      <c r="E11" t="str">
        <f>PROPER(TRIM(Product[[#This Row],[Category]]))</f>
        <v>Software</v>
      </c>
      <c r="F11" t="s">
        <v>3540</v>
      </c>
      <c r="G11" t="str">
        <f>PROPER(Product[[#This Row],[Family]])</f>
        <v>Dashboards</v>
      </c>
      <c r="H11" t="s">
        <v>31</v>
      </c>
      <c r="I11">
        <v>1650</v>
      </c>
      <c r="J11">
        <v>65</v>
      </c>
      <c r="K11">
        <f>IF(ISNUMBER(Product[[#This Row],[StdVarCost]]),Product[[#This Row],[StdVarCost]],IF(Product[[#This Row],[StdVarCost]]="",NA(),VALUE(MID(Product[[#This Row],[StdVarCost]],2,10))))</f>
        <v>65</v>
      </c>
      <c r="L11">
        <v>145</v>
      </c>
    </row>
    <row r="12" spans="1:12" x14ac:dyDescent="0.25">
      <c r="A12" t="s">
        <v>75</v>
      </c>
      <c r="B12" t="s">
        <v>3541</v>
      </c>
      <c r="C12" t="str">
        <f>PROPER(TRIM(Product[[#This Row],[ProductName]]))</f>
        <v>Aetherconnect Api Integration Pack</v>
      </c>
      <c r="D12" t="s">
        <v>3542</v>
      </c>
      <c r="E12" t="str">
        <f>PROPER(TRIM(Product[[#This Row],[Category]]))</f>
        <v>Software / Integration</v>
      </c>
      <c r="F12" t="s">
        <v>3543</v>
      </c>
      <c r="G12" t="str">
        <f>PROPER(Product[[#This Row],[Family]])</f>
        <v>Integration</v>
      </c>
      <c r="H12" t="s">
        <v>31</v>
      </c>
      <c r="I12">
        <v>3200</v>
      </c>
      <c r="J12">
        <v>140</v>
      </c>
      <c r="K12">
        <f>IF(ISNUMBER(Product[[#This Row],[StdVarCost]]),Product[[#This Row],[StdVarCost]],IF(Product[[#This Row],[StdVarCost]]="",NA(),VALUE(MID(Product[[#This Row],[StdVarCost]],2,10))))</f>
        <v>140</v>
      </c>
      <c r="L12">
        <v>255</v>
      </c>
    </row>
    <row r="13" spans="1:12" x14ac:dyDescent="0.25">
      <c r="A13" t="s">
        <v>97</v>
      </c>
      <c r="B13" t="s">
        <v>3517</v>
      </c>
      <c r="C13" t="str">
        <f>PROPER(TRIM(Product[[#This Row],[ProductName]]))</f>
        <v>Aetherprobe Xt-200 Temp. Sensor</v>
      </c>
      <c r="D13" t="s">
        <v>3518</v>
      </c>
      <c r="E13" t="str">
        <f>PROPER(TRIM(Product[[#This Row],[Category]]))</f>
        <v>Sensors</v>
      </c>
      <c r="F13" t="s">
        <v>3519</v>
      </c>
      <c r="G13" t="str">
        <f>PROPER(Product[[#This Row],[Family]])</f>
        <v>Temperature</v>
      </c>
      <c r="H13" t="s">
        <v>53</v>
      </c>
      <c r="I13">
        <v>485</v>
      </c>
      <c r="J13">
        <v>187.5</v>
      </c>
      <c r="K13">
        <f>IF(ISNUMBER(Product[[#This Row],[StdVarCost]]),Product[[#This Row],[StdVarCost]],IF(Product[[#This Row],[StdVarCost]]="",NA(),VALUE(MID(Product[[#This Row],[StdVarCost]],2,10))))</f>
        <v>187.5</v>
      </c>
      <c r="L13">
        <v>42</v>
      </c>
    </row>
    <row r="14" spans="1:12" x14ac:dyDescent="0.25">
      <c r="A14" t="s">
        <v>52</v>
      </c>
      <c r="B14" t="s">
        <v>3520</v>
      </c>
      <c r="C14" t="str">
        <f>PROPER(TRIM(Product[[#This Row],[ProductName]]))</f>
        <v>Aetherprobe Xt450 Pressure Trans.</v>
      </c>
      <c r="D14" t="s">
        <v>3521</v>
      </c>
      <c r="E14" t="str">
        <f>PROPER(TRIM(Product[[#This Row],[Category]]))</f>
        <v>Sensors</v>
      </c>
      <c r="F14" t="s">
        <v>3522</v>
      </c>
      <c r="G14" t="str">
        <f>PROPER(Product[[#This Row],[Family]])</f>
        <v>Pressure</v>
      </c>
      <c r="H14" t="s">
        <v>53</v>
      </c>
      <c r="I14">
        <v>725</v>
      </c>
      <c r="J14">
        <v>298</v>
      </c>
      <c r="K14">
        <f>IF(ISNUMBER(Product[[#This Row],[StdVarCost]]),Product[[#This Row],[StdVarCost]],IF(Product[[#This Row],[StdVarCost]]="",NA(),VALUE(MID(Product[[#This Row],[StdVarCost]],2,10))))</f>
        <v>298</v>
      </c>
      <c r="L14">
        <v>55</v>
      </c>
    </row>
    <row r="15" spans="1:12" x14ac:dyDescent="0.25">
      <c r="A15" t="s">
        <v>71</v>
      </c>
      <c r="B15" t="s">
        <v>3523</v>
      </c>
      <c r="C15" t="str">
        <f>PROPER(TRIM(Product[[#This Row],[ProductName]]))</f>
        <v>Vibrasense Pro Vibration Analyzer</v>
      </c>
      <c r="D15" t="s">
        <v>3524</v>
      </c>
      <c r="E15" t="str">
        <f>PROPER(TRIM(Product[[#This Row],[Category]]))</f>
        <v>Instruments</v>
      </c>
      <c r="F15" t="s">
        <v>3525</v>
      </c>
      <c r="G15" t="str">
        <f>PROPER(Product[[#This Row],[Family]])</f>
        <v>Vibration</v>
      </c>
      <c r="H15" t="s">
        <v>53</v>
      </c>
      <c r="I15">
        <v>1890</v>
      </c>
      <c r="J15">
        <v>712</v>
      </c>
      <c r="K15">
        <f>IF(ISNUMBER(Product[[#This Row],[StdVarCost]]),Product[[#This Row],[StdVarCost]],IF(Product[[#This Row],[StdVarCost]]="",NA(),VALUE(MID(Product[[#This Row],[StdVarCost]],2,10))))</f>
        <v>712</v>
      </c>
      <c r="L15">
        <v>125</v>
      </c>
    </row>
    <row r="16" spans="1:12" x14ac:dyDescent="0.25">
      <c r="A16" t="s">
        <v>62</v>
      </c>
      <c r="B16" t="s">
        <v>3526</v>
      </c>
      <c r="C16" t="str">
        <f>PROPER(TRIM(Product[[#This Row],[ProductName]]))</f>
        <v>Flowmaster Ultrasonic Flow Meter</v>
      </c>
      <c r="D16" t="s">
        <v>3524</v>
      </c>
      <c r="E16" t="str">
        <f>PROPER(TRIM(Product[[#This Row],[Category]]))</f>
        <v>Instruments</v>
      </c>
      <c r="F16" t="s">
        <v>3527</v>
      </c>
      <c r="G16" t="str">
        <f>PROPER(Product[[#This Row],[Family]])</f>
        <v>Flow</v>
      </c>
      <c r="H16" t="s">
        <v>53</v>
      </c>
      <c r="I16">
        <v>2450</v>
      </c>
      <c r="J16">
        <v>980</v>
      </c>
      <c r="K16">
        <f>IF(ISNUMBER(Product[[#This Row],[StdVarCost]]),Product[[#This Row],[StdVarCost]],IF(Product[[#This Row],[StdVarCost]]="",NA(),VALUE(MID(Product[[#This Row],[StdVarCost]],2,10))))</f>
        <v>980</v>
      </c>
      <c r="L16">
        <v>145</v>
      </c>
    </row>
    <row r="17" spans="1:12" x14ac:dyDescent="0.25">
      <c r="A17" t="s">
        <v>58</v>
      </c>
      <c r="B17" t="s">
        <v>3528</v>
      </c>
      <c r="C17" t="str">
        <f>PROPER(TRIM(Product[[#This Row],[ProductName]]))</f>
        <v>Thermoguard Multi-Point Rtd Array</v>
      </c>
      <c r="D17" t="s">
        <v>3521</v>
      </c>
      <c r="E17" t="str">
        <f>PROPER(TRIM(Product[[#This Row],[Category]]))</f>
        <v>Sensors</v>
      </c>
      <c r="F17" t="s">
        <v>3519</v>
      </c>
      <c r="G17" t="str">
        <f>PROPER(Product[[#This Row],[Family]])</f>
        <v>Temperature</v>
      </c>
      <c r="H17" t="s">
        <v>53</v>
      </c>
      <c r="I17">
        <v>1120</v>
      </c>
      <c r="J17">
        <v>445</v>
      </c>
      <c r="K17">
        <f>IF(ISNUMBER(Product[[#This Row],[StdVarCost]]),Product[[#This Row],[StdVarCost]],IF(Product[[#This Row],[StdVarCost]]="",NA(),VALUE(MID(Product[[#This Row],[StdVarCost]],2,10))))</f>
        <v>445</v>
      </c>
      <c r="L17">
        <v>78</v>
      </c>
    </row>
    <row r="18" spans="1:12" x14ac:dyDescent="0.25">
      <c r="A18" t="s">
        <v>46</v>
      </c>
      <c r="B18" t="s">
        <v>3529</v>
      </c>
      <c r="C18" t="str">
        <f>PROPER(TRIM(Product[[#This Row],[ProductName]]))</f>
        <v>Aetherprobe Xt100 Entry Temp Sensor</v>
      </c>
      <c r="D18" t="s">
        <v>3518</v>
      </c>
      <c r="E18" t="str">
        <f>PROPER(TRIM(Product[[#This Row],[Category]]))</f>
        <v>Sensors</v>
      </c>
      <c r="F18" t="s">
        <v>3519</v>
      </c>
      <c r="G18" t="str">
        <f>PROPER(Product[[#This Row],[Family]])</f>
        <v>Temperature</v>
      </c>
      <c r="H18" t="s">
        <v>53</v>
      </c>
      <c r="I18">
        <v>215</v>
      </c>
      <c r="J18">
        <v>92</v>
      </c>
      <c r="K18">
        <f>IF(ISNUMBER(Product[[#This Row],[StdVarCost]]),Product[[#This Row],[StdVarCost]],IF(Product[[#This Row],[StdVarCost]]="",NA(),VALUE(MID(Product[[#This Row],[StdVarCost]],2,10))))</f>
        <v>92</v>
      </c>
      <c r="L18">
        <v>28</v>
      </c>
    </row>
    <row r="19" spans="1:12" x14ac:dyDescent="0.25">
      <c r="A19" t="s">
        <v>117</v>
      </c>
      <c r="B19" t="s">
        <v>3530</v>
      </c>
      <c r="C19" t="str">
        <f>PROPER(TRIM(Product[[#This Row],[ProductName]]))</f>
        <v>Pressureguard Industrial Dp Transmitter</v>
      </c>
      <c r="D19" t="s">
        <v>3521</v>
      </c>
      <c r="E19" t="str">
        <f>PROPER(TRIM(Product[[#This Row],[Category]]))</f>
        <v>Sensors</v>
      </c>
      <c r="F19" t="s">
        <v>3531</v>
      </c>
      <c r="G19" t="str">
        <f>PROPER(Product[[#This Row],[Family]])</f>
        <v>Pressure</v>
      </c>
      <c r="H19" t="s">
        <v>53</v>
      </c>
      <c r="I19">
        <v>980</v>
      </c>
      <c r="J19">
        <v>410</v>
      </c>
      <c r="K19">
        <f>IF(ISNUMBER(Product[[#This Row],[StdVarCost]]),Product[[#This Row],[StdVarCost]],IF(Product[[#This Row],[StdVarCost]]="",NA(),VALUE(MID(Product[[#This Row],[StdVarCost]],2,10))))</f>
        <v>410</v>
      </c>
      <c r="L19">
        <v>68</v>
      </c>
    </row>
    <row r="20" spans="1:12" x14ac:dyDescent="0.25">
      <c r="A20" t="s">
        <v>92</v>
      </c>
      <c r="B20" t="s">
        <v>3532</v>
      </c>
      <c r="C20" t="str">
        <f>PROPER(TRIM(Product[[#This Row],[ProductName]]))</f>
        <v>Vibrasense Lite Portable Analyzer</v>
      </c>
      <c r="D20" t="s">
        <v>3524</v>
      </c>
      <c r="E20" t="str">
        <f>PROPER(TRIM(Product[[#This Row],[Category]]))</f>
        <v>Instruments</v>
      </c>
      <c r="F20" t="s">
        <v>3525</v>
      </c>
      <c r="G20" t="str">
        <f>PROPER(Product[[#This Row],[Family]])</f>
        <v>Vibration</v>
      </c>
      <c r="H20" t="s">
        <v>53</v>
      </c>
      <c r="I20">
        <v>950</v>
      </c>
      <c r="J20">
        <f>_xlfn.XLOOKUP(A20,Cost[ProductID_Clean],Cost[StandardCost])</f>
        <v>385</v>
      </c>
      <c r="K20">
        <f>IF(ISNUMBER(Product[[#This Row],[StdVarCost]]),Product[[#This Row],[StdVarCost]],IF(Product[[#This Row],[StdVarCost]]="",NA(),VALUE(MID(Product[[#This Row],[StdVarCost]],2,10))))</f>
        <v>385</v>
      </c>
      <c r="L20">
        <v>72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5"/>
  <sheetViews>
    <sheetView zoomScale="160" zoomScaleNormal="160" workbookViewId="0">
      <selection activeCell="F319" sqref="F319"/>
    </sheetView>
  </sheetViews>
  <sheetFormatPr defaultRowHeight="15" x14ac:dyDescent="0.25"/>
  <cols>
    <col min="1" max="1" width="10.28515625" bestFit="1" customWidth="1"/>
    <col min="3" max="3" width="15.140625" bestFit="1" customWidth="1"/>
    <col min="4" max="4" width="11.85546875" customWidth="1"/>
    <col min="5" max="5" width="18.140625" bestFit="1" customWidth="1"/>
    <col min="6" max="6" width="23.28515625" bestFit="1" customWidth="1"/>
    <col min="7" max="7" width="11.28515625" customWidth="1"/>
    <col min="8" max="8" width="14.85546875" customWidth="1"/>
    <col min="9" max="9" width="12.5703125" customWidth="1"/>
    <col min="10" max="10" width="18.85546875" bestFit="1" customWidth="1"/>
    <col min="11" max="11" width="13" customWidth="1"/>
    <col min="12" max="12" width="19.28515625" bestFit="1" customWidth="1"/>
    <col min="13" max="13" width="23.140625" bestFit="1" customWidth="1"/>
  </cols>
  <sheetData>
    <row r="1" spans="1:13" x14ac:dyDescent="0.25">
      <c r="A1" t="s">
        <v>3557</v>
      </c>
      <c r="B1" t="s">
        <v>3558</v>
      </c>
      <c r="C1" t="s">
        <v>4090</v>
      </c>
      <c r="D1" t="s">
        <v>3</v>
      </c>
      <c r="E1" t="s">
        <v>4089</v>
      </c>
      <c r="F1" t="s">
        <v>3559</v>
      </c>
      <c r="G1" t="s">
        <v>3560</v>
      </c>
      <c r="H1" t="s">
        <v>3561</v>
      </c>
      <c r="I1" t="s">
        <v>3562</v>
      </c>
      <c r="J1" t="s">
        <v>4091</v>
      </c>
      <c r="K1" t="s">
        <v>3563</v>
      </c>
      <c r="L1" t="s">
        <v>4093</v>
      </c>
      <c r="M1" t="s">
        <v>3564</v>
      </c>
    </row>
    <row r="2" spans="1:13" hidden="1" x14ac:dyDescent="0.25">
      <c r="A2" t="s">
        <v>3599</v>
      </c>
      <c r="B2" t="s">
        <v>3566</v>
      </c>
      <c r="C2" t="str">
        <f>SUBSTITUTE(Cost[[#This Row],[Period]],"/","-")</f>
        <v>2025-01</v>
      </c>
      <c r="E2" t="str">
        <f>IF(UPPER(Cost[[#This Row],[ProductID]])&lt;&gt;"",Cost[[#This Row],[ProductID]],"Missing Value")</f>
        <v>Missing Value</v>
      </c>
      <c r="F2" t="s">
        <v>3574</v>
      </c>
      <c r="G2" t="s">
        <v>3568</v>
      </c>
      <c r="H2">
        <v>140</v>
      </c>
      <c r="I2">
        <v>137.22</v>
      </c>
      <c r="J2">
        <f>VALUE(Cost[[#This Row],[ActualCost]])</f>
        <v>137.22</v>
      </c>
      <c r="K2" t="s">
        <v>3591</v>
      </c>
      <c r="L2" t="str">
        <f>IF(UPPER(Cost[[#This Row],[CostCenter]])="","Missing Value",UPPER(Cost[[#This Row],[CostCenter]]))</f>
        <v>SA</v>
      </c>
    </row>
    <row r="3" spans="1:13" hidden="1" x14ac:dyDescent="0.25">
      <c r="A3" t="s">
        <v>3614</v>
      </c>
      <c r="B3" t="s">
        <v>3615</v>
      </c>
      <c r="C3" t="str">
        <f>SUBSTITUTE(Cost[[#This Row],[Period]],"/","-")</f>
        <v>2025-02</v>
      </c>
      <c r="E3" t="str">
        <f>IF(UPPER(Cost[[#This Row],[ProductID]])&lt;&gt;"",Cost[[#This Row],[ProductID]],"Missing Value")</f>
        <v>Missing Value</v>
      </c>
      <c r="F3" t="s">
        <v>3574</v>
      </c>
      <c r="G3" t="s">
        <v>3568</v>
      </c>
      <c r="H3">
        <v>187.5</v>
      </c>
      <c r="I3">
        <v>189.3</v>
      </c>
      <c r="J3">
        <f>VALUE(Cost[[#This Row],[ActualCost]])</f>
        <v>189.3</v>
      </c>
      <c r="K3" t="s">
        <v>3569</v>
      </c>
      <c r="L3" t="str">
        <f>IF(UPPER(Cost[[#This Row],[CostCenter]])="","Missing Value",UPPER(Cost[[#This Row],[CostCenter]]))</f>
        <v>SI</v>
      </c>
    </row>
    <row r="4" spans="1:13" hidden="1" x14ac:dyDescent="0.25">
      <c r="A4" t="s">
        <v>3702</v>
      </c>
      <c r="B4" t="s">
        <v>3695</v>
      </c>
      <c r="C4" t="str">
        <f>SUBSTITUTE(Cost[[#This Row],[Period]],"/","-")</f>
        <v>2025-04</v>
      </c>
      <c r="E4" t="str">
        <f>IF(UPPER(Cost[[#This Row],[ProductID]])&lt;&gt;"",Cost[[#This Row],[ProductID]],"Missing Value")</f>
        <v>Missing Value</v>
      </c>
      <c r="F4" t="s">
        <v>3574</v>
      </c>
      <c r="G4" t="s">
        <v>3568</v>
      </c>
      <c r="H4">
        <v>980</v>
      </c>
      <c r="I4">
        <v>1149.75</v>
      </c>
      <c r="J4">
        <f>VALUE(Cost[[#This Row],[ActualCost]])</f>
        <v>1149.75</v>
      </c>
      <c r="K4" t="s">
        <v>3569</v>
      </c>
      <c r="L4" t="str">
        <f>IF(UPPER(Cost[[#This Row],[CostCenter]])="","Missing Value",UPPER(Cost[[#This Row],[CostCenter]]))</f>
        <v>SI</v>
      </c>
    </row>
    <row r="5" spans="1:13" hidden="1" x14ac:dyDescent="0.25">
      <c r="A5" t="s">
        <v>3791</v>
      </c>
      <c r="B5" t="s">
        <v>3783</v>
      </c>
      <c r="C5" t="str">
        <f>SUBSTITUTE(Cost[[#This Row],[Period]],"/","-")</f>
        <v>2025-06</v>
      </c>
      <c r="E5" t="str">
        <f>IF(UPPER(Cost[[#This Row],[ProductID]])&lt;&gt;"",Cost[[#This Row],[ProductID]],"Missing Value")</f>
        <v>Missing Value</v>
      </c>
      <c r="F5" t="s">
        <v>3571</v>
      </c>
      <c r="G5" t="s">
        <v>3572</v>
      </c>
      <c r="H5">
        <v>78</v>
      </c>
      <c r="I5">
        <v>74.95</v>
      </c>
      <c r="J5">
        <f>VALUE(Cost[[#This Row],[ActualCost]])</f>
        <v>74.95</v>
      </c>
      <c r="K5" t="s">
        <v>3569</v>
      </c>
      <c r="L5" t="str">
        <f>IF(UPPER(Cost[[#This Row],[CostCenter]])="","Missing Value",UPPER(Cost[[#This Row],[CostCenter]]))</f>
        <v>SI</v>
      </c>
    </row>
    <row r="6" spans="1:13" hidden="1" x14ac:dyDescent="0.25">
      <c r="A6" t="s">
        <v>3822</v>
      </c>
      <c r="B6" t="s">
        <v>3566</v>
      </c>
      <c r="C6" t="str">
        <f>SUBSTITUTE(Cost[[#This Row],[Period]],"/","-")</f>
        <v>2025-01</v>
      </c>
      <c r="E6" t="str">
        <f>IF(UPPER(Cost[[#This Row],[ProductID]])&lt;&gt;"",Cost[[#This Row],[ProductID]],"Missing Value")</f>
        <v>Missing Value</v>
      </c>
      <c r="F6" t="s">
        <v>3823</v>
      </c>
      <c r="G6" t="s">
        <v>3572</v>
      </c>
      <c r="H6">
        <v>54902.12</v>
      </c>
      <c r="I6">
        <v>56600.12</v>
      </c>
      <c r="J6">
        <f>VALUE(Cost[[#This Row],[ActualCost]])</f>
        <v>56600.12</v>
      </c>
      <c r="L6" t="str">
        <f>IF(UPPER(Cost[[#This Row],[CostCenter]])="","Missing Value",UPPER(Cost[[#This Row],[CostCenter]]))</f>
        <v>Missing Value</v>
      </c>
      <c r="M6" t="s">
        <v>3824</v>
      </c>
    </row>
    <row r="7" spans="1:13" hidden="1" x14ac:dyDescent="0.25">
      <c r="A7" t="s">
        <v>3825</v>
      </c>
      <c r="B7" t="s">
        <v>3566</v>
      </c>
      <c r="C7" t="str">
        <f>SUBSTITUTE(Cost[[#This Row],[Period]],"/","-")</f>
        <v>2025-01</v>
      </c>
      <c r="E7" t="str">
        <f>IF(UPPER(Cost[[#This Row],[ProductID]])&lt;&gt;"",Cost[[#This Row],[ProductID]],"Missing Value")</f>
        <v>Missing Value</v>
      </c>
      <c r="F7" t="s">
        <v>3826</v>
      </c>
      <c r="G7" t="s">
        <v>3572</v>
      </c>
      <c r="H7">
        <v>32318.720000000001</v>
      </c>
      <c r="I7">
        <v>33318.269999999997</v>
      </c>
      <c r="J7">
        <f>VALUE(Cost[[#This Row],[ActualCost]])</f>
        <v>33318.269999999997</v>
      </c>
      <c r="L7" t="str">
        <f>IF(UPPER(Cost[[#This Row],[CostCenter]])="","Missing Value",UPPER(Cost[[#This Row],[CostCenter]]))</f>
        <v>Missing Value</v>
      </c>
      <c r="M7" t="s">
        <v>3824</v>
      </c>
    </row>
    <row r="8" spans="1:13" hidden="1" x14ac:dyDescent="0.25">
      <c r="A8" t="s">
        <v>3827</v>
      </c>
      <c r="B8" t="s">
        <v>3566</v>
      </c>
      <c r="C8" t="str">
        <f>SUBSTITUTE(Cost[[#This Row],[Period]],"/","-")</f>
        <v>2025-01</v>
      </c>
      <c r="E8" t="str">
        <f>IF(UPPER(Cost[[#This Row],[ProductID]])&lt;&gt;"",Cost[[#This Row],[ProductID]],"Missing Value")</f>
        <v>Missing Value</v>
      </c>
      <c r="F8" t="s">
        <v>3828</v>
      </c>
      <c r="G8" t="s">
        <v>3568</v>
      </c>
      <c r="H8">
        <v>35630.75</v>
      </c>
      <c r="I8">
        <v>36732.730000000003</v>
      </c>
      <c r="J8">
        <f>VALUE(Cost[[#This Row],[ActualCost]])</f>
        <v>36732.730000000003</v>
      </c>
      <c r="L8" t="str">
        <f>IF(UPPER(Cost[[#This Row],[CostCenter]])="","Missing Value",UPPER(Cost[[#This Row],[CostCenter]]))</f>
        <v>Missing Value</v>
      </c>
      <c r="M8" t="s">
        <v>3824</v>
      </c>
    </row>
    <row r="9" spans="1:13" hidden="1" x14ac:dyDescent="0.25">
      <c r="A9" t="s">
        <v>3829</v>
      </c>
      <c r="B9" t="s">
        <v>3566</v>
      </c>
      <c r="C9" t="str">
        <f>SUBSTITUTE(Cost[[#This Row],[Period]],"/","-")</f>
        <v>2025-01</v>
      </c>
      <c r="E9" t="str">
        <f>IF(UPPER(Cost[[#This Row],[ProductID]])&lt;&gt;"",Cost[[#This Row],[ProductID]],"Missing Value")</f>
        <v>Missing Value</v>
      </c>
      <c r="F9" t="s">
        <v>3830</v>
      </c>
      <c r="G9" t="s">
        <v>3572</v>
      </c>
      <c r="H9">
        <v>20318.41</v>
      </c>
      <c r="I9">
        <v>20946.810000000001</v>
      </c>
      <c r="J9">
        <f>VALUE(Cost[[#This Row],[ActualCost]])</f>
        <v>20946.810000000001</v>
      </c>
      <c r="L9" t="str">
        <f>IF(UPPER(Cost[[#This Row],[CostCenter]])="","Missing Value",UPPER(Cost[[#This Row],[CostCenter]]))</f>
        <v>Missing Value</v>
      </c>
      <c r="M9" t="s">
        <v>3824</v>
      </c>
    </row>
    <row r="10" spans="1:13" hidden="1" x14ac:dyDescent="0.25">
      <c r="A10" t="s">
        <v>3831</v>
      </c>
      <c r="B10" t="s">
        <v>3566</v>
      </c>
      <c r="C10" t="str">
        <f>SUBSTITUTE(Cost[[#This Row],[Period]],"/","-")</f>
        <v>2025-01</v>
      </c>
      <c r="E10" t="str">
        <f>IF(UPPER(Cost[[#This Row],[ProductID]])&lt;&gt;"",Cost[[#This Row],[ProductID]],"Missing Value")</f>
        <v>Missing Value</v>
      </c>
      <c r="F10" t="s">
        <v>3823</v>
      </c>
      <c r="G10" t="s">
        <v>3572</v>
      </c>
      <c r="H10">
        <v>30705.16</v>
      </c>
      <c r="I10">
        <v>31654.799999999999</v>
      </c>
      <c r="J10">
        <f>VALUE(Cost[[#This Row],[ActualCost]])</f>
        <v>31654.799999999999</v>
      </c>
      <c r="K10" t="s">
        <v>3832</v>
      </c>
      <c r="L10" t="str">
        <f>IF(UPPER(Cost[[#This Row],[CostCenter]])="","Missing Value",UPPER(Cost[[#This Row],[CostCenter]]))</f>
        <v>EM</v>
      </c>
      <c r="M10" t="s">
        <v>3833</v>
      </c>
    </row>
    <row r="11" spans="1:13" hidden="1" x14ac:dyDescent="0.25">
      <c r="A11" t="s">
        <v>3834</v>
      </c>
      <c r="B11" t="s">
        <v>3566</v>
      </c>
      <c r="C11" t="str">
        <f>SUBSTITUTE(Cost[[#This Row],[Period]],"/","-")</f>
        <v>2025-01</v>
      </c>
      <c r="E11" t="str">
        <f>IF(UPPER(Cost[[#This Row],[ProductID]])&lt;&gt;"",Cost[[#This Row],[ProductID]],"Missing Value")</f>
        <v>Missing Value</v>
      </c>
      <c r="F11" t="s">
        <v>3826</v>
      </c>
      <c r="G11" t="s">
        <v>3572</v>
      </c>
      <c r="H11">
        <v>19192.490000000002</v>
      </c>
      <c r="I11">
        <v>19786.07</v>
      </c>
      <c r="J11">
        <f>VALUE(Cost[[#This Row],[ActualCost]])</f>
        <v>19786.07</v>
      </c>
      <c r="K11" t="s">
        <v>3832</v>
      </c>
      <c r="L11" t="str">
        <f>IF(UPPER(Cost[[#This Row],[CostCenter]])="","Missing Value",UPPER(Cost[[#This Row],[CostCenter]]))</f>
        <v>EM</v>
      </c>
      <c r="M11" t="s">
        <v>3833</v>
      </c>
    </row>
    <row r="12" spans="1:13" hidden="1" x14ac:dyDescent="0.25">
      <c r="A12" t="s">
        <v>3835</v>
      </c>
      <c r="B12" t="s">
        <v>3566</v>
      </c>
      <c r="C12" t="str">
        <f>SUBSTITUTE(Cost[[#This Row],[Period]],"/","-")</f>
        <v>2025-01</v>
      </c>
      <c r="E12" t="str">
        <f>IF(UPPER(Cost[[#This Row],[ProductID]])&lt;&gt;"",Cost[[#This Row],[ProductID]],"Missing Value")</f>
        <v>Missing Value</v>
      </c>
      <c r="F12" t="s">
        <v>3828</v>
      </c>
      <c r="G12" t="s">
        <v>3568</v>
      </c>
      <c r="H12">
        <v>26061.32</v>
      </c>
      <c r="I12">
        <v>26867.34</v>
      </c>
      <c r="J12">
        <f>VALUE(Cost[[#This Row],[ActualCost]])</f>
        <v>26867.34</v>
      </c>
      <c r="K12" t="s">
        <v>3832</v>
      </c>
      <c r="L12" t="str">
        <f>IF(UPPER(Cost[[#This Row],[CostCenter]])="","Missing Value",UPPER(Cost[[#This Row],[CostCenter]]))</f>
        <v>EM</v>
      </c>
      <c r="M12" t="s">
        <v>3833</v>
      </c>
    </row>
    <row r="13" spans="1:13" hidden="1" x14ac:dyDescent="0.25">
      <c r="A13" t="s">
        <v>3836</v>
      </c>
      <c r="B13" t="s">
        <v>3566</v>
      </c>
      <c r="C13" t="str">
        <f>SUBSTITUTE(Cost[[#This Row],[Period]],"/","-")</f>
        <v>2025-01</v>
      </c>
      <c r="E13" t="str">
        <f>IF(UPPER(Cost[[#This Row],[ProductID]])&lt;&gt;"",Cost[[#This Row],[ProductID]],"Missing Value")</f>
        <v>Missing Value</v>
      </c>
      <c r="F13" t="s">
        <v>3830</v>
      </c>
      <c r="G13" t="s">
        <v>3572</v>
      </c>
      <c r="H13">
        <v>14474.61</v>
      </c>
      <c r="I13">
        <v>14922.28</v>
      </c>
      <c r="J13">
        <f>VALUE(Cost[[#This Row],[ActualCost]])</f>
        <v>14922.28</v>
      </c>
      <c r="K13" t="s">
        <v>3832</v>
      </c>
      <c r="L13" t="str">
        <f>IF(UPPER(Cost[[#This Row],[CostCenter]])="","Missing Value",UPPER(Cost[[#This Row],[CostCenter]]))</f>
        <v>EM</v>
      </c>
      <c r="M13" t="s">
        <v>3833</v>
      </c>
    </row>
    <row r="14" spans="1:13" hidden="1" x14ac:dyDescent="0.25">
      <c r="A14" t="s">
        <v>3837</v>
      </c>
      <c r="B14" t="s">
        <v>3566</v>
      </c>
      <c r="C14" t="str">
        <f>SUBSTITUTE(Cost[[#This Row],[Period]],"/","-")</f>
        <v>2025-01</v>
      </c>
      <c r="E14" t="str">
        <f>IF(UPPER(Cost[[#This Row],[ProductID]])&lt;&gt;"",Cost[[#This Row],[ProductID]],"Missing Value")</f>
        <v>Missing Value</v>
      </c>
      <c r="F14" t="s">
        <v>3823</v>
      </c>
      <c r="G14" t="s">
        <v>3572</v>
      </c>
      <c r="H14">
        <v>43333.69</v>
      </c>
      <c r="I14">
        <v>44673.91</v>
      </c>
      <c r="J14">
        <f>VALUE(Cost[[#This Row],[ActualCost]])</f>
        <v>44673.91</v>
      </c>
      <c r="K14" t="s">
        <v>3838</v>
      </c>
      <c r="L14" t="str">
        <f>IF(UPPER(Cost[[#This Row],[CostCenter]])="","Missing Value",UPPER(Cost[[#This Row],[CostCenter]]))</f>
        <v>AP</v>
      </c>
      <c r="M14" t="s">
        <v>3839</v>
      </c>
    </row>
    <row r="15" spans="1:13" hidden="1" x14ac:dyDescent="0.25">
      <c r="A15" t="s">
        <v>3840</v>
      </c>
      <c r="B15" t="s">
        <v>3566</v>
      </c>
      <c r="C15" t="str">
        <f>SUBSTITUTE(Cost[[#This Row],[Period]],"/","-")</f>
        <v>2025-01</v>
      </c>
      <c r="E15" t="str">
        <f>IF(UPPER(Cost[[#This Row],[ProductID]])&lt;&gt;"",Cost[[#This Row],[ProductID]],"Missing Value")</f>
        <v>Missing Value</v>
      </c>
      <c r="F15" t="s">
        <v>3826</v>
      </c>
      <c r="G15" t="s">
        <v>3572</v>
      </c>
      <c r="H15">
        <v>21618.400000000001</v>
      </c>
      <c r="I15">
        <v>22287.01</v>
      </c>
      <c r="J15">
        <f>VALUE(Cost[[#This Row],[ActualCost]])</f>
        <v>22287.01</v>
      </c>
      <c r="K15" t="s">
        <v>3838</v>
      </c>
      <c r="L15" t="str">
        <f>IF(UPPER(Cost[[#This Row],[CostCenter]])="","Missing Value",UPPER(Cost[[#This Row],[CostCenter]]))</f>
        <v>AP</v>
      </c>
      <c r="M15" t="s">
        <v>3839</v>
      </c>
    </row>
    <row r="16" spans="1:13" hidden="1" x14ac:dyDescent="0.25">
      <c r="A16" t="s">
        <v>3841</v>
      </c>
      <c r="B16" t="s">
        <v>3566</v>
      </c>
      <c r="C16" t="str">
        <f>SUBSTITUTE(Cost[[#This Row],[Period]],"/","-")</f>
        <v>2025-01</v>
      </c>
      <c r="E16" t="str">
        <f>IF(UPPER(Cost[[#This Row],[ProductID]])&lt;&gt;"",Cost[[#This Row],[ProductID]],"Missing Value")</f>
        <v>Missing Value</v>
      </c>
      <c r="F16" t="s">
        <v>3828</v>
      </c>
      <c r="G16" t="s">
        <v>3568</v>
      </c>
      <c r="H16">
        <v>21026.97</v>
      </c>
      <c r="I16">
        <v>21677.29</v>
      </c>
      <c r="J16">
        <f>VALUE(Cost[[#This Row],[ActualCost]])</f>
        <v>21677.29</v>
      </c>
      <c r="K16" t="s">
        <v>3838</v>
      </c>
      <c r="L16" t="str">
        <f>IF(UPPER(Cost[[#This Row],[CostCenter]])="","Missing Value",UPPER(Cost[[#This Row],[CostCenter]]))</f>
        <v>AP</v>
      </c>
      <c r="M16" t="s">
        <v>3839</v>
      </c>
    </row>
    <row r="17" spans="1:13" hidden="1" x14ac:dyDescent="0.25">
      <c r="A17" t="s">
        <v>3842</v>
      </c>
      <c r="B17" t="s">
        <v>3843</v>
      </c>
      <c r="C17" t="str">
        <f>SUBSTITUTE(Cost[[#This Row],[Period]],"/","-")</f>
        <v>2025-01</v>
      </c>
      <c r="E17" t="str">
        <f>IF(UPPER(Cost[[#This Row],[ProductID]])&lt;&gt;"",Cost[[#This Row],[ProductID]],"Missing Value")</f>
        <v>Missing Value</v>
      </c>
      <c r="F17" t="s">
        <v>3830</v>
      </c>
      <c r="G17" t="s">
        <v>3572</v>
      </c>
      <c r="H17">
        <v>11690.11</v>
      </c>
      <c r="I17" t="s">
        <v>3844</v>
      </c>
      <c r="J17">
        <f>VALUE(Cost[[#This Row],[ActualCost]])</f>
        <v>12051.66</v>
      </c>
      <c r="K17" t="s">
        <v>3838</v>
      </c>
      <c r="L17" t="str">
        <f>IF(UPPER(Cost[[#This Row],[CostCenter]])="","Missing Value",UPPER(Cost[[#This Row],[CostCenter]]))</f>
        <v>AP</v>
      </c>
      <c r="M17" t="s">
        <v>3839</v>
      </c>
    </row>
    <row r="18" spans="1:13" hidden="1" x14ac:dyDescent="0.25">
      <c r="A18" t="s">
        <v>3845</v>
      </c>
      <c r="B18" t="s">
        <v>3566</v>
      </c>
      <c r="C18" t="str">
        <f>SUBSTITUTE(Cost[[#This Row],[Period]],"/","-")</f>
        <v>2025-01</v>
      </c>
      <c r="E18" t="str">
        <f>IF(UPPER(Cost[[#This Row],[ProductID]])&lt;&gt;"",Cost[[#This Row],[ProductID]],"Missing Value")</f>
        <v>Missing Value</v>
      </c>
      <c r="F18" t="s">
        <v>3823</v>
      </c>
      <c r="G18" t="s">
        <v>3572</v>
      </c>
      <c r="H18">
        <v>21054.2</v>
      </c>
      <c r="I18">
        <v>21705.360000000001</v>
      </c>
      <c r="J18">
        <f>VALUE(Cost[[#This Row],[ActualCost]])</f>
        <v>21705.360000000001</v>
      </c>
      <c r="K18" t="s">
        <v>3846</v>
      </c>
      <c r="L18" t="str">
        <f>IF(UPPER(Cost[[#This Row],[CostCenter]])="","Missing Value",UPPER(Cost[[#This Row],[CostCenter]]))</f>
        <v>LA</v>
      </c>
      <c r="M18" t="s">
        <v>3847</v>
      </c>
    </row>
    <row r="19" spans="1:13" hidden="1" x14ac:dyDescent="0.25">
      <c r="A19" t="s">
        <v>3848</v>
      </c>
      <c r="B19" t="s">
        <v>3566</v>
      </c>
      <c r="C19" t="str">
        <f>SUBSTITUTE(Cost[[#This Row],[Period]],"/","-")</f>
        <v>2025-01</v>
      </c>
      <c r="E19" t="str">
        <f>IF(UPPER(Cost[[#This Row],[ProductID]])&lt;&gt;"",Cost[[#This Row],[ProductID]],"Missing Value")</f>
        <v>Missing Value</v>
      </c>
      <c r="F19" t="s">
        <v>3826</v>
      </c>
      <c r="G19" t="s">
        <v>3572</v>
      </c>
      <c r="H19">
        <v>16482.29</v>
      </c>
      <c r="I19">
        <v>16992.05</v>
      </c>
      <c r="J19">
        <f>VALUE(Cost[[#This Row],[ActualCost]])</f>
        <v>16992.05</v>
      </c>
      <c r="K19" t="s">
        <v>3846</v>
      </c>
      <c r="L19" t="str">
        <f>IF(UPPER(Cost[[#This Row],[CostCenter]])="","Missing Value",UPPER(Cost[[#This Row],[CostCenter]]))</f>
        <v>LA</v>
      </c>
      <c r="M19" t="s">
        <v>3847</v>
      </c>
    </row>
    <row r="20" spans="1:13" hidden="1" x14ac:dyDescent="0.25">
      <c r="A20" t="s">
        <v>3849</v>
      </c>
      <c r="B20" t="s">
        <v>3566</v>
      </c>
      <c r="C20" t="str">
        <f>SUBSTITUTE(Cost[[#This Row],[Period]],"/","-")</f>
        <v>2025-01</v>
      </c>
      <c r="E20" t="str">
        <f>IF(UPPER(Cost[[#This Row],[ProductID]])&lt;&gt;"",Cost[[#This Row],[ProductID]],"Missing Value")</f>
        <v>Missing Value</v>
      </c>
      <c r="F20" t="s">
        <v>3828</v>
      </c>
      <c r="G20" t="s">
        <v>3568</v>
      </c>
      <c r="H20">
        <v>12067.01</v>
      </c>
      <c r="I20">
        <v>12440.22</v>
      </c>
      <c r="J20">
        <f>VALUE(Cost[[#This Row],[ActualCost]])</f>
        <v>12440.22</v>
      </c>
      <c r="K20" t="s">
        <v>3846</v>
      </c>
      <c r="L20" t="str">
        <f>IF(UPPER(Cost[[#This Row],[CostCenter]])="","Missing Value",UPPER(Cost[[#This Row],[CostCenter]]))</f>
        <v>LA</v>
      </c>
      <c r="M20" t="s">
        <v>3847</v>
      </c>
    </row>
    <row r="21" spans="1:13" hidden="1" x14ac:dyDescent="0.25">
      <c r="A21" t="s">
        <v>3850</v>
      </c>
      <c r="B21" t="s">
        <v>3566</v>
      </c>
      <c r="C21" t="str">
        <f>SUBSTITUTE(Cost[[#This Row],[Period]],"/","-")</f>
        <v>2025-01</v>
      </c>
      <c r="E21" t="str">
        <f>IF(UPPER(Cost[[#This Row],[ProductID]])&lt;&gt;"",Cost[[#This Row],[ProductID]],"Missing Value")</f>
        <v>Missing Value</v>
      </c>
      <c r="F21" t="s">
        <v>3830</v>
      </c>
      <c r="G21" t="s">
        <v>3572</v>
      </c>
      <c r="H21">
        <v>9147.27</v>
      </c>
      <c r="I21">
        <v>9430.18</v>
      </c>
      <c r="J21">
        <f>VALUE(Cost[[#This Row],[ActualCost]])</f>
        <v>9430.18</v>
      </c>
      <c r="K21" t="s">
        <v>3846</v>
      </c>
      <c r="L21" t="str">
        <f>IF(UPPER(Cost[[#This Row],[CostCenter]])="","Missing Value",UPPER(Cost[[#This Row],[CostCenter]]))</f>
        <v>LA</v>
      </c>
      <c r="M21" t="s">
        <v>3847</v>
      </c>
    </row>
    <row r="22" spans="1:13" hidden="1" x14ac:dyDescent="0.25">
      <c r="A22" t="s">
        <v>3851</v>
      </c>
      <c r="B22" t="s">
        <v>3615</v>
      </c>
      <c r="C22" t="str">
        <f>SUBSTITUTE(Cost[[#This Row],[Period]],"/","-")</f>
        <v>2025-02</v>
      </c>
      <c r="E22" t="str">
        <f>IF(UPPER(Cost[[#This Row],[ProductID]])&lt;&gt;"",Cost[[#This Row],[ProductID]],"Missing Value")</f>
        <v>Missing Value</v>
      </c>
      <c r="F22" t="s">
        <v>3823</v>
      </c>
      <c r="G22" t="s">
        <v>3572</v>
      </c>
      <c r="H22">
        <v>59807.65</v>
      </c>
      <c r="I22">
        <v>61657.37</v>
      </c>
      <c r="J22">
        <f>VALUE(Cost[[#This Row],[ActualCost]])</f>
        <v>61657.37</v>
      </c>
      <c r="L22" t="str">
        <f>IF(UPPER(Cost[[#This Row],[CostCenter]])="","Missing Value",UPPER(Cost[[#This Row],[CostCenter]]))</f>
        <v>Missing Value</v>
      </c>
      <c r="M22" t="s">
        <v>3824</v>
      </c>
    </row>
    <row r="23" spans="1:13" hidden="1" x14ac:dyDescent="0.25">
      <c r="A23" t="s">
        <v>3852</v>
      </c>
      <c r="B23" t="s">
        <v>3615</v>
      </c>
      <c r="C23" t="str">
        <f>SUBSTITUTE(Cost[[#This Row],[Period]],"/","-")</f>
        <v>2025-02</v>
      </c>
      <c r="E23" t="str">
        <f>IF(UPPER(Cost[[#This Row],[ProductID]])&lt;&gt;"",Cost[[#This Row],[ProductID]],"Missing Value")</f>
        <v>Missing Value</v>
      </c>
      <c r="F23" t="s">
        <v>3826</v>
      </c>
      <c r="G23" t="s">
        <v>3572</v>
      </c>
      <c r="H23">
        <v>34302.89</v>
      </c>
      <c r="I23">
        <v>35363.800000000003</v>
      </c>
      <c r="J23">
        <f>VALUE(Cost[[#This Row],[ActualCost]])</f>
        <v>35363.800000000003</v>
      </c>
      <c r="L23" t="str">
        <f>IF(UPPER(Cost[[#This Row],[CostCenter]])="","Missing Value",UPPER(Cost[[#This Row],[CostCenter]]))</f>
        <v>Missing Value</v>
      </c>
      <c r="M23" t="s">
        <v>3824</v>
      </c>
    </row>
    <row r="24" spans="1:13" hidden="1" x14ac:dyDescent="0.25">
      <c r="A24" t="s">
        <v>3853</v>
      </c>
      <c r="B24" t="s">
        <v>3615</v>
      </c>
      <c r="C24" t="str">
        <f>SUBSTITUTE(Cost[[#This Row],[Period]],"/","-")</f>
        <v>2025-02</v>
      </c>
      <c r="E24" t="str">
        <f>IF(UPPER(Cost[[#This Row],[ProductID]])&lt;&gt;"",Cost[[#This Row],[ProductID]],"Missing Value")</f>
        <v>Missing Value</v>
      </c>
      <c r="F24" t="s">
        <v>3828</v>
      </c>
      <c r="G24" t="s">
        <v>3568</v>
      </c>
      <c r="H24">
        <v>23656.1</v>
      </c>
      <c r="I24">
        <v>24387.73</v>
      </c>
      <c r="J24">
        <f>VALUE(Cost[[#This Row],[ActualCost]])</f>
        <v>24387.73</v>
      </c>
      <c r="L24" t="str">
        <f>IF(UPPER(Cost[[#This Row],[CostCenter]])="","Missing Value",UPPER(Cost[[#This Row],[CostCenter]]))</f>
        <v>Missing Value</v>
      </c>
      <c r="M24" t="s">
        <v>3824</v>
      </c>
    </row>
    <row r="25" spans="1:13" hidden="1" x14ac:dyDescent="0.25">
      <c r="A25" t="s">
        <v>3854</v>
      </c>
      <c r="B25" t="s">
        <v>3615</v>
      </c>
      <c r="C25" t="str">
        <f>SUBSTITUTE(Cost[[#This Row],[Period]],"/","-")</f>
        <v>2025-02</v>
      </c>
      <c r="E25" t="str">
        <f>IF(UPPER(Cost[[#This Row],[ProductID]])&lt;&gt;"",Cost[[#This Row],[ProductID]],"Missing Value")</f>
        <v>Missing Value</v>
      </c>
      <c r="F25" t="s">
        <v>3830</v>
      </c>
      <c r="G25" t="s">
        <v>3572</v>
      </c>
      <c r="H25">
        <v>17670.13</v>
      </c>
      <c r="I25">
        <v>18216.63</v>
      </c>
      <c r="J25">
        <f>VALUE(Cost[[#This Row],[ActualCost]])</f>
        <v>18216.63</v>
      </c>
      <c r="L25" t="str">
        <f>IF(UPPER(Cost[[#This Row],[CostCenter]])="","Missing Value",UPPER(Cost[[#This Row],[CostCenter]]))</f>
        <v>Missing Value</v>
      </c>
      <c r="M25" t="s">
        <v>3824</v>
      </c>
    </row>
    <row r="26" spans="1:13" hidden="1" x14ac:dyDescent="0.25">
      <c r="A26" t="s">
        <v>3855</v>
      </c>
      <c r="B26" t="s">
        <v>3615</v>
      </c>
      <c r="C26" t="str">
        <f>SUBSTITUTE(Cost[[#This Row],[Period]],"/","-")</f>
        <v>2025-02</v>
      </c>
      <c r="E26" t="str">
        <f>IF(UPPER(Cost[[#This Row],[ProductID]])&lt;&gt;"",Cost[[#This Row],[ProductID]],"Missing Value")</f>
        <v>Missing Value</v>
      </c>
      <c r="F26" t="s">
        <v>3823</v>
      </c>
      <c r="G26" t="s">
        <v>3572</v>
      </c>
      <c r="H26">
        <v>31965.64</v>
      </c>
      <c r="I26">
        <v>32954.269999999997</v>
      </c>
      <c r="J26">
        <f>VALUE(Cost[[#This Row],[ActualCost]])</f>
        <v>32954.269999999997</v>
      </c>
      <c r="K26" t="s">
        <v>3832</v>
      </c>
      <c r="L26" t="str">
        <f>IF(UPPER(Cost[[#This Row],[CostCenter]])="","Missing Value",UPPER(Cost[[#This Row],[CostCenter]]))</f>
        <v>EM</v>
      </c>
      <c r="M26" t="s">
        <v>3833</v>
      </c>
    </row>
    <row r="27" spans="1:13" hidden="1" x14ac:dyDescent="0.25">
      <c r="A27" t="s">
        <v>3856</v>
      </c>
      <c r="B27" t="s">
        <v>3615</v>
      </c>
      <c r="C27" t="str">
        <f>SUBSTITUTE(Cost[[#This Row],[Period]],"/","-")</f>
        <v>2025-02</v>
      </c>
      <c r="E27" t="str">
        <f>IF(UPPER(Cost[[#This Row],[ProductID]])&lt;&gt;"",Cost[[#This Row],[ProductID]],"Missing Value")</f>
        <v>Missing Value</v>
      </c>
      <c r="F27" t="s">
        <v>3826</v>
      </c>
      <c r="G27" t="s">
        <v>3572</v>
      </c>
      <c r="H27">
        <v>30528.79</v>
      </c>
      <c r="I27">
        <v>31472.98</v>
      </c>
      <c r="J27">
        <f>VALUE(Cost[[#This Row],[ActualCost]])</f>
        <v>31472.98</v>
      </c>
      <c r="K27" t="s">
        <v>3832</v>
      </c>
      <c r="L27" t="str">
        <f>IF(UPPER(Cost[[#This Row],[CostCenter]])="","Missing Value",UPPER(Cost[[#This Row],[CostCenter]]))</f>
        <v>EM</v>
      </c>
      <c r="M27" t="s">
        <v>3833</v>
      </c>
    </row>
    <row r="28" spans="1:13" hidden="1" x14ac:dyDescent="0.25">
      <c r="A28" t="s">
        <v>3857</v>
      </c>
      <c r="B28" t="s">
        <v>3615</v>
      </c>
      <c r="C28" t="str">
        <f>SUBSTITUTE(Cost[[#This Row],[Period]],"/","-")</f>
        <v>2025-02</v>
      </c>
      <c r="E28" t="str">
        <f>IF(UPPER(Cost[[#This Row],[ProductID]])&lt;&gt;"",Cost[[#This Row],[ProductID]],"Missing Value")</f>
        <v>Missing Value</v>
      </c>
      <c r="F28" t="s">
        <v>3828</v>
      </c>
      <c r="G28" t="s">
        <v>3568</v>
      </c>
      <c r="H28">
        <v>17650.28</v>
      </c>
      <c r="I28">
        <v>18196.16</v>
      </c>
      <c r="J28">
        <f>VALUE(Cost[[#This Row],[ActualCost]])</f>
        <v>18196.16</v>
      </c>
      <c r="K28" t="s">
        <v>3832</v>
      </c>
      <c r="L28" t="str">
        <f>IF(UPPER(Cost[[#This Row],[CostCenter]])="","Missing Value",UPPER(Cost[[#This Row],[CostCenter]]))</f>
        <v>EM</v>
      </c>
      <c r="M28" t="s">
        <v>3833</v>
      </c>
    </row>
    <row r="29" spans="1:13" hidden="1" x14ac:dyDescent="0.25">
      <c r="A29" t="s">
        <v>3858</v>
      </c>
      <c r="B29" t="s">
        <v>3615</v>
      </c>
      <c r="C29" t="str">
        <f>SUBSTITUTE(Cost[[#This Row],[Period]],"/","-")</f>
        <v>2025-02</v>
      </c>
      <c r="E29" t="str">
        <f>IF(UPPER(Cost[[#This Row],[ProductID]])&lt;&gt;"",Cost[[#This Row],[ProductID]],"Missing Value")</f>
        <v>Missing Value</v>
      </c>
      <c r="F29" t="s">
        <v>3830</v>
      </c>
      <c r="G29" t="s">
        <v>3572</v>
      </c>
      <c r="H29">
        <v>10392.56</v>
      </c>
      <c r="I29" t="s">
        <v>3859</v>
      </c>
      <c r="J29">
        <f>VALUE(Cost[[#This Row],[ActualCost]])</f>
        <v>10713.98</v>
      </c>
      <c r="K29" t="s">
        <v>3832</v>
      </c>
      <c r="L29" t="str">
        <f>IF(UPPER(Cost[[#This Row],[CostCenter]])="","Missing Value",UPPER(Cost[[#This Row],[CostCenter]]))</f>
        <v>EM</v>
      </c>
      <c r="M29" t="s">
        <v>3833</v>
      </c>
    </row>
    <row r="30" spans="1:13" hidden="1" x14ac:dyDescent="0.25">
      <c r="A30" t="s">
        <v>3860</v>
      </c>
      <c r="B30" t="s">
        <v>3615</v>
      </c>
      <c r="C30" t="str">
        <f>SUBSTITUTE(Cost[[#This Row],[Period]],"/","-")</f>
        <v>2025-02</v>
      </c>
      <c r="E30" t="str">
        <f>IF(UPPER(Cost[[#This Row],[ProductID]])&lt;&gt;"",Cost[[#This Row],[ProductID]],"Missing Value")</f>
        <v>Missing Value</v>
      </c>
      <c r="F30" t="s">
        <v>3823</v>
      </c>
      <c r="G30" t="s">
        <v>3572</v>
      </c>
      <c r="H30">
        <v>40366.35</v>
      </c>
      <c r="I30">
        <v>41614.79</v>
      </c>
      <c r="J30">
        <f>VALUE(Cost[[#This Row],[ActualCost]])</f>
        <v>41614.79</v>
      </c>
      <c r="K30" t="s">
        <v>3838</v>
      </c>
      <c r="L30" t="str">
        <f>IF(UPPER(Cost[[#This Row],[CostCenter]])="","Missing Value",UPPER(Cost[[#This Row],[CostCenter]]))</f>
        <v>AP</v>
      </c>
      <c r="M30" t="s">
        <v>3839</v>
      </c>
    </row>
    <row r="31" spans="1:13" hidden="1" x14ac:dyDescent="0.25">
      <c r="A31" t="s">
        <v>3861</v>
      </c>
      <c r="B31" t="s">
        <v>3615</v>
      </c>
      <c r="C31" t="str">
        <f>SUBSTITUTE(Cost[[#This Row],[Period]],"/","-")</f>
        <v>2025-02</v>
      </c>
      <c r="E31" t="str">
        <f>IF(UPPER(Cost[[#This Row],[ProductID]])&lt;&gt;"",Cost[[#This Row],[ProductID]],"Missing Value")</f>
        <v>Missing Value</v>
      </c>
      <c r="F31" t="s">
        <v>3826</v>
      </c>
      <c r="G31" t="s">
        <v>3572</v>
      </c>
      <c r="H31">
        <v>17864.57</v>
      </c>
      <c r="I31">
        <v>18417.080000000002</v>
      </c>
      <c r="J31">
        <f>VALUE(Cost[[#This Row],[ActualCost]])</f>
        <v>18417.080000000002</v>
      </c>
      <c r="K31" t="s">
        <v>3838</v>
      </c>
      <c r="L31" t="str">
        <f>IF(UPPER(Cost[[#This Row],[CostCenter]])="","Missing Value",UPPER(Cost[[#This Row],[CostCenter]]))</f>
        <v>AP</v>
      </c>
      <c r="M31" t="s">
        <v>3839</v>
      </c>
    </row>
    <row r="32" spans="1:13" hidden="1" x14ac:dyDescent="0.25">
      <c r="A32" t="s">
        <v>3862</v>
      </c>
      <c r="B32" t="s">
        <v>3615</v>
      </c>
      <c r="C32" t="str">
        <f>SUBSTITUTE(Cost[[#This Row],[Period]],"/","-")</f>
        <v>2025-02</v>
      </c>
      <c r="E32" t="str">
        <f>IF(UPPER(Cost[[#This Row],[ProductID]])&lt;&gt;"",Cost[[#This Row],[ProductID]],"Missing Value")</f>
        <v>Missing Value</v>
      </c>
      <c r="F32" t="s">
        <v>3828</v>
      </c>
      <c r="G32" t="s">
        <v>3568</v>
      </c>
      <c r="H32">
        <v>19300.009999999998</v>
      </c>
      <c r="I32">
        <v>19896.919999999998</v>
      </c>
      <c r="J32">
        <f>VALUE(Cost[[#This Row],[ActualCost]])</f>
        <v>19896.919999999998</v>
      </c>
      <c r="K32" t="s">
        <v>3838</v>
      </c>
      <c r="L32" t="str">
        <f>IF(UPPER(Cost[[#This Row],[CostCenter]])="","Missing Value",UPPER(Cost[[#This Row],[CostCenter]]))</f>
        <v>AP</v>
      </c>
      <c r="M32" t="s">
        <v>3839</v>
      </c>
    </row>
    <row r="33" spans="1:13" hidden="1" x14ac:dyDescent="0.25">
      <c r="A33" t="s">
        <v>3863</v>
      </c>
      <c r="B33" t="s">
        <v>3615</v>
      </c>
      <c r="C33" t="str">
        <f>SUBSTITUTE(Cost[[#This Row],[Period]],"/","-")</f>
        <v>2025-02</v>
      </c>
      <c r="E33" t="str">
        <f>IF(UPPER(Cost[[#This Row],[ProductID]])&lt;&gt;"",Cost[[#This Row],[ProductID]],"Missing Value")</f>
        <v>Missing Value</v>
      </c>
      <c r="F33" t="s">
        <v>3830</v>
      </c>
      <c r="G33" t="s">
        <v>3572</v>
      </c>
      <c r="H33">
        <v>7435.57</v>
      </c>
      <c r="I33">
        <v>7665.54</v>
      </c>
      <c r="J33">
        <f>VALUE(Cost[[#This Row],[ActualCost]])</f>
        <v>7665.54</v>
      </c>
      <c r="K33" t="s">
        <v>3838</v>
      </c>
      <c r="L33" t="str">
        <f>IF(UPPER(Cost[[#This Row],[CostCenter]])="","Missing Value",UPPER(Cost[[#This Row],[CostCenter]]))</f>
        <v>AP</v>
      </c>
      <c r="M33" t="s">
        <v>3839</v>
      </c>
    </row>
    <row r="34" spans="1:13" hidden="1" x14ac:dyDescent="0.25">
      <c r="A34" t="s">
        <v>3864</v>
      </c>
      <c r="B34" t="s">
        <v>3615</v>
      </c>
      <c r="C34" t="str">
        <f>SUBSTITUTE(Cost[[#This Row],[Period]],"/","-")</f>
        <v>2025-02</v>
      </c>
      <c r="E34" t="str">
        <f>IF(UPPER(Cost[[#This Row],[ProductID]])&lt;&gt;"",Cost[[#This Row],[ProductID]],"Missing Value")</f>
        <v>Missing Value</v>
      </c>
      <c r="F34" t="s">
        <v>3865</v>
      </c>
      <c r="G34" t="s">
        <v>3572</v>
      </c>
      <c r="H34">
        <v>24927.119999999999</v>
      </c>
      <c r="I34">
        <v>25698.06</v>
      </c>
      <c r="J34">
        <f>VALUE(Cost[[#This Row],[ActualCost]])</f>
        <v>25698.06</v>
      </c>
      <c r="K34" t="s">
        <v>3846</v>
      </c>
      <c r="L34" t="str">
        <f>IF(UPPER(Cost[[#This Row],[CostCenter]])="","Missing Value",UPPER(Cost[[#This Row],[CostCenter]]))</f>
        <v>LA</v>
      </c>
      <c r="M34" t="s">
        <v>3847</v>
      </c>
    </row>
    <row r="35" spans="1:13" hidden="1" x14ac:dyDescent="0.25">
      <c r="A35" t="s">
        <v>3866</v>
      </c>
      <c r="B35" t="s">
        <v>3615</v>
      </c>
      <c r="C35" t="str">
        <f>SUBSTITUTE(Cost[[#This Row],[Period]],"/","-")</f>
        <v>2025-02</v>
      </c>
      <c r="E35" t="str">
        <f>IF(UPPER(Cost[[#This Row],[ProductID]])&lt;&gt;"",Cost[[#This Row],[ProductID]],"Missing Value")</f>
        <v>Missing Value</v>
      </c>
      <c r="F35" t="s">
        <v>3826</v>
      </c>
      <c r="G35" t="s">
        <v>3572</v>
      </c>
      <c r="H35">
        <v>16154.49</v>
      </c>
      <c r="I35">
        <v>16654.11</v>
      </c>
      <c r="J35">
        <f>VALUE(Cost[[#This Row],[ActualCost]])</f>
        <v>16654.11</v>
      </c>
      <c r="K35" t="s">
        <v>3846</v>
      </c>
      <c r="L35" t="str">
        <f>IF(UPPER(Cost[[#This Row],[CostCenter]])="","Missing Value",UPPER(Cost[[#This Row],[CostCenter]]))</f>
        <v>LA</v>
      </c>
      <c r="M35" t="s">
        <v>3847</v>
      </c>
    </row>
    <row r="36" spans="1:13" hidden="1" x14ac:dyDescent="0.25">
      <c r="A36" t="s">
        <v>3867</v>
      </c>
      <c r="B36" t="s">
        <v>3615</v>
      </c>
      <c r="C36" t="str">
        <f>SUBSTITUTE(Cost[[#This Row],[Period]],"/","-")</f>
        <v>2025-02</v>
      </c>
      <c r="E36" t="str">
        <f>IF(UPPER(Cost[[#This Row],[ProductID]])&lt;&gt;"",Cost[[#This Row],[ProductID]],"Missing Value")</f>
        <v>Missing Value</v>
      </c>
      <c r="F36" t="s">
        <v>3828</v>
      </c>
      <c r="G36" t="s">
        <v>3568</v>
      </c>
      <c r="H36">
        <v>13273.11</v>
      </c>
      <c r="I36">
        <v>13683.62</v>
      </c>
      <c r="J36">
        <f>VALUE(Cost[[#This Row],[ActualCost]])</f>
        <v>13683.62</v>
      </c>
      <c r="K36" t="s">
        <v>3846</v>
      </c>
      <c r="L36" t="str">
        <f>IF(UPPER(Cost[[#This Row],[CostCenter]])="","Missing Value",UPPER(Cost[[#This Row],[CostCenter]]))</f>
        <v>LA</v>
      </c>
      <c r="M36" t="s">
        <v>3847</v>
      </c>
    </row>
    <row r="37" spans="1:13" hidden="1" x14ac:dyDescent="0.25">
      <c r="A37" t="s">
        <v>3868</v>
      </c>
      <c r="B37" t="s">
        <v>3615</v>
      </c>
      <c r="C37" t="str">
        <f>SUBSTITUTE(Cost[[#This Row],[Period]],"/","-")</f>
        <v>2025-02</v>
      </c>
      <c r="E37" t="str">
        <f>IF(UPPER(Cost[[#This Row],[ProductID]])&lt;&gt;"",Cost[[#This Row],[ProductID]],"Missing Value")</f>
        <v>Missing Value</v>
      </c>
      <c r="F37" t="s">
        <v>3830</v>
      </c>
      <c r="G37" t="s">
        <v>3572</v>
      </c>
      <c r="H37">
        <v>8383.51</v>
      </c>
      <c r="I37">
        <v>8642.7900000000009</v>
      </c>
      <c r="J37">
        <f>VALUE(Cost[[#This Row],[ActualCost]])</f>
        <v>8642.7900000000009</v>
      </c>
      <c r="K37" t="s">
        <v>3846</v>
      </c>
      <c r="L37" t="str">
        <f>IF(UPPER(Cost[[#This Row],[CostCenter]])="","Missing Value",UPPER(Cost[[#This Row],[CostCenter]]))</f>
        <v>LA</v>
      </c>
      <c r="M37" t="s">
        <v>3847</v>
      </c>
    </row>
    <row r="38" spans="1:13" hidden="1" x14ac:dyDescent="0.25">
      <c r="A38" t="s">
        <v>3869</v>
      </c>
      <c r="B38" t="s">
        <v>3655</v>
      </c>
      <c r="C38" t="str">
        <f>SUBSTITUTE(Cost[[#This Row],[Period]],"/","-")</f>
        <v>2025-03</v>
      </c>
      <c r="E38" t="str">
        <f>IF(UPPER(Cost[[#This Row],[ProductID]])&lt;&gt;"",Cost[[#This Row],[ProductID]],"Missing Value")</f>
        <v>Missing Value</v>
      </c>
      <c r="F38" t="s">
        <v>3823</v>
      </c>
      <c r="G38" t="s">
        <v>3572</v>
      </c>
      <c r="H38">
        <v>61947.15</v>
      </c>
      <c r="I38">
        <v>63863.040000000001</v>
      </c>
      <c r="J38">
        <f>VALUE(Cost[[#This Row],[ActualCost]])</f>
        <v>63863.040000000001</v>
      </c>
      <c r="L38" t="str">
        <f>IF(UPPER(Cost[[#This Row],[CostCenter]])="","Missing Value",UPPER(Cost[[#This Row],[CostCenter]]))</f>
        <v>Missing Value</v>
      </c>
      <c r="M38" t="s">
        <v>3824</v>
      </c>
    </row>
    <row r="39" spans="1:13" hidden="1" x14ac:dyDescent="0.25">
      <c r="A39" t="s">
        <v>3870</v>
      </c>
      <c r="B39" t="s">
        <v>3655</v>
      </c>
      <c r="C39" t="str">
        <f>SUBSTITUTE(Cost[[#This Row],[Period]],"/","-")</f>
        <v>2025-03</v>
      </c>
      <c r="E39" t="str">
        <f>IF(UPPER(Cost[[#This Row],[ProductID]])&lt;&gt;"",Cost[[#This Row],[ProductID]],"Missing Value")</f>
        <v>Missing Value</v>
      </c>
      <c r="F39" t="s">
        <v>3826</v>
      </c>
      <c r="G39" t="s">
        <v>3572</v>
      </c>
      <c r="H39">
        <v>42189.79</v>
      </c>
      <c r="I39">
        <v>43494.63</v>
      </c>
      <c r="J39">
        <f>VALUE(Cost[[#This Row],[ActualCost]])</f>
        <v>43494.63</v>
      </c>
      <c r="L39" t="str">
        <f>IF(UPPER(Cost[[#This Row],[CostCenter]])="","Missing Value",UPPER(Cost[[#This Row],[CostCenter]]))</f>
        <v>Missing Value</v>
      </c>
      <c r="M39" t="s">
        <v>3824</v>
      </c>
    </row>
    <row r="40" spans="1:13" hidden="1" x14ac:dyDescent="0.25">
      <c r="A40" t="s">
        <v>3871</v>
      </c>
      <c r="B40" t="s">
        <v>3655</v>
      </c>
      <c r="C40" t="str">
        <f>SUBSTITUTE(Cost[[#This Row],[Period]],"/","-")</f>
        <v>2025-03</v>
      </c>
      <c r="E40" t="str">
        <f>IF(UPPER(Cost[[#This Row],[ProductID]])&lt;&gt;"",Cost[[#This Row],[ProductID]],"Missing Value")</f>
        <v>Missing Value</v>
      </c>
      <c r="F40" t="s">
        <v>3872</v>
      </c>
      <c r="G40" t="s">
        <v>3568</v>
      </c>
      <c r="H40">
        <v>35121.14</v>
      </c>
      <c r="I40">
        <v>36207.360000000001</v>
      </c>
      <c r="J40">
        <f>VALUE(Cost[[#This Row],[ActualCost]])</f>
        <v>36207.360000000001</v>
      </c>
      <c r="L40" t="str">
        <f>IF(UPPER(Cost[[#This Row],[CostCenter]])="","Missing Value",UPPER(Cost[[#This Row],[CostCenter]]))</f>
        <v>Missing Value</v>
      </c>
      <c r="M40" t="s">
        <v>3824</v>
      </c>
    </row>
    <row r="41" spans="1:13" hidden="1" x14ac:dyDescent="0.25">
      <c r="A41" t="s">
        <v>3873</v>
      </c>
      <c r="B41" t="s">
        <v>3655</v>
      </c>
      <c r="C41" t="str">
        <f>SUBSTITUTE(Cost[[#This Row],[Period]],"/","-")</f>
        <v>2025-03</v>
      </c>
      <c r="E41" t="str">
        <f>IF(UPPER(Cost[[#This Row],[ProductID]])&lt;&gt;"",Cost[[#This Row],[ProductID]],"Missing Value")</f>
        <v>Missing Value</v>
      </c>
      <c r="F41" t="s">
        <v>3830</v>
      </c>
      <c r="G41" t="s">
        <v>3572</v>
      </c>
      <c r="H41">
        <v>14799.28</v>
      </c>
      <c r="I41">
        <v>15256.99</v>
      </c>
      <c r="J41">
        <f>VALUE(Cost[[#This Row],[ActualCost]])</f>
        <v>15256.99</v>
      </c>
      <c r="L41" t="str">
        <f>IF(UPPER(Cost[[#This Row],[CostCenter]])="","Missing Value",UPPER(Cost[[#This Row],[CostCenter]]))</f>
        <v>Missing Value</v>
      </c>
      <c r="M41" t="s">
        <v>3824</v>
      </c>
    </row>
    <row r="42" spans="1:13" hidden="1" x14ac:dyDescent="0.25">
      <c r="A42" t="s">
        <v>3874</v>
      </c>
      <c r="B42" t="s">
        <v>3655</v>
      </c>
      <c r="C42" t="str">
        <f>SUBSTITUTE(Cost[[#This Row],[Period]],"/","-")</f>
        <v>2025-03</v>
      </c>
      <c r="E42" t="str">
        <f>IF(UPPER(Cost[[#This Row],[ProductID]])&lt;&gt;"",Cost[[#This Row],[ProductID]],"Missing Value")</f>
        <v>Missing Value</v>
      </c>
      <c r="F42" t="s">
        <v>3823</v>
      </c>
      <c r="G42" t="s">
        <v>3572</v>
      </c>
      <c r="H42">
        <v>47129.89</v>
      </c>
      <c r="I42">
        <v>48587.519999999997</v>
      </c>
      <c r="J42">
        <f>VALUE(Cost[[#This Row],[ActualCost]])</f>
        <v>48587.519999999997</v>
      </c>
      <c r="K42" t="s">
        <v>3832</v>
      </c>
      <c r="L42" t="str">
        <f>IF(UPPER(Cost[[#This Row],[CostCenter]])="","Missing Value",UPPER(Cost[[#This Row],[CostCenter]]))</f>
        <v>EM</v>
      </c>
      <c r="M42" t="s">
        <v>3833</v>
      </c>
    </row>
    <row r="43" spans="1:13" hidden="1" x14ac:dyDescent="0.25">
      <c r="A43" t="s">
        <v>3875</v>
      </c>
      <c r="B43" t="s">
        <v>3655</v>
      </c>
      <c r="C43" t="str">
        <f>SUBSTITUTE(Cost[[#This Row],[Period]],"/","-")</f>
        <v>2025-03</v>
      </c>
      <c r="E43" t="str">
        <f>IF(UPPER(Cost[[#This Row],[ProductID]])&lt;&gt;"",Cost[[#This Row],[ProductID]],"Missing Value")</f>
        <v>Missing Value</v>
      </c>
      <c r="F43" t="s">
        <v>3826</v>
      </c>
      <c r="G43" t="s">
        <v>3572</v>
      </c>
      <c r="H43">
        <v>34327.79</v>
      </c>
      <c r="I43">
        <v>35389.47</v>
      </c>
      <c r="J43">
        <f>VALUE(Cost[[#This Row],[ActualCost]])</f>
        <v>35389.47</v>
      </c>
      <c r="K43" t="s">
        <v>3832</v>
      </c>
      <c r="L43" t="str">
        <f>IF(UPPER(Cost[[#This Row],[CostCenter]])="","Missing Value",UPPER(Cost[[#This Row],[CostCenter]]))</f>
        <v>EM</v>
      </c>
      <c r="M43" t="s">
        <v>3833</v>
      </c>
    </row>
    <row r="44" spans="1:13" hidden="1" x14ac:dyDescent="0.25">
      <c r="A44" t="s">
        <v>3876</v>
      </c>
      <c r="B44" t="s">
        <v>3655</v>
      </c>
      <c r="C44" t="str">
        <f>SUBSTITUTE(Cost[[#This Row],[Period]],"/","-")</f>
        <v>2025-03</v>
      </c>
      <c r="E44" t="str">
        <f>IF(UPPER(Cost[[#This Row],[ProductID]])&lt;&gt;"",Cost[[#This Row],[ProductID]],"Missing Value")</f>
        <v>Missing Value</v>
      </c>
      <c r="F44" t="s">
        <v>3828</v>
      </c>
      <c r="G44" t="s">
        <v>3568</v>
      </c>
      <c r="H44">
        <v>15215.81</v>
      </c>
      <c r="I44">
        <v>15686.4</v>
      </c>
      <c r="J44">
        <f>VALUE(Cost[[#This Row],[ActualCost]])</f>
        <v>15686.4</v>
      </c>
      <c r="K44" t="s">
        <v>3832</v>
      </c>
      <c r="L44" t="str">
        <f>IF(UPPER(Cost[[#This Row],[CostCenter]])="","Missing Value",UPPER(Cost[[#This Row],[CostCenter]]))</f>
        <v>EM</v>
      </c>
      <c r="M44" t="s">
        <v>3833</v>
      </c>
    </row>
    <row r="45" spans="1:13" hidden="1" x14ac:dyDescent="0.25">
      <c r="A45" t="s">
        <v>3877</v>
      </c>
      <c r="B45" t="s">
        <v>3655</v>
      </c>
      <c r="C45" t="str">
        <f>SUBSTITUTE(Cost[[#This Row],[Period]],"/","-")</f>
        <v>2025-03</v>
      </c>
      <c r="E45" t="str">
        <f>IF(UPPER(Cost[[#This Row],[ProductID]])&lt;&gt;"",Cost[[#This Row],[ProductID]],"Missing Value")</f>
        <v>Missing Value</v>
      </c>
      <c r="F45" t="s">
        <v>3830</v>
      </c>
      <c r="G45" t="s">
        <v>3572</v>
      </c>
      <c r="H45">
        <v>12095.78</v>
      </c>
      <c r="I45">
        <v>12469.88</v>
      </c>
      <c r="J45">
        <f>VALUE(Cost[[#This Row],[ActualCost]])</f>
        <v>12469.88</v>
      </c>
      <c r="K45" t="s">
        <v>3832</v>
      </c>
      <c r="L45" t="str">
        <f>IF(UPPER(Cost[[#This Row],[CostCenter]])="","Missing Value",UPPER(Cost[[#This Row],[CostCenter]]))</f>
        <v>EM</v>
      </c>
      <c r="M45" t="s">
        <v>3833</v>
      </c>
    </row>
    <row r="46" spans="1:13" hidden="1" x14ac:dyDescent="0.25">
      <c r="A46" t="s">
        <v>3878</v>
      </c>
      <c r="B46" t="s">
        <v>3655</v>
      </c>
      <c r="C46" t="str">
        <f>SUBSTITUTE(Cost[[#This Row],[Period]],"/","-")</f>
        <v>2025-03</v>
      </c>
      <c r="E46" t="str">
        <f>IF(UPPER(Cost[[#This Row],[ProductID]])&lt;&gt;"",Cost[[#This Row],[ProductID]],"Missing Value")</f>
        <v>Missing Value</v>
      </c>
      <c r="F46" t="s">
        <v>3823</v>
      </c>
      <c r="G46" t="s">
        <v>3572</v>
      </c>
      <c r="H46">
        <v>26817.200000000001</v>
      </c>
      <c r="I46">
        <v>27646.6</v>
      </c>
      <c r="J46">
        <f>VALUE(Cost[[#This Row],[ActualCost]])</f>
        <v>27646.6</v>
      </c>
      <c r="K46" t="s">
        <v>3838</v>
      </c>
      <c r="L46" t="str">
        <f>IF(UPPER(Cost[[#This Row],[CostCenter]])="","Missing Value",UPPER(Cost[[#This Row],[CostCenter]]))</f>
        <v>AP</v>
      </c>
      <c r="M46" t="s">
        <v>3839</v>
      </c>
    </row>
    <row r="47" spans="1:13" hidden="1" x14ac:dyDescent="0.25">
      <c r="A47" t="s">
        <v>3879</v>
      </c>
      <c r="B47" t="s">
        <v>3655</v>
      </c>
      <c r="C47" t="str">
        <f>SUBSTITUTE(Cost[[#This Row],[Period]],"/","-")</f>
        <v>2025-03</v>
      </c>
      <c r="E47" t="str">
        <f>IF(UPPER(Cost[[#This Row],[ProductID]])&lt;&gt;"",Cost[[#This Row],[ProductID]],"Missing Value")</f>
        <v>Missing Value</v>
      </c>
      <c r="F47" t="s">
        <v>3826</v>
      </c>
      <c r="G47" t="s">
        <v>3572</v>
      </c>
      <c r="H47">
        <v>21978.2</v>
      </c>
      <c r="I47">
        <v>22657.94</v>
      </c>
      <c r="J47">
        <f>VALUE(Cost[[#This Row],[ActualCost]])</f>
        <v>22657.94</v>
      </c>
      <c r="K47" t="s">
        <v>3838</v>
      </c>
      <c r="L47" t="str">
        <f>IF(UPPER(Cost[[#This Row],[CostCenter]])="","Missing Value",UPPER(Cost[[#This Row],[CostCenter]]))</f>
        <v>AP</v>
      </c>
      <c r="M47" t="s">
        <v>3839</v>
      </c>
    </row>
    <row r="48" spans="1:13" hidden="1" x14ac:dyDescent="0.25">
      <c r="A48" t="s">
        <v>3880</v>
      </c>
      <c r="B48" t="s">
        <v>3655</v>
      </c>
      <c r="C48" t="str">
        <f>SUBSTITUTE(Cost[[#This Row],[Period]],"/","-")</f>
        <v>2025-03</v>
      </c>
      <c r="E48" t="str">
        <f>IF(UPPER(Cost[[#This Row],[ProductID]])&lt;&gt;"",Cost[[#This Row],[ProductID]],"Missing Value")</f>
        <v>Missing Value</v>
      </c>
      <c r="F48" t="s">
        <v>3828</v>
      </c>
      <c r="G48" t="s">
        <v>3568</v>
      </c>
      <c r="H48">
        <v>16281.77</v>
      </c>
      <c r="I48">
        <v>16785.330000000002</v>
      </c>
      <c r="J48">
        <f>VALUE(Cost[[#This Row],[ActualCost]])</f>
        <v>16785.330000000002</v>
      </c>
      <c r="K48" t="s">
        <v>3838</v>
      </c>
      <c r="L48" t="str">
        <f>IF(UPPER(Cost[[#This Row],[CostCenter]])="","Missing Value",UPPER(Cost[[#This Row],[CostCenter]]))</f>
        <v>AP</v>
      </c>
      <c r="M48" t="s">
        <v>3839</v>
      </c>
    </row>
    <row r="49" spans="1:13" hidden="1" x14ac:dyDescent="0.25">
      <c r="A49" t="s">
        <v>3881</v>
      </c>
      <c r="B49" t="s">
        <v>3655</v>
      </c>
      <c r="C49" t="str">
        <f>SUBSTITUTE(Cost[[#This Row],[Period]],"/","-")</f>
        <v>2025-03</v>
      </c>
      <c r="E49" t="str">
        <f>IF(UPPER(Cost[[#This Row],[ProductID]])&lt;&gt;"",Cost[[#This Row],[ProductID]],"Missing Value")</f>
        <v>Missing Value</v>
      </c>
      <c r="F49" t="s">
        <v>3830</v>
      </c>
      <c r="G49" t="s">
        <v>3572</v>
      </c>
      <c r="H49">
        <v>12012.92</v>
      </c>
      <c r="I49">
        <v>12384.45</v>
      </c>
      <c r="J49">
        <f>VALUE(Cost[[#This Row],[ActualCost]])</f>
        <v>12384.45</v>
      </c>
      <c r="K49" t="s">
        <v>3838</v>
      </c>
      <c r="L49" t="str">
        <f>IF(UPPER(Cost[[#This Row],[CostCenter]])="","Missing Value",UPPER(Cost[[#This Row],[CostCenter]]))</f>
        <v>AP</v>
      </c>
      <c r="M49" t="s">
        <v>3839</v>
      </c>
    </row>
    <row r="50" spans="1:13" hidden="1" x14ac:dyDescent="0.25">
      <c r="A50" t="s">
        <v>3882</v>
      </c>
      <c r="B50" t="s">
        <v>3655</v>
      </c>
      <c r="C50" t="str">
        <f>SUBSTITUTE(Cost[[#This Row],[Period]],"/","-")</f>
        <v>2025-03</v>
      </c>
      <c r="E50" t="str">
        <f>IF(UPPER(Cost[[#This Row],[ProductID]])&lt;&gt;"",Cost[[#This Row],[ProductID]],"Missing Value")</f>
        <v>Missing Value</v>
      </c>
      <c r="F50" t="s">
        <v>3865</v>
      </c>
      <c r="G50" t="s">
        <v>3572</v>
      </c>
      <c r="H50">
        <v>16272.45</v>
      </c>
      <c r="I50">
        <v>16775.72</v>
      </c>
      <c r="J50">
        <f>VALUE(Cost[[#This Row],[ActualCost]])</f>
        <v>16775.72</v>
      </c>
      <c r="K50" t="s">
        <v>3846</v>
      </c>
      <c r="L50" t="str">
        <f>IF(UPPER(Cost[[#This Row],[CostCenter]])="","Missing Value",UPPER(Cost[[#This Row],[CostCenter]]))</f>
        <v>LA</v>
      </c>
      <c r="M50" t="s">
        <v>3847</v>
      </c>
    </row>
    <row r="51" spans="1:13" hidden="1" x14ac:dyDescent="0.25">
      <c r="A51" t="s">
        <v>3883</v>
      </c>
      <c r="B51" t="s">
        <v>3655</v>
      </c>
      <c r="C51" t="str">
        <f>SUBSTITUTE(Cost[[#This Row],[Period]],"/","-")</f>
        <v>2025-03</v>
      </c>
      <c r="E51" t="str">
        <f>IF(UPPER(Cost[[#This Row],[ProductID]])&lt;&gt;"",Cost[[#This Row],[ProductID]],"Missing Value")</f>
        <v>Missing Value</v>
      </c>
      <c r="F51" t="s">
        <v>3826</v>
      </c>
      <c r="G51" t="s">
        <v>3572</v>
      </c>
      <c r="H51">
        <v>15058.13</v>
      </c>
      <c r="I51">
        <v>15523.85</v>
      </c>
      <c r="J51">
        <f>VALUE(Cost[[#This Row],[ActualCost]])</f>
        <v>15523.85</v>
      </c>
      <c r="K51" t="s">
        <v>3846</v>
      </c>
      <c r="L51" t="str">
        <f>IF(UPPER(Cost[[#This Row],[CostCenter]])="","Missing Value",UPPER(Cost[[#This Row],[CostCenter]]))</f>
        <v>LA</v>
      </c>
      <c r="M51" t="s">
        <v>3847</v>
      </c>
    </row>
    <row r="52" spans="1:13" hidden="1" x14ac:dyDescent="0.25">
      <c r="A52" t="s">
        <v>3884</v>
      </c>
      <c r="B52" t="s">
        <v>3655</v>
      </c>
      <c r="C52" t="str">
        <f>SUBSTITUTE(Cost[[#This Row],[Period]],"/","-")</f>
        <v>2025-03</v>
      </c>
      <c r="E52" t="str">
        <f>IF(UPPER(Cost[[#This Row],[ProductID]])&lt;&gt;"",Cost[[#This Row],[ProductID]],"Missing Value")</f>
        <v>Missing Value</v>
      </c>
      <c r="F52" t="s">
        <v>3828</v>
      </c>
      <c r="G52" t="s">
        <v>3568</v>
      </c>
      <c r="H52">
        <v>10513.45</v>
      </c>
      <c r="I52">
        <v>10838.61</v>
      </c>
      <c r="J52">
        <f>VALUE(Cost[[#This Row],[ActualCost]])</f>
        <v>10838.61</v>
      </c>
      <c r="K52" t="s">
        <v>3846</v>
      </c>
      <c r="L52" t="str">
        <f>IF(UPPER(Cost[[#This Row],[CostCenter]])="","Missing Value",UPPER(Cost[[#This Row],[CostCenter]]))</f>
        <v>LA</v>
      </c>
      <c r="M52" t="s">
        <v>3847</v>
      </c>
    </row>
    <row r="53" spans="1:13" hidden="1" x14ac:dyDescent="0.25">
      <c r="A53" t="s">
        <v>3885</v>
      </c>
      <c r="B53" t="s">
        <v>3655</v>
      </c>
      <c r="C53" t="str">
        <f>SUBSTITUTE(Cost[[#This Row],[Period]],"/","-")</f>
        <v>2025-03</v>
      </c>
      <c r="E53" t="str">
        <f>IF(UPPER(Cost[[#This Row],[ProductID]])&lt;&gt;"",Cost[[#This Row],[ProductID]],"Missing Value")</f>
        <v>Missing Value</v>
      </c>
      <c r="F53" t="s">
        <v>3830</v>
      </c>
      <c r="G53" t="s">
        <v>3572</v>
      </c>
      <c r="H53">
        <v>6515.25</v>
      </c>
      <c r="I53">
        <v>6716.75</v>
      </c>
      <c r="J53">
        <f>VALUE(Cost[[#This Row],[ActualCost]])</f>
        <v>6716.75</v>
      </c>
      <c r="K53" t="s">
        <v>3846</v>
      </c>
      <c r="L53" t="str">
        <f>IF(UPPER(Cost[[#This Row],[CostCenter]])="","Missing Value",UPPER(Cost[[#This Row],[CostCenter]]))</f>
        <v>LA</v>
      </c>
      <c r="M53" t="s">
        <v>3847</v>
      </c>
    </row>
    <row r="54" spans="1:13" hidden="1" x14ac:dyDescent="0.25">
      <c r="A54" t="s">
        <v>3886</v>
      </c>
      <c r="B54" t="s">
        <v>3695</v>
      </c>
      <c r="C54" t="str">
        <f>SUBSTITUTE(Cost[[#This Row],[Period]],"/","-")</f>
        <v>2025-04</v>
      </c>
      <c r="E54" t="str">
        <f>IF(UPPER(Cost[[#This Row],[ProductID]])&lt;&gt;"",Cost[[#This Row],[ProductID]],"Missing Value")</f>
        <v>Missing Value</v>
      </c>
      <c r="F54" t="s">
        <v>3823</v>
      </c>
      <c r="G54" t="s">
        <v>3572</v>
      </c>
      <c r="H54">
        <v>50683.55</v>
      </c>
      <c r="I54">
        <v>52251.08</v>
      </c>
      <c r="J54">
        <f>VALUE(Cost[[#This Row],[ActualCost]])</f>
        <v>52251.08</v>
      </c>
      <c r="L54" t="str">
        <f>IF(UPPER(Cost[[#This Row],[CostCenter]])="","Missing Value",UPPER(Cost[[#This Row],[CostCenter]]))</f>
        <v>Missing Value</v>
      </c>
      <c r="M54" t="s">
        <v>3824</v>
      </c>
    </row>
    <row r="55" spans="1:13" hidden="1" x14ac:dyDescent="0.25">
      <c r="A55" t="s">
        <v>3887</v>
      </c>
      <c r="B55" t="s">
        <v>3695</v>
      </c>
      <c r="C55" t="str">
        <f>SUBSTITUTE(Cost[[#This Row],[Period]],"/","-")</f>
        <v>2025-04</v>
      </c>
      <c r="E55" t="str">
        <f>IF(UPPER(Cost[[#This Row],[ProductID]])&lt;&gt;"",Cost[[#This Row],[ProductID]],"Missing Value")</f>
        <v>Missing Value</v>
      </c>
      <c r="F55" t="s">
        <v>3888</v>
      </c>
      <c r="G55" t="s">
        <v>3572</v>
      </c>
      <c r="H55">
        <v>38875.980000000003</v>
      </c>
      <c r="I55">
        <v>40078.33</v>
      </c>
      <c r="J55">
        <f>VALUE(Cost[[#This Row],[ActualCost]])</f>
        <v>40078.33</v>
      </c>
      <c r="L55" t="str">
        <f>IF(UPPER(Cost[[#This Row],[CostCenter]])="","Missing Value",UPPER(Cost[[#This Row],[CostCenter]]))</f>
        <v>Missing Value</v>
      </c>
      <c r="M55" t="s">
        <v>3824</v>
      </c>
    </row>
    <row r="56" spans="1:13" hidden="1" x14ac:dyDescent="0.25">
      <c r="A56" t="s">
        <v>3889</v>
      </c>
      <c r="B56" t="s">
        <v>3695</v>
      </c>
      <c r="C56" t="str">
        <f>SUBSTITUTE(Cost[[#This Row],[Period]],"/","-")</f>
        <v>2025-04</v>
      </c>
      <c r="E56" t="str">
        <f>IF(UPPER(Cost[[#This Row],[ProductID]])&lt;&gt;"",Cost[[#This Row],[ProductID]],"Missing Value")</f>
        <v>Missing Value</v>
      </c>
      <c r="F56" t="s">
        <v>3828</v>
      </c>
      <c r="G56" t="s">
        <v>3568</v>
      </c>
      <c r="H56">
        <v>36782.300000000003</v>
      </c>
      <c r="I56">
        <v>37919.9</v>
      </c>
      <c r="J56">
        <f>VALUE(Cost[[#This Row],[ActualCost]])</f>
        <v>37919.9</v>
      </c>
      <c r="L56" t="str">
        <f>IF(UPPER(Cost[[#This Row],[CostCenter]])="","Missing Value",UPPER(Cost[[#This Row],[CostCenter]]))</f>
        <v>Missing Value</v>
      </c>
      <c r="M56" t="s">
        <v>3824</v>
      </c>
    </row>
    <row r="57" spans="1:13" hidden="1" x14ac:dyDescent="0.25">
      <c r="A57" t="s">
        <v>3890</v>
      </c>
      <c r="B57" t="s">
        <v>3695</v>
      </c>
      <c r="C57" t="str">
        <f>SUBSTITUTE(Cost[[#This Row],[Period]],"/","-")</f>
        <v>2025-04</v>
      </c>
      <c r="E57" t="str">
        <f>IF(UPPER(Cost[[#This Row],[ProductID]])&lt;&gt;"",Cost[[#This Row],[ProductID]],"Missing Value")</f>
        <v>Missing Value</v>
      </c>
      <c r="F57" t="s">
        <v>3830</v>
      </c>
      <c r="G57" t="s">
        <v>3572</v>
      </c>
      <c r="H57">
        <v>14265.87</v>
      </c>
      <c r="I57">
        <v>14707.08</v>
      </c>
      <c r="J57">
        <f>VALUE(Cost[[#This Row],[ActualCost]])</f>
        <v>14707.08</v>
      </c>
      <c r="L57" t="str">
        <f>IF(UPPER(Cost[[#This Row],[CostCenter]])="","Missing Value",UPPER(Cost[[#This Row],[CostCenter]]))</f>
        <v>Missing Value</v>
      </c>
      <c r="M57" t="s">
        <v>3824</v>
      </c>
    </row>
    <row r="58" spans="1:13" hidden="1" x14ac:dyDescent="0.25">
      <c r="A58" t="s">
        <v>3891</v>
      </c>
      <c r="B58" t="s">
        <v>3695</v>
      </c>
      <c r="C58" t="str">
        <f>SUBSTITUTE(Cost[[#This Row],[Period]],"/","-")</f>
        <v>2025-04</v>
      </c>
      <c r="E58" t="str">
        <f>IF(UPPER(Cost[[#This Row],[ProductID]])&lt;&gt;"",Cost[[#This Row],[ProductID]],"Missing Value")</f>
        <v>Missing Value</v>
      </c>
      <c r="F58" t="s">
        <v>3823</v>
      </c>
      <c r="G58" t="s">
        <v>3572</v>
      </c>
      <c r="H58">
        <v>27112.91</v>
      </c>
      <c r="I58">
        <v>27951.45</v>
      </c>
      <c r="J58">
        <f>VALUE(Cost[[#This Row],[ActualCost]])</f>
        <v>27951.45</v>
      </c>
      <c r="K58" t="s">
        <v>3832</v>
      </c>
      <c r="L58" t="str">
        <f>IF(UPPER(Cost[[#This Row],[CostCenter]])="","Missing Value",UPPER(Cost[[#This Row],[CostCenter]]))</f>
        <v>EM</v>
      </c>
      <c r="M58" t="s">
        <v>3833</v>
      </c>
    </row>
    <row r="59" spans="1:13" hidden="1" x14ac:dyDescent="0.25">
      <c r="A59" t="s">
        <v>3892</v>
      </c>
      <c r="B59" t="s">
        <v>3695</v>
      </c>
      <c r="C59" t="str">
        <f>SUBSTITUTE(Cost[[#This Row],[Period]],"/","-")</f>
        <v>2025-04</v>
      </c>
      <c r="E59" t="str">
        <f>IF(UPPER(Cost[[#This Row],[ProductID]])&lt;&gt;"",Cost[[#This Row],[ProductID]],"Missing Value")</f>
        <v>Missing Value</v>
      </c>
      <c r="F59" t="s">
        <v>3826</v>
      </c>
      <c r="G59" t="s">
        <v>3572</v>
      </c>
      <c r="H59">
        <v>24206.2</v>
      </c>
      <c r="I59">
        <v>24954.85</v>
      </c>
      <c r="J59">
        <f>VALUE(Cost[[#This Row],[ActualCost]])</f>
        <v>24954.85</v>
      </c>
      <c r="K59" t="s">
        <v>3832</v>
      </c>
      <c r="L59" t="str">
        <f>IF(UPPER(Cost[[#This Row],[CostCenter]])="","Missing Value",UPPER(Cost[[#This Row],[CostCenter]]))</f>
        <v>EM</v>
      </c>
      <c r="M59" t="s">
        <v>3833</v>
      </c>
    </row>
    <row r="60" spans="1:13" hidden="1" x14ac:dyDescent="0.25">
      <c r="A60" t="s">
        <v>3893</v>
      </c>
      <c r="B60" t="s">
        <v>3695</v>
      </c>
      <c r="C60" t="str">
        <f>SUBSTITUTE(Cost[[#This Row],[Period]],"/","-")</f>
        <v>2025-04</v>
      </c>
      <c r="E60" t="str">
        <f>IF(UPPER(Cost[[#This Row],[ProductID]])&lt;&gt;"",Cost[[#This Row],[ProductID]],"Missing Value")</f>
        <v>Missing Value</v>
      </c>
      <c r="F60" t="s">
        <v>3828</v>
      </c>
      <c r="G60" t="s">
        <v>3568</v>
      </c>
      <c r="H60">
        <v>27420.46</v>
      </c>
      <c r="I60">
        <v>28268.52</v>
      </c>
      <c r="J60">
        <f>VALUE(Cost[[#This Row],[ActualCost]])</f>
        <v>28268.52</v>
      </c>
      <c r="K60" t="s">
        <v>3832</v>
      </c>
      <c r="L60" t="str">
        <f>IF(UPPER(Cost[[#This Row],[CostCenter]])="","Missing Value",UPPER(Cost[[#This Row],[CostCenter]]))</f>
        <v>EM</v>
      </c>
      <c r="M60" t="s">
        <v>3833</v>
      </c>
    </row>
    <row r="61" spans="1:13" hidden="1" x14ac:dyDescent="0.25">
      <c r="A61" t="s">
        <v>3894</v>
      </c>
      <c r="B61" t="s">
        <v>3695</v>
      </c>
      <c r="C61" t="str">
        <f>SUBSTITUTE(Cost[[#This Row],[Period]],"/","-")</f>
        <v>2025-04</v>
      </c>
      <c r="E61" t="str">
        <f>IF(UPPER(Cost[[#This Row],[ProductID]])&lt;&gt;"",Cost[[#This Row],[ProductID]],"Missing Value")</f>
        <v>Missing Value</v>
      </c>
      <c r="F61" t="s">
        <v>3830</v>
      </c>
      <c r="G61" t="s">
        <v>3572</v>
      </c>
      <c r="H61">
        <v>15677.29</v>
      </c>
      <c r="I61">
        <v>16162.15</v>
      </c>
      <c r="J61">
        <f>VALUE(Cost[[#This Row],[ActualCost]])</f>
        <v>16162.15</v>
      </c>
      <c r="K61" t="s">
        <v>3832</v>
      </c>
      <c r="L61" t="str">
        <f>IF(UPPER(Cost[[#This Row],[CostCenter]])="","Missing Value",UPPER(Cost[[#This Row],[CostCenter]]))</f>
        <v>EM</v>
      </c>
      <c r="M61" t="s">
        <v>3833</v>
      </c>
    </row>
    <row r="62" spans="1:13" hidden="1" x14ac:dyDescent="0.25">
      <c r="A62" t="s">
        <v>3895</v>
      </c>
      <c r="B62" t="s">
        <v>3695</v>
      </c>
      <c r="C62" t="str">
        <f>SUBSTITUTE(Cost[[#This Row],[Period]],"/","-")</f>
        <v>2025-04</v>
      </c>
      <c r="E62" t="str">
        <f>IF(UPPER(Cost[[#This Row],[ProductID]])&lt;&gt;"",Cost[[#This Row],[ProductID]],"Missing Value")</f>
        <v>Missing Value</v>
      </c>
      <c r="F62" t="s">
        <v>3823</v>
      </c>
      <c r="G62" t="s">
        <v>3572</v>
      </c>
      <c r="H62">
        <v>37543.800000000003</v>
      </c>
      <c r="I62">
        <v>38704.949999999997</v>
      </c>
      <c r="J62">
        <f>VALUE(Cost[[#This Row],[ActualCost]])</f>
        <v>38704.949999999997</v>
      </c>
      <c r="K62" t="s">
        <v>3838</v>
      </c>
      <c r="L62" t="str">
        <f>IF(UPPER(Cost[[#This Row],[CostCenter]])="","Missing Value",UPPER(Cost[[#This Row],[CostCenter]]))</f>
        <v>AP</v>
      </c>
      <c r="M62" t="s">
        <v>3839</v>
      </c>
    </row>
    <row r="63" spans="1:13" hidden="1" x14ac:dyDescent="0.25">
      <c r="A63" t="s">
        <v>3896</v>
      </c>
      <c r="B63" t="s">
        <v>3695</v>
      </c>
      <c r="C63" t="str">
        <f>SUBSTITUTE(Cost[[#This Row],[Period]],"/","-")</f>
        <v>2025-04</v>
      </c>
      <c r="E63" t="str">
        <f>IF(UPPER(Cost[[#This Row],[ProductID]])&lt;&gt;"",Cost[[#This Row],[ProductID]],"Missing Value")</f>
        <v>Missing Value</v>
      </c>
      <c r="F63" t="s">
        <v>3826</v>
      </c>
      <c r="G63" t="s">
        <v>3572</v>
      </c>
      <c r="H63">
        <v>28005.82</v>
      </c>
      <c r="I63">
        <v>28871.98</v>
      </c>
      <c r="J63">
        <f>VALUE(Cost[[#This Row],[ActualCost]])</f>
        <v>28871.98</v>
      </c>
      <c r="K63" t="s">
        <v>3838</v>
      </c>
      <c r="L63" t="str">
        <f>IF(UPPER(Cost[[#This Row],[CostCenter]])="","Missing Value",UPPER(Cost[[#This Row],[CostCenter]]))</f>
        <v>AP</v>
      </c>
      <c r="M63" t="s">
        <v>3839</v>
      </c>
    </row>
    <row r="64" spans="1:13" hidden="1" x14ac:dyDescent="0.25">
      <c r="A64" t="s">
        <v>3897</v>
      </c>
      <c r="B64" t="s">
        <v>3695</v>
      </c>
      <c r="C64" t="str">
        <f>SUBSTITUTE(Cost[[#This Row],[Period]],"/","-")</f>
        <v>2025-04</v>
      </c>
      <c r="E64" t="str">
        <f>IF(UPPER(Cost[[#This Row],[ProductID]])&lt;&gt;"",Cost[[#This Row],[ProductID]],"Missing Value")</f>
        <v>Missing Value</v>
      </c>
      <c r="F64" t="s">
        <v>3828</v>
      </c>
      <c r="G64" t="s">
        <v>3568</v>
      </c>
      <c r="H64">
        <v>16784.72</v>
      </c>
      <c r="I64">
        <v>17303.84</v>
      </c>
      <c r="J64">
        <f>VALUE(Cost[[#This Row],[ActualCost]])</f>
        <v>17303.84</v>
      </c>
      <c r="K64" t="s">
        <v>3838</v>
      </c>
      <c r="L64" t="str">
        <f>IF(UPPER(Cost[[#This Row],[CostCenter]])="","Missing Value",UPPER(Cost[[#This Row],[CostCenter]]))</f>
        <v>AP</v>
      </c>
      <c r="M64" t="s">
        <v>3839</v>
      </c>
    </row>
    <row r="65" spans="1:13" hidden="1" x14ac:dyDescent="0.25">
      <c r="A65" t="s">
        <v>3898</v>
      </c>
      <c r="B65" t="s">
        <v>3695</v>
      </c>
      <c r="C65" t="str">
        <f>SUBSTITUTE(Cost[[#This Row],[Period]],"/","-")</f>
        <v>2025-04</v>
      </c>
      <c r="E65" t="str">
        <f>IF(UPPER(Cost[[#This Row],[ProductID]])&lt;&gt;"",Cost[[#This Row],[ProductID]],"Missing Value")</f>
        <v>Missing Value</v>
      </c>
      <c r="F65" t="s">
        <v>3899</v>
      </c>
      <c r="G65" t="s">
        <v>3572</v>
      </c>
      <c r="H65">
        <v>8759.0400000000009</v>
      </c>
      <c r="I65">
        <v>9029.94</v>
      </c>
      <c r="J65">
        <f>VALUE(Cost[[#This Row],[ActualCost]])</f>
        <v>9029.94</v>
      </c>
      <c r="K65" t="s">
        <v>3838</v>
      </c>
      <c r="L65" t="str">
        <f>IF(UPPER(Cost[[#This Row],[CostCenter]])="","Missing Value",UPPER(Cost[[#This Row],[CostCenter]]))</f>
        <v>AP</v>
      </c>
      <c r="M65" t="s">
        <v>3839</v>
      </c>
    </row>
    <row r="66" spans="1:13" hidden="1" x14ac:dyDescent="0.25">
      <c r="A66" t="s">
        <v>3900</v>
      </c>
      <c r="B66" t="s">
        <v>3695</v>
      </c>
      <c r="C66" t="str">
        <f>SUBSTITUTE(Cost[[#This Row],[Period]],"/","-")</f>
        <v>2025-04</v>
      </c>
      <c r="E66" t="str">
        <f>IF(UPPER(Cost[[#This Row],[ProductID]])&lt;&gt;"",Cost[[#This Row],[ProductID]],"Missing Value")</f>
        <v>Missing Value</v>
      </c>
      <c r="F66" t="s">
        <v>3823</v>
      </c>
      <c r="G66" t="s">
        <v>3572</v>
      </c>
      <c r="H66">
        <v>16252.19</v>
      </c>
      <c r="I66">
        <v>16754.830000000002</v>
      </c>
      <c r="J66">
        <f>VALUE(Cost[[#This Row],[ActualCost]])</f>
        <v>16754.830000000002</v>
      </c>
      <c r="K66" t="s">
        <v>3846</v>
      </c>
      <c r="L66" t="str">
        <f>IF(UPPER(Cost[[#This Row],[CostCenter]])="","Missing Value",UPPER(Cost[[#This Row],[CostCenter]]))</f>
        <v>LA</v>
      </c>
      <c r="M66" t="s">
        <v>3847</v>
      </c>
    </row>
    <row r="67" spans="1:13" hidden="1" x14ac:dyDescent="0.25">
      <c r="A67" t="s">
        <v>3901</v>
      </c>
      <c r="B67" t="s">
        <v>3695</v>
      </c>
      <c r="C67" t="str">
        <f>SUBSTITUTE(Cost[[#This Row],[Period]],"/","-")</f>
        <v>2025-04</v>
      </c>
      <c r="E67" t="str">
        <f>IF(UPPER(Cost[[#This Row],[ProductID]])&lt;&gt;"",Cost[[#This Row],[ProductID]],"Missing Value")</f>
        <v>Missing Value</v>
      </c>
      <c r="F67" t="s">
        <v>3826</v>
      </c>
      <c r="G67" t="s">
        <v>3572</v>
      </c>
      <c r="H67">
        <v>15820.17</v>
      </c>
      <c r="I67">
        <v>16309.45</v>
      </c>
      <c r="J67">
        <f>VALUE(Cost[[#This Row],[ActualCost]])</f>
        <v>16309.45</v>
      </c>
      <c r="K67" t="s">
        <v>3846</v>
      </c>
      <c r="L67" t="str">
        <f>IF(UPPER(Cost[[#This Row],[CostCenter]])="","Missing Value",UPPER(Cost[[#This Row],[CostCenter]]))</f>
        <v>LA</v>
      </c>
      <c r="M67" t="s">
        <v>3847</v>
      </c>
    </row>
    <row r="68" spans="1:13" hidden="1" x14ac:dyDescent="0.25">
      <c r="A68" t="s">
        <v>3902</v>
      </c>
      <c r="B68" t="s">
        <v>3695</v>
      </c>
      <c r="C68" t="str">
        <f>SUBSTITUTE(Cost[[#This Row],[Period]],"/","-")</f>
        <v>2025-04</v>
      </c>
      <c r="E68" t="str">
        <f>IF(UPPER(Cost[[#This Row],[ProductID]])&lt;&gt;"",Cost[[#This Row],[ProductID]],"Missing Value")</f>
        <v>Missing Value</v>
      </c>
      <c r="F68" t="s">
        <v>3828</v>
      </c>
      <c r="G68" t="s">
        <v>3568</v>
      </c>
      <c r="H68">
        <v>10076.31</v>
      </c>
      <c r="I68">
        <v>10387.950000000001</v>
      </c>
      <c r="J68">
        <f>VALUE(Cost[[#This Row],[ActualCost]])</f>
        <v>10387.950000000001</v>
      </c>
      <c r="K68" t="s">
        <v>3846</v>
      </c>
      <c r="L68" t="str">
        <f>IF(UPPER(Cost[[#This Row],[CostCenter]])="","Missing Value",UPPER(Cost[[#This Row],[CostCenter]]))</f>
        <v>LA</v>
      </c>
      <c r="M68" t="s">
        <v>3847</v>
      </c>
    </row>
    <row r="69" spans="1:13" hidden="1" x14ac:dyDescent="0.25">
      <c r="A69" t="s">
        <v>3903</v>
      </c>
      <c r="B69" t="s">
        <v>3695</v>
      </c>
      <c r="C69" t="str">
        <f>SUBSTITUTE(Cost[[#This Row],[Period]],"/","-")</f>
        <v>2025-04</v>
      </c>
      <c r="E69" t="str">
        <f>IF(UPPER(Cost[[#This Row],[ProductID]])&lt;&gt;"",Cost[[#This Row],[ProductID]],"Missing Value")</f>
        <v>Missing Value</v>
      </c>
      <c r="F69" t="s">
        <v>3830</v>
      </c>
      <c r="G69" t="s">
        <v>3572</v>
      </c>
      <c r="H69">
        <v>8009.95</v>
      </c>
      <c r="I69">
        <v>8257.68</v>
      </c>
      <c r="J69">
        <f>VALUE(Cost[[#This Row],[ActualCost]])</f>
        <v>8257.68</v>
      </c>
      <c r="K69" t="s">
        <v>3846</v>
      </c>
      <c r="L69" t="str">
        <f>IF(UPPER(Cost[[#This Row],[CostCenter]])="","Missing Value",UPPER(Cost[[#This Row],[CostCenter]]))</f>
        <v>LA</v>
      </c>
      <c r="M69" t="s">
        <v>3847</v>
      </c>
    </row>
    <row r="70" spans="1:13" hidden="1" x14ac:dyDescent="0.25">
      <c r="A70" t="s">
        <v>3904</v>
      </c>
      <c r="B70" t="s">
        <v>3738</v>
      </c>
      <c r="C70" t="str">
        <f>SUBSTITUTE(Cost[[#This Row],[Period]],"/","-")</f>
        <v>2025-05</v>
      </c>
      <c r="E70" t="str">
        <f>IF(UPPER(Cost[[#This Row],[ProductID]])&lt;&gt;"",Cost[[#This Row],[ProductID]],"Missing Value")</f>
        <v>Missing Value</v>
      </c>
      <c r="F70" t="s">
        <v>3823</v>
      </c>
      <c r="G70" t="s">
        <v>3572</v>
      </c>
      <c r="H70">
        <v>49444.38</v>
      </c>
      <c r="I70">
        <v>50973.59</v>
      </c>
      <c r="J70">
        <f>VALUE(Cost[[#This Row],[ActualCost]])</f>
        <v>50973.59</v>
      </c>
      <c r="L70" t="str">
        <f>IF(UPPER(Cost[[#This Row],[CostCenter]])="","Missing Value",UPPER(Cost[[#This Row],[CostCenter]]))</f>
        <v>Missing Value</v>
      </c>
      <c r="M70" t="s">
        <v>3824</v>
      </c>
    </row>
    <row r="71" spans="1:13" hidden="1" x14ac:dyDescent="0.25">
      <c r="A71" t="s">
        <v>3905</v>
      </c>
      <c r="B71" t="s">
        <v>3738</v>
      </c>
      <c r="C71" t="str">
        <f>SUBSTITUTE(Cost[[#This Row],[Period]],"/","-")</f>
        <v>2025-05</v>
      </c>
      <c r="E71" t="str">
        <f>IF(UPPER(Cost[[#This Row],[ProductID]])&lt;&gt;"",Cost[[#This Row],[ProductID]],"Missing Value")</f>
        <v>Missing Value</v>
      </c>
      <c r="F71" t="s">
        <v>3826</v>
      </c>
      <c r="G71" t="s">
        <v>3572</v>
      </c>
      <c r="H71">
        <v>22394.97</v>
      </c>
      <c r="I71">
        <v>23087.599999999999</v>
      </c>
      <c r="J71">
        <f>VALUE(Cost[[#This Row],[ActualCost]])</f>
        <v>23087.599999999999</v>
      </c>
      <c r="L71" t="str">
        <f>IF(UPPER(Cost[[#This Row],[CostCenter]])="","Missing Value",UPPER(Cost[[#This Row],[CostCenter]]))</f>
        <v>Missing Value</v>
      </c>
      <c r="M71" t="s">
        <v>3824</v>
      </c>
    </row>
    <row r="72" spans="1:13" hidden="1" x14ac:dyDescent="0.25">
      <c r="A72" t="s">
        <v>3906</v>
      </c>
      <c r="B72" t="s">
        <v>3738</v>
      </c>
      <c r="C72" t="str">
        <f>SUBSTITUTE(Cost[[#This Row],[Period]],"/","-")</f>
        <v>2025-05</v>
      </c>
      <c r="E72" t="str">
        <f>IF(UPPER(Cost[[#This Row],[ProductID]])&lt;&gt;"",Cost[[#This Row],[ProductID]],"Missing Value")</f>
        <v>Missing Value</v>
      </c>
      <c r="F72" t="s">
        <v>3828</v>
      </c>
      <c r="G72" t="s">
        <v>3568</v>
      </c>
      <c r="H72">
        <v>21777.16</v>
      </c>
      <c r="I72">
        <v>22450.68</v>
      </c>
      <c r="J72">
        <f>VALUE(Cost[[#This Row],[ActualCost]])</f>
        <v>22450.68</v>
      </c>
      <c r="L72" t="str">
        <f>IF(UPPER(Cost[[#This Row],[CostCenter]])="","Missing Value",UPPER(Cost[[#This Row],[CostCenter]]))</f>
        <v>Missing Value</v>
      </c>
      <c r="M72" t="s">
        <v>3824</v>
      </c>
    </row>
    <row r="73" spans="1:13" hidden="1" x14ac:dyDescent="0.25">
      <c r="A73" t="s">
        <v>3907</v>
      </c>
      <c r="B73" t="s">
        <v>3738</v>
      </c>
      <c r="C73" t="str">
        <f>SUBSTITUTE(Cost[[#This Row],[Period]],"/","-")</f>
        <v>2025-05</v>
      </c>
      <c r="E73" t="str">
        <f>IF(UPPER(Cost[[#This Row],[ProductID]])&lt;&gt;"",Cost[[#This Row],[ProductID]],"Missing Value")</f>
        <v>Missing Value</v>
      </c>
      <c r="F73" t="s">
        <v>3830</v>
      </c>
      <c r="G73" t="s">
        <v>3572</v>
      </c>
      <c r="H73">
        <v>13312.48</v>
      </c>
      <c r="I73">
        <v>13724.21</v>
      </c>
      <c r="J73">
        <f>VALUE(Cost[[#This Row],[ActualCost]])</f>
        <v>13724.21</v>
      </c>
      <c r="L73" t="str">
        <f>IF(UPPER(Cost[[#This Row],[CostCenter]])="","Missing Value",UPPER(Cost[[#This Row],[CostCenter]]))</f>
        <v>Missing Value</v>
      </c>
      <c r="M73" t="s">
        <v>3824</v>
      </c>
    </row>
    <row r="74" spans="1:13" hidden="1" x14ac:dyDescent="0.25">
      <c r="A74" t="s">
        <v>3908</v>
      </c>
      <c r="B74" t="s">
        <v>3760</v>
      </c>
      <c r="C74" t="str">
        <f>SUBSTITUTE(Cost[[#This Row],[Period]],"/","-")</f>
        <v>2025-05</v>
      </c>
      <c r="E74" t="str">
        <f>IF(UPPER(Cost[[#This Row],[ProductID]])&lt;&gt;"",Cost[[#This Row],[ProductID]],"Missing Value")</f>
        <v>Missing Value</v>
      </c>
      <c r="F74" t="s">
        <v>3823</v>
      </c>
      <c r="G74" t="s">
        <v>3572</v>
      </c>
      <c r="H74">
        <v>38162.129999999997</v>
      </c>
      <c r="I74">
        <v>39342.400000000001</v>
      </c>
      <c r="J74">
        <f>VALUE(Cost[[#This Row],[ActualCost]])</f>
        <v>39342.400000000001</v>
      </c>
      <c r="K74" t="s">
        <v>3832</v>
      </c>
      <c r="L74" t="str">
        <f>IF(UPPER(Cost[[#This Row],[CostCenter]])="","Missing Value",UPPER(Cost[[#This Row],[CostCenter]]))</f>
        <v>EM</v>
      </c>
      <c r="M74" t="s">
        <v>3833</v>
      </c>
    </row>
    <row r="75" spans="1:13" hidden="1" x14ac:dyDescent="0.25">
      <c r="A75" t="s">
        <v>3909</v>
      </c>
      <c r="B75" t="s">
        <v>3738</v>
      </c>
      <c r="C75" t="str">
        <f>SUBSTITUTE(Cost[[#This Row],[Period]],"/","-")</f>
        <v>2025-05</v>
      </c>
      <c r="E75" t="str">
        <f>IF(UPPER(Cost[[#This Row],[ProductID]])&lt;&gt;"",Cost[[#This Row],[ProductID]],"Missing Value")</f>
        <v>Missing Value</v>
      </c>
      <c r="F75" t="s">
        <v>3826</v>
      </c>
      <c r="G75" t="s">
        <v>3572</v>
      </c>
      <c r="H75">
        <v>24320.52</v>
      </c>
      <c r="I75">
        <v>25072.7</v>
      </c>
      <c r="J75">
        <f>VALUE(Cost[[#This Row],[ActualCost]])</f>
        <v>25072.7</v>
      </c>
      <c r="K75" t="s">
        <v>3832</v>
      </c>
      <c r="L75" t="str">
        <f>IF(UPPER(Cost[[#This Row],[CostCenter]])="","Missing Value",UPPER(Cost[[#This Row],[CostCenter]]))</f>
        <v>EM</v>
      </c>
      <c r="M75" t="s">
        <v>3833</v>
      </c>
    </row>
    <row r="76" spans="1:13" hidden="1" x14ac:dyDescent="0.25">
      <c r="A76" t="s">
        <v>3910</v>
      </c>
      <c r="B76" t="s">
        <v>3738</v>
      </c>
      <c r="C76" t="str">
        <f>SUBSTITUTE(Cost[[#This Row],[Period]],"/","-")</f>
        <v>2025-05</v>
      </c>
      <c r="E76" t="str">
        <f>IF(UPPER(Cost[[#This Row],[ProductID]])&lt;&gt;"",Cost[[#This Row],[ProductID]],"Missing Value")</f>
        <v>Missing Value</v>
      </c>
      <c r="F76" t="s">
        <v>3828</v>
      </c>
      <c r="G76" t="s">
        <v>3568</v>
      </c>
      <c r="H76">
        <v>19587.89</v>
      </c>
      <c r="I76">
        <v>20193.7</v>
      </c>
      <c r="J76">
        <f>VALUE(Cost[[#This Row],[ActualCost]])</f>
        <v>20193.7</v>
      </c>
      <c r="K76" t="s">
        <v>3832</v>
      </c>
      <c r="L76" t="str">
        <f>IF(UPPER(Cost[[#This Row],[CostCenter]])="","Missing Value",UPPER(Cost[[#This Row],[CostCenter]]))</f>
        <v>EM</v>
      </c>
      <c r="M76" t="s">
        <v>3833</v>
      </c>
    </row>
    <row r="77" spans="1:13" hidden="1" x14ac:dyDescent="0.25">
      <c r="A77" t="s">
        <v>3911</v>
      </c>
      <c r="B77" t="s">
        <v>3738</v>
      </c>
      <c r="C77" t="str">
        <f>SUBSTITUTE(Cost[[#This Row],[Period]],"/","-")</f>
        <v>2025-05</v>
      </c>
      <c r="E77" t="str">
        <f>IF(UPPER(Cost[[#This Row],[ProductID]])&lt;&gt;"",Cost[[#This Row],[ProductID]],"Missing Value")</f>
        <v>Missing Value</v>
      </c>
      <c r="F77" t="s">
        <v>3830</v>
      </c>
      <c r="G77" t="s">
        <v>3572</v>
      </c>
      <c r="H77">
        <v>17636.78</v>
      </c>
      <c r="I77">
        <v>18182.25</v>
      </c>
      <c r="J77">
        <f>VALUE(Cost[[#This Row],[ActualCost]])</f>
        <v>18182.25</v>
      </c>
      <c r="K77" t="s">
        <v>3832</v>
      </c>
      <c r="L77" t="str">
        <f>IF(UPPER(Cost[[#This Row],[CostCenter]])="","Missing Value",UPPER(Cost[[#This Row],[CostCenter]]))</f>
        <v>EM</v>
      </c>
      <c r="M77" t="s">
        <v>3833</v>
      </c>
    </row>
    <row r="78" spans="1:13" hidden="1" x14ac:dyDescent="0.25">
      <c r="A78" t="s">
        <v>3912</v>
      </c>
      <c r="B78" t="s">
        <v>3738</v>
      </c>
      <c r="C78" t="str">
        <f>SUBSTITUTE(Cost[[#This Row],[Period]],"/","-")</f>
        <v>2025-05</v>
      </c>
      <c r="E78" t="str">
        <f>IF(UPPER(Cost[[#This Row],[ProductID]])&lt;&gt;"",Cost[[#This Row],[ProductID]],"Missing Value")</f>
        <v>Missing Value</v>
      </c>
      <c r="F78" t="s">
        <v>3823</v>
      </c>
      <c r="G78" t="s">
        <v>3572</v>
      </c>
      <c r="H78">
        <v>26928.67</v>
      </c>
      <c r="I78">
        <v>27761.52</v>
      </c>
      <c r="J78">
        <f>VALUE(Cost[[#This Row],[ActualCost]])</f>
        <v>27761.52</v>
      </c>
      <c r="K78" t="s">
        <v>3838</v>
      </c>
      <c r="L78" t="str">
        <f>IF(UPPER(Cost[[#This Row],[CostCenter]])="","Missing Value",UPPER(Cost[[#This Row],[CostCenter]]))</f>
        <v>AP</v>
      </c>
      <c r="M78" t="s">
        <v>3839</v>
      </c>
    </row>
    <row r="79" spans="1:13" hidden="1" x14ac:dyDescent="0.25">
      <c r="A79" t="s">
        <v>3913</v>
      </c>
      <c r="B79" t="s">
        <v>3738</v>
      </c>
      <c r="C79" t="str">
        <f>SUBSTITUTE(Cost[[#This Row],[Period]],"/","-")</f>
        <v>2025-05</v>
      </c>
      <c r="E79" t="str">
        <f>IF(UPPER(Cost[[#This Row],[ProductID]])&lt;&gt;"",Cost[[#This Row],[ProductID]],"Missing Value")</f>
        <v>Missing Value</v>
      </c>
      <c r="F79" t="s">
        <v>3826</v>
      </c>
      <c r="G79" t="s">
        <v>3572</v>
      </c>
      <c r="H79">
        <v>23289.14</v>
      </c>
      <c r="I79">
        <v>24009.42</v>
      </c>
      <c r="J79">
        <f>VALUE(Cost[[#This Row],[ActualCost]])</f>
        <v>24009.42</v>
      </c>
      <c r="K79" t="s">
        <v>3838</v>
      </c>
      <c r="L79" t="str">
        <f>IF(UPPER(Cost[[#This Row],[CostCenter]])="","Missing Value",UPPER(Cost[[#This Row],[CostCenter]]))</f>
        <v>AP</v>
      </c>
      <c r="M79" t="s">
        <v>3839</v>
      </c>
    </row>
    <row r="80" spans="1:13" hidden="1" x14ac:dyDescent="0.25">
      <c r="A80" t="s">
        <v>3914</v>
      </c>
      <c r="B80" t="s">
        <v>3738</v>
      </c>
      <c r="C80" t="str">
        <f>SUBSTITUTE(Cost[[#This Row],[Period]],"/","-")</f>
        <v>2025-05</v>
      </c>
      <c r="E80" t="str">
        <f>IF(UPPER(Cost[[#This Row],[ProductID]])&lt;&gt;"",Cost[[#This Row],[ProductID]],"Missing Value")</f>
        <v>Missing Value</v>
      </c>
      <c r="F80" t="s">
        <v>3828</v>
      </c>
      <c r="G80" t="s">
        <v>3568</v>
      </c>
      <c r="H80">
        <v>15523.51</v>
      </c>
      <c r="I80" t="s">
        <v>3915</v>
      </c>
      <c r="J80">
        <f>VALUE(Cost[[#This Row],[ActualCost]])</f>
        <v>16003.62</v>
      </c>
      <c r="K80" t="s">
        <v>3838</v>
      </c>
      <c r="L80" t="str">
        <f>IF(UPPER(Cost[[#This Row],[CostCenter]])="","Missing Value",UPPER(Cost[[#This Row],[CostCenter]]))</f>
        <v>AP</v>
      </c>
      <c r="M80" t="s">
        <v>3839</v>
      </c>
    </row>
    <row r="81" spans="1:13" hidden="1" x14ac:dyDescent="0.25">
      <c r="A81" t="s">
        <v>3916</v>
      </c>
      <c r="B81" t="s">
        <v>3738</v>
      </c>
      <c r="C81" t="str">
        <f>SUBSTITUTE(Cost[[#This Row],[Period]],"/","-")</f>
        <v>2025-05</v>
      </c>
      <c r="E81" t="str">
        <f>IF(UPPER(Cost[[#This Row],[ProductID]])&lt;&gt;"",Cost[[#This Row],[ProductID]],"Missing Value")</f>
        <v>Missing Value</v>
      </c>
      <c r="F81" t="s">
        <v>3830</v>
      </c>
      <c r="G81" t="s">
        <v>3572</v>
      </c>
      <c r="H81">
        <v>7940.9</v>
      </c>
      <c r="I81">
        <v>8186.5</v>
      </c>
      <c r="J81">
        <f>VALUE(Cost[[#This Row],[ActualCost]])</f>
        <v>8186.5</v>
      </c>
      <c r="K81" t="s">
        <v>3838</v>
      </c>
      <c r="L81" t="str">
        <f>IF(UPPER(Cost[[#This Row],[CostCenter]])="","Missing Value",UPPER(Cost[[#This Row],[CostCenter]]))</f>
        <v>AP</v>
      </c>
      <c r="M81" t="s">
        <v>3839</v>
      </c>
    </row>
    <row r="82" spans="1:13" hidden="1" x14ac:dyDescent="0.25">
      <c r="A82" t="s">
        <v>3917</v>
      </c>
      <c r="B82" t="s">
        <v>3738</v>
      </c>
      <c r="C82" t="str">
        <f>SUBSTITUTE(Cost[[#This Row],[Period]],"/","-")</f>
        <v>2025-05</v>
      </c>
      <c r="E82" t="str">
        <f>IF(UPPER(Cost[[#This Row],[ProductID]])&lt;&gt;"",Cost[[#This Row],[ProductID]],"Missing Value")</f>
        <v>Missing Value</v>
      </c>
      <c r="F82" t="s">
        <v>3823</v>
      </c>
      <c r="G82" t="s">
        <v>3572</v>
      </c>
      <c r="H82">
        <v>16871.95</v>
      </c>
      <c r="I82">
        <v>17393.759999999998</v>
      </c>
      <c r="J82">
        <f>VALUE(Cost[[#This Row],[ActualCost]])</f>
        <v>17393.759999999998</v>
      </c>
      <c r="K82" t="s">
        <v>3846</v>
      </c>
      <c r="L82" t="str">
        <f>IF(UPPER(Cost[[#This Row],[CostCenter]])="","Missing Value",UPPER(Cost[[#This Row],[CostCenter]]))</f>
        <v>LA</v>
      </c>
      <c r="M82" t="s">
        <v>3847</v>
      </c>
    </row>
    <row r="83" spans="1:13" hidden="1" x14ac:dyDescent="0.25">
      <c r="A83" t="s">
        <v>3918</v>
      </c>
      <c r="B83" t="s">
        <v>3738</v>
      </c>
      <c r="C83" t="str">
        <f>SUBSTITUTE(Cost[[#This Row],[Period]],"/","-")</f>
        <v>2025-05</v>
      </c>
      <c r="E83" t="str">
        <f>IF(UPPER(Cost[[#This Row],[ProductID]])&lt;&gt;"",Cost[[#This Row],[ProductID]],"Missing Value")</f>
        <v>Missing Value</v>
      </c>
      <c r="F83" t="s">
        <v>3826</v>
      </c>
      <c r="G83" t="s">
        <v>3572</v>
      </c>
      <c r="H83">
        <v>19457.419999999998</v>
      </c>
      <c r="I83">
        <v>20059.2</v>
      </c>
      <c r="J83">
        <f>VALUE(Cost[[#This Row],[ActualCost]])</f>
        <v>20059.2</v>
      </c>
      <c r="K83" t="s">
        <v>3846</v>
      </c>
      <c r="L83" t="str">
        <f>IF(UPPER(Cost[[#This Row],[CostCenter]])="","Missing Value",UPPER(Cost[[#This Row],[CostCenter]]))</f>
        <v>LA</v>
      </c>
      <c r="M83" t="s">
        <v>3847</v>
      </c>
    </row>
    <row r="84" spans="1:13" hidden="1" x14ac:dyDescent="0.25">
      <c r="A84" t="s">
        <v>3919</v>
      </c>
      <c r="B84" t="s">
        <v>3738</v>
      </c>
      <c r="C84" t="str">
        <f>SUBSTITUTE(Cost[[#This Row],[Period]],"/","-")</f>
        <v>2025-05</v>
      </c>
      <c r="E84" t="str">
        <f>IF(UPPER(Cost[[#This Row],[ProductID]])&lt;&gt;"",Cost[[#This Row],[ProductID]],"Missing Value")</f>
        <v>Missing Value</v>
      </c>
      <c r="F84" t="s">
        <v>3828</v>
      </c>
      <c r="G84" t="s">
        <v>3568</v>
      </c>
      <c r="H84">
        <v>11345.55</v>
      </c>
      <c r="I84" t="s">
        <v>3920</v>
      </c>
      <c r="J84">
        <f>VALUE(Cost[[#This Row],[ActualCost]])</f>
        <v>11696.44</v>
      </c>
      <c r="K84" t="s">
        <v>3846</v>
      </c>
      <c r="L84" t="str">
        <f>IF(UPPER(Cost[[#This Row],[CostCenter]])="","Missing Value",UPPER(Cost[[#This Row],[CostCenter]]))</f>
        <v>LA</v>
      </c>
      <c r="M84" t="s">
        <v>3847</v>
      </c>
    </row>
    <row r="85" spans="1:13" hidden="1" x14ac:dyDescent="0.25">
      <c r="A85" t="s">
        <v>3921</v>
      </c>
      <c r="B85" t="s">
        <v>3738</v>
      </c>
      <c r="C85" t="str">
        <f>SUBSTITUTE(Cost[[#This Row],[Period]],"/","-")</f>
        <v>2025-05</v>
      </c>
      <c r="E85" t="str">
        <f>IF(UPPER(Cost[[#This Row],[ProductID]])&lt;&gt;"",Cost[[#This Row],[ProductID]],"Missing Value")</f>
        <v>Missing Value</v>
      </c>
      <c r="F85" t="s">
        <v>3830</v>
      </c>
      <c r="G85" t="s">
        <v>3572</v>
      </c>
      <c r="H85">
        <v>8154.5</v>
      </c>
      <c r="I85" t="s">
        <v>3922</v>
      </c>
      <c r="J85">
        <f>VALUE(Cost[[#This Row],[ActualCost]])</f>
        <v>8406.7000000000007</v>
      </c>
      <c r="K85" t="s">
        <v>3846</v>
      </c>
      <c r="L85" t="str">
        <f>IF(UPPER(Cost[[#This Row],[CostCenter]])="","Missing Value",UPPER(Cost[[#This Row],[CostCenter]]))</f>
        <v>LA</v>
      </c>
      <c r="M85" t="s">
        <v>3847</v>
      </c>
    </row>
    <row r="86" spans="1:13" hidden="1" x14ac:dyDescent="0.25">
      <c r="A86" t="s">
        <v>3923</v>
      </c>
      <c r="B86" t="s">
        <v>3783</v>
      </c>
      <c r="C86" t="str">
        <f>SUBSTITUTE(Cost[[#This Row],[Period]],"/","-")</f>
        <v>2025-06</v>
      </c>
      <c r="E86" t="str">
        <f>IF(UPPER(Cost[[#This Row],[ProductID]])&lt;&gt;"",Cost[[#This Row],[ProductID]],"Missing Value")</f>
        <v>Missing Value</v>
      </c>
      <c r="F86" t="s">
        <v>3823</v>
      </c>
      <c r="G86" t="s">
        <v>3572</v>
      </c>
      <c r="H86">
        <v>48725.919999999998</v>
      </c>
      <c r="I86">
        <v>50232.91</v>
      </c>
      <c r="J86">
        <f>VALUE(Cost[[#This Row],[ActualCost]])</f>
        <v>50232.91</v>
      </c>
      <c r="L86" t="str">
        <f>IF(UPPER(Cost[[#This Row],[CostCenter]])="","Missing Value",UPPER(Cost[[#This Row],[CostCenter]]))</f>
        <v>Missing Value</v>
      </c>
      <c r="M86" t="s">
        <v>3824</v>
      </c>
    </row>
    <row r="87" spans="1:13" hidden="1" x14ac:dyDescent="0.25">
      <c r="A87" t="s">
        <v>3924</v>
      </c>
      <c r="B87" t="s">
        <v>3783</v>
      </c>
      <c r="C87" t="str">
        <f>SUBSTITUTE(Cost[[#This Row],[Period]],"/","-")</f>
        <v>2025-06</v>
      </c>
      <c r="E87" t="str">
        <f>IF(UPPER(Cost[[#This Row],[ProductID]])&lt;&gt;"",Cost[[#This Row],[ProductID]],"Missing Value")</f>
        <v>Missing Value</v>
      </c>
      <c r="F87" t="s">
        <v>3826</v>
      </c>
      <c r="G87" t="s">
        <v>3572</v>
      </c>
      <c r="H87">
        <v>30135.439999999999</v>
      </c>
      <c r="I87">
        <v>31067.46</v>
      </c>
      <c r="J87">
        <f>VALUE(Cost[[#This Row],[ActualCost]])</f>
        <v>31067.46</v>
      </c>
      <c r="L87" t="str">
        <f>IF(UPPER(Cost[[#This Row],[CostCenter]])="","Missing Value",UPPER(Cost[[#This Row],[CostCenter]]))</f>
        <v>Missing Value</v>
      </c>
      <c r="M87" t="s">
        <v>3824</v>
      </c>
    </row>
    <row r="88" spans="1:13" hidden="1" x14ac:dyDescent="0.25">
      <c r="A88" t="s">
        <v>3925</v>
      </c>
      <c r="B88" t="s">
        <v>3783</v>
      </c>
      <c r="C88" t="str">
        <f>SUBSTITUTE(Cost[[#This Row],[Period]],"/","-")</f>
        <v>2025-06</v>
      </c>
      <c r="E88" t="str">
        <f>IF(UPPER(Cost[[#This Row],[ProductID]])&lt;&gt;"",Cost[[#This Row],[ProductID]],"Missing Value")</f>
        <v>Missing Value</v>
      </c>
      <c r="F88" t="s">
        <v>3828</v>
      </c>
      <c r="G88" t="s">
        <v>3568</v>
      </c>
      <c r="H88">
        <v>16609.419999999998</v>
      </c>
      <c r="I88">
        <v>17123.11</v>
      </c>
      <c r="J88">
        <f>VALUE(Cost[[#This Row],[ActualCost]])</f>
        <v>17123.11</v>
      </c>
      <c r="L88" t="str">
        <f>IF(UPPER(Cost[[#This Row],[CostCenter]])="","Missing Value",UPPER(Cost[[#This Row],[CostCenter]]))</f>
        <v>Missing Value</v>
      </c>
      <c r="M88" t="s">
        <v>3824</v>
      </c>
    </row>
    <row r="89" spans="1:13" hidden="1" x14ac:dyDescent="0.25">
      <c r="A89" t="s">
        <v>3926</v>
      </c>
      <c r="B89" t="s">
        <v>3783</v>
      </c>
      <c r="C89" t="str">
        <f>SUBSTITUTE(Cost[[#This Row],[Period]],"/","-")</f>
        <v>2025-06</v>
      </c>
      <c r="E89" t="str">
        <f>IF(UPPER(Cost[[#This Row],[ProductID]])&lt;&gt;"",Cost[[#This Row],[ProductID]],"Missing Value")</f>
        <v>Missing Value</v>
      </c>
      <c r="F89" t="s">
        <v>3830</v>
      </c>
      <c r="G89" t="s">
        <v>3572</v>
      </c>
      <c r="H89">
        <v>17860.73</v>
      </c>
      <c r="I89">
        <v>18413.12</v>
      </c>
      <c r="J89">
        <f>VALUE(Cost[[#This Row],[ActualCost]])</f>
        <v>18413.12</v>
      </c>
      <c r="L89" t="str">
        <f>IF(UPPER(Cost[[#This Row],[CostCenter]])="","Missing Value",UPPER(Cost[[#This Row],[CostCenter]]))</f>
        <v>Missing Value</v>
      </c>
      <c r="M89" t="s">
        <v>3824</v>
      </c>
    </row>
    <row r="90" spans="1:13" hidden="1" x14ac:dyDescent="0.25">
      <c r="A90" t="s">
        <v>3927</v>
      </c>
      <c r="B90" t="s">
        <v>3783</v>
      </c>
      <c r="C90" t="str">
        <f>SUBSTITUTE(Cost[[#This Row],[Period]],"/","-")</f>
        <v>2025-06</v>
      </c>
      <c r="E90" t="str">
        <f>IF(UPPER(Cost[[#This Row],[ProductID]])&lt;&gt;"",Cost[[#This Row],[ProductID]],"Missing Value")</f>
        <v>Missing Value</v>
      </c>
      <c r="F90" t="s">
        <v>3823</v>
      </c>
      <c r="G90" t="s">
        <v>3572</v>
      </c>
      <c r="H90">
        <v>30539.01</v>
      </c>
      <c r="I90">
        <v>31483.52</v>
      </c>
      <c r="J90">
        <f>VALUE(Cost[[#This Row],[ActualCost]])</f>
        <v>31483.52</v>
      </c>
      <c r="K90" t="s">
        <v>3832</v>
      </c>
      <c r="L90" t="str">
        <f>IF(UPPER(Cost[[#This Row],[CostCenter]])="","Missing Value",UPPER(Cost[[#This Row],[CostCenter]]))</f>
        <v>EM</v>
      </c>
      <c r="M90" t="s">
        <v>3833</v>
      </c>
    </row>
    <row r="91" spans="1:13" hidden="1" x14ac:dyDescent="0.25">
      <c r="A91" t="s">
        <v>3928</v>
      </c>
      <c r="B91" t="s">
        <v>3783</v>
      </c>
      <c r="C91" t="str">
        <f>SUBSTITUTE(Cost[[#This Row],[Period]],"/","-")</f>
        <v>2025-06</v>
      </c>
      <c r="E91" t="str">
        <f>IF(UPPER(Cost[[#This Row],[ProductID]])&lt;&gt;"",Cost[[#This Row],[ProductID]],"Missing Value")</f>
        <v>Missing Value</v>
      </c>
      <c r="F91" t="s">
        <v>3826</v>
      </c>
      <c r="G91" t="s">
        <v>3572</v>
      </c>
      <c r="H91">
        <v>34053.269999999997</v>
      </c>
      <c r="I91">
        <v>35106.46</v>
      </c>
      <c r="J91">
        <f>VALUE(Cost[[#This Row],[ActualCost]])</f>
        <v>35106.46</v>
      </c>
      <c r="K91" t="s">
        <v>3832</v>
      </c>
      <c r="L91" t="str">
        <f>IF(UPPER(Cost[[#This Row],[CostCenter]])="","Missing Value",UPPER(Cost[[#This Row],[CostCenter]]))</f>
        <v>EM</v>
      </c>
      <c r="M91" t="s">
        <v>3833</v>
      </c>
    </row>
    <row r="92" spans="1:13" hidden="1" x14ac:dyDescent="0.25">
      <c r="A92" t="s">
        <v>3929</v>
      </c>
      <c r="B92" t="s">
        <v>3783</v>
      </c>
      <c r="C92" t="str">
        <f>SUBSTITUTE(Cost[[#This Row],[Period]],"/","-")</f>
        <v>2025-06</v>
      </c>
      <c r="E92" t="str">
        <f>IF(UPPER(Cost[[#This Row],[ProductID]])&lt;&gt;"",Cost[[#This Row],[ProductID]],"Missing Value")</f>
        <v>Missing Value</v>
      </c>
      <c r="F92" t="s">
        <v>3828</v>
      </c>
      <c r="G92" t="s">
        <v>3568</v>
      </c>
      <c r="H92">
        <v>13606.46</v>
      </c>
      <c r="I92">
        <v>14027.28</v>
      </c>
      <c r="J92">
        <f>VALUE(Cost[[#This Row],[ActualCost]])</f>
        <v>14027.28</v>
      </c>
      <c r="K92" t="s">
        <v>3832</v>
      </c>
      <c r="L92" t="str">
        <f>IF(UPPER(Cost[[#This Row],[CostCenter]])="","Missing Value",UPPER(Cost[[#This Row],[CostCenter]]))</f>
        <v>EM</v>
      </c>
      <c r="M92" t="s">
        <v>3833</v>
      </c>
    </row>
    <row r="93" spans="1:13" hidden="1" x14ac:dyDescent="0.25">
      <c r="A93" t="s">
        <v>3930</v>
      </c>
      <c r="B93" t="s">
        <v>3783</v>
      </c>
      <c r="C93" t="str">
        <f>SUBSTITUTE(Cost[[#This Row],[Period]],"/","-")</f>
        <v>2025-06</v>
      </c>
      <c r="E93" t="str">
        <f>IF(UPPER(Cost[[#This Row],[ProductID]])&lt;&gt;"",Cost[[#This Row],[ProductID]],"Missing Value")</f>
        <v>Missing Value</v>
      </c>
      <c r="F93" t="s">
        <v>3830</v>
      </c>
      <c r="G93" t="s">
        <v>3572</v>
      </c>
      <c r="H93">
        <v>9663.17</v>
      </c>
      <c r="I93">
        <v>9962.0300000000007</v>
      </c>
      <c r="J93">
        <f>VALUE(Cost[[#This Row],[ActualCost]])</f>
        <v>9962.0300000000007</v>
      </c>
      <c r="K93" t="s">
        <v>3832</v>
      </c>
      <c r="L93" t="str">
        <f>IF(UPPER(Cost[[#This Row],[CostCenter]])="","Missing Value",UPPER(Cost[[#This Row],[CostCenter]]))</f>
        <v>EM</v>
      </c>
      <c r="M93" t="s">
        <v>3833</v>
      </c>
    </row>
    <row r="94" spans="1:13" hidden="1" x14ac:dyDescent="0.25">
      <c r="A94" t="s">
        <v>3931</v>
      </c>
      <c r="B94" t="s">
        <v>3783</v>
      </c>
      <c r="C94" t="str">
        <f>SUBSTITUTE(Cost[[#This Row],[Period]],"/","-")</f>
        <v>2025-06</v>
      </c>
      <c r="E94" t="str">
        <f>IF(UPPER(Cost[[#This Row],[ProductID]])&lt;&gt;"",Cost[[#This Row],[ProductID]],"Missing Value")</f>
        <v>Missing Value</v>
      </c>
      <c r="F94" t="s">
        <v>3823</v>
      </c>
      <c r="G94" t="s">
        <v>3572</v>
      </c>
      <c r="H94">
        <v>38475.31</v>
      </c>
      <c r="I94">
        <v>39665.269999999997</v>
      </c>
      <c r="J94">
        <f>VALUE(Cost[[#This Row],[ActualCost]])</f>
        <v>39665.269999999997</v>
      </c>
      <c r="K94" t="s">
        <v>3838</v>
      </c>
      <c r="L94" t="str">
        <f>IF(UPPER(Cost[[#This Row],[CostCenter]])="","Missing Value",UPPER(Cost[[#This Row],[CostCenter]]))</f>
        <v>AP</v>
      </c>
      <c r="M94" t="s">
        <v>3839</v>
      </c>
    </row>
    <row r="95" spans="1:13" hidden="1" x14ac:dyDescent="0.25">
      <c r="A95" t="s">
        <v>3932</v>
      </c>
      <c r="B95" t="s">
        <v>3783</v>
      </c>
      <c r="C95" t="str">
        <f>SUBSTITUTE(Cost[[#This Row],[Period]],"/","-")</f>
        <v>2025-06</v>
      </c>
      <c r="E95" t="str">
        <f>IF(UPPER(Cost[[#This Row],[ProductID]])&lt;&gt;"",Cost[[#This Row],[ProductID]],"Missing Value")</f>
        <v>Missing Value</v>
      </c>
      <c r="F95" t="s">
        <v>3826</v>
      </c>
      <c r="G95" t="s">
        <v>3572</v>
      </c>
      <c r="H95">
        <v>22610.52</v>
      </c>
      <c r="I95">
        <v>23309.81</v>
      </c>
      <c r="J95">
        <f>VALUE(Cost[[#This Row],[ActualCost]])</f>
        <v>23309.81</v>
      </c>
      <c r="K95" t="s">
        <v>3838</v>
      </c>
      <c r="L95" t="str">
        <f>IF(UPPER(Cost[[#This Row],[CostCenter]])="","Missing Value",UPPER(Cost[[#This Row],[CostCenter]]))</f>
        <v>AP</v>
      </c>
      <c r="M95" t="s">
        <v>3839</v>
      </c>
    </row>
    <row r="96" spans="1:13" hidden="1" x14ac:dyDescent="0.25">
      <c r="A96" t="s">
        <v>3933</v>
      </c>
      <c r="B96" t="s">
        <v>3783</v>
      </c>
      <c r="C96" t="str">
        <f>SUBSTITUTE(Cost[[#This Row],[Period]],"/","-")</f>
        <v>2025-06</v>
      </c>
      <c r="E96" t="str">
        <f>IF(UPPER(Cost[[#This Row],[ProductID]])&lt;&gt;"",Cost[[#This Row],[ProductID]],"Missing Value")</f>
        <v>Missing Value</v>
      </c>
      <c r="F96" t="s">
        <v>3828</v>
      </c>
      <c r="G96" t="s">
        <v>3568</v>
      </c>
      <c r="H96">
        <v>10098.82</v>
      </c>
      <c r="I96" t="s">
        <v>3934</v>
      </c>
      <c r="J96">
        <f>VALUE(Cost[[#This Row],[ActualCost]])</f>
        <v>10411.15</v>
      </c>
      <c r="K96" t="s">
        <v>3838</v>
      </c>
      <c r="L96" t="str">
        <f>IF(UPPER(Cost[[#This Row],[CostCenter]])="","Missing Value",UPPER(Cost[[#This Row],[CostCenter]]))</f>
        <v>AP</v>
      </c>
      <c r="M96" t="s">
        <v>3839</v>
      </c>
    </row>
    <row r="97" spans="1:13" hidden="1" x14ac:dyDescent="0.25">
      <c r="A97" t="s">
        <v>3935</v>
      </c>
      <c r="B97" t="s">
        <v>3783</v>
      </c>
      <c r="C97" t="str">
        <f>SUBSTITUTE(Cost[[#This Row],[Period]],"/","-")</f>
        <v>2025-06</v>
      </c>
      <c r="E97" t="str">
        <f>IF(UPPER(Cost[[#This Row],[ProductID]])&lt;&gt;"",Cost[[#This Row],[ProductID]],"Missing Value")</f>
        <v>Missing Value</v>
      </c>
      <c r="F97" t="s">
        <v>3830</v>
      </c>
      <c r="G97" t="s">
        <v>3572</v>
      </c>
      <c r="H97">
        <v>12111.59</v>
      </c>
      <c r="I97">
        <v>12486.18</v>
      </c>
      <c r="J97">
        <f>VALUE(Cost[[#This Row],[ActualCost]])</f>
        <v>12486.18</v>
      </c>
      <c r="K97" t="s">
        <v>3838</v>
      </c>
      <c r="L97" t="str">
        <f>IF(UPPER(Cost[[#This Row],[CostCenter]])="","Missing Value",UPPER(Cost[[#This Row],[CostCenter]]))</f>
        <v>AP</v>
      </c>
      <c r="M97" t="s">
        <v>3839</v>
      </c>
    </row>
    <row r="98" spans="1:13" hidden="1" x14ac:dyDescent="0.25">
      <c r="A98" t="s">
        <v>3936</v>
      </c>
      <c r="B98" t="s">
        <v>3783</v>
      </c>
      <c r="C98" t="str">
        <f>SUBSTITUTE(Cost[[#This Row],[Period]],"/","-")</f>
        <v>2025-06</v>
      </c>
      <c r="E98" t="str">
        <f>IF(UPPER(Cost[[#This Row],[ProductID]])&lt;&gt;"",Cost[[#This Row],[ProductID]],"Missing Value")</f>
        <v>Missing Value</v>
      </c>
      <c r="F98" t="s">
        <v>3823</v>
      </c>
      <c r="G98" t="s">
        <v>3572</v>
      </c>
      <c r="H98">
        <v>17954.86</v>
      </c>
      <c r="I98">
        <v>18510.169999999998</v>
      </c>
      <c r="J98">
        <f>VALUE(Cost[[#This Row],[ActualCost]])</f>
        <v>18510.169999999998</v>
      </c>
      <c r="K98" t="s">
        <v>3846</v>
      </c>
      <c r="L98" t="str">
        <f>IF(UPPER(Cost[[#This Row],[CostCenter]])="","Missing Value",UPPER(Cost[[#This Row],[CostCenter]]))</f>
        <v>LA</v>
      </c>
      <c r="M98" t="s">
        <v>3847</v>
      </c>
    </row>
    <row r="99" spans="1:13" hidden="1" x14ac:dyDescent="0.25">
      <c r="A99" t="s">
        <v>3937</v>
      </c>
      <c r="B99" t="s">
        <v>3783</v>
      </c>
      <c r="C99" t="str">
        <f>SUBSTITUTE(Cost[[#This Row],[Period]],"/","-")</f>
        <v>2025-06</v>
      </c>
      <c r="E99" t="str">
        <f>IF(UPPER(Cost[[#This Row],[ProductID]])&lt;&gt;"",Cost[[#This Row],[ProductID]],"Missing Value")</f>
        <v>Missing Value</v>
      </c>
      <c r="F99" t="s">
        <v>3888</v>
      </c>
      <c r="G99" t="s">
        <v>3572</v>
      </c>
      <c r="H99">
        <v>15329.79</v>
      </c>
      <c r="I99">
        <v>15803.91</v>
      </c>
      <c r="J99">
        <f>VALUE(Cost[[#This Row],[ActualCost]])</f>
        <v>15803.91</v>
      </c>
      <c r="K99" t="s">
        <v>3846</v>
      </c>
      <c r="L99" t="str">
        <f>IF(UPPER(Cost[[#This Row],[CostCenter]])="","Missing Value",UPPER(Cost[[#This Row],[CostCenter]]))</f>
        <v>LA</v>
      </c>
      <c r="M99" t="s">
        <v>3847</v>
      </c>
    </row>
    <row r="100" spans="1:13" hidden="1" x14ac:dyDescent="0.25">
      <c r="A100" t="s">
        <v>3938</v>
      </c>
      <c r="B100" t="s">
        <v>3783</v>
      </c>
      <c r="C100" t="str">
        <f>SUBSTITUTE(Cost[[#This Row],[Period]],"/","-")</f>
        <v>2025-06</v>
      </c>
      <c r="E100" t="str">
        <f>IF(UPPER(Cost[[#This Row],[ProductID]])&lt;&gt;"",Cost[[#This Row],[ProductID]],"Missing Value")</f>
        <v>Missing Value</v>
      </c>
      <c r="F100" t="s">
        <v>3828</v>
      </c>
      <c r="G100" t="s">
        <v>3568</v>
      </c>
      <c r="H100">
        <v>7093.05</v>
      </c>
      <c r="I100">
        <v>7312.42</v>
      </c>
      <c r="J100">
        <f>VALUE(Cost[[#This Row],[ActualCost]])</f>
        <v>7312.42</v>
      </c>
      <c r="K100" t="s">
        <v>3846</v>
      </c>
      <c r="L100" t="str">
        <f>IF(UPPER(Cost[[#This Row],[CostCenter]])="","Missing Value",UPPER(Cost[[#This Row],[CostCenter]]))</f>
        <v>LA</v>
      </c>
      <c r="M100" t="s">
        <v>3847</v>
      </c>
    </row>
    <row r="101" spans="1:13" hidden="1" x14ac:dyDescent="0.25">
      <c r="A101" t="s">
        <v>3939</v>
      </c>
      <c r="B101" t="s">
        <v>3783</v>
      </c>
      <c r="C101" t="str">
        <f>SUBSTITUTE(Cost[[#This Row],[Period]],"/","-")</f>
        <v>2025-06</v>
      </c>
      <c r="E101" t="str">
        <f>IF(UPPER(Cost[[#This Row],[ProductID]])&lt;&gt;"",Cost[[#This Row],[ProductID]],"Missing Value")</f>
        <v>Missing Value</v>
      </c>
      <c r="F101" t="s">
        <v>3830</v>
      </c>
      <c r="G101" t="s">
        <v>3572</v>
      </c>
      <c r="H101">
        <v>8797.66</v>
      </c>
      <c r="I101">
        <v>9069.75</v>
      </c>
      <c r="J101">
        <f>VALUE(Cost[[#This Row],[ActualCost]])</f>
        <v>9069.75</v>
      </c>
      <c r="K101" t="s">
        <v>3846</v>
      </c>
      <c r="L101" t="str">
        <f>IF(UPPER(Cost[[#This Row],[CostCenter]])="","Missing Value",UPPER(Cost[[#This Row],[CostCenter]]))</f>
        <v>LA</v>
      </c>
      <c r="M101" t="s">
        <v>3847</v>
      </c>
    </row>
    <row r="102" spans="1:13" hidden="1" x14ac:dyDescent="0.25">
      <c r="A102" t="s">
        <v>3601</v>
      </c>
      <c r="B102" t="s">
        <v>3566</v>
      </c>
      <c r="C102" t="str">
        <f>SUBSTITUTE(Cost[[#This Row],[Period]],"/","-")</f>
        <v>2025-01</v>
      </c>
      <c r="D102" t="s">
        <v>121</v>
      </c>
      <c r="E102" t="str">
        <f>IF(UPPER(Cost[[#This Row],[ProductID]])&lt;&gt;"",Cost[[#This Row],[ProductID]],"Missing Value")</f>
        <v>P-FS-001</v>
      </c>
      <c r="F102" t="s">
        <v>3574</v>
      </c>
      <c r="G102" t="s">
        <v>3568</v>
      </c>
      <c r="H102">
        <v>980</v>
      </c>
      <c r="I102">
        <v>1126.25</v>
      </c>
      <c r="J102">
        <f>VALUE(Cost[[#This Row],[ActualCost]])</f>
        <v>1126.25</v>
      </c>
      <c r="K102" t="s">
        <v>3602</v>
      </c>
      <c r="L102" t="str">
        <f>IF(UPPER(Cost[[#This Row],[CostCenter]])="","Missing Value",UPPER(Cost[[#This Row],[CostCenter]]))</f>
        <v>FS</v>
      </c>
    </row>
    <row r="103" spans="1:13" hidden="1" x14ac:dyDescent="0.25">
      <c r="A103" t="s">
        <v>3603</v>
      </c>
      <c r="B103" t="s">
        <v>3566</v>
      </c>
      <c r="C103" t="str">
        <f>SUBSTITUTE(Cost[[#This Row],[Period]],"/","-")</f>
        <v>2025-01</v>
      </c>
      <c r="D103" t="s">
        <v>121</v>
      </c>
      <c r="E103" t="str">
        <f>IF(UPPER(Cost[[#This Row],[ProductID]])&lt;&gt;"",Cost[[#This Row],[ProductID]],"Missing Value")</f>
        <v>P-FS-001</v>
      </c>
      <c r="F103" t="s">
        <v>3571</v>
      </c>
      <c r="G103" t="s">
        <v>3572</v>
      </c>
      <c r="H103">
        <v>220</v>
      </c>
      <c r="I103">
        <v>217.99</v>
      </c>
      <c r="J103">
        <f>VALUE(Cost[[#This Row],[ActualCost]])</f>
        <v>217.99</v>
      </c>
      <c r="K103" t="s">
        <v>3602</v>
      </c>
      <c r="L103" t="str">
        <f>IF(UPPER(Cost[[#This Row],[CostCenter]])="","Missing Value",UPPER(Cost[[#This Row],[CostCenter]]))</f>
        <v>FS</v>
      </c>
    </row>
    <row r="104" spans="1:13" hidden="1" x14ac:dyDescent="0.25">
      <c r="A104" t="s">
        <v>3641</v>
      </c>
      <c r="B104" t="s">
        <v>3615</v>
      </c>
      <c r="C104" t="str">
        <f>SUBSTITUTE(Cost[[#This Row],[Period]],"/","-")</f>
        <v>2025-02</v>
      </c>
      <c r="D104" t="s">
        <v>121</v>
      </c>
      <c r="E104" t="str">
        <f>IF(UPPER(Cost[[#This Row],[ProductID]])&lt;&gt;"",Cost[[#This Row],[ProductID]],"Missing Value")</f>
        <v>P-FS-001</v>
      </c>
      <c r="F104" t="s">
        <v>3574</v>
      </c>
      <c r="G104" t="s">
        <v>3568</v>
      </c>
      <c r="H104">
        <v>980</v>
      </c>
      <c r="I104">
        <v>1124.28</v>
      </c>
      <c r="J104">
        <f>VALUE(Cost[[#This Row],[ActualCost]])</f>
        <v>1124.28</v>
      </c>
      <c r="K104" t="s">
        <v>3602</v>
      </c>
      <c r="L104" t="str">
        <f>IF(UPPER(Cost[[#This Row],[CostCenter]])="","Missing Value",UPPER(Cost[[#This Row],[CostCenter]]))</f>
        <v>FS</v>
      </c>
    </row>
    <row r="105" spans="1:13" hidden="1" x14ac:dyDescent="0.25">
      <c r="A105" t="s">
        <v>3642</v>
      </c>
      <c r="B105" t="s">
        <v>3615</v>
      </c>
      <c r="C105" t="str">
        <f>SUBSTITUTE(Cost[[#This Row],[Period]],"/","-")</f>
        <v>2025-02</v>
      </c>
      <c r="D105" t="s">
        <v>121</v>
      </c>
      <c r="E105" t="str">
        <f>IF(UPPER(Cost[[#This Row],[ProductID]])&lt;&gt;"",Cost[[#This Row],[ProductID]],"Missing Value")</f>
        <v>P-FS-001</v>
      </c>
      <c r="F105" t="s">
        <v>3571</v>
      </c>
      <c r="G105" t="s">
        <v>3572</v>
      </c>
      <c r="H105">
        <v>220</v>
      </c>
      <c r="I105">
        <v>211.2</v>
      </c>
      <c r="J105">
        <f>VALUE(Cost[[#This Row],[ActualCost]])</f>
        <v>211.2</v>
      </c>
      <c r="K105" t="s">
        <v>3602</v>
      </c>
      <c r="L105" t="str">
        <f>IF(UPPER(Cost[[#This Row],[CostCenter]])="","Missing Value",UPPER(Cost[[#This Row],[CostCenter]]))</f>
        <v>FS</v>
      </c>
    </row>
    <row r="106" spans="1:13" hidden="1" x14ac:dyDescent="0.25">
      <c r="A106" t="s">
        <v>3682</v>
      </c>
      <c r="B106" t="s">
        <v>3655</v>
      </c>
      <c r="C106" t="str">
        <f>SUBSTITUTE(Cost[[#This Row],[Period]],"/","-")</f>
        <v>2025-03</v>
      </c>
      <c r="D106" t="s">
        <v>121</v>
      </c>
      <c r="E106" t="str">
        <f>IF(UPPER(Cost[[#This Row],[ProductID]])&lt;&gt;"",Cost[[#This Row],[ProductID]],"Missing Value")</f>
        <v>P-FS-001</v>
      </c>
      <c r="F106" t="s">
        <v>3574</v>
      </c>
      <c r="G106" t="s">
        <v>3568</v>
      </c>
      <c r="H106">
        <v>980</v>
      </c>
      <c r="I106">
        <v>1108.08</v>
      </c>
      <c r="J106">
        <f>VALUE(Cost[[#This Row],[ActualCost]])</f>
        <v>1108.08</v>
      </c>
      <c r="K106" t="s">
        <v>3602</v>
      </c>
      <c r="L106" t="str">
        <f>IF(UPPER(Cost[[#This Row],[CostCenter]])="","Missing Value",UPPER(Cost[[#This Row],[CostCenter]]))</f>
        <v>FS</v>
      </c>
    </row>
    <row r="107" spans="1:13" hidden="1" x14ac:dyDescent="0.25">
      <c r="A107" t="s">
        <v>3683</v>
      </c>
      <c r="B107" t="s">
        <v>3655</v>
      </c>
      <c r="C107" t="str">
        <f>SUBSTITUTE(Cost[[#This Row],[Period]],"/","-")</f>
        <v>2025-03</v>
      </c>
      <c r="D107" t="s">
        <v>121</v>
      </c>
      <c r="E107" t="str">
        <f>IF(UPPER(Cost[[#This Row],[ProductID]])&lt;&gt;"",Cost[[#This Row],[ProductID]],"Missing Value")</f>
        <v>P-FS-001</v>
      </c>
      <c r="F107" t="s">
        <v>3571</v>
      </c>
      <c r="G107" t="s">
        <v>3572</v>
      </c>
      <c r="H107">
        <v>220</v>
      </c>
      <c r="I107">
        <v>224.06</v>
      </c>
      <c r="J107">
        <f>VALUE(Cost[[#This Row],[ActualCost]])</f>
        <v>224.06</v>
      </c>
      <c r="K107" t="s">
        <v>3602</v>
      </c>
      <c r="L107" t="str">
        <f>IF(UPPER(Cost[[#This Row],[CostCenter]])="","Missing Value",UPPER(Cost[[#This Row],[CostCenter]]))</f>
        <v>FS</v>
      </c>
    </row>
    <row r="108" spans="1:13" hidden="1" x14ac:dyDescent="0.25">
      <c r="A108" t="s">
        <v>3723</v>
      </c>
      <c r="B108" t="s">
        <v>3695</v>
      </c>
      <c r="C108" t="str">
        <f>SUBSTITUTE(Cost[[#This Row],[Period]],"/","-")</f>
        <v>2025-04</v>
      </c>
      <c r="D108" t="s">
        <v>121</v>
      </c>
      <c r="E108" t="str">
        <f>IF(UPPER(Cost[[#This Row],[ProductID]])&lt;&gt;"",Cost[[#This Row],[ProductID]],"Missing Value")</f>
        <v>P-FS-001</v>
      </c>
      <c r="F108" t="s">
        <v>3574</v>
      </c>
      <c r="G108" t="s">
        <v>3568</v>
      </c>
      <c r="H108">
        <v>980</v>
      </c>
      <c r="I108">
        <v>1123.73</v>
      </c>
      <c r="J108">
        <f>VALUE(Cost[[#This Row],[ActualCost]])</f>
        <v>1123.73</v>
      </c>
      <c r="K108" t="s">
        <v>3602</v>
      </c>
      <c r="L108" t="str">
        <f>IF(UPPER(Cost[[#This Row],[CostCenter]])="","Missing Value",UPPER(Cost[[#This Row],[CostCenter]]))</f>
        <v>FS</v>
      </c>
    </row>
    <row r="109" spans="1:13" hidden="1" x14ac:dyDescent="0.25">
      <c r="A109" t="s">
        <v>3724</v>
      </c>
      <c r="B109" t="s">
        <v>3695</v>
      </c>
      <c r="C109" t="str">
        <f>SUBSTITUTE(Cost[[#This Row],[Period]],"/","-")</f>
        <v>2025-04</v>
      </c>
      <c r="D109" t="s">
        <v>121</v>
      </c>
      <c r="E109" t="str">
        <f>IF(UPPER(Cost[[#This Row],[ProductID]])&lt;&gt;"",Cost[[#This Row],[ProductID]],"Missing Value")</f>
        <v>P-FS-001</v>
      </c>
      <c r="F109" t="s">
        <v>3571</v>
      </c>
      <c r="G109" t="s">
        <v>3572</v>
      </c>
      <c r="H109">
        <v>220</v>
      </c>
      <c r="I109">
        <v>220.46</v>
      </c>
      <c r="J109">
        <f>VALUE(Cost[[#This Row],[ActualCost]])</f>
        <v>220.46</v>
      </c>
      <c r="K109" t="s">
        <v>3602</v>
      </c>
      <c r="L109" t="str">
        <f>IF(UPPER(Cost[[#This Row],[CostCenter]])="","Missing Value",UPPER(Cost[[#This Row],[CostCenter]]))</f>
        <v>FS</v>
      </c>
    </row>
    <row r="110" spans="1:13" hidden="1" x14ac:dyDescent="0.25">
      <c r="A110" t="s">
        <v>3767</v>
      </c>
      <c r="B110" t="s">
        <v>3738</v>
      </c>
      <c r="C110" t="str">
        <f>SUBSTITUTE(Cost[[#This Row],[Period]],"/","-")</f>
        <v>2025-05</v>
      </c>
      <c r="D110" t="s">
        <v>121</v>
      </c>
      <c r="E110" t="str">
        <f>IF(UPPER(Cost[[#This Row],[ProductID]])&lt;&gt;"",Cost[[#This Row],[ProductID]],"Missing Value")</f>
        <v>P-FS-001</v>
      </c>
      <c r="F110" t="s">
        <v>3574</v>
      </c>
      <c r="G110" t="s">
        <v>3568</v>
      </c>
      <c r="H110">
        <v>980</v>
      </c>
      <c r="I110" t="s">
        <v>3768</v>
      </c>
      <c r="J110">
        <f>VALUE(Cost[[#This Row],[ActualCost]])</f>
        <v>1153.56</v>
      </c>
      <c r="K110" t="s">
        <v>3602</v>
      </c>
      <c r="L110" t="str">
        <f>IF(UPPER(Cost[[#This Row],[CostCenter]])="","Missing Value",UPPER(Cost[[#This Row],[CostCenter]]))</f>
        <v>FS</v>
      </c>
    </row>
    <row r="111" spans="1:13" hidden="1" x14ac:dyDescent="0.25">
      <c r="A111" t="s">
        <v>3769</v>
      </c>
      <c r="B111" t="s">
        <v>3738</v>
      </c>
      <c r="C111" t="str">
        <f>SUBSTITUTE(Cost[[#This Row],[Period]],"/","-")</f>
        <v>2025-05</v>
      </c>
      <c r="D111" t="s">
        <v>121</v>
      </c>
      <c r="E111" t="str">
        <f>IF(UPPER(Cost[[#This Row],[ProductID]])&lt;&gt;"",Cost[[#This Row],[ProductID]],"Missing Value")</f>
        <v>P-FS-001</v>
      </c>
      <c r="F111" t="s">
        <v>3571</v>
      </c>
      <c r="G111" t="s">
        <v>3572</v>
      </c>
      <c r="H111">
        <v>220</v>
      </c>
      <c r="I111">
        <v>213.28</v>
      </c>
      <c r="J111">
        <f>VALUE(Cost[[#This Row],[ActualCost]])</f>
        <v>213.28</v>
      </c>
      <c r="K111" t="s">
        <v>3602</v>
      </c>
      <c r="L111" t="str">
        <f>IF(UPPER(Cost[[#This Row],[CostCenter]])="","Missing Value",UPPER(Cost[[#This Row],[CostCenter]]))</f>
        <v>FS</v>
      </c>
    </row>
    <row r="112" spans="1:13" hidden="1" x14ac:dyDescent="0.25">
      <c r="A112" t="s">
        <v>3810</v>
      </c>
      <c r="B112" t="s">
        <v>3783</v>
      </c>
      <c r="C112" t="str">
        <f>SUBSTITUTE(Cost[[#This Row],[Period]],"/","-")</f>
        <v>2025-06</v>
      </c>
      <c r="D112" t="s">
        <v>121</v>
      </c>
      <c r="E112" t="str">
        <f>IF(UPPER(Cost[[#This Row],[ProductID]])&lt;&gt;"",Cost[[#This Row],[ProductID]],"Missing Value")</f>
        <v>P-FS-001</v>
      </c>
      <c r="F112" t="s">
        <v>3574</v>
      </c>
      <c r="G112" t="s">
        <v>3568</v>
      </c>
      <c r="H112">
        <v>980</v>
      </c>
      <c r="I112">
        <v>1118.05</v>
      </c>
      <c r="J112">
        <f>VALUE(Cost[[#This Row],[ActualCost]])</f>
        <v>1118.05</v>
      </c>
      <c r="K112" t="s">
        <v>3602</v>
      </c>
      <c r="L112" t="str">
        <f>IF(UPPER(Cost[[#This Row],[CostCenter]])="","Missing Value",UPPER(Cost[[#This Row],[CostCenter]]))</f>
        <v>FS</v>
      </c>
    </row>
    <row r="113" spans="1:12" hidden="1" x14ac:dyDescent="0.25">
      <c r="A113" t="s">
        <v>3811</v>
      </c>
      <c r="B113" t="s">
        <v>3783</v>
      </c>
      <c r="C113" t="str">
        <f>SUBSTITUTE(Cost[[#This Row],[Period]],"/","-")</f>
        <v>2025-06</v>
      </c>
      <c r="D113" t="s">
        <v>121</v>
      </c>
      <c r="E113" t="str">
        <f>IF(UPPER(Cost[[#This Row],[ProductID]])&lt;&gt;"",Cost[[#This Row],[ProductID]],"Missing Value")</f>
        <v>P-FS-001</v>
      </c>
      <c r="F113" t="s">
        <v>3571</v>
      </c>
      <c r="G113" t="s">
        <v>3572</v>
      </c>
      <c r="H113">
        <v>220</v>
      </c>
      <c r="I113">
        <v>213.4</v>
      </c>
      <c r="J113">
        <f>VALUE(Cost[[#This Row],[ActualCost]])</f>
        <v>213.4</v>
      </c>
      <c r="K113" t="s">
        <v>3602</v>
      </c>
      <c r="L113" t="str">
        <f>IF(UPPER(Cost[[#This Row],[CostCenter]])="","Missing Value",UPPER(Cost[[#This Row],[CostCenter]]))</f>
        <v>FS</v>
      </c>
    </row>
    <row r="114" spans="1:12" hidden="1" x14ac:dyDescent="0.25">
      <c r="A114" t="s">
        <v>3604</v>
      </c>
      <c r="B114" t="s">
        <v>3566</v>
      </c>
      <c r="C114" t="str">
        <f>SUBSTITUTE(Cost[[#This Row],[Period]],"/","-")</f>
        <v>2025-01</v>
      </c>
      <c r="D114" t="s">
        <v>268</v>
      </c>
      <c r="E114" t="str">
        <f>IF(UPPER(Cost[[#This Row],[ProductID]])&lt;&gt;"",Cost[[#This Row],[ProductID]],"Missing Value")</f>
        <v>P-FS-002</v>
      </c>
      <c r="F114" t="s">
        <v>3574</v>
      </c>
      <c r="G114" t="s">
        <v>3568</v>
      </c>
      <c r="H114">
        <v>1120</v>
      </c>
      <c r="I114">
        <v>1263.71</v>
      </c>
      <c r="J114">
        <f>VALUE(Cost[[#This Row],[ActualCost]])</f>
        <v>1263.71</v>
      </c>
      <c r="K114" t="s">
        <v>3602</v>
      </c>
      <c r="L114" t="str">
        <f>IF(UPPER(Cost[[#This Row],[CostCenter]])="","Missing Value",UPPER(Cost[[#This Row],[CostCenter]]))</f>
        <v>FS</v>
      </c>
    </row>
    <row r="115" spans="1:12" hidden="1" x14ac:dyDescent="0.25">
      <c r="A115" t="s">
        <v>3605</v>
      </c>
      <c r="B115" t="s">
        <v>3566</v>
      </c>
      <c r="C115" t="str">
        <f>SUBSTITUTE(Cost[[#This Row],[Period]],"/","-")</f>
        <v>2025-01</v>
      </c>
      <c r="D115" t="s">
        <v>268</v>
      </c>
      <c r="E115" t="str">
        <f>IF(UPPER(Cost[[#This Row],[ProductID]])&lt;&gt;"",Cost[[#This Row],[ProductID]],"Missing Value")</f>
        <v>P-FS-002</v>
      </c>
      <c r="F115" t="s">
        <v>3571</v>
      </c>
      <c r="G115" t="s">
        <v>3572</v>
      </c>
      <c r="H115">
        <v>280</v>
      </c>
      <c r="I115">
        <v>301.18</v>
      </c>
      <c r="J115">
        <f>VALUE(Cost[[#This Row],[ActualCost]])</f>
        <v>301.18</v>
      </c>
      <c r="K115" t="s">
        <v>3602</v>
      </c>
      <c r="L115" t="str">
        <f>IF(UPPER(Cost[[#This Row],[CostCenter]])="","Missing Value",UPPER(Cost[[#This Row],[CostCenter]]))</f>
        <v>FS</v>
      </c>
    </row>
    <row r="116" spans="1:12" hidden="1" x14ac:dyDescent="0.25">
      <c r="A116" t="s">
        <v>3643</v>
      </c>
      <c r="B116" t="s">
        <v>3615</v>
      </c>
      <c r="C116" t="str">
        <f>SUBSTITUTE(Cost[[#This Row],[Period]],"/","-")</f>
        <v>2025-02</v>
      </c>
      <c r="D116" t="s">
        <v>268</v>
      </c>
      <c r="E116" t="str">
        <f>IF(UPPER(Cost[[#This Row],[ProductID]])&lt;&gt;"",Cost[[#This Row],[ProductID]],"Missing Value")</f>
        <v>P-FS-002</v>
      </c>
      <c r="F116" t="s">
        <v>3574</v>
      </c>
      <c r="G116" t="s">
        <v>3568</v>
      </c>
      <c r="H116">
        <v>1120</v>
      </c>
      <c r="I116">
        <v>1242.76</v>
      </c>
      <c r="J116">
        <f>VALUE(Cost[[#This Row],[ActualCost]])</f>
        <v>1242.76</v>
      </c>
      <c r="K116" t="s">
        <v>3602</v>
      </c>
      <c r="L116" t="str">
        <f>IF(UPPER(Cost[[#This Row],[CostCenter]])="","Missing Value",UPPER(Cost[[#This Row],[CostCenter]]))</f>
        <v>FS</v>
      </c>
    </row>
    <row r="117" spans="1:12" hidden="1" x14ac:dyDescent="0.25">
      <c r="A117" t="s">
        <v>3644</v>
      </c>
      <c r="B117" t="s">
        <v>3615</v>
      </c>
      <c r="C117" t="str">
        <f>SUBSTITUTE(Cost[[#This Row],[Period]],"/","-")</f>
        <v>2025-02</v>
      </c>
      <c r="D117" t="s">
        <v>268</v>
      </c>
      <c r="E117" t="str">
        <f>IF(UPPER(Cost[[#This Row],[ProductID]])&lt;&gt;"",Cost[[#This Row],[ProductID]],"Missing Value")</f>
        <v>P-FS-002</v>
      </c>
      <c r="F117" t="s">
        <v>3571</v>
      </c>
      <c r="G117" t="s">
        <v>3572</v>
      </c>
      <c r="H117">
        <v>280</v>
      </c>
      <c r="I117">
        <v>290.14</v>
      </c>
      <c r="J117">
        <f>VALUE(Cost[[#This Row],[ActualCost]])</f>
        <v>290.14</v>
      </c>
      <c r="K117" t="s">
        <v>3602</v>
      </c>
      <c r="L117" t="str">
        <f>IF(UPPER(Cost[[#This Row],[CostCenter]])="","Missing Value",UPPER(Cost[[#This Row],[CostCenter]]))</f>
        <v>FS</v>
      </c>
    </row>
    <row r="118" spans="1:12" hidden="1" x14ac:dyDescent="0.25">
      <c r="A118" t="s">
        <v>3684</v>
      </c>
      <c r="B118" t="s">
        <v>3655</v>
      </c>
      <c r="C118" t="str">
        <f>SUBSTITUTE(Cost[[#This Row],[Period]],"/","-")</f>
        <v>2025-03</v>
      </c>
      <c r="D118" t="s">
        <v>268</v>
      </c>
      <c r="E118" t="str">
        <f>IF(UPPER(Cost[[#This Row],[ProductID]])&lt;&gt;"",Cost[[#This Row],[ProductID]],"Missing Value")</f>
        <v>P-FS-002</v>
      </c>
      <c r="F118" t="s">
        <v>3574</v>
      </c>
      <c r="G118" t="s">
        <v>3568</v>
      </c>
      <c r="H118">
        <v>1120</v>
      </c>
      <c r="I118">
        <v>1218.76</v>
      </c>
      <c r="J118">
        <f>VALUE(Cost[[#This Row],[ActualCost]])</f>
        <v>1218.76</v>
      </c>
      <c r="K118" t="s">
        <v>3602</v>
      </c>
      <c r="L118" t="str">
        <f>IF(UPPER(Cost[[#This Row],[CostCenter]])="","Missing Value",UPPER(Cost[[#This Row],[CostCenter]]))</f>
        <v>FS</v>
      </c>
    </row>
    <row r="119" spans="1:12" hidden="1" x14ac:dyDescent="0.25">
      <c r="A119" t="s">
        <v>3685</v>
      </c>
      <c r="B119" t="s">
        <v>3655</v>
      </c>
      <c r="C119" t="str">
        <f>SUBSTITUTE(Cost[[#This Row],[Period]],"/","-")</f>
        <v>2025-03</v>
      </c>
      <c r="D119" t="s">
        <v>268</v>
      </c>
      <c r="E119" t="str">
        <f>IF(UPPER(Cost[[#This Row],[ProductID]])&lt;&gt;"",Cost[[#This Row],[ProductID]],"Missing Value")</f>
        <v>P-FS-002</v>
      </c>
      <c r="F119" t="s">
        <v>3571</v>
      </c>
      <c r="G119" t="s">
        <v>3572</v>
      </c>
      <c r="H119">
        <v>280</v>
      </c>
      <c r="I119">
        <v>277.74</v>
      </c>
      <c r="J119">
        <f>VALUE(Cost[[#This Row],[ActualCost]])</f>
        <v>277.74</v>
      </c>
      <c r="K119" t="s">
        <v>3602</v>
      </c>
      <c r="L119" t="str">
        <f>IF(UPPER(Cost[[#This Row],[CostCenter]])="","Missing Value",UPPER(Cost[[#This Row],[CostCenter]]))</f>
        <v>FS</v>
      </c>
    </row>
    <row r="120" spans="1:12" hidden="1" x14ac:dyDescent="0.25">
      <c r="A120" t="s">
        <v>3725</v>
      </c>
      <c r="B120" t="s">
        <v>3726</v>
      </c>
      <c r="C120" t="str">
        <f>SUBSTITUTE(Cost[[#This Row],[Period]],"/","-")</f>
        <v>2025-04</v>
      </c>
      <c r="D120" t="s">
        <v>268</v>
      </c>
      <c r="E120" t="str">
        <f>IF(UPPER(Cost[[#This Row],[ProductID]])&lt;&gt;"",Cost[[#This Row],[ProductID]],"Missing Value")</f>
        <v>P-FS-002</v>
      </c>
      <c r="F120" t="s">
        <v>3574</v>
      </c>
      <c r="G120" t="s">
        <v>3568</v>
      </c>
      <c r="H120">
        <v>1120</v>
      </c>
      <c r="I120">
        <v>1247.48</v>
      </c>
      <c r="J120">
        <f>VALUE(Cost[[#This Row],[ActualCost]])</f>
        <v>1247.48</v>
      </c>
      <c r="K120" t="s">
        <v>3602</v>
      </c>
      <c r="L120" t="str">
        <f>IF(UPPER(Cost[[#This Row],[CostCenter]])="","Missing Value",UPPER(Cost[[#This Row],[CostCenter]]))</f>
        <v>FS</v>
      </c>
    </row>
    <row r="121" spans="1:12" hidden="1" x14ac:dyDescent="0.25">
      <c r="A121" t="s">
        <v>3727</v>
      </c>
      <c r="B121" t="s">
        <v>3695</v>
      </c>
      <c r="C121" t="str">
        <f>SUBSTITUTE(Cost[[#This Row],[Period]],"/","-")</f>
        <v>2025-04</v>
      </c>
      <c r="D121" t="s">
        <v>268</v>
      </c>
      <c r="E121" t="str">
        <f>IF(UPPER(Cost[[#This Row],[ProductID]])&lt;&gt;"",Cost[[#This Row],[ProductID]],"Missing Value")</f>
        <v>P-FS-002</v>
      </c>
      <c r="F121" t="s">
        <v>3571</v>
      </c>
      <c r="G121" t="s">
        <v>3572</v>
      </c>
      <c r="H121">
        <v>280</v>
      </c>
      <c r="I121">
        <v>290.36</v>
      </c>
      <c r="J121">
        <f>VALUE(Cost[[#This Row],[ActualCost]])</f>
        <v>290.36</v>
      </c>
      <c r="K121" t="s">
        <v>3602</v>
      </c>
      <c r="L121" t="str">
        <f>IF(UPPER(Cost[[#This Row],[CostCenter]])="","Missing Value",UPPER(Cost[[#This Row],[CostCenter]]))</f>
        <v>FS</v>
      </c>
    </row>
    <row r="122" spans="1:12" hidden="1" x14ac:dyDescent="0.25">
      <c r="A122" t="s">
        <v>3770</v>
      </c>
      <c r="B122" t="s">
        <v>3738</v>
      </c>
      <c r="C122" t="str">
        <f>SUBSTITUTE(Cost[[#This Row],[Period]],"/","-")</f>
        <v>2025-05</v>
      </c>
      <c r="D122" t="s">
        <v>268</v>
      </c>
      <c r="E122" t="str">
        <f>IF(UPPER(Cost[[#This Row],[ProductID]])&lt;&gt;"",Cost[[#This Row],[ProductID]],"Missing Value")</f>
        <v>P-FS-002</v>
      </c>
      <c r="F122" t="s">
        <v>3574</v>
      </c>
      <c r="G122" t="s">
        <v>3568</v>
      </c>
      <c r="H122">
        <v>1120</v>
      </c>
      <c r="I122">
        <v>1247.2</v>
      </c>
      <c r="J122">
        <f>VALUE(Cost[[#This Row],[ActualCost]])</f>
        <v>1247.2</v>
      </c>
      <c r="K122" t="s">
        <v>3602</v>
      </c>
      <c r="L122" t="str">
        <f>IF(UPPER(Cost[[#This Row],[CostCenter]])="","Missing Value",UPPER(Cost[[#This Row],[CostCenter]]))</f>
        <v>FS</v>
      </c>
    </row>
    <row r="123" spans="1:12" hidden="1" x14ac:dyDescent="0.25">
      <c r="A123" t="s">
        <v>3771</v>
      </c>
      <c r="B123" t="s">
        <v>3738</v>
      </c>
      <c r="C123" t="str">
        <f>SUBSTITUTE(Cost[[#This Row],[Period]],"/","-")</f>
        <v>2025-05</v>
      </c>
      <c r="D123" t="s">
        <v>268</v>
      </c>
      <c r="E123" t="str">
        <f>IF(UPPER(Cost[[#This Row],[ProductID]])&lt;&gt;"",Cost[[#This Row],[ProductID]],"Missing Value")</f>
        <v>P-FS-002</v>
      </c>
      <c r="F123" t="s">
        <v>3580</v>
      </c>
      <c r="G123" t="s">
        <v>3572</v>
      </c>
      <c r="H123">
        <v>280</v>
      </c>
      <c r="I123">
        <v>283.91000000000003</v>
      </c>
      <c r="J123">
        <f>VALUE(Cost[[#This Row],[ActualCost]])</f>
        <v>283.91000000000003</v>
      </c>
      <c r="K123" t="s">
        <v>3602</v>
      </c>
      <c r="L123" t="str">
        <f>IF(UPPER(Cost[[#This Row],[CostCenter]])="","Missing Value",UPPER(Cost[[#This Row],[CostCenter]]))</f>
        <v>FS</v>
      </c>
    </row>
    <row r="124" spans="1:12" hidden="1" x14ac:dyDescent="0.25">
      <c r="A124" t="s">
        <v>3812</v>
      </c>
      <c r="B124" t="s">
        <v>3783</v>
      </c>
      <c r="C124" t="str">
        <f>SUBSTITUTE(Cost[[#This Row],[Period]],"/","-")</f>
        <v>2025-06</v>
      </c>
      <c r="D124" t="s">
        <v>268</v>
      </c>
      <c r="E124" t="str">
        <f>IF(UPPER(Cost[[#This Row],[ProductID]])&lt;&gt;"",Cost[[#This Row],[ProductID]],"Missing Value")</f>
        <v>P-FS-002</v>
      </c>
      <c r="F124" t="s">
        <v>3574</v>
      </c>
      <c r="G124" t="s">
        <v>3568</v>
      </c>
      <c r="H124">
        <v>1120</v>
      </c>
      <c r="I124">
        <v>1271.29</v>
      </c>
      <c r="J124">
        <f>VALUE(Cost[[#This Row],[ActualCost]])</f>
        <v>1271.29</v>
      </c>
      <c r="K124" t="s">
        <v>3602</v>
      </c>
      <c r="L124" t="str">
        <f>IF(UPPER(Cost[[#This Row],[CostCenter]])="","Missing Value",UPPER(Cost[[#This Row],[CostCenter]]))</f>
        <v>FS</v>
      </c>
    </row>
    <row r="125" spans="1:12" hidden="1" x14ac:dyDescent="0.25">
      <c r="A125" t="s">
        <v>3813</v>
      </c>
      <c r="B125" t="s">
        <v>3783</v>
      </c>
      <c r="C125" t="str">
        <f>SUBSTITUTE(Cost[[#This Row],[Period]],"/","-")</f>
        <v>2025-06</v>
      </c>
      <c r="D125" t="s">
        <v>268</v>
      </c>
      <c r="E125" t="str">
        <f>IF(UPPER(Cost[[#This Row],[ProductID]])&lt;&gt;"",Cost[[#This Row],[ProductID]],"Missing Value")</f>
        <v>P-FS-002</v>
      </c>
      <c r="F125" t="s">
        <v>3571</v>
      </c>
      <c r="G125" t="s">
        <v>3572</v>
      </c>
      <c r="H125">
        <v>280</v>
      </c>
      <c r="I125">
        <v>296.85000000000002</v>
      </c>
      <c r="J125">
        <f>VALUE(Cost[[#This Row],[ActualCost]])</f>
        <v>296.85000000000002</v>
      </c>
      <c r="K125" t="s">
        <v>3602</v>
      </c>
      <c r="L125" t="str">
        <f>IF(UPPER(Cost[[#This Row],[CostCenter]])="","Missing Value",UPPER(Cost[[#This Row],[CostCenter]]))</f>
        <v>FS</v>
      </c>
    </row>
    <row r="126" spans="1:12" hidden="1" x14ac:dyDescent="0.25">
      <c r="A126" t="s">
        <v>3606</v>
      </c>
      <c r="B126" t="s">
        <v>3566</v>
      </c>
      <c r="C126" t="str">
        <f>SUBSTITUTE(Cost[[#This Row],[Period]],"/","-")</f>
        <v>2025-01</v>
      </c>
      <c r="D126" t="s">
        <v>222</v>
      </c>
      <c r="E126" t="str">
        <f>IF(UPPER(Cost[[#This Row],[ProductID]])&lt;&gt;"",Cost[[#This Row],[ProductID]],"Missing Value")</f>
        <v>P-FS-003</v>
      </c>
      <c r="F126" t="s">
        <v>3574</v>
      </c>
      <c r="G126" t="s">
        <v>3568</v>
      </c>
      <c r="H126">
        <v>1850</v>
      </c>
      <c r="I126">
        <v>2111.06</v>
      </c>
      <c r="J126">
        <f>VALUE(Cost[[#This Row],[ActualCost]])</f>
        <v>2111.06</v>
      </c>
      <c r="K126" t="s">
        <v>3602</v>
      </c>
      <c r="L126" t="str">
        <f>IF(UPPER(Cost[[#This Row],[CostCenter]])="","Missing Value",UPPER(Cost[[#This Row],[CostCenter]]))</f>
        <v>FS</v>
      </c>
    </row>
    <row r="127" spans="1:12" hidden="1" x14ac:dyDescent="0.25">
      <c r="A127" t="s">
        <v>3607</v>
      </c>
      <c r="B127" t="s">
        <v>3566</v>
      </c>
      <c r="C127" t="str">
        <f>SUBSTITUTE(Cost[[#This Row],[Period]],"/","-")</f>
        <v>2025-01</v>
      </c>
      <c r="D127" t="s">
        <v>222</v>
      </c>
      <c r="E127" t="str">
        <f>IF(UPPER(Cost[[#This Row],[ProductID]])&lt;&gt;"",Cost[[#This Row],[ProductID]],"Missing Value")</f>
        <v>P-FS-003</v>
      </c>
      <c r="F127" t="s">
        <v>3571</v>
      </c>
      <c r="G127" t="s">
        <v>3572</v>
      </c>
      <c r="H127">
        <v>410</v>
      </c>
      <c r="I127">
        <v>424.87</v>
      </c>
      <c r="J127">
        <f>VALUE(Cost[[#This Row],[ActualCost]])</f>
        <v>424.87</v>
      </c>
      <c r="K127" t="s">
        <v>3602</v>
      </c>
      <c r="L127" t="str">
        <f>IF(UPPER(Cost[[#This Row],[CostCenter]])="","Missing Value",UPPER(Cost[[#This Row],[CostCenter]]))</f>
        <v>FS</v>
      </c>
    </row>
    <row r="128" spans="1:12" hidden="1" x14ac:dyDescent="0.25">
      <c r="A128" t="s">
        <v>3645</v>
      </c>
      <c r="B128" t="s">
        <v>3615</v>
      </c>
      <c r="C128" t="str">
        <f>SUBSTITUTE(Cost[[#This Row],[Period]],"/","-")</f>
        <v>2025-02</v>
      </c>
      <c r="D128" t="s">
        <v>222</v>
      </c>
      <c r="E128" t="str">
        <f>IF(UPPER(Cost[[#This Row],[ProductID]])&lt;&gt;"",Cost[[#This Row],[ProductID]],"Missing Value")</f>
        <v>P-FS-003</v>
      </c>
      <c r="F128" t="s">
        <v>3574</v>
      </c>
      <c r="G128" t="s">
        <v>3568</v>
      </c>
      <c r="H128">
        <v>1850</v>
      </c>
      <c r="I128">
        <v>2067.25</v>
      </c>
      <c r="J128">
        <f>VALUE(Cost[[#This Row],[ActualCost]])</f>
        <v>2067.25</v>
      </c>
      <c r="K128" t="s">
        <v>3602</v>
      </c>
      <c r="L128" t="str">
        <f>IF(UPPER(Cost[[#This Row],[CostCenter]])="","Missing Value",UPPER(Cost[[#This Row],[CostCenter]]))</f>
        <v>FS</v>
      </c>
    </row>
    <row r="129" spans="1:12" hidden="1" x14ac:dyDescent="0.25">
      <c r="A129" t="s">
        <v>3646</v>
      </c>
      <c r="B129" t="s">
        <v>3647</v>
      </c>
      <c r="C129" t="str">
        <f>SUBSTITUTE(Cost[[#This Row],[Period]],"/","-")</f>
        <v>2025-02</v>
      </c>
      <c r="D129" t="s">
        <v>222</v>
      </c>
      <c r="E129" t="str">
        <f>IF(UPPER(Cost[[#This Row],[ProductID]])&lt;&gt;"",Cost[[#This Row],[ProductID]],"Missing Value")</f>
        <v>P-FS-003</v>
      </c>
      <c r="F129" t="s">
        <v>3571</v>
      </c>
      <c r="G129" t="s">
        <v>3572</v>
      </c>
      <c r="H129">
        <v>410</v>
      </c>
      <c r="I129">
        <v>415.32</v>
      </c>
      <c r="J129">
        <f>VALUE(Cost[[#This Row],[ActualCost]])</f>
        <v>415.32</v>
      </c>
      <c r="K129" t="s">
        <v>3602</v>
      </c>
      <c r="L129" t="str">
        <f>IF(UPPER(Cost[[#This Row],[CostCenter]])="","Missing Value",UPPER(Cost[[#This Row],[CostCenter]]))</f>
        <v>FS</v>
      </c>
    </row>
    <row r="130" spans="1:12" hidden="1" x14ac:dyDescent="0.25">
      <c r="A130" t="s">
        <v>3686</v>
      </c>
      <c r="B130" t="s">
        <v>3655</v>
      </c>
      <c r="C130" t="str">
        <f>SUBSTITUTE(Cost[[#This Row],[Period]],"/","-")</f>
        <v>2025-03</v>
      </c>
      <c r="D130" t="s">
        <v>222</v>
      </c>
      <c r="E130" t="str">
        <f>IF(UPPER(Cost[[#This Row],[ProductID]])&lt;&gt;"",Cost[[#This Row],[ProductID]],"Missing Value")</f>
        <v>P-FS-003</v>
      </c>
      <c r="F130" t="s">
        <v>3574</v>
      </c>
      <c r="G130" t="s">
        <v>3568</v>
      </c>
      <c r="H130">
        <v>1850</v>
      </c>
      <c r="I130">
        <v>2105</v>
      </c>
      <c r="J130">
        <f>VALUE(Cost[[#This Row],[ActualCost]])</f>
        <v>2105</v>
      </c>
      <c r="K130" t="s">
        <v>3602</v>
      </c>
      <c r="L130" t="str">
        <f>IF(UPPER(Cost[[#This Row],[CostCenter]])="","Missing Value",UPPER(Cost[[#This Row],[CostCenter]]))</f>
        <v>FS</v>
      </c>
    </row>
    <row r="131" spans="1:12" hidden="1" x14ac:dyDescent="0.25">
      <c r="A131" t="s">
        <v>3687</v>
      </c>
      <c r="B131" t="s">
        <v>3655</v>
      </c>
      <c r="C131" t="str">
        <f>SUBSTITUTE(Cost[[#This Row],[Period]],"/","-")</f>
        <v>2025-03</v>
      </c>
      <c r="D131" t="s">
        <v>222</v>
      </c>
      <c r="E131" t="str">
        <f>IF(UPPER(Cost[[#This Row],[ProductID]])&lt;&gt;"",Cost[[#This Row],[ProductID]],"Missing Value")</f>
        <v>P-FS-003</v>
      </c>
      <c r="F131" t="s">
        <v>3571</v>
      </c>
      <c r="G131" t="s">
        <v>3572</v>
      </c>
      <c r="H131">
        <v>410</v>
      </c>
      <c r="I131">
        <v>408.18</v>
      </c>
      <c r="J131">
        <f>VALUE(Cost[[#This Row],[ActualCost]])</f>
        <v>408.18</v>
      </c>
      <c r="K131" t="s">
        <v>3602</v>
      </c>
      <c r="L131" t="str">
        <f>IF(UPPER(Cost[[#This Row],[CostCenter]])="","Missing Value",UPPER(Cost[[#This Row],[CostCenter]]))</f>
        <v>FS</v>
      </c>
    </row>
    <row r="132" spans="1:12" hidden="1" x14ac:dyDescent="0.25">
      <c r="A132" t="s">
        <v>3728</v>
      </c>
      <c r="B132" t="s">
        <v>3695</v>
      </c>
      <c r="C132" t="str">
        <f>SUBSTITUTE(Cost[[#This Row],[Period]],"/","-")</f>
        <v>2025-04</v>
      </c>
      <c r="D132" t="s">
        <v>222</v>
      </c>
      <c r="E132" t="str">
        <f>IF(UPPER(Cost[[#This Row],[ProductID]])&lt;&gt;"",Cost[[#This Row],[ProductID]],"Missing Value")</f>
        <v>P-FS-003</v>
      </c>
      <c r="F132" t="s">
        <v>3574</v>
      </c>
      <c r="G132" t="s">
        <v>3568</v>
      </c>
      <c r="H132">
        <v>1850</v>
      </c>
      <c r="I132">
        <v>2112.37</v>
      </c>
      <c r="J132">
        <f>VALUE(Cost[[#This Row],[ActualCost]])</f>
        <v>2112.37</v>
      </c>
      <c r="K132" t="s">
        <v>3602</v>
      </c>
      <c r="L132" t="str">
        <f>IF(UPPER(Cost[[#This Row],[CostCenter]])="","Missing Value",UPPER(Cost[[#This Row],[CostCenter]]))</f>
        <v>FS</v>
      </c>
    </row>
    <row r="133" spans="1:12" hidden="1" x14ac:dyDescent="0.25">
      <c r="A133" t="s">
        <v>3729</v>
      </c>
      <c r="B133" t="s">
        <v>3695</v>
      </c>
      <c r="C133" t="str">
        <f>SUBSTITUTE(Cost[[#This Row],[Period]],"/","-")</f>
        <v>2025-04</v>
      </c>
      <c r="D133" t="s">
        <v>222</v>
      </c>
      <c r="E133" t="str">
        <f>IF(UPPER(Cost[[#This Row],[ProductID]])&lt;&gt;"",Cost[[#This Row],[ProductID]],"Missing Value")</f>
        <v>P-FS-003</v>
      </c>
      <c r="F133" t="s">
        <v>3571</v>
      </c>
      <c r="G133" t="s">
        <v>3572</v>
      </c>
      <c r="H133">
        <v>410</v>
      </c>
      <c r="I133">
        <v>434.23</v>
      </c>
      <c r="J133">
        <f>VALUE(Cost[[#This Row],[ActualCost]])</f>
        <v>434.23</v>
      </c>
      <c r="K133" t="s">
        <v>3602</v>
      </c>
      <c r="L133" t="str">
        <f>IF(UPPER(Cost[[#This Row],[CostCenter]])="","Missing Value",UPPER(Cost[[#This Row],[CostCenter]]))</f>
        <v>FS</v>
      </c>
    </row>
    <row r="134" spans="1:12" hidden="1" x14ac:dyDescent="0.25">
      <c r="A134" t="s">
        <v>3772</v>
      </c>
      <c r="B134" t="s">
        <v>3738</v>
      </c>
      <c r="C134" t="str">
        <f>SUBSTITUTE(Cost[[#This Row],[Period]],"/","-")</f>
        <v>2025-05</v>
      </c>
      <c r="D134" t="s">
        <v>222</v>
      </c>
      <c r="E134" t="str">
        <f>IF(UPPER(Cost[[#This Row],[ProductID]])&lt;&gt;"",Cost[[#This Row],[ProductID]],"Missing Value")</f>
        <v>P-FS-003</v>
      </c>
      <c r="F134" t="s">
        <v>3574</v>
      </c>
      <c r="G134" t="s">
        <v>3568</v>
      </c>
      <c r="H134">
        <v>1850</v>
      </c>
      <c r="I134">
        <v>2122.36</v>
      </c>
      <c r="J134">
        <f>VALUE(Cost[[#This Row],[ActualCost]])</f>
        <v>2122.36</v>
      </c>
      <c r="K134" t="s">
        <v>3602</v>
      </c>
      <c r="L134" t="str">
        <f>IF(UPPER(Cost[[#This Row],[CostCenter]])="","Missing Value",UPPER(Cost[[#This Row],[CostCenter]]))</f>
        <v>FS</v>
      </c>
    </row>
    <row r="135" spans="1:12" hidden="1" x14ac:dyDescent="0.25">
      <c r="A135" t="s">
        <v>3773</v>
      </c>
      <c r="B135" t="s">
        <v>3738</v>
      </c>
      <c r="C135" t="str">
        <f>SUBSTITUTE(Cost[[#This Row],[Period]],"/","-")</f>
        <v>2025-05</v>
      </c>
      <c r="D135" t="s">
        <v>222</v>
      </c>
      <c r="E135" t="str">
        <f>IF(UPPER(Cost[[#This Row],[ProductID]])&lt;&gt;"",Cost[[#This Row],[ProductID]],"Missing Value")</f>
        <v>P-FS-003</v>
      </c>
      <c r="F135" t="s">
        <v>3571</v>
      </c>
      <c r="G135" t="s">
        <v>3572</v>
      </c>
      <c r="H135">
        <v>410</v>
      </c>
      <c r="I135">
        <v>393.61</v>
      </c>
      <c r="J135">
        <f>VALUE(Cost[[#This Row],[ActualCost]])</f>
        <v>393.61</v>
      </c>
      <c r="K135" t="s">
        <v>3602</v>
      </c>
      <c r="L135" t="str">
        <f>IF(UPPER(Cost[[#This Row],[CostCenter]])="","Missing Value",UPPER(Cost[[#This Row],[CostCenter]]))</f>
        <v>FS</v>
      </c>
    </row>
    <row r="136" spans="1:12" hidden="1" x14ac:dyDescent="0.25">
      <c r="A136" t="s">
        <v>3814</v>
      </c>
      <c r="B136" t="s">
        <v>3783</v>
      </c>
      <c r="C136" t="str">
        <f>SUBSTITUTE(Cost[[#This Row],[Period]],"/","-")</f>
        <v>2025-06</v>
      </c>
      <c r="D136" t="s">
        <v>222</v>
      </c>
      <c r="E136" t="str">
        <f>IF(UPPER(Cost[[#This Row],[ProductID]])&lt;&gt;"",Cost[[#This Row],[ProductID]],"Missing Value")</f>
        <v>P-FS-003</v>
      </c>
      <c r="F136" t="s">
        <v>3574</v>
      </c>
      <c r="G136" t="s">
        <v>3568</v>
      </c>
      <c r="H136">
        <v>1850</v>
      </c>
      <c r="I136">
        <v>2152.2199999999998</v>
      </c>
      <c r="J136">
        <f>VALUE(Cost[[#This Row],[ActualCost]])</f>
        <v>2152.2199999999998</v>
      </c>
      <c r="K136" t="s">
        <v>3602</v>
      </c>
      <c r="L136" t="str">
        <f>IF(UPPER(Cost[[#This Row],[CostCenter]])="","Missing Value",UPPER(Cost[[#This Row],[CostCenter]]))</f>
        <v>FS</v>
      </c>
    </row>
    <row r="137" spans="1:12" hidden="1" x14ac:dyDescent="0.25">
      <c r="A137" t="s">
        <v>3815</v>
      </c>
      <c r="B137" t="s">
        <v>3783</v>
      </c>
      <c r="C137" t="str">
        <f>SUBSTITUTE(Cost[[#This Row],[Period]],"/","-")</f>
        <v>2025-06</v>
      </c>
      <c r="D137" t="s">
        <v>222</v>
      </c>
      <c r="E137" t="str">
        <f>IF(UPPER(Cost[[#This Row],[ProductID]])&lt;&gt;"",Cost[[#This Row],[ProductID]],"Missing Value")</f>
        <v>P-FS-003</v>
      </c>
      <c r="F137" t="s">
        <v>3571</v>
      </c>
      <c r="G137" t="s">
        <v>3572</v>
      </c>
      <c r="H137">
        <v>410</v>
      </c>
      <c r="I137">
        <v>393.65</v>
      </c>
      <c r="J137">
        <f>VALUE(Cost[[#This Row],[ActualCost]])</f>
        <v>393.65</v>
      </c>
      <c r="K137" t="s">
        <v>3602</v>
      </c>
      <c r="L137" t="str">
        <f>IF(UPPER(Cost[[#This Row],[CostCenter]])="","Missing Value",UPPER(Cost[[#This Row],[CostCenter]]))</f>
        <v>FS</v>
      </c>
    </row>
    <row r="138" spans="1:12" hidden="1" x14ac:dyDescent="0.25">
      <c r="A138" t="s">
        <v>3608</v>
      </c>
      <c r="B138" t="s">
        <v>3566</v>
      </c>
      <c r="C138" t="str">
        <f>SUBSTITUTE(Cost[[#This Row],[Period]],"/","-")</f>
        <v>2025-01</v>
      </c>
      <c r="D138" t="s">
        <v>19</v>
      </c>
      <c r="E138" t="str">
        <f>IF(UPPER(Cost[[#This Row],[ProductID]])&lt;&gt;"",Cost[[#This Row],[ProductID]],"Missing Value")</f>
        <v>P-FS-004</v>
      </c>
      <c r="F138" t="s">
        <v>3574</v>
      </c>
      <c r="G138" t="s">
        <v>3568</v>
      </c>
      <c r="H138">
        <v>1650</v>
      </c>
      <c r="I138">
        <v>2021.96</v>
      </c>
      <c r="J138">
        <f>VALUE(Cost[[#This Row],[ActualCost]])</f>
        <v>2021.96</v>
      </c>
      <c r="K138" t="s">
        <v>3602</v>
      </c>
      <c r="L138" t="str">
        <f>IF(UPPER(Cost[[#This Row],[CostCenter]])="","Missing Value",UPPER(Cost[[#This Row],[CostCenter]]))</f>
        <v>FS</v>
      </c>
    </row>
    <row r="139" spans="1:12" hidden="1" x14ac:dyDescent="0.25">
      <c r="A139" t="s">
        <v>3609</v>
      </c>
      <c r="B139" t="s">
        <v>3566</v>
      </c>
      <c r="C139" t="str">
        <f>SUBSTITUTE(Cost[[#This Row],[Period]],"/","-")</f>
        <v>2025-01</v>
      </c>
      <c r="D139" t="s">
        <v>19</v>
      </c>
      <c r="E139" t="str">
        <f>IF(UPPER(Cost[[#This Row],[ProductID]])&lt;&gt;"",Cost[[#This Row],[ProductID]],"Missing Value")</f>
        <v>P-FS-004</v>
      </c>
      <c r="F139" t="s">
        <v>3571</v>
      </c>
      <c r="G139" t="s">
        <v>3572</v>
      </c>
      <c r="H139">
        <v>350</v>
      </c>
      <c r="I139">
        <v>369.2</v>
      </c>
      <c r="J139">
        <f>VALUE(Cost[[#This Row],[ActualCost]])</f>
        <v>369.2</v>
      </c>
      <c r="K139" t="s">
        <v>3602</v>
      </c>
      <c r="L139" t="str">
        <f>IF(UPPER(Cost[[#This Row],[CostCenter]])="","Missing Value",UPPER(Cost[[#This Row],[CostCenter]]))</f>
        <v>FS</v>
      </c>
    </row>
    <row r="140" spans="1:12" hidden="1" x14ac:dyDescent="0.25">
      <c r="A140" t="s">
        <v>3648</v>
      </c>
      <c r="B140" t="s">
        <v>3615</v>
      </c>
      <c r="C140" t="str">
        <f>SUBSTITUTE(Cost[[#This Row],[Period]],"/","-")</f>
        <v>2025-02</v>
      </c>
      <c r="D140" t="s">
        <v>19</v>
      </c>
      <c r="E140" t="str">
        <f>IF(UPPER(Cost[[#This Row],[ProductID]])&lt;&gt;"",Cost[[#This Row],[ProductID]],"Missing Value")</f>
        <v>P-FS-004</v>
      </c>
      <c r="F140" t="s">
        <v>3574</v>
      </c>
      <c r="G140" t="s">
        <v>3568</v>
      </c>
      <c r="H140">
        <v>1650</v>
      </c>
      <c r="I140">
        <v>2067.88</v>
      </c>
      <c r="J140">
        <f>VALUE(Cost[[#This Row],[ActualCost]])</f>
        <v>2067.88</v>
      </c>
      <c r="K140" t="s">
        <v>3602</v>
      </c>
      <c r="L140" t="str">
        <f>IF(UPPER(Cost[[#This Row],[CostCenter]])="","Missing Value",UPPER(Cost[[#This Row],[CostCenter]]))</f>
        <v>FS</v>
      </c>
    </row>
    <row r="141" spans="1:12" hidden="1" x14ac:dyDescent="0.25">
      <c r="A141" t="s">
        <v>3649</v>
      </c>
      <c r="B141" t="s">
        <v>3615</v>
      </c>
      <c r="C141" t="str">
        <f>SUBSTITUTE(Cost[[#This Row],[Period]],"/","-")</f>
        <v>2025-02</v>
      </c>
      <c r="D141" t="s">
        <v>19</v>
      </c>
      <c r="E141" t="str">
        <f>IF(UPPER(Cost[[#This Row],[ProductID]])&lt;&gt;"",Cost[[#This Row],[ProductID]],"Missing Value")</f>
        <v>P-FS-004</v>
      </c>
      <c r="F141" t="s">
        <v>3571</v>
      </c>
      <c r="G141" t="s">
        <v>3572</v>
      </c>
      <c r="H141">
        <v>350</v>
      </c>
      <c r="I141">
        <v>341.28</v>
      </c>
      <c r="J141">
        <f>VALUE(Cost[[#This Row],[ActualCost]])</f>
        <v>341.28</v>
      </c>
      <c r="K141" t="s">
        <v>3602</v>
      </c>
      <c r="L141" t="str">
        <f>IF(UPPER(Cost[[#This Row],[CostCenter]])="","Missing Value",UPPER(Cost[[#This Row],[CostCenter]]))</f>
        <v>FS</v>
      </c>
    </row>
    <row r="142" spans="1:12" hidden="1" x14ac:dyDescent="0.25">
      <c r="A142" t="s">
        <v>3688</v>
      </c>
      <c r="B142" t="s">
        <v>3655</v>
      </c>
      <c r="C142" t="str">
        <f>SUBSTITUTE(Cost[[#This Row],[Period]],"/","-")</f>
        <v>2025-03</v>
      </c>
      <c r="D142" t="s">
        <v>19</v>
      </c>
      <c r="E142" t="str">
        <f>IF(UPPER(Cost[[#This Row],[ProductID]])&lt;&gt;"",Cost[[#This Row],[ProductID]],"Missing Value")</f>
        <v>P-FS-004</v>
      </c>
      <c r="F142" t="s">
        <v>3574</v>
      </c>
      <c r="G142" t="s">
        <v>3568</v>
      </c>
      <c r="H142">
        <v>1650</v>
      </c>
      <c r="I142">
        <v>2041.18</v>
      </c>
      <c r="J142">
        <f>VALUE(Cost[[#This Row],[ActualCost]])</f>
        <v>2041.18</v>
      </c>
      <c r="K142" t="s">
        <v>3602</v>
      </c>
      <c r="L142" t="str">
        <f>IF(UPPER(Cost[[#This Row],[CostCenter]])="","Missing Value",UPPER(Cost[[#This Row],[CostCenter]]))</f>
        <v>FS</v>
      </c>
    </row>
    <row r="143" spans="1:12" hidden="1" x14ac:dyDescent="0.25">
      <c r="A143" t="s">
        <v>3689</v>
      </c>
      <c r="B143" t="s">
        <v>3655</v>
      </c>
      <c r="C143" t="str">
        <f>SUBSTITUTE(Cost[[#This Row],[Period]],"/","-")</f>
        <v>2025-03</v>
      </c>
      <c r="D143" t="s">
        <v>19</v>
      </c>
      <c r="E143" t="str">
        <f>IF(UPPER(Cost[[#This Row],[ProductID]])&lt;&gt;"",Cost[[#This Row],[ProductID]],"Missing Value")</f>
        <v>P-FS-004</v>
      </c>
      <c r="F143" t="s">
        <v>3571</v>
      </c>
      <c r="G143" t="s">
        <v>3572</v>
      </c>
      <c r="H143">
        <v>350</v>
      </c>
      <c r="I143">
        <v>338.29</v>
      </c>
      <c r="J143">
        <f>VALUE(Cost[[#This Row],[ActualCost]])</f>
        <v>338.29</v>
      </c>
      <c r="K143" t="s">
        <v>3602</v>
      </c>
      <c r="L143" t="str">
        <f>IF(UPPER(Cost[[#This Row],[CostCenter]])="","Missing Value",UPPER(Cost[[#This Row],[CostCenter]]))</f>
        <v>FS</v>
      </c>
    </row>
    <row r="144" spans="1:12" hidden="1" x14ac:dyDescent="0.25">
      <c r="A144" t="s">
        <v>3730</v>
      </c>
      <c r="B144" t="s">
        <v>3695</v>
      </c>
      <c r="C144" t="str">
        <f>SUBSTITUTE(Cost[[#This Row],[Period]],"/","-")</f>
        <v>2025-04</v>
      </c>
      <c r="D144" t="s">
        <v>19</v>
      </c>
      <c r="E144" t="str">
        <f>IF(UPPER(Cost[[#This Row],[ProductID]])&lt;&gt;"",Cost[[#This Row],[ProductID]],"Missing Value")</f>
        <v>P-FS-004</v>
      </c>
      <c r="F144" t="s">
        <v>3574</v>
      </c>
      <c r="G144" t="s">
        <v>3568</v>
      </c>
      <c r="H144">
        <v>1650</v>
      </c>
      <c r="I144">
        <v>2023.48</v>
      </c>
      <c r="J144">
        <f>VALUE(Cost[[#This Row],[ActualCost]])</f>
        <v>2023.48</v>
      </c>
      <c r="K144" t="s">
        <v>3602</v>
      </c>
      <c r="L144" t="str">
        <f>IF(UPPER(Cost[[#This Row],[CostCenter]])="","Missing Value",UPPER(Cost[[#This Row],[CostCenter]]))</f>
        <v>FS</v>
      </c>
    </row>
    <row r="145" spans="1:12" hidden="1" x14ac:dyDescent="0.25">
      <c r="A145" t="s">
        <v>3731</v>
      </c>
      <c r="B145" t="s">
        <v>3695</v>
      </c>
      <c r="C145" t="str">
        <f>SUBSTITUTE(Cost[[#This Row],[Period]],"/","-")</f>
        <v>2025-04</v>
      </c>
      <c r="D145" t="s">
        <v>19</v>
      </c>
      <c r="E145" t="str">
        <f>IF(UPPER(Cost[[#This Row],[ProductID]])&lt;&gt;"",Cost[[#This Row],[ProductID]],"Missing Value")</f>
        <v>P-FS-004</v>
      </c>
      <c r="F145" t="s">
        <v>3571</v>
      </c>
      <c r="G145" t="s">
        <v>3572</v>
      </c>
      <c r="H145">
        <v>350</v>
      </c>
      <c r="I145" t="s">
        <v>3732</v>
      </c>
      <c r="J145">
        <f>VALUE(Cost[[#This Row],[ActualCost]])</f>
        <v>350.82</v>
      </c>
      <c r="K145" t="s">
        <v>3602</v>
      </c>
      <c r="L145" t="str">
        <f>IF(UPPER(Cost[[#This Row],[CostCenter]])="","Missing Value",UPPER(Cost[[#This Row],[CostCenter]]))</f>
        <v>FS</v>
      </c>
    </row>
    <row r="146" spans="1:12" hidden="1" x14ac:dyDescent="0.25">
      <c r="A146" t="s">
        <v>3774</v>
      </c>
      <c r="B146" t="s">
        <v>3738</v>
      </c>
      <c r="C146" t="str">
        <f>SUBSTITUTE(Cost[[#This Row],[Period]],"/","-")</f>
        <v>2025-05</v>
      </c>
      <c r="D146" t="s">
        <v>19</v>
      </c>
      <c r="E146" t="str">
        <f>IF(UPPER(Cost[[#This Row],[ProductID]])&lt;&gt;"",Cost[[#This Row],[ProductID]],"Missing Value")</f>
        <v>P-FS-004</v>
      </c>
      <c r="F146" t="s">
        <v>3574</v>
      </c>
      <c r="G146" t="s">
        <v>3568</v>
      </c>
      <c r="H146">
        <v>1650</v>
      </c>
      <c r="I146">
        <v>2070.92</v>
      </c>
      <c r="J146">
        <f>VALUE(Cost[[#This Row],[ActualCost]])</f>
        <v>2070.92</v>
      </c>
      <c r="K146" t="s">
        <v>3602</v>
      </c>
      <c r="L146" t="str">
        <f>IF(UPPER(Cost[[#This Row],[CostCenter]])="","Missing Value",UPPER(Cost[[#This Row],[CostCenter]]))</f>
        <v>FS</v>
      </c>
    </row>
    <row r="147" spans="1:12" hidden="1" x14ac:dyDescent="0.25">
      <c r="A147" t="s">
        <v>3775</v>
      </c>
      <c r="B147" t="s">
        <v>3738</v>
      </c>
      <c r="C147" t="str">
        <f>SUBSTITUTE(Cost[[#This Row],[Period]],"/","-")</f>
        <v>2025-05</v>
      </c>
      <c r="D147" t="s">
        <v>19</v>
      </c>
      <c r="E147" t="str">
        <f>IF(UPPER(Cost[[#This Row],[ProductID]])&lt;&gt;"",Cost[[#This Row],[ProductID]],"Missing Value")</f>
        <v>P-FS-004</v>
      </c>
      <c r="F147" t="s">
        <v>3571</v>
      </c>
      <c r="G147" t="s">
        <v>3572</v>
      </c>
      <c r="H147">
        <v>350</v>
      </c>
      <c r="I147">
        <v>345.26</v>
      </c>
      <c r="J147">
        <f>VALUE(Cost[[#This Row],[ActualCost]])</f>
        <v>345.26</v>
      </c>
      <c r="K147" t="s">
        <v>3602</v>
      </c>
      <c r="L147" t="str">
        <f>IF(UPPER(Cost[[#This Row],[CostCenter]])="","Missing Value",UPPER(Cost[[#This Row],[CostCenter]]))</f>
        <v>FS</v>
      </c>
    </row>
    <row r="148" spans="1:12" hidden="1" x14ac:dyDescent="0.25">
      <c r="A148" t="s">
        <v>3816</v>
      </c>
      <c r="B148" t="s">
        <v>3783</v>
      </c>
      <c r="C148" t="str">
        <f>SUBSTITUTE(Cost[[#This Row],[Period]],"/","-")</f>
        <v>2025-06</v>
      </c>
      <c r="D148" t="s">
        <v>19</v>
      </c>
      <c r="E148" t="str">
        <f>IF(UPPER(Cost[[#This Row],[ProductID]])&lt;&gt;"",Cost[[#This Row],[ProductID]],"Missing Value")</f>
        <v>P-FS-004</v>
      </c>
      <c r="F148" t="s">
        <v>3567</v>
      </c>
      <c r="G148" t="s">
        <v>3568</v>
      </c>
      <c r="H148">
        <v>1650</v>
      </c>
      <c r="I148">
        <v>2059.7800000000002</v>
      </c>
      <c r="J148">
        <f>VALUE(Cost[[#This Row],[ActualCost]])</f>
        <v>2059.7800000000002</v>
      </c>
      <c r="K148" t="s">
        <v>3602</v>
      </c>
      <c r="L148" t="str">
        <f>IF(UPPER(Cost[[#This Row],[CostCenter]])="","Missing Value",UPPER(Cost[[#This Row],[CostCenter]]))</f>
        <v>FS</v>
      </c>
    </row>
    <row r="149" spans="1:12" hidden="1" x14ac:dyDescent="0.25">
      <c r="A149" t="s">
        <v>3817</v>
      </c>
      <c r="B149" t="s">
        <v>3781</v>
      </c>
      <c r="C149" t="str">
        <f>SUBSTITUTE(Cost[[#This Row],[Period]],"/","-")</f>
        <v>2025-06</v>
      </c>
      <c r="D149" t="s">
        <v>19</v>
      </c>
      <c r="E149" t="str">
        <f>IF(UPPER(Cost[[#This Row],[ProductID]])&lt;&gt;"",Cost[[#This Row],[ProductID]],"Missing Value")</f>
        <v>P-FS-004</v>
      </c>
      <c r="F149" t="s">
        <v>3580</v>
      </c>
      <c r="G149" t="s">
        <v>3572</v>
      </c>
      <c r="H149">
        <v>350</v>
      </c>
      <c r="I149">
        <v>372.27</v>
      </c>
      <c r="J149">
        <f>VALUE(Cost[[#This Row],[ActualCost]])</f>
        <v>372.27</v>
      </c>
      <c r="K149" t="s">
        <v>3602</v>
      </c>
      <c r="L149" t="str">
        <f>IF(UPPER(Cost[[#This Row],[CostCenter]])="","Missing Value",UPPER(Cost[[#This Row],[CostCenter]]))</f>
        <v>FS</v>
      </c>
    </row>
    <row r="150" spans="1:12" hidden="1" x14ac:dyDescent="0.25">
      <c r="A150" t="s">
        <v>3610</v>
      </c>
      <c r="B150" t="s">
        <v>3566</v>
      </c>
      <c r="C150" t="str">
        <f>SUBSTITUTE(Cost[[#This Row],[Period]],"/","-")</f>
        <v>2025-01</v>
      </c>
      <c r="D150" t="s">
        <v>103</v>
      </c>
      <c r="E150" t="str">
        <f>IF(UPPER(Cost[[#This Row],[ProductID]])&lt;&gt;"",Cost[[#This Row],[ProductID]],"Missing Value")</f>
        <v>P-FS-005</v>
      </c>
      <c r="F150" t="s">
        <v>3574</v>
      </c>
      <c r="G150" t="s">
        <v>3568</v>
      </c>
      <c r="H150">
        <v>420</v>
      </c>
      <c r="I150">
        <v>408.11</v>
      </c>
      <c r="J150">
        <f>VALUE(Cost[[#This Row],[ActualCost]])</f>
        <v>408.11</v>
      </c>
      <c r="K150" t="s">
        <v>3602</v>
      </c>
      <c r="L150" t="str">
        <f>IF(UPPER(Cost[[#This Row],[CostCenter]])="","Missing Value",UPPER(Cost[[#This Row],[CostCenter]]))</f>
        <v>FS</v>
      </c>
    </row>
    <row r="151" spans="1:12" hidden="1" x14ac:dyDescent="0.25">
      <c r="A151" t="s">
        <v>3611</v>
      </c>
      <c r="B151" t="s">
        <v>3566</v>
      </c>
      <c r="C151" t="str">
        <f>SUBSTITUTE(Cost[[#This Row],[Period]],"/","-")</f>
        <v>2025-01</v>
      </c>
      <c r="D151" t="s">
        <v>103</v>
      </c>
      <c r="E151" t="str">
        <f>IF(UPPER(Cost[[#This Row],[ProductID]])&lt;&gt;"",Cost[[#This Row],[ProductID]],"Missing Value")</f>
        <v>P-FS-005</v>
      </c>
      <c r="F151" t="s">
        <v>3571</v>
      </c>
      <c r="G151" t="s">
        <v>3572</v>
      </c>
      <c r="H151">
        <v>95</v>
      </c>
      <c r="I151">
        <v>95.2</v>
      </c>
      <c r="J151">
        <f>VALUE(Cost[[#This Row],[ActualCost]])</f>
        <v>95.2</v>
      </c>
      <c r="K151" t="s">
        <v>3602</v>
      </c>
      <c r="L151" t="str">
        <f>IF(UPPER(Cost[[#This Row],[CostCenter]])="","Missing Value",UPPER(Cost[[#This Row],[CostCenter]]))</f>
        <v>FS</v>
      </c>
    </row>
    <row r="152" spans="1:12" hidden="1" x14ac:dyDescent="0.25">
      <c r="A152" t="s">
        <v>3650</v>
      </c>
      <c r="B152" t="s">
        <v>3615</v>
      </c>
      <c r="C152" t="str">
        <f>SUBSTITUTE(Cost[[#This Row],[Period]],"/","-")</f>
        <v>2025-02</v>
      </c>
      <c r="D152" t="s">
        <v>103</v>
      </c>
      <c r="E152" t="str">
        <f>IF(UPPER(Cost[[#This Row],[ProductID]])&lt;&gt;"",Cost[[#This Row],[ProductID]],"Missing Value")</f>
        <v>P-FS-005</v>
      </c>
      <c r="F152" t="s">
        <v>3574</v>
      </c>
      <c r="G152" t="s">
        <v>3568</v>
      </c>
      <c r="H152">
        <v>420</v>
      </c>
      <c r="I152">
        <v>432.84</v>
      </c>
      <c r="J152">
        <f>VALUE(Cost[[#This Row],[ActualCost]])</f>
        <v>432.84</v>
      </c>
      <c r="K152" t="s">
        <v>3602</v>
      </c>
      <c r="L152" t="str">
        <f>IF(UPPER(Cost[[#This Row],[CostCenter]])="","Missing Value",UPPER(Cost[[#This Row],[CostCenter]]))</f>
        <v>FS</v>
      </c>
    </row>
    <row r="153" spans="1:12" hidden="1" x14ac:dyDescent="0.25">
      <c r="A153" t="s">
        <v>3651</v>
      </c>
      <c r="B153" t="s">
        <v>3615</v>
      </c>
      <c r="C153" t="str">
        <f>SUBSTITUTE(Cost[[#This Row],[Period]],"/","-")</f>
        <v>2025-02</v>
      </c>
      <c r="D153" t="s">
        <v>103</v>
      </c>
      <c r="E153" t="str">
        <f>IF(UPPER(Cost[[#This Row],[ProductID]])&lt;&gt;"",Cost[[#This Row],[ProductID]],"Missing Value")</f>
        <v>P-FS-005</v>
      </c>
      <c r="F153" t="s">
        <v>3571</v>
      </c>
      <c r="G153" t="s">
        <v>3572</v>
      </c>
      <c r="H153">
        <v>95</v>
      </c>
      <c r="I153">
        <v>90.78</v>
      </c>
      <c r="J153">
        <f>VALUE(Cost[[#This Row],[ActualCost]])</f>
        <v>90.78</v>
      </c>
      <c r="K153" t="s">
        <v>3602</v>
      </c>
      <c r="L153" t="str">
        <f>IF(UPPER(Cost[[#This Row],[CostCenter]])="","Missing Value",UPPER(Cost[[#This Row],[CostCenter]]))</f>
        <v>FS</v>
      </c>
    </row>
    <row r="154" spans="1:12" hidden="1" x14ac:dyDescent="0.25">
      <c r="A154" t="s">
        <v>3690</v>
      </c>
      <c r="B154" t="s">
        <v>3655</v>
      </c>
      <c r="C154" t="str">
        <f>SUBSTITUTE(Cost[[#This Row],[Period]],"/","-")</f>
        <v>2025-03</v>
      </c>
      <c r="D154" t="s">
        <v>103</v>
      </c>
      <c r="E154" t="str">
        <f>IF(UPPER(Cost[[#This Row],[ProductID]])&lt;&gt;"",Cost[[#This Row],[ProductID]],"Missing Value")</f>
        <v>P-FS-005</v>
      </c>
      <c r="F154" t="s">
        <v>3574</v>
      </c>
      <c r="G154" t="s">
        <v>3568</v>
      </c>
      <c r="H154">
        <v>420</v>
      </c>
      <c r="I154">
        <v>436.29</v>
      </c>
      <c r="J154">
        <f>VALUE(Cost[[#This Row],[ActualCost]])</f>
        <v>436.29</v>
      </c>
      <c r="K154" t="s">
        <v>3602</v>
      </c>
      <c r="L154" t="str">
        <f>IF(UPPER(Cost[[#This Row],[CostCenter]])="","Missing Value",UPPER(Cost[[#This Row],[CostCenter]]))</f>
        <v>FS</v>
      </c>
    </row>
    <row r="155" spans="1:12" hidden="1" x14ac:dyDescent="0.25">
      <c r="A155" t="s">
        <v>3691</v>
      </c>
      <c r="B155" t="s">
        <v>3655</v>
      </c>
      <c r="C155" t="str">
        <f>SUBSTITUTE(Cost[[#This Row],[Period]],"/","-")</f>
        <v>2025-03</v>
      </c>
      <c r="D155" t="s">
        <v>103</v>
      </c>
      <c r="E155" t="str">
        <f>IF(UPPER(Cost[[#This Row],[ProductID]])&lt;&gt;"",Cost[[#This Row],[ProductID]],"Missing Value")</f>
        <v>P-FS-005</v>
      </c>
      <c r="F155" t="s">
        <v>3580</v>
      </c>
      <c r="G155" t="s">
        <v>3572</v>
      </c>
      <c r="H155">
        <v>95</v>
      </c>
      <c r="I155">
        <v>92.08</v>
      </c>
      <c r="J155">
        <f>VALUE(Cost[[#This Row],[ActualCost]])</f>
        <v>92.08</v>
      </c>
      <c r="K155" t="s">
        <v>3602</v>
      </c>
      <c r="L155" t="str">
        <f>IF(UPPER(Cost[[#This Row],[CostCenter]])="","Missing Value",UPPER(Cost[[#This Row],[CostCenter]]))</f>
        <v>FS</v>
      </c>
    </row>
    <row r="156" spans="1:12" hidden="1" x14ac:dyDescent="0.25">
      <c r="A156" t="s">
        <v>3733</v>
      </c>
      <c r="B156" t="s">
        <v>3695</v>
      </c>
      <c r="C156" t="str">
        <f>SUBSTITUTE(Cost[[#This Row],[Period]],"/","-")</f>
        <v>2025-04</v>
      </c>
      <c r="D156" t="s">
        <v>103</v>
      </c>
      <c r="E156" t="str">
        <f>IF(UPPER(Cost[[#This Row],[ProductID]])&lt;&gt;"",Cost[[#This Row],[ProductID]],"Missing Value")</f>
        <v>P-FS-005</v>
      </c>
      <c r="F156" t="s">
        <v>3574</v>
      </c>
      <c r="G156" t="s">
        <v>3568</v>
      </c>
      <c r="H156">
        <v>420</v>
      </c>
      <c r="I156">
        <v>443.31</v>
      </c>
      <c r="J156">
        <f>VALUE(Cost[[#This Row],[ActualCost]])</f>
        <v>443.31</v>
      </c>
      <c r="K156" t="s">
        <v>3602</v>
      </c>
      <c r="L156" t="str">
        <f>IF(UPPER(Cost[[#This Row],[CostCenter]])="","Missing Value",UPPER(Cost[[#This Row],[CostCenter]]))</f>
        <v>FS</v>
      </c>
    </row>
    <row r="157" spans="1:12" hidden="1" x14ac:dyDescent="0.25">
      <c r="A157" t="s">
        <v>3734</v>
      </c>
      <c r="B157" t="s">
        <v>3695</v>
      </c>
      <c r="C157" t="str">
        <f>SUBSTITUTE(Cost[[#This Row],[Period]],"/","-")</f>
        <v>2025-04</v>
      </c>
      <c r="D157" t="s">
        <v>103</v>
      </c>
      <c r="E157" t="str">
        <f>IF(UPPER(Cost[[#This Row],[ProductID]])&lt;&gt;"",Cost[[#This Row],[ProductID]],"Missing Value")</f>
        <v>P-FS-005</v>
      </c>
      <c r="F157" t="s">
        <v>3571</v>
      </c>
      <c r="G157" t="s">
        <v>3572</v>
      </c>
      <c r="H157">
        <v>95</v>
      </c>
      <c r="I157">
        <v>97.82</v>
      </c>
      <c r="J157">
        <f>VALUE(Cost[[#This Row],[ActualCost]])</f>
        <v>97.82</v>
      </c>
      <c r="K157" t="s">
        <v>3602</v>
      </c>
      <c r="L157" t="str">
        <f>IF(UPPER(Cost[[#This Row],[CostCenter]])="","Missing Value",UPPER(Cost[[#This Row],[CostCenter]]))</f>
        <v>FS</v>
      </c>
    </row>
    <row r="158" spans="1:12" hidden="1" x14ac:dyDescent="0.25">
      <c r="A158" t="s">
        <v>3776</v>
      </c>
      <c r="B158" t="s">
        <v>3738</v>
      </c>
      <c r="C158" t="str">
        <f>SUBSTITUTE(Cost[[#This Row],[Period]],"/","-")</f>
        <v>2025-05</v>
      </c>
      <c r="D158" t="s">
        <v>103</v>
      </c>
      <c r="E158" t="str">
        <f>IF(UPPER(Cost[[#This Row],[ProductID]])&lt;&gt;"",Cost[[#This Row],[ProductID]],"Missing Value")</f>
        <v>P-FS-005</v>
      </c>
      <c r="F158" t="s">
        <v>3574</v>
      </c>
      <c r="G158" t="s">
        <v>3568</v>
      </c>
      <c r="H158">
        <v>420</v>
      </c>
      <c r="I158">
        <v>440.54</v>
      </c>
      <c r="J158">
        <f>VALUE(Cost[[#This Row],[ActualCost]])</f>
        <v>440.54</v>
      </c>
      <c r="K158" t="s">
        <v>3602</v>
      </c>
      <c r="L158" t="str">
        <f>IF(UPPER(Cost[[#This Row],[CostCenter]])="","Missing Value",UPPER(Cost[[#This Row],[CostCenter]]))</f>
        <v>FS</v>
      </c>
    </row>
    <row r="159" spans="1:12" hidden="1" x14ac:dyDescent="0.25">
      <c r="A159" t="s">
        <v>3777</v>
      </c>
      <c r="B159" t="s">
        <v>3738</v>
      </c>
      <c r="C159" t="str">
        <f>SUBSTITUTE(Cost[[#This Row],[Period]],"/","-")</f>
        <v>2025-05</v>
      </c>
      <c r="D159" t="s">
        <v>103</v>
      </c>
      <c r="E159" t="str">
        <f>IF(UPPER(Cost[[#This Row],[ProductID]])&lt;&gt;"",Cost[[#This Row],[ProductID]],"Missing Value")</f>
        <v>P-FS-005</v>
      </c>
      <c r="F159" t="s">
        <v>3571</v>
      </c>
      <c r="G159" t="s">
        <v>3572</v>
      </c>
      <c r="H159">
        <v>95</v>
      </c>
      <c r="I159">
        <v>92.75</v>
      </c>
      <c r="J159">
        <f>VALUE(Cost[[#This Row],[ActualCost]])</f>
        <v>92.75</v>
      </c>
      <c r="K159" t="s">
        <v>3602</v>
      </c>
      <c r="L159" t="str">
        <f>IF(UPPER(Cost[[#This Row],[CostCenter]])="","Missing Value",UPPER(Cost[[#This Row],[CostCenter]]))</f>
        <v>FS</v>
      </c>
    </row>
    <row r="160" spans="1:12" hidden="1" x14ac:dyDescent="0.25">
      <c r="A160" t="s">
        <v>3818</v>
      </c>
      <c r="B160" t="s">
        <v>3783</v>
      </c>
      <c r="C160" t="str">
        <f>SUBSTITUTE(Cost[[#This Row],[Period]],"/","-")</f>
        <v>2025-06</v>
      </c>
      <c r="D160" t="s">
        <v>103</v>
      </c>
      <c r="E160" t="str">
        <f>IF(UPPER(Cost[[#This Row],[ProductID]])&lt;&gt;"",Cost[[#This Row],[ProductID]],"Missing Value")</f>
        <v>P-FS-005</v>
      </c>
      <c r="F160" t="s">
        <v>3574</v>
      </c>
      <c r="G160" t="s">
        <v>3568</v>
      </c>
      <c r="H160">
        <v>420</v>
      </c>
      <c r="I160">
        <v>410.71</v>
      </c>
      <c r="J160">
        <f>VALUE(Cost[[#This Row],[ActualCost]])</f>
        <v>410.71</v>
      </c>
      <c r="K160" t="s">
        <v>3602</v>
      </c>
      <c r="L160" t="str">
        <f>IF(UPPER(Cost[[#This Row],[CostCenter]])="","Missing Value",UPPER(Cost[[#This Row],[CostCenter]]))</f>
        <v>FS</v>
      </c>
    </row>
    <row r="161" spans="1:12" hidden="1" x14ac:dyDescent="0.25">
      <c r="A161" t="s">
        <v>3819</v>
      </c>
      <c r="B161" t="s">
        <v>3783</v>
      </c>
      <c r="C161" t="str">
        <f>SUBSTITUTE(Cost[[#This Row],[Period]],"/","-")</f>
        <v>2025-06</v>
      </c>
      <c r="D161" t="s">
        <v>103</v>
      </c>
      <c r="E161" t="str">
        <f>IF(UPPER(Cost[[#This Row],[ProductID]])&lt;&gt;"",Cost[[#This Row],[ProductID]],"Missing Value")</f>
        <v>P-FS-005</v>
      </c>
      <c r="F161" t="s">
        <v>3571</v>
      </c>
      <c r="G161" t="s">
        <v>3572</v>
      </c>
      <c r="H161">
        <v>95</v>
      </c>
      <c r="I161">
        <v>100.75</v>
      </c>
      <c r="J161">
        <f>VALUE(Cost[[#This Row],[ActualCost]])</f>
        <v>100.75</v>
      </c>
      <c r="K161" t="s">
        <v>3602</v>
      </c>
      <c r="L161" t="str">
        <f>IF(UPPER(Cost[[#This Row],[CostCenter]])="","Missing Value",UPPER(Cost[[#This Row],[CostCenter]]))</f>
        <v>FS</v>
      </c>
    </row>
    <row r="162" spans="1:12" hidden="1" x14ac:dyDescent="0.25">
      <c r="A162" t="s">
        <v>3612</v>
      </c>
      <c r="B162" t="s">
        <v>3566</v>
      </c>
      <c r="C162" t="str">
        <f>SUBSTITUTE(Cost[[#This Row],[Period]],"/","-")</f>
        <v>2025-01</v>
      </c>
      <c r="D162" t="s">
        <v>39</v>
      </c>
      <c r="E162" t="str">
        <f>IF(UPPER(Cost[[#This Row],[ProductID]])&lt;&gt;"",Cost[[#This Row],[ProductID]],"Missing Value")</f>
        <v>P-FS-006</v>
      </c>
      <c r="F162" t="s">
        <v>3574</v>
      </c>
      <c r="G162" t="s">
        <v>3568</v>
      </c>
      <c r="H162">
        <v>380</v>
      </c>
      <c r="I162">
        <v>391.05</v>
      </c>
      <c r="J162">
        <f>VALUE(Cost[[#This Row],[ActualCost]])</f>
        <v>391.05</v>
      </c>
      <c r="K162" t="s">
        <v>3602</v>
      </c>
      <c r="L162" t="str">
        <f>IF(UPPER(Cost[[#This Row],[CostCenter]])="","Missing Value",UPPER(Cost[[#This Row],[CostCenter]]))</f>
        <v>FS</v>
      </c>
    </row>
    <row r="163" spans="1:12" hidden="1" x14ac:dyDescent="0.25">
      <c r="A163" t="s">
        <v>3613</v>
      </c>
      <c r="B163" t="s">
        <v>3566</v>
      </c>
      <c r="C163" t="str">
        <f>SUBSTITUTE(Cost[[#This Row],[Period]],"/","-")</f>
        <v>2025-01</v>
      </c>
      <c r="D163" t="s">
        <v>39</v>
      </c>
      <c r="E163" t="str">
        <f>IF(UPPER(Cost[[#This Row],[ProductID]])&lt;&gt;"",Cost[[#This Row],[ProductID]],"Missing Value")</f>
        <v>P-FS-006</v>
      </c>
      <c r="F163" t="s">
        <v>3571</v>
      </c>
      <c r="G163" t="s">
        <v>3572</v>
      </c>
      <c r="H163">
        <v>175</v>
      </c>
      <c r="I163">
        <v>171.85</v>
      </c>
      <c r="J163">
        <f>VALUE(Cost[[#This Row],[ActualCost]])</f>
        <v>171.85</v>
      </c>
      <c r="K163" t="s">
        <v>3602</v>
      </c>
      <c r="L163" t="str">
        <f>IF(UPPER(Cost[[#This Row],[CostCenter]])="","Missing Value",UPPER(Cost[[#This Row],[CostCenter]]))</f>
        <v>FS</v>
      </c>
    </row>
    <row r="164" spans="1:12" hidden="1" x14ac:dyDescent="0.25">
      <c r="A164" t="s">
        <v>3652</v>
      </c>
      <c r="B164" t="s">
        <v>3615</v>
      </c>
      <c r="C164" t="str">
        <f>SUBSTITUTE(Cost[[#This Row],[Period]],"/","-")</f>
        <v>2025-02</v>
      </c>
      <c r="D164" t="s">
        <v>39</v>
      </c>
      <c r="E164" t="str">
        <f>IF(UPPER(Cost[[#This Row],[ProductID]])&lt;&gt;"",Cost[[#This Row],[ProductID]],"Missing Value")</f>
        <v>P-FS-006</v>
      </c>
      <c r="F164" t="s">
        <v>3574</v>
      </c>
      <c r="G164" t="s">
        <v>3568</v>
      </c>
      <c r="H164">
        <v>380</v>
      </c>
      <c r="I164">
        <v>384.2</v>
      </c>
      <c r="J164">
        <f>VALUE(Cost[[#This Row],[ActualCost]])</f>
        <v>384.2</v>
      </c>
      <c r="K164" t="s">
        <v>3602</v>
      </c>
      <c r="L164" t="str">
        <f>IF(UPPER(Cost[[#This Row],[CostCenter]])="","Missing Value",UPPER(Cost[[#This Row],[CostCenter]]))</f>
        <v>FS</v>
      </c>
    </row>
    <row r="165" spans="1:12" hidden="1" x14ac:dyDescent="0.25">
      <c r="A165" t="s">
        <v>3653</v>
      </c>
      <c r="B165" t="s">
        <v>3615</v>
      </c>
      <c r="C165" t="str">
        <f>SUBSTITUTE(Cost[[#This Row],[Period]],"/","-")</f>
        <v>2025-02</v>
      </c>
      <c r="D165" t="s">
        <v>39</v>
      </c>
      <c r="E165" t="str">
        <f>IF(UPPER(Cost[[#This Row],[ProductID]])&lt;&gt;"",Cost[[#This Row],[ProductID]],"Missing Value")</f>
        <v>P-FS-006</v>
      </c>
      <c r="F165" t="s">
        <v>3571</v>
      </c>
      <c r="G165" t="s">
        <v>3572</v>
      </c>
      <c r="H165">
        <v>175</v>
      </c>
      <c r="I165">
        <v>174.04</v>
      </c>
      <c r="J165">
        <f>VALUE(Cost[[#This Row],[ActualCost]])</f>
        <v>174.04</v>
      </c>
      <c r="K165" t="s">
        <v>3602</v>
      </c>
      <c r="L165" t="str">
        <f>IF(UPPER(Cost[[#This Row],[CostCenter]])="","Missing Value",UPPER(Cost[[#This Row],[CostCenter]]))</f>
        <v>FS</v>
      </c>
    </row>
    <row r="166" spans="1:12" hidden="1" x14ac:dyDescent="0.25">
      <c r="A166" t="s">
        <v>3692</v>
      </c>
      <c r="B166" t="s">
        <v>3655</v>
      </c>
      <c r="C166" t="str">
        <f>SUBSTITUTE(Cost[[#This Row],[Period]],"/","-")</f>
        <v>2025-03</v>
      </c>
      <c r="D166" t="s">
        <v>39</v>
      </c>
      <c r="E166" t="str">
        <f>IF(UPPER(Cost[[#This Row],[ProductID]])&lt;&gt;"",Cost[[#This Row],[ProductID]],"Missing Value")</f>
        <v>P-FS-006</v>
      </c>
      <c r="F166" t="s">
        <v>3574</v>
      </c>
      <c r="G166" t="s">
        <v>3568</v>
      </c>
      <c r="H166">
        <v>380</v>
      </c>
      <c r="I166">
        <v>394.02</v>
      </c>
      <c r="J166">
        <f>VALUE(Cost[[#This Row],[ActualCost]])</f>
        <v>394.02</v>
      </c>
      <c r="K166" t="s">
        <v>3602</v>
      </c>
      <c r="L166" t="str">
        <f>IF(UPPER(Cost[[#This Row],[CostCenter]])="","Missing Value",UPPER(Cost[[#This Row],[CostCenter]]))</f>
        <v>FS</v>
      </c>
    </row>
    <row r="167" spans="1:12" hidden="1" x14ac:dyDescent="0.25">
      <c r="A167" t="s">
        <v>3693</v>
      </c>
      <c r="B167" t="s">
        <v>3655</v>
      </c>
      <c r="C167" t="str">
        <f>SUBSTITUTE(Cost[[#This Row],[Period]],"/","-")</f>
        <v>2025-03</v>
      </c>
      <c r="D167" t="s">
        <v>39</v>
      </c>
      <c r="E167" t="str">
        <f>IF(UPPER(Cost[[#This Row],[ProductID]])&lt;&gt;"",Cost[[#This Row],[ProductID]],"Missing Value")</f>
        <v>P-FS-006</v>
      </c>
      <c r="F167" t="s">
        <v>3571</v>
      </c>
      <c r="G167" t="s">
        <v>3572</v>
      </c>
      <c r="H167">
        <v>175</v>
      </c>
      <c r="I167">
        <v>168.52</v>
      </c>
      <c r="J167">
        <f>VALUE(Cost[[#This Row],[ActualCost]])</f>
        <v>168.52</v>
      </c>
      <c r="K167" t="s">
        <v>3602</v>
      </c>
      <c r="L167" t="str">
        <f>IF(UPPER(Cost[[#This Row],[CostCenter]])="","Missing Value",UPPER(Cost[[#This Row],[CostCenter]]))</f>
        <v>FS</v>
      </c>
    </row>
    <row r="168" spans="1:12" hidden="1" x14ac:dyDescent="0.25">
      <c r="A168" t="s">
        <v>3735</v>
      </c>
      <c r="B168" t="s">
        <v>3695</v>
      </c>
      <c r="C168" t="str">
        <f>SUBSTITUTE(Cost[[#This Row],[Period]],"/","-")</f>
        <v>2025-04</v>
      </c>
      <c r="D168" t="s">
        <v>39</v>
      </c>
      <c r="E168" t="str">
        <f>IF(UPPER(Cost[[#This Row],[ProductID]])&lt;&gt;"",Cost[[#This Row],[ProductID]],"Missing Value")</f>
        <v>P-FS-006</v>
      </c>
      <c r="F168" t="s">
        <v>3574</v>
      </c>
      <c r="G168" t="s">
        <v>3568</v>
      </c>
      <c r="H168">
        <v>380</v>
      </c>
      <c r="I168">
        <v>403.88</v>
      </c>
      <c r="J168">
        <f>VALUE(Cost[[#This Row],[ActualCost]])</f>
        <v>403.88</v>
      </c>
      <c r="K168" t="s">
        <v>3602</v>
      </c>
      <c r="L168" t="str">
        <f>IF(UPPER(Cost[[#This Row],[CostCenter]])="","Missing Value",UPPER(Cost[[#This Row],[CostCenter]]))</f>
        <v>FS</v>
      </c>
    </row>
    <row r="169" spans="1:12" hidden="1" x14ac:dyDescent="0.25">
      <c r="A169" t="s">
        <v>3736</v>
      </c>
      <c r="B169" t="s">
        <v>3695</v>
      </c>
      <c r="C169" t="str">
        <f>SUBSTITUTE(Cost[[#This Row],[Period]],"/","-")</f>
        <v>2025-04</v>
      </c>
      <c r="D169" t="s">
        <v>39</v>
      </c>
      <c r="E169" t="str">
        <f>IF(UPPER(Cost[[#This Row],[ProductID]])&lt;&gt;"",Cost[[#This Row],[ProductID]],"Missing Value")</f>
        <v>P-FS-006</v>
      </c>
      <c r="F169" t="s">
        <v>3571</v>
      </c>
      <c r="G169" t="s">
        <v>3572</v>
      </c>
      <c r="H169">
        <v>175</v>
      </c>
      <c r="I169">
        <v>180.85</v>
      </c>
      <c r="J169">
        <f>VALUE(Cost[[#This Row],[ActualCost]])</f>
        <v>180.85</v>
      </c>
      <c r="K169" t="s">
        <v>3602</v>
      </c>
      <c r="L169" t="str">
        <f>IF(UPPER(Cost[[#This Row],[CostCenter]])="","Missing Value",UPPER(Cost[[#This Row],[CostCenter]]))</f>
        <v>FS</v>
      </c>
    </row>
    <row r="170" spans="1:12" hidden="1" x14ac:dyDescent="0.25">
      <c r="A170" t="s">
        <v>3778</v>
      </c>
      <c r="B170" t="s">
        <v>3738</v>
      </c>
      <c r="C170" t="str">
        <f>SUBSTITUTE(Cost[[#This Row],[Period]],"/","-")</f>
        <v>2025-05</v>
      </c>
      <c r="D170" t="s">
        <v>39</v>
      </c>
      <c r="E170" t="str">
        <f>IF(UPPER(Cost[[#This Row],[ProductID]])&lt;&gt;"",Cost[[#This Row],[ProductID]],"Missing Value")</f>
        <v>P-FS-006</v>
      </c>
      <c r="F170" t="s">
        <v>3574</v>
      </c>
      <c r="G170" t="s">
        <v>3568</v>
      </c>
      <c r="H170">
        <v>380</v>
      </c>
      <c r="I170">
        <v>396.34</v>
      </c>
      <c r="J170">
        <f>VALUE(Cost[[#This Row],[ActualCost]])</f>
        <v>396.34</v>
      </c>
      <c r="K170" t="s">
        <v>3602</v>
      </c>
      <c r="L170" t="str">
        <f>IF(UPPER(Cost[[#This Row],[CostCenter]])="","Missing Value",UPPER(Cost[[#This Row],[CostCenter]]))</f>
        <v>FS</v>
      </c>
    </row>
    <row r="171" spans="1:12" hidden="1" x14ac:dyDescent="0.25">
      <c r="A171" t="s">
        <v>3779</v>
      </c>
      <c r="B171" t="s">
        <v>3760</v>
      </c>
      <c r="C171" t="str">
        <f>SUBSTITUTE(Cost[[#This Row],[Period]],"/","-")</f>
        <v>2025-05</v>
      </c>
      <c r="D171" t="s">
        <v>39</v>
      </c>
      <c r="E171" t="str">
        <f>IF(UPPER(Cost[[#This Row],[ProductID]])&lt;&gt;"",Cost[[#This Row],[ProductID]],"Missing Value")</f>
        <v>P-FS-006</v>
      </c>
      <c r="F171" t="s">
        <v>3571</v>
      </c>
      <c r="G171" t="s">
        <v>3572</v>
      </c>
      <c r="H171">
        <v>175</v>
      </c>
      <c r="I171">
        <v>178.38</v>
      </c>
      <c r="J171">
        <f>VALUE(Cost[[#This Row],[ActualCost]])</f>
        <v>178.38</v>
      </c>
      <c r="K171" t="s">
        <v>3602</v>
      </c>
      <c r="L171" t="str">
        <f>IF(UPPER(Cost[[#This Row],[CostCenter]])="","Missing Value",UPPER(Cost[[#This Row],[CostCenter]]))</f>
        <v>FS</v>
      </c>
    </row>
    <row r="172" spans="1:12" hidden="1" x14ac:dyDescent="0.25">
      <c r="A172" t="s">
        <v>3820</v>
      </c>
      <c r="B172" t="s">
        <v>3783</v>
      </c>
      <c r="C172" t="str">
        <f>SUBSTITUTE(Cost[[#This Row],[Period]],"/","-")</f>
        <v>2025-06</v>
      </c>
      <c r="D172" t="s">
        <v>39</v>
      </c>
      <c r="E172" t="str">
        <f>IF(UPPER(Cost[[#This Row],[ProductID]])&lt;&gt;"",Cost[[#This Row],[ProductID]],"Missing Value")</f>
        <v>P-FS-006</v>
      </c>
      <c r="F172" t="s">
        <v>3574</v>
      </c>
      <c r="G172" t="s">
        <v>3568</v>
      </c>
      <c r="H172">
        <v>380</v>
      </c>
      <c r="I172">
        <v>380.07</v>
      </c>
      <c r="J172">
        <f>VALUE(Cost[[#This Row],[ActualCost]])</f>
        <v>380.07</v>
      </c>
      <c r="K172" t="s">
        <v>3602</v>
      </c>
      <c r="L172" t="str">
        <f>IF(UPPER(Cost[[#This Row],[CostCenter]])="","Missing Value",UPPER(Cost[[#This Row],[CostCenter]]))</f>
        <v>FS</v>
      </c>
    </row>
    <row r="173" spans="1:12" hidden="1" x14ac:dyDescent="0.25">
      <c r="A173" t="s">
        <v>3821</v>
      </c>
      <c r="B173" t="s">
        <v>3783</v>
      </c>
      <c r="C173" t="str">
        <f>SUBSTITUTE(Cost[[#This Row],[Period]],"/","-")</f>
        <v>2025-06</v>
      </c>
      <c r="D173" t="s">
        <v>39</v>
      </c>
      <c r="E173" t="str">
        <f>IF(UPPER(Cost[[#This Row],[ProductID]])&lt;&gt;"",Cost[[#This Row],[ProductID]],"Missing Value")</f>
        <v>P-FS-006</v>
      </c>
      <c r="F173" t="s">
        <v>3571</v>
      </c>
      <c r="G173" t="s">
        <v>3572</v>
      </c>
      <c r="H173">
        <v>175</v>
      </c>
      <c r="I173">
        <v>179.32</v>
      </c>
      <c r="J173">
        <f>VALUE(Cost[[#This Row],[ActualCost]])</f>
        <v>179.32</v>
      </c>
      <c r="K173" t="s">
        <v>3602</v>
      </c>
      <c r="L173" t="str">
        <f>IF(UPPER(Cost[[#This Row],[CostCenter]])="","Missing Value",UPPER(Cost[[#This Row],[CostCenter]]))</f>
        <v>FS</v>
      </c>
    </row>
    <row r="174" spans="1:12" hidden="1" x14ac:dyDescent="0.25">
      <c r="A174" t="s">
        <v>3590</v>
      </c>
      <c r="B174" t="s">
        <v>3566</v>
      </c>
      <c r="C174" t="str">
        <f>SUBSTITUTE(Cost[[#This Row],[Period]],"/","-")</f>
        <v>2025-01</v>
      </c>
      <c r="D174" t="s">
        <v>29</v>
      </c>
      <c r="E174" t="str">
        <f>IF(UPPER(Cost[[#This Row],[ProductID]])&lt;&gt;"",Cost[[#This Row],[ProductID]],"Missing Value")</f>
        <v>P-SA-001</v>
      </c>
      <c r="F174" t="s">
        <v>3574</v>
      </c>
      <c r="G174" t="s">
        <v>3568</v>
      </c>
      <c r="H174">
        <v>185</v>
      </c>
      <c r="I174">
        <v>200.94</v>
      </c>
      <c r="J174">
        <f>VALUE(Cost[[#This Row],[ActualCost]])</f>
        <v>200.94</v>
      </c>
      <c r="K174" t="s">
        <v>3591</v>
      </c>
      <c r="L174" t="str">
        <f>IF(UPPER(Cost[[#This Row],[CostCenter]])="","Missing Value",UPPER(Cost[[#This Row],[CostCenter]]))</f>
        <v>SA</v>
      </c>
    </row>
    <row r="175" spans="1:12" hidden="1" x14ac:dyDescent="0.25">
      <c r="A175" t="s">
        <v>3592</v>
      </c>
      <c r="B175" t="s">
        <v>3566</v>
      </c>
      <c r="C175" t="str">
        <f>SUBSTITUTE(Cost[[#This Row],[Period]],"/","-")</f>
        <v>2025-01</v>
      </c>
      <c r="D175" t="s">
        <v>29</v>
      </c>
      <c r="E175" t="str">
        <f>IF(UPPER(Cost[[#This Row],[ProductID]])&lt;&gt;"",Cost[[#This Row],[ProductID]],"Missing Value")</f>
        <v>P-SA-001</v>
      </c>
      <c r="F175" t="s">
        <v>3571</v>
      </c>
      <c r="G175" t="s">
        <v>3572</v>
      </c>
      <c r="H175">
        <v>310</v>
      </c>
      <c r="I175">
        <v>305.16000000000003</v>
      </c>
      <c r="J175">
        <f>VALUE(Cost[[#This Row],[ActualCost]])</f>
        <v>305.16000000000003</v>
      </c>
      <c r="K175" t="s">
        <v>3591</v>
      </c>
      <c r="L175" t="str">
        <f>IF(UPPER(Cost[[#This Row],[CostCenter]])="","Missing Value",UPPER(Cost[[#This Row],[CostCenter]]))</f>
        <v>SA</v>
      </c>
    </row>
    <row r="176" spans="1:12" hidden="1" x14ac:dyDescent="0.25">
      <c r="A176" t="s">
        <v>3631</v>
      </c>
      <c r="B176" t="s">
        <v>3615</v>
      </c>
      <c r="C176" t="str">
        <f>SUBSTITUTE(Cost[[#This Row],[Period]],"/","-")</f>
        <v>2025-02</v>
      </c>
      <c r="D176" t="s">
        <v>29</v>
      </c>
      <c r="E176" t="str">
        <f>IF(UPPER(Cost[[#This Row],[ProductID]])&lt;&gt;"",Cost[[#This Row],[ProductID]],"Missing Value")</f>
        <v>P-SA-001</v>
      </c>
      <c r="F176" t="s">
        <v>3574</v>
      </c>
      <c r="G176" t="s">
        <v>3568</v>
      </c>
      <c r="H176">
        <v>185</v>
      </c>
      <c r="I176">
        <v>191.36</v>
      </c>
      <c r="J176">
        <f>VALUE(Cost[[#This Row],[ActualCost]])</f>
        <v>191.36</v>
      </c>
      <c r="K176" t="s">
        <v>3591</v>
      </c>
      <c r="L176" t="str">
        <f>IF(UPPER(Cost[[#This Row],[CostCenter]])="","Missing Value",UPPER(Cost[[#This Row],[CostCenter]]))</f>
        <v>SA</v>
      </c>
    </row>
    <row r="177" spans="1:12" hidden="1" x14ac:dyDescent="0.25">
      <c r="A177" t="s">
        <v>3632</v>
      </c>
      <c r="B177" t="s">
        <v>3615</v>
      </c>
      <c r="C177" t="str">
        <f>SUBSTITUTE(Cost[[#This Row],[Period]],"/","-")</f>
        <v>2025-02</v>
      </c>
      <c r="D177" t="s">
        <v>29</v>
      </c>
      <c r="E177" t="str">
        <f>IF(UPPER(Cost[[#This Row],[ProductID]])&lt;&gt;"",Cost[[#This Row],[ProductID]],"Missing Value")</f>
        <v>P-SA-001</v>
      </c>
      <c r="F177" t="s">
        <v>3571</v>
      </c>
      <c r="G177" t="s">
        <v>3572</v>
      </c>
      <c r="H177">
        <v>310</v>
      </c>
      <c r="I177">
        <v>334.27</v>
      </c>
      <c r="J177">
        <f>VALUE(Cost[[#This Row],[ActualCost]])</f>
        <v>334.27</v>
      </c>
      <c r="K177" t="s">
        <v>3591</v>
      </c>
      <c r="L177" t="str">
        <f>IF(UPPER(Cost[[#This Row],[CostCenter]])="","Missing Value",UPPER(Cost[[#This Row],[CostCenter]]))</f>
        <v>SA</v>
      </c>
    </row>
    <row r="178" spans="1:12" hidden="1" x14ac:dyDescent="0.25">
      <c r="A178" t="s">
        <v>3672</v>
      </c>
      <c r="B178" t="s">
        <v>3655</v>
      </c>
      <c r="C178" t="str">
        <f>SUBSTITUTE(Cost[[#This Row],[Period]],"/","-")</f>
        <v>2025-03</v>
      </c>
      <c r="D178" t="s">
        <v>29</v>
      </c>
      <c r="E178" t="str">
        <f>IF(UPPER(Cost[[#This Row],[ProductID]])&lt;&gt;"",Cost[[#This Row],[ProductID]],"Missing Value")</f>
        <v>P-SA-001</v>
      </c>
      <c r="F178" t="s">
        <v>3574</v>
      </c>
      <c r="G178" t="s">
        <v>3568</v>
      </c>
      <c r="H178">
        <v>185</v>
      </c>
      <c r="I178">
        <v>190.46</v>
      </c>
      <c r="J178">
        <f>VALUE(Cost[[#This Row],[ActualCost]])</f>
        <v>190.46</v>
      </c>
      <c r="K178" t="s">
        <v>3591</v>
      </c>
      <c r="L178" t="str">
        <f>IF(UPPER(Cost[[#This Row],[CostCenter]])="","Missing Value",UPPER(Cost[[#This Row],[CostCenter]]))</f>
        <v>SA</v>
      </c>
    </row>
    <row r="179" spans="1:12" hidden="1" x14ac:dyDescent="0.25">
      <c r="A179" t="s">
        <v>3673</v>
      </c>
      <c r="B179" t="s">
        <v>3655</v>
      </c>
      <c r="C179" t="str">
        <f>SUBSTITUTE(Cost[[#This Row],[Period]],"/","-")</f>
        <v>2025-03</v>
      </c>
      <c r="D179" t="s">
        <v>29</v>
      </c>
      <c r="E179" t="str">
        <f>IF(UPPER(Cost[[#This Row],[ProductID]])&lt;&gt;"",Cost[[#This Row],[ProductID]],"Missing Value")</f>
        <v>P-SA-001</v>
      </c>
      <c r="F179" t="s">
        <v>3571</v>
      </c>
      <c r="G179" t="s">
        <v>3572</v>
      </c>
      <c r="H179">
        <v>310</v>
      </c>
      <c r="I179">
        <v>327.14</v>
      </c>
      <c r="J179">
        <f>VALUE(Cost[[#This Row],[ActualCost]])</f>
        <v>327.14</v>
      </c>
      <c r="K179" t="s">
        <v>3591</v>
      </c>
      <c r="L179" t="str">
        <f>IF(UPPER(Cost[[#This Row],[CostCenter]])="","Missing Value",UPPER(Cost[[#This Row],[CostCenter]]))</f>
        <v>SA</v>
      </c>
    </row>
    <row r="180" spans="1:12" hidden="1" x14ac:dyDescent="0.25">
      <c r="A180" t="s">
        <v>3712</v>
      </c>
      <c r="B180" t="s">
        <v>3695</v>
      </c>
      <c r="C180" t="str">
        <f>SUBSTITUTE(Cost[[#This Row],[Period]],"/","-")</f>
        <v>2025-04</v>
      </c>
      <c r="D180" t="s">
        <v>29</v>
      </c>
      <c r="E180" t="str">
        <f>IF(UPPER(Cost[[#This Row],[ProductID]])&lt;&gt;"",Cost[[#This Row],[ProductID]],"Missing Value")</f>
        <v>P-SA-001</v>
      </c>
      <c r="F180" t="s">
        <v>3574</v>
      </c>
      <c r="G180" t="s">
        <v>3568</v>
      </c>
      <c r="H180">
        <v>185</v>
      </c>
      <c r="I180">
        <v>178.94</v>
      </c>
      <c r="J180">
        <f>VALUE(Cost[[#This Row],[ActualCost]])</f>
        <v>178.94</v>
      </c>
      <c r="K180" t="s">
        <v>3591</v>
      </c>
      <c r="L180" t="str">
        <f>IF(UPPER(Cost[[#This Row],[CostCenter]])="","Missing Value",UPPER(Cost[[#This Row],[CostCenter]]))</f>
        <v>SA</v>
      </c>
    </row>
    <row r="181" spans="1:12" hidden="1" x14ac:dyDescent="0.25">
      <c r="A181" t="s">
        <v>3713</v>
      </c>
      <c r="B181" t="s">
        <v>3695</v>
      </c>
      <c r="C181" t="str">
        <f>SUBSTITUTE(Cost[[#This Row],[Period]],"/","-")</f>
        <v>2025-04</v>
      </c>
      <c r="D181" t="s">
        <v>29</v>
      </c>
      <c r="E181" t="str">
        <f>IF(UPPER(Cost[[#This Row],[ProductID]])&lt;&gt;"",Cost[[#This Row],[ProductID]],"Missing Value")</f>
        <v>P-SA-001</v>
      </c>
      <c r="F181" t="s">
        <v>3571</v>
      </c>
      <c r="G181" t="s">
        <v>3572</v>
      </c>
      <c r="H181">
        <v>310</v>
      </c>
      <c r="I181">
        <v>305.64999999999998</v>
      </c>
      <c r="J181">
        <f>VALUE(Cost[[#This Row],[ActualCost]])</f>
        <v>305.64999999999998</v>
      </c>
      <c r="K181" t="s">
        <v>3591</v>
      </c>
      <c r="L181" t="str">
        <f>IF(UPPER(Cost[[#This Row],[CostCenter]])="","Missing Value",UPPER(Cost[[#This Row],[CostCenter]]))</f>
        <v>SA</v>
      </c>
    </row>
    <row r="182" spans="1:12" hidden="1" x14ac:dyDescent="0.25">
      <c r="A182" t="s">
        <v>3756</v>
      </c>
      <c r="B182" t="s">
        <v>3738</v>
      </c>
      <c r="C182" t="str">
        <f>SUBSTITUTE(Cost[[#This Row],[Period]],"/","-")</f>
        <v>2025-05</v>
      </c>
      <c r="D182" t="s">
        <v>29</v>
      </c>
      <c r="E182" t="str">
        <f>IF(UPPER(Cost[[#This Row],[ProductID]])&lt;&gt;"",Cost[[#This Row],[ProductID]],"Missing Value")</f>
        <v>P-SA-001</v>
      </c>
      <c r="F182" t="s">
        <v>3574</v>
      </c>
      <c r="G182" t="s">
        <v>3568</v>
      </c>
      <c r="H182">
        <v>185</v>
      </c>
      <c r="I182">
        <v>191.33</v>
      </c>
      <c r="J182">
        <f>VALUE(Cost[[#This Row],[ActualCost]])</f>
        <v>191.33</v>
      </c>
      <c r="K182" t="s">
        <v>3591</v>
      </c>
      <c r="L182" t="str">
        <f>IF(UPPER(Cost[[#This Row],[CostCenter]])="","Missing Value",UPPER(Cost[[#This Row],[CostCenter]]))</f>
        <v>SA</v>
      </c>
    </row>
    <row r="183" spans="1:12" hidden="1" x14ac:dyDescent="0.25">
      <c r="A183" t="s">
        <v>3757</v>
      </c>
      <c r="B183" t="s">
        <v>3738</v>
      </c>
      <c r="C183" t="str">
        <f>SUBSTITUTE(Cost[[#This Row],[Period]],"/","-")</f>
        <v>2025-05</v>
      </c>
      <c r="D183" t="s">
        <v>29</v>
      </c>
      <c r="E183" t="str">
        <f>IF(UPPER(Cost[[#This Row],[ProductID]])&lt;&gt;"",Cost[[#This Row],[ProductID]],"Missing Value")</f>
        <v>P-SA-001</v>
      </c>
      <c r="F183" t="s">
        <v>3571</v>
      </c>
      <c r="G183" t="s">
        <v>3572</v>
      </c>
      <c r="H183">
        <v>310</v>
      </c>
      <c r="I183">
        <v>295.52</v>
      </c>
      <c r="J183">
        <f>VALUE(Cost[[#This Row],[ActualCost]])</f>
        <v>295.52</v>
      </c>
      <c r="K183" t="s">
        <v>3591</v>
      </c>
      <c r="L183" t="str">
        <f>IF(UPPER(Cost[[#This Row],[CostCenter]])="","Missing Value",UPPER(Cost[[#This Row],[CostCenter]]))</f>
        <v>SA</v>
      </c>
    </row>
    <row r="184" spans="1:12" hidden="1" x14ac:dyDescent="0.25">
      <c r="A184" t="s">
        <v>3799</v>
      </c>
      <c r="B184" t="s">
        <v>3783</v>
      </c>
      <c r="C184" t="str">
        <f>SUBSTITUTE(Cost[[#This Row],[Period]],"/","-")</f>
        <v>2025-06</v>
      </c>
      <c r="D184" t="s">
        <v>29</v>
      </c>
      <c r="E184" t="str">
        <f>IF(UPPER(Cost[[#This Row],[ProductID]])&lt;&gt;"",Cost[[#This Row],[ProductID]],"Missing Value")</f>
        <v>P-SA-001</v>
      </c>
      <c r="F184" t="s">
        <v>3574</v>
      </c>
      <c r="G184" t="s">
        <v>3568</v>
      </c>
      <c r="H184">
        <v>185</v>
      </c>
      <c r="I184">
        <v>183.44</v>
      </c>
      <c r="J184">
        <f>VALUE(Cost[[#This Row],[ActualCost]])</f>
        <v>183.44</v>
      </c>
      <c r="K184" t="s">
        <v>3591</v>
      </c>
      <c r="L184" t="str">
        <f>IF(UPPER(Cost[[#This Row],[CostCenter]])="","Missing Value",UPPER(Cost[[#This Row],[CostCenter]]))</f>
        <v>SA</v>
      </c>
    </row>
    <row r="185" spans="1:12" hidden="1" x14ac:dyDescent="0.25">
      <c r="A185" t="s">
        <v>3800</v>
      </c>
      <c r="B185" t="s">
        <v>3783</v>
      </c>
      <c r="C185" t="str">
        <f>SUBSTITUTE(Cost[[#This Row],[Period]],"/","-")</f>
        <v>2025-06</v>
      </c>
      <c r="D185" t="s">
        <v>29</v>
      </c>
      <c r="E185" t="str">
        <f>IF(UPPER(Cost[[#This Row],[ProductID]])&lt;&gt;"",Cost[[#This Row],[ProductID]],"Missing Value")</f>
        <v>P-SA-001</v>
      </c>
      <c r="F185" t="s">
        <v>3571</v>
      </c>
      <c r="G185" t="s">
        <v>3572</v>
      </c>
      <c r="H185">
        <v>310</v>
      </c>
      <c r="I185">
        <v>304</v>
      </c>
      <c r="J185">
        <f>VALUE(Cost[[#This Row],[ActualCost]])</f>
        <v>304</v>
      </c>
      <c r="K185" t="s">
        <v>3591</v>
      </c>
      <c r="L185" t="str">
        <f>IF(UPPER(Cost[[#This Row],[CostCenter]])="","Missing Value",UPPER(Cost[[#This Row],[CostCenter]]))</f>
        <v>SA</v>
      </c>
    </row>
    <row r="186" spans="1:12" hidden="1" x14ac:dyDescent="0.25">
      <c r="A186" t="s">
        <v>3593</v>
      </c>
      <c r="B186" t="s">
        <v>3566</v>
      </c>
      <c r="C186" t="str">
        <f>SUBSTITUTE(Cost[[#This Row],[Period]],"/","-")</f>
        <v>2025-01</v>
      </c>
      <c r="D186" t="s">
        <v>226</v>
      </c>
      <c r="E186" t="str">
        <f>IF(UPPER(Cost[[#This Row],[ProductID]])&lt;&gt;"",Cost[[#This Row],[ProductID]],"Missing Value")</f>
        <v>P-SA-002</v>
      </c>
      <c r="F186" t="s">
        <v>3574</v>
      </c>
      <c r="G186" t="s">
        <v>3568</v>
      </c>
      <c r="H186">
        <v>420</v>
      </c>
      <c r="I186">
        <v>403.51</v>
      </c>
      <c r="J186">
        <f>VALUE(Cost[[#This Row],[ActualCost]])</f>
        <v>403.51</v>
      </c>
      <c r="K186" t="s">
        <v>3591</v>
      </c>
      <c r="L186" t="str">
        <f>IF(UPPER(Cost[[#This Row],[CostCenter]])="","Missing Value",UPPER(Cost[[#This Row],[CostCenter]]))</f>
        <v>SA</v>
      </c>
    </row>
    <row r="187" spans="1:12" hidden="1" x14ac:dyDescent="0.25">
      <c r="A187" t="s">
        <v>3594</v>
      </c>
      <c r="B187" t="s">
        <v>3566</v>
      </c>
      <c r="C187" t="str">
        <f>SUBSTITUTE(Cost[[#This Row],[Period]],"/","-")</f>
        <v>2025-01</v>
      </c>
      <c r="D187" t="s">
        <v>226</v>
      </c>
      <c r="E187" t="str">
        <f>IF(UPPER(Cost[[#This Row],[ProductID]])&lt;&gt;"",Cost[[#This Row],[ProductID]],"Missing Value")</f>
        <v>P-SA-002</v>
      </c>
      <c r="F187" t="s">
        <v>3571</v>
      </c>
      <c r="G187" t="s">
        <v>3572</v>
      </c>
      <c r="H187">
        <v>680</v>
      </c>
      <c r="I187">
        <v>710.4</v>
      </c>
      <c r="J187">
        <f>VALUE(Cost[[#This Row],[ActualCost]])</f>
        <v>710.4</v>
      </c>
      <c r="K187" t="s">
        <v>3591</v>
      </c>
      <c r="L187" t="str">
        <f>IF(UPPER(Cost[[#This Row],[CostCenter]])="","Missing Value",UPPER(Cost[[#This Row],[CostCenter]]))</f>
        <v>SA</v>
      </c>
    </row>
    <row r="188" spans="1:12" hidden="1" x14ac:dyDescent="0.25">
      <c r="A188" t="s">
        <v>3633</v>
      </c>
      <c r="B188" t="s">
        <v>3615</v>
      </c>
      <c r="C188" t="str">
        <f>SUBSTITUTE(Cost[[#This Row],[Period]],"/","-")</f>
        <v>2025-02</v>
      </c>
      <c r="D188" t="s">
        <v>226</v>
      </c>
      <c r="E188" t="str">
        <f>IF(UPPER(Cost[[#This Row],[ProductID]])&lt;&gt;"",Cost[[#This Row],[ProductID]],"Missing Value")</f>
        <v>P-SA-002</v>
      </c>
      <c r="F188" t="s">
        <v>3574</v>
      </c>
      <c r="G188" t="s">
        <v>3568</v>
      </c>
      <c r="H188">
        <v>420</v>
      </c>
      <c r="I188">
        <v>393.51</v>
      </c>
      <c r="J188">
        <f>VALUE(Cost[[#This Row],[ActualCost]])</f>
        <v>393.51</v>
      </c>
      <c r="K188" t="s">
        <v>3591</v>
      </c>
      <c r="L188" t="str">
        <f>IF(UPPER(Cost[[#This Row],[CostCenter]])="","Missing Value",UPPER(Cost[[#This Row],[CostCenter]]))</f>
        <v>SA</v>
      </c>
    </row>
    <row r="189" spans="1:12" hidden="1" x14ac:dyDescent="0.25">
      <c r="A189" t="s">
        <v>3634</v>
      </c>
      <c r="B189" t="s">
        <v>3615</v>
      </c>
      <c r="C189" t="str">
        <f>SUBSTITUTE(Cost[[#This Row],[Period]],"/","-")</f>
        <v>2025-02</v>
      </c>
      <c r="D189" t="s">
        <v>226</v>
      </c>
      <c r="E189" t="str">
        <f>IF(UPPER(Cost[[#This Row],[ProductID]])&lt;&gt;"",Cost[[#This Row],[ProductID]],"Missing Value")</f>
        <v>P-SA-002</v>
      </c>
      <c r="F189" t="s">
        <v>3571</v>
      </c>
      <c r="G189" t="s">
        <v>3572</v>
      </c>
      <c r="H189">
        <v>680</v>
      </c>
      <c r="I189">
        <v>697.66</v>
      </c>
      <c r="J189">
        <f>VALUE(Cost[[#This Row],[ActualCost]])</f>
        <v>697.66</v>
      </c>
      <c r="K189" t="s">
        <v>3591</v>
      </c>
      <c r="L189" t="str">
        <f>IF(UPPER(Cost[[#This Row],[CostCenter]])="","Missing Value",UPPER(Cost[[#This Row],[CostCenter]]))</f>
        <v>SA</v>
      </c>
    </row>
    <row r="190" spans="1:12" hidden="1" x14ac:dyDescent="0.25">
      <c r="A190" t="s">
        <v>3674</v>
      </c>
      <c r="B190" t="s">
        <v>3655</v>
      </c>
      <c r="C190" t="str">
        <f>SUBSTITUTE(Cost[[#This Row],[Period]],"/","-")</f>
        <v>2025-03</v>
      </c>
      <c r="D190" t="s">
        <v>226</v>
      </c>
      <c r="E190" t="str">
        <f>IF(UPPER(Cost[[#This Row],[ProductID]])&lt;&gt;"",Cost[[#This Row],[ProductID]],"Missing Value")</f>
        <v>P-SA-002</v>
      </c>
      <c r="F190" t="s">
        <v>3574</v>
      </c>
      <c r="G190" t="s">
        <v>3568</v>
      </c>
      <c r="H190">
        <v>420</v>
      </c>
      <c r="I190">
        <v>392.18</v>
      </c>
      <c r="J190">
        <f>VALUE(Cost[[#This Row],[ActualCost]])</f>
        <v>392.18</v>
      </c>
      <c r="K190" t="s">
        <v>3591</v>
      </c>
      <c r="L190" t="str">
        <f>IF(UPPER(Cost[[#This Row],[CostCenter]])="","Missing Value",UPPER(Cost[[#This Row],[CostCenter]]))</f>
        <v>SA</v>
      </c>
    </row>
    <row r="191" spans="1:12" hidden="1" x14ac:dyDescent="0.25">
      <c r="A191" t="s">
        <v>3675</v>
      </c>
      <c r="B191" t="s">
        <v>3655</v>
      </c>
      <c r="C191" t="str">
        <f>SUBSTITUTE(Cost[[#This Row],[Period]],"/","-")</f>
        <v>2025-03</v>
      </c>
      <c r="D191" t="s">
        <v>226</v>
      </c>
      <c r="E191" t="str">
        <f>IF(UPPER(Cost[[#This Row],[ProductID]])&lt;&gt;"",Cost[[#This Row],[ProductID]],"Missing Value")</f>
        <v>P-SA-002</v>
      </c>
      <c r="F191" t="s">
        <v>3571</v>
      </c>
      <c r="G191" t="s">
        <v>3572</v>
      </c>
      <c r="H191">
        <v>680</v>
      </c>
      <c r="I191">
        <v>702.72</v>
      </c>
      <c r="J191">
        <f>VALUE(Cost[[#This Row],[ActualCost]])</f>
        <v>702.72</v>
      </c>
      <c r="K191" t="s">
        <v>3591</v>
      </c>
      <c r="L191" t="str">
        <f>IF(UPPER(Cost[[#This Row],[CostCenter]])="","Missing Value",UPPER(Cost[[#This Row],[CostCenter]]))</f>
        <v>SA</v>
      </c>
    </row>
    <row r="192" spans="1:12" hidden="1" x14ac:dyDescent="0.25">
      <c r="A192" t="s">
        <v>3714</v>
      </c>
      <c r="B192" t="s">
        <v>3695</v>
      </c>
      <c r="C192" t="str">
        <f>SUBSTITUTE(Cost[[#This Row],[Period]],"/","-")</f>
        <v>2025-04</v>
      </c>
      <c r="D192" t="s">
        <v>226</v>
      </c>
      <c r="E192" t="str">
        <f>IF(UPPER(Cost[[#This Row],[ProductID]])&lt;&gt;"",Cost[[#This Row],[ProductID]],"Missing Value")</f>
        <v>P-SA-002</v>
      </c>
      <c r="F192" t="s">
        <v>3574</v>
      </c>
      <c r="G192" t="s">
        <v>3568</v>
      </c>
      <c r="H192">
        <v>420</v>
      </c>
      <c r="I192">
        <v>395.9</v>
      </c>
      <c r="J192">
        <f>VALUE(Cost[[#This Row],[ActualCost]])</f>
        <v>395.9</v>
      </c>
      <c r="K192" t="s">
        <v>3591</v>
      </c>
      <c r="L192" t="str">
        <f>IF(UPPER(Cost[[#This Row],[CostCenter]])="","Missing Value",UPPER(Cost[[#This Row],[CostCenter]]))</f>
        <v>SA</v>
      </c>
    </row>
    <row r="193" spans="1:12" hidden="1" x14ac:dyDescent="0.25">
      <c r="A193" t="s">
        <v>3715</v>
      </c>
      <c r="B193" t="s">
        <v>3695</v>
      </c>
      <c r="C193" t="str">
        <f>SUBSTITUTE(Cost[[#This Row],[Period]],"/","-")</f>
        <v>2025-04</v>
      </c>
      <c r="D193" t="s">
        <v>226</v>
      </c>
      <c r="E193" t="str">
        <f>IF(UPPER(Cost[[#This Row],[ProductID]])&lt;&gt;"",Cost[[#This Row],[ProductID]],"Missing Value")</f>
        <v>P-SA-002</v>
      </c>
      <c r="F193" t="s">
        <v>3571</v>
      </c>
      <c r="G193" t="s">
        <v>3572</v>
      </c>
      <c r="H193">
        <v>680</v>
      </c>
      <c r="I193">
        <v>657.71</v>
      </c>
      <c r="J193">
        <f>VALUE(Cost[[#This Row],[ActualCost]])</f>
        <v>657.71</v>
      </c>
      <c r="K193" t="s">
        <v>3591</v>
      </c>
      <c r="L193" t="str">
        <f>IF(UPPER(Cost[[#This Row],[CostCenter]])="","Missing Value",UPPER(Cost[[#This Row],[CostCenter]]))</f>
        <v>SA</v>
      </c>
    </row>
    <row r="194" spans="1:12" hidden="1" x14ac:dyDescent="0.25">
      <c r="A194" t="s">
        <v>3758</v>
      </c>
      <c r="B194" t="s">
        <v>3738</v>
      </c>
      <c r="C194" t="str">
        <f>SUBSTITUTE(Cost[[#This Row],[Period]],"/","-")</f>
        <v>2025-05</v>
      </c>
      <c r="D194" t="s">
        <v>226</v>
      </c>
      <c r="E194" t="str">
        <f>IF(UPPER(Cost[[#This Row],[ProductID]])&lt;&gt;"",Cost[[#This Row],[ProductID]],"Missing Value")</f>
        <v>P-SA-002</v>
      </c>
      <c r="F194" t="s">
        <v>3574</v>
      </c>
      <c r="G194" t="s">
        <v>3568</v>
      </c>
      <c r="H194">
        <v>420</v>
      </c>
      <c r="I194">
        <v>407.64</v>
      </c>
      <c r="J194">
        <f>VALUE(Cost[[#This Row],[ActualCost]])</f>
        <v>407.64</v>
      </c>
      <c r="K194" t="s">
        <v>3591</v>
      </c>
      <c r="L194" t="str">
        <f>IF(UPPER(Cost[[#This Row],[CostCenter]])="","Missing Value",UPPER(Cost[[#This Row],[CostCenter]]))</f>
        <v>SA</v>
      </c>
    </row>
    <row r="195" spans="1:12" hidden="1" x14ac:dyDescent="0.25">
      <c r="A195" t="s">
        <v>3759</v>
      </c>
      <c r="B195" t="s">
        <v>3760</v>
      </c>
      <c r="C195" t="str">
        <f>SUBSTITUTE(Cost[[#This Row],[Period]],"/","-")</f>
        <v>2025-05</v>
      </c>
      <c r="D195" t="s">
        <v>226</v>
      </c>
      <c r="E195" t="str">
        <f>IF(UPPER(Cost[[#This Row],[ProductID]])&lt;&gt;"",Cost[[#This Row],[ProductID]],"Missing Value")</f>
        <v>P-SA-002</v>
      </c>
      <c r="F195" t="s">
        <v>3571</v>
      </c>
      <c r="G195" t="s">
        <v>3572</v>
      </c>
      <c r="H195">
        <v>680</v>
      </c>
      <c r="I195">
        <v>711.13</v>
      </c>
      <c r="J195">
        <f>VALUE(Cost[[#This Row],[ActualCost]])</f>
        <v>711.13</v>
      </c>
      <c r="K195" t="s">
        <v>3591</v>
      </c>
      <c r="L195" t="str">
        <f>IF(UPPER(Cost[[#This Row],[CostCenter]])="","Missing Value",UPPER(Cost[[#This Row],[CostCenter]]))</f>
        <v>SA</v>
      </c>
    </row>
    <row r="196" spans="1:12" hidden="1" x14ac:dyDescent="0.25">
      <c r="A196" t="s">
        <v>3801</v>
      </c>
      <c r="B196" t="s">
        <v>3783</v>
      </c>
      <c r="C196" t="str">
        <f>SUBSTITUTE(Cost[[#This Row],[Period]],"/","-")</f>
        <v>2025-06</v>
      </c>
      <c r="D196" t="s">
        <v>226</v>
      </c>
      <c r="E196" t="str">
        <f>IF(UPPER(Cost[[#This Row],[ProductID]])&lt;&gt;"",Cost[[#This Row],[ProductID]],"Missing Value")</f>
        <v>P-SA-002</v>
      </c>
      <c r="F196" t="s">
        <v>3567</v>
      </c>
      <c r="G196" t="s">
        <v>3568</v>
      </c>
      <c r="H196">
        <v>420</v>
      </c>
      <c r="I196">
        <v>403.67</v>
      </c>
      <c r="J196">
        <f>VALUE(Cost[[#This Row],[ActualCost]])</f>
        <v>403.67</v>
      </c>
      <c r="K196" t="s">
        <v>3591</v>
      </c>
      <c r="L196" t="str">
        <f>IF(UPPER(Cost[[#This Row],[CostCenter]])="","Missing Value",UPPER(Cost[[#This Row],[CostCenter]]))</f>
        <v>SA</v>
      </c>
    </row>
    <row r="197" spans="1:12" hidden="1" x14ac:dyDescent="0.25">
      <c r="A197" t="s">
        <v>3802</v>
      </c>
      <c r="B197" t="s">
        <v>3783</v>
      </c>
      <c r="C197" t="str">
        <f>SUBSTITUTE(Cost[[#This Row],[Period]],"/","-")</f>
        <v>2025-06</v>
      </c>
      <c r="D197" t="s">
        <v>226</v>
      </c>
      <c r="E197" t="str">
        <f>IF(UPPER(Cost[[#This Row],[ProductID]])&lt;&gt;"",Cost[[#This Row],[ProductID]],"Missing Value")</f>
        <v>P-SA-002</v>
      </c>
      <c r="F197" t="s">
        <v>3571</v>
      </c>
      <c r="G197" t="s">
        <v>3572</v>
      </c>
      <c r="H197">
        <v>680</v>
      </c>
      <c r="I197" t="s">
        <v>3803</v>
      </c>
      <c r="J197">
        <f>VALUE(Cost[[#This Row],[ActualCost]])</f>
        <v>731.37</v>
      </c>
      <c r="K197" t="s">
        <v>3591</v>
      </c>
      <c r="L197" t="str">
        <f>IF(UPPER(Cost[[#This Row],[CostCenter]])="","Missing Value",UPPER(Cost[[#This Row],[CostCenter]]))</f>
        <v>SA</v>
      </c>
    </row>
    <row r="198" spans="1:12" hidden="1" x14ac:dyDescent="0.25">
      <c r="A198" t="s">
        <v>3595</v>
      </c>
      <c r="B198" t="s">
        <v>3566</v>
      </c>
      <c r="C198" t="str">
        <f>SUBSTITUTE(Cost[[#This Row],[Period]],"/","-")</f>
        <v>2025-01</v>
      </c>
      <c r="D198" t="s">
        <v>258</v>
      </c>
      <c r="E198" t="str">
        <f>IF(UPPER(Cost[[#This Row],[ProductID]])&lt;&gt;"",Cost[[#This Row],[ProductID]],"Missing Value")</f>
        <v>P-SA-003</v>
      </c>
      <c r="F198" t="s">
        <v>3574</v>
      </c>
      <c r="G198" t="s">
        <v>3568</v>
      </c>
      <c r="H198">
        <v>95</v>
      </c>
      <c r="I198">
        <v>93.7</v>
      </c>
      <c r="J198">
        <f>VALUE(Cost[[#This Row],[ActualCost]])</f>
        <v>93.7</v>
      </c>
      <c r="K198" t="s">
        <v>3591</v>
      </c>
      <c r="L198" t="str">
        <f>IF(UPPER(Cost[[#This Row],[CostCenter]])="","Missing Value",UPPER(Cost[[#This Row],[CostCenter]]))</f>
        <v>SA</v>
      </c>
    </row>
    <row r="199" spans="1:12" hidden="1" x14ac:dyDescent="0.25">
      <c r="A199" t="s">
        <v>3596</v>
      </c>
      <c r="B199" t="s">
        <v>3566</v>
      </c>
      <c r="C199" t="str">
        <f>SUBSTITUTE(Cost[[#This Row],[Period]],"/","-")</f>
        <v>2025-01</v>
      </c>
      <c r="D199" t="s">
        <v>258</v>
      </c>
      <c r="E199" t="str">
        <f>IF(UPPER(Cost[[#This Row],[ProductID]])&lt;&gt;"",Cost[[#This Row],[ProductID]],"Missing Value")</f>
        <v>P-SA-003</v>
      </c>
      <c r="F199" t="s">
        <v>3571</v>
      </c>
      <c r="G199" t="s">
        <v>3572</v>
      </c>
      <c r="H199">
        <v>210</v>
      </c>
      <c r="I199">
        <v>222.93</v>
      </c>
      <c r="J199">
        <f>VALUE(Cost[[#This Row],[ActualCost]])</f>
        <v>222.93</v>
      </c>
      <c r="K199" t="s">
        <v>3591</v>
      </c>
      <c r="L199" t="str">
        <f>IF(UPPER(Cost[[#This Row],[CostCenter]])="","Missing Value",UPPER(Cost[[#This Row],[CostCenter]]))</f>
        <v>SA</v>
      </c>
    </row>
    <row r="200" spans="1:12" hidden="1" x14ac:dyDescent="0.25">
      <c r="A200" t="s">
        <v>3635</v>
      </c>
      <c r="B200" t="s">
        <v>3615</v>
      </c>
      <c r="C200" t="str">
        <f>SUBSTITUTE(Cost[[#This Row],[Period]],"/","-")</f>
        <v>2025-02</v>
      </c>
      <c r="D200" t="s">
        <v>258</v>
      </c>
      <c r="E200" t="str">
        <f>IF(UPPER(Cost[[#This Row],[ProductID]])&lt;&gt;"",Cost[[#This Row],[ProductID]],"Missing Value")</f>
        <v>P-SA-003</v>
      </c>
      <c r="F200" t="s">
        <v>3574</v>
      </c>
      <c r="G200" t="s">
        <v>3568</v>
      </c>
      <c r="H200">
        <v>95</v>
      </c>
      <c r="I200">
        <v>96.82</v>
      </c>
      <c r="J200">
        <f>VALUE(Cost[[#This Row],[ActualCost]])</f>
        <v>96.82</v>
      </c>
      <c r="K200" t="s">
        <v>3591</v>
      </c>
      <c r="L200" t="str">
        <f>IF(UPPER(Cost[[#This Row],[CostCenter]])="","Missing Value",UPPER(Cost[[#This Row],[CostCenter]]))</f>
        <v>SA</v>
      </c>
    </row>
    <row r="201" spans="1:12" hidden="1" x14ac:dyDescent="0.25">
      <c r="A201" t="s">
        <v>3636</v>
      </c>
      <c r="B201" t="s">
        <v>3615</v>
      </c>
      <c r="C201" t="str">
        <f>SUBSTITUTE(Cost[[#This Row],[Period]],"/","-")</f>
        <v>2025-02</v>
      </c>
      <c r="D201" t="s">
        <v>258</v>
      </c>
      <c r="E201" t="str">
        <f>IF(UPPER(Cost[[#This Row],[ProductID]])&lt;&gt;"",Cost[[#This Row],[ProductID]],"Missing Value")</f>
        <v>P-SA-003</v>
      </c>
      <c r="F201" t="s">
        <v>3571</v>
      </c>
      <c r="G201" t="s">
        <v>3572</v>
      </c>
      <c r="H201">
        <v>210</v>
      </c>
      <c r="I201">
        <v>223.9</v>
      </c>
      <c r="J201">
        <f>VALUE(Cost[[#This Row],[ActualCost]])</f>
        <v>223.9</v>
      </c>
      <c r="K201" t="s">
        <v>3591</v>
      </c>
      <c r="L201" t="str">
        <f>IF(UPPER(Cost[[#This Row],[CostCenter]])="","Missing Value",UPPER(Cost[[#This Row],[CostCenter]]))</f>
        <v>SA</v>
      </c>
    </row>
    <row r="202" spans="1:12" hidden="1" x14ac:dyDescent="0.25">
      <c r="A202" t="s">
        <v>3676</v>
      </c>
      <c r="B202" t="s">
        <v>3655</v>
      </c>
      <c r="C202" t="str">
        <f>SUBSTITUTE(Cost[[#This Row],[Period]],"/","-")</f>
        <v>2025-03</v>
      </c>
      <c r="D202" t="s">
        <v>258</v>
      </c>
      <c r="E202" t="str">
        <f>IF(UPPER(Cost[[#This Row],[ProductID]])&lt;&gt;"",Cost[[#This Row],[ProductID]],"Missing Value")</f>
        <v>P-SA-003</v>
      </c>
      <c r="F202" t="s">
        <v>3574</v>
      </c>
      <c r="G202" t="s">
        <v>3568</v>
      </c>
      <c r="H202">
        <v>95</v>
      </c>
      <c r="I202">
        <v>102.15</v>
      </c>
      <c r="J202">
        <f>VALUE(Cost[[#This Row],[ActualCost]])</f>
        <v>102.15</v>
      </c>
      <c r="K202" t="s">
        <v>3591</v>
      </c>
      <c r="L202" t="str">
        <f>IF(UPPER(Cost[[#This Row],[CostCenter]])="","Missing Value",UPPER(Cost[[#This Row],[CostCenter]]))</f>
        <v>SA</v>
      </c>
    </row>
    <row r="203" spans="1:12" hidden="1" x14ac:dyDescent="0.25">
      <c r="A203" t="s">
        <v>3677</v>
      </c>
      <c r="B203" t="s">
        <v>3655</v>
      </c>
      <c r="C203" t="str">
        <f>SUBSTITUTE(Cost[[#This Row],[Period]],"/","-")</f>
        <v>2025-03</v>
      </c>
      <c r="D203" t="s">
        <v>258</v>
      </c>
      <c r="E203" t="str">
        <f>IF(UPPER(Cost[[#This Row],[ProductID]])&lt;&gt;"",Cost[[#This Row],[ProductID]],"Missing Value")</f>
        <v>P-SA-003</v>
      </c>
      <c r="F203" t="s">
        <v>3571</v>
      </c>
      <c r="G203" t="s">
        <v>3572</v>
      </c>
      <c r="H203">
        <v>210</v>
      </c>
      <c r="I203">
        <v>213.69</v>
      </c>
      <c r="J203">
        <f>VALUE(Cost[[#This Row],[ActualCost]])</f>
        <v>213.69</v>
      </c>
      <c r="K203" t="s">
        <v>3591</v>
      </c>
      <c r="L203" t="str">
        <f>IF(UPPER(Cost[[#This Row],[CostCenter]])="","Missing Value",UPPER(Cost[[#This Row],[CostCenter]]))</f>
        <v>SA</v>
      </c>
    </row>
    <row r="204" spans="1:12" hidden="1" x14ac:dyDescent="0.25">
      <c r="A204" t="s">
        <v>3716</v>
      </c>
      <c r="B204" t="s">
        <v>3695</v>
      </c>
      <c r="C204" t="str">
        <f>SUBSTITUTE(Cost[[#This Row],[Period]],"/","-")</f>
        <v>2025-04</v>
      </c>
      <c r="D204" t="s">
        <v>258</v>
      </c>
      <c r="E204" t="str">
        <f>IF(UPPER(Cost[[#This Row],[ProductID]])&lt;&gt;"",Cost[[#This Row],[ProductID]],"Missing Value")</f>
        <v>P-SA-003</v>
      </c>
      <c r="F204" t="s">
        <v>3574</v>
      </c>
      <c r="G204" t="s">
        <v>3568</v>
      </c>
      <c r="H204">
        <v>95</v>
      </c>
      <c r="I204">
        <v>94.46</v>
      </c>
      <c r="J204">
        <f>VALUE(Cost[[#This Row],[ActualCost]])</f>
        <v>94.46</v>
      </c>
      <c r="K204" t="s">
        <v>3591</v>
      </c>
      <c r="L204" t="str">
        <f>IF(UPPER(Cost[[#This Row],[CostCenter]])="","Missing Value",UPPER(Cost[[#This Row],[CostCenter]]))</f>
        <v>SA</v>
      </c>
    </row>
    <row r="205" spans="1:12" hidden="1" x14ac:dyDescent="0.25">
      <c r="A205" t="s">
        <v>3717</v>
      </c>
      <c r="B205" t="s">
        <v>3695</v>
      </c>
      <c r="C205" t="str">
        <f>SUBSTITUTE(Cost[[#This Row],[Period]],"/","-")</f>
        <v>2025-04</v>
      </c>
      <c r="D205" t="s">
        <v>258</v>
      </c>
      <c r="E205" t="str">
        <f>IF(UPPER(Cost[[#This Row],[ProductID]])&lt;&gt;"",Cost[[#This Row],[ProductID]],"Missing Value")</f>
        <v>P-SA-003</v>
      </c>
      <c r="F205" t="s">
        <v>3571</v>
      </c>
      <c r="G205" t="s">
        <v>3572</v>
      </c>
      <c r="H205">
        <v>210</v>
      </c>
      <c r="I205">
        <v>213.85</v>
      </c>
      <c r="J205">
        <f>VALUE(Cost[[#This Row],[ActualCost]])</f>
        <v>213.85</v>
      </c>
      <c r="K205" t="s">
        <v>3591</v>
      </c>
      <c r="L205" t="str">
        <f>IF(UPPER(Cost[[#This Row],[CostCenter]])="","Missing Value",UPPER(Cost[[#This Row],[CostCenter]]))</f>
        <v>SA</v>
      </c>
    </row>
    <row r="206" spans="1:12" hidden="1" x14ac:dyDescent="0.25">
      <c r="A206" t="s">
        <v>3761</v>
      </c>
      <c r="B206" t="s">
        <v>3738</v>
      </c>
      <c r="C206" t="str">
        <f>SUBSTITUTE(Cost[[#This Row],[Period]],"/","-")</f>
        <v>2025-05</v>
      </c>
      <c r="D206" t="s">
        <v>258</v>
      </c>
      <c r="E206" t="str">
        <f>IF(UPPER(Cost[[#This Row],[ProductID]])&lt;&gt;"",Cost[[#This Row],[ProductID]],"Missing Value")</f>
        <v>P-SA-003</v>
      </c>
      <c r="F206" t="s">
        <v>3574</v>
      </c>
      <c r="G206" t="s">
        <v>3568</v>
      </c>
      <c r="H206">
        <v>95</v>
      </c>
      <c r="I206">
        <v>92.44</v>
      </c>
      <c r="J206">
        <f>VALUE(Cost[[#This Row],[ActualCost]])</f>
        <v>92.44</v>
      </c>
      <c r="K206" t="s">
        <v>3591</v>
      </c>
      <c r="L206" t="str">
        <f>IF(UPPER(Cost[[#This Row],[CostCenter]])="","Missing Value",UPPER(Cost[[#This Row],[CostCenter]]))</f>
        <v>SA</v>
      </c>
    </row>
    <row r="207" spans="1:12" hidden="1" x14ac:dyDescent="0.25">
      <c r="A207" t="s">
        <v>3762</v>
      </c>
      <c r="B207" t="s">
        <v>3738</v>
      </c>
      <c r="C207" t="str">
        <f>SUBSTITUTE(Cost[[#This Row],[Period]],"/","-")</f>
        <v>2025-05</v>
      </c>
      <c r="D207" t="s">
        <v>258</v>
      </c>
      <c r="E207" t="str">
        <f>IF(UPPER(Cost[[#This Row],[ProductID]])&lt;&gt;"",Cost[[#This Row],[ProductID]],"Missing Value")</f>
        <v>P-SA-003</v>
      </c>
      <c r="F207" t="s">
        <v>3571</v>
      </c>
      <c r="G207" t="s">
        <v>3572</v>
      </c>
      <c r="H207">
        <v>210</v>
      </c>
      <c r="I207">
        <v>208</v>
      </c>
      <c r="J207">
        <f>VALUE(Cost[[#This Row],[ActualCost]])</f>
        <v>208</v>
      </c>
      <c r="K207" t="s">
        <v>3591</v>
      </c>
      <c r="L207" t="str">
        <f>IF(UPPER(Cost[[#This Row],[CostCenter]])="","Missing Value",UPPER(Cost[[#This Row],[CostCenter]]))</f>
        <v>SA</v>
      </c>
    </row>
    <row r="208" spans="1:12" hidden="1" x14ac:dyDescent="0.25">
      <c r="A208" t="s">
        <v>3804</v>
      </c>
      <c r="B208" t="s">
        <v>3783</v>
      </c>
      <c r="C208" t="str">
        <f>SUBSTITUTE(Cost[[#This Row],[Period]],"/","-")</f>
        <v>2025-06</v>
      </c>
      <c r="D208" t="s">
        <v>258</v>
      </c>
      <c r="E208" t="str">
        <f>IF(UPPER(Cost[[#This Row],[ProductID]])&lt;&gt;"",Cost[[#This Row],[ProductID]],"Missing Value")</f>
        <v>P-SA-003</v>
      </c>
      <c r="F208" t="s">
        <v>3574</v>
      </c>
      <c r="G208" t="s">
        <v>3568</v>
      </c>
      <c r="H208">
        <v>95</v>
      </c>
      <c r="I208">
        <v>95.52</v>
      </c>
      <c r="J208">
        <f>VALUE(Cost[[#This Row],[ActualCost]])</f>
        <v>95.52</v>
      </c>
      <c r="K208" t="s">
        <v>3591</v>
      </c>
      <c r="L208" t="str">
        <f>IF(UPPER(Cost[[#This Row],[CostCenter]])="","Missing Value",UPPER(Cost[[#This Row],[CostCenter]]))</f>
        <v>SA</v>
      </c>
    </row>
    <row r="209" spans="1:12" hidden="1" x14ac:dyDescent="0.25">
      <c r="A209" t="s">
        <v>3805</v>
      </c>
      <c r="B209" t="s">
        <v>3783</v>
      </c>
      <c r="C209" t="str">
        <f>SUBSTITUTE(Cost[[#This Row],[Period]],"/","-")</f>
        <v>2025-06</v>
      </c>
      <c r="D209" t="s">
        <v>258</v>
      </c>
      <c r="E209" t="str">
        <f>IF(UPPER(Cost[[#This Row],[ProductID]])&lt;&gt;"",Cost[[#This Row],[ProductID]],"Missing Value")</f>
        <v>P-SA-003</v>
      </c>
      <c r="F209" t="s">
        <v>3571</v>
      </c>
      <c r="G209" t="s">
        <v>3572</v>
      </c>
      <c r="H209">
        <v>210</v>
      </c>
      <c r="I209">
        <v>220.22</v>
      </c>
      <c r="J209">
        <f>VALUE(Cost[[#This Row],[ActualCost]])</f>
        <v>220.22</v>
      </c>
      <c r="K209" t="s">
        <v>3591</v>
      </c>
      <c r="L209" t="str">
        <f>IF(UPPER(Cost[[#This Row],[CostCenter]])="","Missing Value",UPPER(Cost[[#This Row],[CostCenter]]))</f>
        <v>SA</v>
      </c>
    </row>
    <row r="210" spans="1:12" hidden="1" x14ac:dyDescent="0.25">
      <c r="A210" t="s">
        <v>3597</v>
      </c>
      <c r="B210" t="s">
        <v>3566</v>
      </c>
      <c r="C210" t="str">
        <f>SUBSTITUTE(Cost[[#This Row],[Period]],"/","-")</f>
        <v>2025-01</v>
      </c>
      <c r="D210" t="s">
        <v>111</v>
      </c>
      <c r="E210" t="str">
        <f>IF(UPPER(Cost[[#This Row],[ProductID]])&lt;&gt;"",Cost[[#This Row],[ProductID]],"Missing Value")</f>
        <v>P-SA-004</v>
      </c>
      <c r="F210" t="s">
        <v>3574</v>
      </c>
      <c r="G210" t="s">
        <v>3568</v>
      </c>
      <c r="H210">
        <v>65</v>
      </c>
      <c r="I210">
        <v>66.33</v>
      </c>
      <c r="J210">
        <f>VALUE(Cost[[#This Row],[ActualCost]])</f>
        <v>66.33</v>
      </c>
      <c r="K210" t="s">
        <v>3591</v>
      </c>
      <c r="L210" t="str">
        <f>IF(UPPER(Cost[[#This Row],[CostCenter]])="","Missing Value",UPPER(Cost[[#This Row],[CostCenter]]))</f>
        <v>SA</v>
      </c>
    </row>
    <row r="211" spans="1:12" hidden="1" x14ac:dyDescent="0.25">
      <c r="A211" t="s">
        <v>3598</v>
      </c>
      <c r="B211" t="s">
        <v>3566</v>
      </c>
      <c r="C211" t="str">
        <f>SUBSTITUTE(Cost[[#This Row],[Period]],"/","-")</f>
        <v>2025-01</v>
      </c>
      <c r="D211" t="s">
        <v>111</v>
      </c>
      <c r="E211" t="str">
        <f>IF(UPPER(Cost[[#This Row],[ProductID]])&lt;&gt;"",Cost[[#This Row],[ProductID]],"Missing Value")</f>
        <v>P-SA-004</v>
      </c>
      <c r="F211" t="s">
        <v>3571</v>
      </c>
      <c r="G211" t="s">
        <v>3572</v>
      </c>
      <c r="H211">
        <v>145</v>
      </c>
      <c r="I211">
        <v>144.66</v>
      </c>
      <c r="J211">
        <f>VALUE(Cost[[#This Row],[ActualCost]])</f>
        <v>144.66</v>
      </c>
      <c r="K211" t="s">
        <v>3591</v>
      </c>
      <c r="L211" t="str">
        <f>IF(UPPER(Cost[[#This Row],[CostCenter]])="","Missing Value",UPPER(Cost[[#This Row],[CostCenter]]))</f>
        <v>SA</v>
      </c>
    </row>
    <row r="212" spans="1:12" hidden="1" x14ac:dyDescent="0.25">
      <c r="A212" t="s">
        <v>3637</v>
      </c>
      <c r="B212" t="s">
        <v>3615</v>
      </c>
      <c r="C212" t="str">
        <f>SUBSTITUTE(Cost[[#This Row],[Period]],"/","-")</f>
        <v>2025-02</v>
      </c>
      <c r="D212" t="s">
        <v>111</v>
      </c>
      <c r="E212" t="str">
        <f>IF(UPPER(Cost[[#This Row],[ProductID]])&lt;&gt;"",Cost[[#This Row],[ProductID]],"Missing Value")</f>
        <v>P-SA-004</v>
      </c>
      <c r="F212" t="s">
        <v>3574</v>
      </c>
      <c r="G212" t="s">
        <v>3568</v>
      </c>
      <c r="H212">
        <v>65</v>
      </c>
      <c r="I212">
        <v>69.849999999999994</v>
      </c>
      <c r="J212">
        <f>VALUE(Cost[[#This Row],[ActualCost]])</f>
        <v>69.849999999999994</v>
      </c>
      <c r="K212" t="s">
        <v>3591</v>
      </c>
      <c r="L212" t="str">
        <f>IF(UPPER(Cost[[#This Row],[CostCenter]])="","Missing Value",UPPER(Cost[[#This Row],[CostCenter]]))</f>
        <v>SA</v>
      </c>
    </row>
    <row r="213" spans="1:12" hidden="1" x14ac:dyDescent="0.25">
      <c r="A213" t="s">
        <v>3638</v>
      </c>
      <c r="B213" t="s">
        <v>3615</v>
      </c>
      <c r="C213" t="str">
        <f>SUBSTITUTE(Cost[[#This Row],[Period]],"/","-")</f>
        <v>2025-02</v>
      </c>
      <c r="D213" t="s">
        <v>111</v>
      </c>
      <c r="E213" t="str">
        <f>IF(UPPER(Cost[[#This Row],[ProductID]])&lt;&gt;"",Cost[[#This Row],[ProductID]],"Missing Value")</f>
        <v>P-SA-004</v>
      </c>
      <c r="F213" t="s">
        <v>3571</v>
      </c>
      <c r="G213" t="s">
        <v>3572</v>
      </c>
      <c r="H213">
        <v>145</v>
      </c>
      <c r="I213">
        <v>147.44</v>
      </c>
      <c r="J213">
        <f>VALUE(Cost[[#This Row],[ActualCost]])</f>
        <v>147.44</v>
      </c>
      <c r="K213" t="s">
        <v>3591</v>
      </c>
      <c r="L213" t="str">
        <f>IF(UPPER(Cost[[#This Row],[CostCenter]])="","Missing Value",UPPER(Cost[[#This Row],[CostCenter]]))</f>
        <v>SA</v>
      </c>
    </row>
    <row r="214" spans="1:12" hidden="1" x14ac:dyDescent="0.25">
      <c r="A214" t="s">
        <v>3678</v>
      </c>
      <c r="B214" t="s">
        <v>3655</v>
      </c>
      <c r="C214" t="str">
        <f>SUBSTITUTE(Cost[[#This Row],[Period]],"/","-")</f>
        <v>2025-03</v>
      </c>
      <c r="D214" t="s">
        <v>111</v>
      </c>
      <c r="E214" t="str">
        <f>IF(UPPER(Cost[[#This Row],[ProductID]])&lt;&gt;"",Cost[[#This Row],[ProductID]],"Missing Value")</f>
        <v>P-SA-004</v>
      </c>
      <c r="F214" t="s">
        <v>3574</v>
      </c>
      <c r="G214" t="s">
        <v>3568</v>
      </c>
      <c r="H214">
        <v>65</v>
      </c>
      <c r="I214">
        <v>67.67</v>
      </c>
      <c r="J214">
        <f>VALUE(Cost[[#This Row],[ActualCost]])</f>
        <v>67.67</v>
      </c>
      <c r="K214" t="s">
        <v>3591</v>
      </c>
      <c r="L214" t="str">
        <f>IF(UPPER(Cost[[#This Row],[CostCenter]])="","Missing Value",UPPER(Cost[[#This Row],[CostCenter]]))</f>
        <v>SA</v>
      </c>
    </row>
    <row r="215" spans="1:12" hidden="1" x14ac:dyDescent="0.25">
      <c r="A215" t="s">
        <v>3679</v>
      </c>
      <c r="B215" t="s">
        <v>3655</v>
      </c>
      <c r="C215" t="str">
        <f>SUBSTITUTE(Cost[[#This Row],[Period]],"/","-")</f>
        <v>2025-03</v>
      </c>
      <c r="D215" t="s">
        <v>111</v>
      </c>
      <c r="E215" t="str">
        <f>IF(UPPER(Cost[[#This Row],[ProductID]])&lt;&gt;"",Cost[[#This Row],[ProductID]],"Missing Value")</f>
        <v>P-SA-004</v>
      </c>
      <c r="F215" t="s">
        <v>3571</v>
      </c>
      <c r="G215" t="s">
        <v>3572</v>
      </c>
      <c r="H215">
        <v>145</v>
      </c>
      <c r="I215">
        <v>139.41</v>
      </c>
      <c r="J215">
        <f>VALUE(Cost[[#This Row],[ActualCost]])</f>
        <v>139.41</v>
      </c>
      <c r="K215" t="s">
        <v>3591</v>
      </c>
      <c r="L215" t="str">
        <f>IF(UPPER(Cost[[#This Row],[CostCenter]])="","Missing Value",UPPER(Cost[[#This Row],[CostCenter]]))</f>
        <v>SA</v>
      </c>
    </row>
    <row r="216" spans="1:12" hidden="1" x14ac:dyDescent="0.25">
      <c r="A216" t="s">
        <v>3718</v>
      </c>
      <c r="B216" t="s">
        <v>3695</v>
      </c>
      <c r="C216" t="str">
        <f>SUBSTITUTE(Cost[[#This Row],[Period]],"/","-")</f>
        <v>2025-04</v>
      </c>
      <c r="D216" t="s">
        <v>111</v>
      </c>
      <c r="E216" t="str">
        <f>IF(UPPER(Cost[[#This Row],[ProductID]])&lt;&gt;"",Cost[[#This Row],[ProductID]],"Missing Value")</f>
        <v>P-SA-004</v>
      </c>
      <c r="F216" t="s">
        <v>3574</v>
      </c>
      <c r="G216" t="s">
        <v>3568</v>
      </c>
      <c r="H216">
        <v>65</v>
      </c>
      <c r="I216">
        <v>62.98</v>
      </c>
      <c r="J216">
        <f>VALUE(Cost[[#This Row],[ActualCost]])</f>
        <v>62.98</v>
      </c>
      <c r="K216" t="s">
        <v>3591</v>
      </c>
      <c r="L216" t="str">
        <f>IF(UPPER(Cost[[#This Row],[CostCenter]])="","Missing Value",UPPER(Cost[[#This Row],[CostCenter]]))</f>
        <v>SA</v>
      </c>
    </row>
    <row r="217" spans="1:12" hidden="1" x14ac:dyDescent="0.25">
      <c r="A217" t="s">
        <v>3719</v>
      </c>
      <c r="B217" t="s">
        <v>3695</v>
      </c>
      <c r="C217" t="str">
        <f>SUBSTITUTE(Cost[[#This Row],[Period]],"/","-")</f>
        <v>2025-04</v>
      </c>
      <c r="D217" t="s">
        <v>111</v>
      </c>
      <c r="E217" t="str">
        <f>IF(UPPER(Cost[[#This Row],[ProductID]])&lt;&gt;"",Cost[[#This Row],[ProductID]],"Missing Value")</f>
        <v>P-SA-004</v>
      </c>
      <c r="F217" t="s">
        <v>3571</v>
      </c>
      <c r="G217" t="s">
        <v>3572</v>
      </c>
      <c r="H217">
        <v>145</v>
      </c>
      <c r="I217">
        <v>152.15</v>
      </c>
      <c r="J217">
        <f>VALUE(Cost[[#This Row],[ActualCost]])</f>
        <v>152.15</v>
      </c>
      <c r="K217" t="s">
        <v>3591</v>
      </c>
      <c r="L217" t="str">
        <f>IF(UPPER(Cost[[#This Row],[CostCenter]])="","Missing Value",UPPER(Cost[[#This Row],[CostCenter]]))</f>
        <v>SA</v>
      </c>
    </row>
    <row r="218" spans="1:12" hidden="1" x14ac:dyDescent="0.25">
      <c r="A218" t="s">
        <v>3763</v>
      </c>
      <c r="B218" t="s">
        <v>3738</v>
      </c>
      <c r="C218" t="str">
        <f>SUBSTITUTE(Cost[[#This Row],[Period]],"/","-")</f>
        <v>2025-05</v>
      </c>
      <c r="D218" t="s">
        <v>111</v>
      </c>
      <c r="E218" t="str">
        <f>IF(UPPER(Cost[[#This Row],[ProductID]])&lt;&gt;"",Cost[[#This Row],[ProductID]],"Missing Value")</f>
        <v>P-SA-004</v>
      </c>
      <c r="F218" t="s">
        <v>3574</v>
      </c>
      <c r="G218" t="s">
        <v>3568</v>
      </c>
      <c r="H218">
        <v>65</v>
      </c>
      <c r="I218">
        <v>64.709999999999994</v>
      </c>
      <c r="J218">
        <f>VALUE(Cost[[#This Row],[ActualCost]])</f>
        <v>64.709999999999994</v>
      </c>
      <c r="K218" t="s">
        <v>3591</v>
      </c>
      <c r="L218" t="str">
        <f>IF(UPPER(Cost[[#This Row],[CostCenter]])="","Missing Value",UPPER(Cost[[#This Row],[CostCenter]]))</f>
        <v>SA</v>
      </c>
    </row>
    <row r="219" spans="1:12" hidden="1" x14ac:dyDescent="0.25">
      <c r="A219" t="s">
        <v>3764</v>
      </c>
      <c r="B219" t="s">
        <v>3738</v>
      </c>
      <c r="C219" t="str">
        <f>SUBSTITUTE(Cost[[#This Row],[Period]],"/","-")</f>
        <v>2025-05</v>
      </c>
      <c r="D219" t="s">
        <v>111</v>
      </c>
      <c r="E219" t="str">
        <f>IF(UPPER(Cost[[#This Row],[ProductID]])&lt;&gt;"",Cost[[#This Row],[ProductID]],"Missing Value")</f>
        <v>P-SA-004</v>
      </c>
      <c r="F219" t="s">
        <v>3571</v>
      </c>
      <c r="G219" t="s">
        <v>3572</v>
      </c>
      <c r="H219">
        <v>145</v>
      </c>
      <c r="I219">
        <v>153.69</v>
      </c>
      <c r="J219">
        <f>VALUE(Cost[[#This Row],[ActualCost]])</f>
        <v>153.69</v>
      </c>
      <c r="K219" t="s">
        <v>3591</v>
      </c>
      <c r="L219" t="str">
        <f>IF(UPPER(Cost[[#This Row],[CostCenter]])="","Missing Value",UPPER(Cost[[#This Row],[CostCenter]]))</f>
        <v>SA</v>
      </c>
    </row>
    <row r="220" spans="1:12" hidden="1" x14ac:dyDescent="0.25">
      <c r="A220" t="s">
        <v>3806</v>
      </c>
      <c r="B220" t="s">
        <v>3783</v>
      </c>
      <c r="C220" t="str">
        <f>SUBSTITUTE(Cost[[#This Row],[Period]],"/","-")</f>
        <v>2025-06</v>
      </c>
      <c r="D220" t="s">
        <v>111</v>
      </c>
      <c r="E220" t="str">
        <f>IF(UPPER(Cost[[#This Row],[ProductID]])&lt;&gt;"",Cost[[#This Row],[ProductID]],"Missing Value")</f>
        <v>P-SA-004</v>
      </c>
      <c r="F220" t="s">
        <v>3574</v>
      </c>
      <c r="G220" t="s">
        <v>3568</v>
      </c>
      <c r="H220">
        <v>65</v>
      </c>
      <c r="I220">
        <v>64.45</v>
      </c>
      <c r="J220">
        <f>VALUE(Cost[[#This Row],[ActualCost]])</f>
        <v>64.45</v>
      </c>
      <c r="K220" t="s">
        <v>3591</v>
      </c>
      <c r="L220" t="str">
        <f>IF(UPPER(Cost[[#This Row],[CostCenter]])="","Missing Value",UPPER(Cost[[#This Row],[CostCenter]]))</f>
        <v>SA</v>
      </c>
    </row>
    <row r="221" spans="1:12" hidden="1" x14ac:dyDescent="0.25">
      <c r="A221" t="s">
        <v>3807</v>
      </c>
      <c r="B221" t="s">
        <v>3783</v>
      </c>
      <c r="C221" t="str">
        <f>SUBSTITUTE(Cost[[#This Row],[Period]],"/","-")</f>
        <v>2025-06</v>
      </c>
      <c r="D221" t="s">
        <v>111</v>
      </c>
      <c r="E221" t="str">
        <f>IF(UPPER(Cost[[#This Row],[ProductID]])&lt;&gt;"",Cost[[#This Row],[ProductID]],"Missing Value")</f>
        <v>P-SA-004</v>
      </c>
      <c r="F221" t="s">
        <v>3571</v>
      </c>
      <c r="G221" t="s">
        <v>3572</v>
      </c>
      <c r="H221">
        <v>145</v>
      </c>
      <c r="I221">
        <v>140.94</v>
      </c>
      <c r="J221">
        <f>VALUE(Cost[[#This Row],[ActualCost]])</f>
        <v>140.94</v>
      </c>
      <c r="K221" t="s">
        <v>3591</v>
      </c>
      <c r="L221" t="str">
        <f>IF(UPPER(Cost[[#This Row],[CostCenter]])="","Missing Value",UPPER(Cost[[#This Row],[CostCenter]]))</f>
        <v>SA</v>
      </c>
    </row>
    <row r="222" spans="1:12" hidden="1" x14ac:dyDescent="0.25">
      <c r="A222" t="s">
        <v>3600</v>
      </c>
      <c r="B222" t="s">
        <v>3566</v>
      </c>
      <c r="C222" t="str">
        <f>SUBSTITUTE(Cost[[#This Row],[Period]],"/","-")</f>
        <v>2025-01</v>
      </c>
      <c r="D222" t="s">
        <v>75</v>
      </c>
      <c r="E222" t="str">
        <f>IF(UPPER(Cost[[#This Row],[ProductID]])&lt;&gt;"",Cost[[#This Row],[ProductID]],"Missing Value")</f>
        <v>P-SA-005</v>
      </c>
      <c r="F222" t="s">
        <v>3571</v>
      </c>
      <c r="G222" t="s">
        <v>3572</v>
      </c>
      <c r="H222">
        <v>255</v>
      </c>
      <c r="I222">
        <v>253.97</v>
      </c>
      <c r="J222">
        <f>VALUE(Cost[[#This Row],[ActualCost]])</f>
        <v>253.97</v>
      </c>
      <c r="K222" t="s">
        <v>3591</v>
      </c>
      <c r="L222" t="str">
        <f>IF(UPPER(Cost[[#This Row],[CostCenter]])="","Missing Value",UPPER(Cost[[#This Row],[CostCenter]]))</f>
        <v>SA</v>
      </c>
    </row>
    <row r="223" spans="1:12" hidden="1" x14ac:dyDescent="0.25">
      <c r="A223" t="s">
        <v>3639</v>
      </c>
      <c r="B223" t="s">
        <v>3615</v>
      </c>
      <c r="C223" t="str">
        <f>SUBSTITUTE(Cost[[#This Row],[Period]],"/","-")</f>
        <v>2025-02</v>
      </c>
      <c r="D223" t="s">
        <v>75</v>
      </c>
      <c r="E223" t="str">
        <f>IF(UPPER(Cost[[#This Row],[ProductID]])&lt;&gt;"",Cost[[#This Row],[ProductID]],"Missing Value")</f>
        <v>P-SA-005</v>
      </c>
      <c r="F223" t="s">
        <v>3574</v>
      </c>
      <c r="G223" t="s">
        <v>3568</v>
      </c>
      <c r="H223">
        <v>140</v>
      </c>
      <c r="I223">
        <v>140.63</v>
      </c>
      <c r="J223">
        <f>VALUE(Cost[[#This Row],[ActualCost]])</f>
        <v>140.63</v>
      </c>
      <c r="K223" t="s">
        <v>3591</v>
      </c>
      <c r="L223" t="str">
        <f>IF(UPPER(Cost[[#This Row],[CostCenter]])="","Missing Value",UPPER(Cost[[#This Row],[CostCenter]]))</f>
        <v>SA</v>
      </c>
    </row>
    <row r="224" spans="1:12" hidden="1" x14ac:dyDescent="0.25">
      <c r="A224" t="s">
        <v>3640</v>
      </c>
      <c r="B224" t="s">
        <v>3615</v>
      </c>
      <c r="C224" t="str">
        <f>SUBSTITUTE(Cost[[#This Row],[Period]],"/","-")</f>
        <v>2025-02</v>
      </c>
      <c r="D224" t="s">
        <v>75</v>
      </c>
      <c r="E224" t="str">
        <f>IF(UPPER(Cost[[#This Row],[ProductID]])&lt;&gt;"",Cost[[#This Row],[ProductID]],"Missing Value")</f>
        <v>P-SA-005</v>
      </c>
      <c r="F224" t="s">
        <v>3571</v>
      </c>
      <c r="G224" t="s">
        <v>3572</v>
      </c>
      <c r="H224">
        <v>255</v>
      </c>
      <c r="I224">
        <v>266.43</v>
      </c>
      <c r="J224">
        <f>VALUE(Cost[[#This Row],[ActualCost]])</f>
        <v>266.43</v>
      </c>
      <c r="K224" t="s">
        <v>3591</v>
      </c>
      <c r="L224" t="str">
        <f>IF(UPPER(Cost[[#This Row],[CostCenter]])="","Missing Value",UPPER(Cost[[#This Row],[CostCenter]]))</f>
        <v>SA</v>
      </c>
    </row>
    <row r="225" spans="1:12" hidden="1" x14ac:dyDescent="0.25">
      <c r="A225" t="s">
        <v>3680</v>
      </c>
      <c r="B225" t="s">
        <v>3655</v>
      </c>
      <c r="C225" t="str">
        <f>SUBSTITUTE(Cost[[#This Row],[Period]],"/","-")</f>
        <v>2025-03</v>
      </c>
      <c r="D225" t="s">
        <v>75</v>
      </c>
      <c r="E225" t="str">
        <f>IF(UPPER(Cost[[#This Row],[ProductID]])&lt;&gt;"",Cost[[#This Row],[ProductID]],"Missing Value")</f>
        <v>P-SA-005</v>
      </c>
      <c r="F225" t="s">
        <v>3574</v>
      </c>
      <c r="G225" t="s">
        <v>3568</v>
      </c>
      <c r="H225">
        <v>140</v>
      </c>
      <c r="I225">
        <v>146.57</v>
      </c>
      <c r="J225">
        <f>VALUE(Cost[[#This Row],[ActualCost]])</f>
        <v>146.57</v>
      </c>
      <c r="K225" t="s">
        <v>3591</v>
      </c>
      <c r="L225" t="str">
        <f>IF(UPPER(Cost[[#This Row],[CostCenter]])="","Missing Value",UPPER(Cost[[#This Row],[CostCenter]]))</f>
        <v>SA</v>
      </c>
    </row>
    <row r="226" spans="1:12" hidden="1" x14ac:dyDescent="0.25">
      <c r="A226" t="s">
        <v>3681</v>
      </c>
      <c r="B226" t="s">
        <v>3655</v>
      </c>
      <c r="C226" t="str">
        <f>SUBSTITUTE(Cost[[#This Row],[Period]],"/","-")</f>
        <v>2025-03</v>
      </c>
      <c r="D226" t="s">
        <v>75</v>
      </c>
      <c r="E226" t="str">
        <f>IF(UPPER(Cost[[#This Row],[ProductID]])&lt;&gt;"",Cost[[#This Row],[ProductID]],"Missing Value")</f>
        <v>P-SA-005</v>
      </c>
      <c r="F226" t="s">
        <v>3571</v>
      </c>
      <c r="G226" t="s">
        <v>3572</v>
      </c>
      <c r="H226">
        <v>255</v>
      </c>
      <c r="I226">
        <v>246.37</v>
      </c>
      <c r="J226">
        <f>VALUE(Cost[[#This Row],[ActualCost]])</f>
        <v>246.37</v>
      </c>
      <c r="K226" t="s">
        <v>3591</v>
      </c>
      <c r="L226" t="str">
        <f>IF(UPPER(Cost[[#This Row],[CostCenter]])="","Missing Value",UPPER(Cost[[#This Row],[CostCenter]]))</f>
        <v>SA</v>
      </c>
    </row>
    <row r="227" spans="1:12" hidden="1" x14ac:dyDescent="0.25">
      <c r="A227" t="s">
        <v>3720</v>
      </c>
      <c r="B227" t="s">
        <v>3695</v>
      </c>
      <c r="C227" t="str">
        <f>SUBSTITUTE(Cost[[#This Row],[Period]],"/","-")</f>
        <v>2025-04</v>
      </c>
      <c r="D227" t="s">
        <v>75</v>
      </c>
      <c r="E227" t="str">
        <f>IF(UPPER(Cost[[#This Row],[ProductID]])&lt;&gt;"",Cost[[#This Row],[ProductID]],"Missing Value")</f>
        <v>P-SA-005</v>
      </c>
      <c r="F227" t="s">
        <v>3574</v>
      </c>
      <c r="G227" t="s">
        <v>3568</v>
      </c>
      <c r="H227">
        <v>140</v>
      </c>
      <c r="I227">
        <v>143.72999999999999</v>
      </c>
      <c r="J227">
        <f>VALUE(Cost[[#This Row],[ActualCost]])</f>
        <v>143.72999999999999</v>
      </c>
      <c r="K227" t="s">
        <v>3591</v>
      </c>
      <c r="L227" t="str">
        <f>IF(UPPER(Cost[[#This Row],[CostCenter]])="","Missing Value",UPPER(Cost[[#This Row],[CostCenter]]))</f>
        <v>SA</v>
      </c>
    </row>
    <row r="228" spans="1:12" hidden="1" x14ac:dyDescent="0.25">
      <c r="A228" t="s">
        <v>3721</v>
      </c>
      <c r="B228" t="s">
        <v>3695</v>
      </c>
      <c r="C228" t="str">
        <f>SUBSTITUTE(Cost[[#This Row],[Period]],"/","-")</f>
        <v>2025-04</v>
      </c>
      <c r="D228" t="s">
        <v>75</v>
      </c>
      <c r="E228" t="str">
        <f>IF(UPPER(Cost[[#This Row],[ProductID]])&lt;&gt;"",Cost[[#This Row],[ProductID]],"Missing Value")</f>
        <v>P-SA-005</v>
      </c>
      <c r="F228" t="s">
        <v>3571</v>
      </c>
      <c r="G228" t="s">
        <v>3572</v>
      </c>
      <c r="H228">
        <v>255</v>
      </c>
      <c r="I228" t="s">
        <v>3722</v>
      </c>
      <c r="J228">
        <f>VALUE(Cost[[#This Row],[ActualCost]])</f>
        <v>257.27</v>
      </c>
      <c r="K228" t="s">
        <v>3591</v>
      </c>
      <c r="L228" t="str">
        <f>IF(UPPER(Cost[[#This Row],[CostCenter]])="","Missing Value",UPPER(Cost[[#This Row],[CostCenter]]))</f>
        <v>SA</v>
      </c>
    </row>
    <row r="229" spans="1:12" hidden="1" x14ac:dyDescent="0.25">
      <c r="A229" t="s">
        <v>3765</v>
      </c>
      <c r="B229" t="s">
        <v>3738</v>
      </c>
      <c r="C229" t="str">
        <f>SUBSTITUTE(Cost[[#This Row],[Period]],"/","-")</f>
        <v>2025-05</v>
      </c>
      <c r="D229" t="s">
        <v>75</v>
      </c>
      <c r="E229" t="str">
        <f>IF(UPPER(Cost[[#This Row],[ProductID]])&lt;&gt;"",Cost[[#This Row],[ProductID]],"Missing Value")</f>
        <v>P-SA-005</v>
      </c>
      <c r="F229" t="s">
        <v>3574</v>
      </c>
      <c r="G229" t="s">
        <v>3568</v>
      </c>
      <c r="H229">
        <v>140</v>
      </c>
      <c r="I229">
        <v>146.06</v>
      </c>
      <c r="J229">
        <f>VALUE(Cost[[#This Row],[ActualCost]])</f>
        <v>146.06</v>
      </c>
      <c r="K229" t="s">
        <v>3591</v>
      </c>
      <c r="L229" t="str">
        <f>IF(UPPER(Cost[[#This Row],[CostCenter]])="","Missing Value",UPPER(Cost[[#This Row],[CostCenter]]))</f>
        <v>SA</v>
      </c>
    </row>
    <row r="230" spans="1:12" hidden="1" x14ac:dyDescent="0.25">
      <c r="A230" t="s">
        <v>3766</v>
      </c>
      <c r="B230" t="s">
        <v>3738</v>
      </c>
      <c r="C230" t="str">
        <f>SUBSTITUTE(Cost[[#This Row],[Period]],"/","-")</f>
        <v>2025-05</v>
      </c>
      <c r="D230" t="s">
        <v>75</v>
      </c>
      <c r="E230" t="str">
        <f>IF(UPPER(Cost[[#This Row],[ProductID]])&lt;&gt;"",Cost[[#This Row],[ProductID]],"Missing Value")</f>
        <v>P-SA-005</v>
      </c>
      <c r="F230" t="s">
        <v>3571</v>
      </c>
      <c r="G230" t="s">
        <v>3572</v>
      </c>
      <c r="H230">
        <v>255</v>
      </c>
      <c r="I230">
        <v>253.05</v>
      </c>
      <c r="J230">
        <f>VALUE(Cost[[#This Row],[ActualCost]])</f>
        <v>253.05</v>
      </c>
      <c r="K230" t="s">
        <v>3591</v>
      </c>
      <c r="L230" t="str">
        <f>IF(UPPER(Cost[[#This Row],[CostCenter]])="","Missing Value",UPPER(Cost[[#This Row],[CostCenter]]))</f>
        <v>SA</v>
      </c>
    </row>
    <row r="231" spans="1:12" hidden="1" x14ac:dyDescent="0.25">
      <c r="A231" t="s">
        <v>3808</v>
      </c>
      <c r="B231" t="s">
        <v>3783</v>
      </c>
      <c r="C231" t="str">
        <f>SUBSTITUTE(Cost[[#This Row],[Period]],"/","-")</f>
        <v>2025-06</v>
      </c>
      <c r="D231" t="s">
        <v>75</v>
      </c>
      <c r="E231" t="str">
        <f>IF(UPPER(Cost[[#This Row],[ProductID]])&lt;&gt;"",Cost[[#This Row],[ProductID]],"Missing Value")</f>
        <v>P-SA-005</v>
      </c>
      <c r="F231" t="s">
        <v>3574</v>
      </c>
      <c r="G231" t="s">
        <v>3568</v>
      </c>
      <c r="H231">
        <v>140</v>
      </c>
      <c r="I231">
        <v>142.15</v>
      </c>
      <c r="J231">
        <f>VALUE(Cost[[#This Row],[ActualCost]])</f>
        <v>142.15</v>
      </c>
      <c r="K231" t="s">
        <v>3591</v>
      </c>
      <c r="L231" t="str">
        <f>IF(UPPER(Cost[[#This Row],[CostCenter]])="","Missing Value",UPPER(Cost[[#This Row],[CostCenter]]))</f>
        <v>SA</v>
      </c>
    </row>
    <row r="232" spans="1:12" hidden="1" x14ac:dyDescent="0.25">
      <c r="A232" t="s">
        <v>3809</v>
      </c>
      <c r="B232" t="s">
        <v>3783</v>
      </c>
      <c r="C232" t="str">
        <f>SUBSTITUTE(Cost[[#This Row],[Period]],"/","-")</f>
        <v>2025-06</v>
      </c>
      <c r="D232" t="s">
        <v>75</v>
      </c>
      <c r="E232" t="str">
        <f>IF(UPPER(Cost[[#This Row],[ProductID]])&lt;&gt;"",Cost[[#This Row],[ProductID]],"Missing Value")</f>
        <v>P-SA-005</v>
      </c>
      <c r="F232" t="s">
        <v>3571</v>
      </c>
      <c r="G232" t="s">
        <v>3572</v>
      </c>
      <c r="H232">
        <v>255</v>
      </c>
      <c r="I232">
        <v>256.83999999999997</v>
      </c>
      <c r="J232">
        <f>VALUE(Cost[[#This Row],[ActualCost]])</f>
        <v>256.83999999999997</v>
      </c>
      <c r="K232" t="s">
        <v>3591</v>
      </c>
      <c r="L232" t="str">
        <f>IF(UPPER(Cost[[#This Row],[CostCenter]])="","Missing Value",UPPER(Cost[[#This Row],[CostCenter]]))</f>
        <v>SA</v>
      </c>
    </row>
    <row r="233" spans="1:12" hidden="1" x14ac:dyDescent="0.25">
      <c r="A233" t="s">
        <v>3565</v>
      </c>
      <c r="B233" t="s">
        <v>3566</v>
      </c>
      <c r="C233" t="str">
        <f>SUBSTITUTE(Cost[[#This Row],[Period]],"/","-")</f>
        <v>2025-01</v>
      </c>
      <c r="D233" t="s">
        <v>97</v>
      </c>
      <c r="E233" t="str">
        <f>IF(UPPER(Cost[[#This Row],[ProductID]])&lt;&gt;"",Cost[[#This Row],[ProductID]],"Missing Value")</f>
        <v>P-SI-001</v>
      </c>
      <c r="F233" t="s">
        <v>3567</v>
      </c>
      <c r="G233" t="s">
        <v>3568</v>
      </c>
      <c r="H233">
        <v>187.5</v>
      </c>
      <c r="I233">
        <v>185.89</v>
      </c>
      <c r="J233">
        <f>VALUE(Cost[[#This Row],[ActualCost]])</f>
        <v>185.89</v>
      </c>
      <c r="K233" t="s">
        <v>3569</v>
      </c>
      <c r="L233" t="str">
        <f>IF(UPPER(Cost[[#This Row],[CostCenter]])="","Missing Value",UPPER(Cost[[#This Row],[CostCenter]]))</f>
        <v>SI</v>
      </c>
    </row>
    <row r="234" spans="1:12" hidden="1" x14ac:dyDescent="0.25">
      <c r="A234" t="s">
        <v>3570</v>
      </c>
      <c r="B234" t="s">
        <v>3566</v>
      </c>
      <c r="C234" t="str">
        <f>SUBSTITUTE(Cost[[#This Row],[Period]],"/","-")</f>
        <v>2025-01</v>
      </c>
      <c r="D234" t="s">
        <v>97</v>
      </c>
      <c r="E234" t="str">
        <f>IF(UPPER(Cost[[#This Row],[ProductID]])&lt;&gt;"",Cost[[#This Row],[ProductID]],"Missing Value")</f>
        <v>P-SI-001</v>
      </c>
      <c r="F234" t="s">
        <v>3571</v>
      </c>
      <c r="G234" t="s">
        <v>3572</v>
      </c>
      <c r="H234">
        <v>42</v>
      </c>
      <c r="I234">
        <v>42.81</v>
      </c>
      <c r="J234">
        <f>VALUE(Cost[[#This Row],[ActualCost]])</f>
        <v>42.81</v>
      </c>
      <c r="K234" t="s">
        <v>3569</v>
      </c>
      <c r="L234" t="str">
        <f>IF(UPPER(Cost[[#This Row],[CostCenter]])="","Missing Value",UPPER(Cost[[#This Row],[CostCenter]]))</f>
        <v>SI</v>
      </c>
    </row>
    <row r="235" spans="1:12" hidden="1" x14ac:dyDescent="0.25">
      <c r="A235" t="s">
        <v>3616</v>
      </c>
      <c r="B235" t="s">
        <v>3615</v>
      </c>
      <c r="C235" t="str">
        <f>SUBSTITUTE(Cost[[#This Row],[Period]],"/","-")</f>
        <v>2025-02</v>
      </c>
      <c r="D235" t="s">
        <v>97</v>
      </c>
      <c r="E235" t="str">
        <f>IF(UPPER(Cost[[#This Row],[ProductID]])&lt;&gt;"",Cost[[#This Row],[ProductID]],"Missing Value")</f>
        <v>P-SI-001</v>
      </c>
      <c r="F235" t="s">
        <v>3571</v>
      </c>
      <c r="G235" t="s">
        <v>3572</v>
      </c>
      <c r="H235">
        <v>42</v>
      </c>
      <c r="I235">
        <v>42.48</v>
      </c>
      <c r="J235">
        <f>VALUE(Cost[[#This Row],[ActualCost]])</f>
        <v>42.48</v>
      </c>
      <c r="K235" t="s">
        <v>3569</v>
      </c>
      <c r="L235" t="str">
        <f>IF(UPPER(Cost[[#This Row],[CostCenter]])="","Missing Value",UPPER(Cost[[#This Row],[CostCenter]]))</f>
        <v>SI</v>
      </c>
    </row>
    <row r="236" spans="1:12" hidden="1" x14ac:dyDescent="0.25">
      <c r="A236" t="s">
        <v>3654</v>
      </c>
      <c r="B236" t="s">
        <v>3655</v>
      </c>
      <c r="C236" t="str">
        <f>SUBSTITUTE(Cost[[#This Row],[Period]],"/","-")</f>
        <v>2025-03</v>
      </c>
      <c r="D236" t="s">
        <v>97</v>
      </c>
      <c r="E236" t="str">
        <f>IF(UPPER(Cost[[#This Row],[ProductID]])&lt;&gt;"",Cost[[#This Row],[ProductID]],"Missing Value")</f>
        <v>P-SI-001</v>
      </c>
      <c r="F236" t="s">
        <v>3574</v>
      </c>
      <c r="G236" t="s">
        <v>3568</v>
      </c>
      <c r="H236">
        <v>187.5</v>
      </c>
      <c r="I236" t="s">
        <v>3656</v>
      </c>
      <c r="J236">
        <f>VALUE(Cost[[#This Row],[ActualCost]])</f>
        <v>195.26</v>
      </c>
      <c r="K236" t="s">
        <v>3569</v>
      </c>
      <c r="L236" t="str">
        <f>IF(UPPER(Cost[[#This Row],[CostCenter]])="","Missing Value",UPPER(Cost[[#This Row],[CostCenter]]))</f>
        <v>SI</v>
      </c>
    </row>
    <row r="237" spans="1:12" hidden="1" x14ac:dyDescent="0.25">
      <c r="A237" t="s">
        <v>3657</v>
      </c>
      <c r="B237" t="s">
        <v>3655</v>
      </c>
      <c r="C237" t="str">
        <f>SUBSTITUTE(Cost[[#This Row],[Period]],"/","-")</f>
        <v>2025-03</v>
      </c>
      <c r="D237" t="s">
        <v>97</v>
      </c>
      <c r="E237" t="str">
        <f>IF(UPPER(Cost[[#This Row],[ProductID]])&lt;&gt;"",Cost[[#This Row],[ProductID]],"Missing Value")</f>
        <v>P-SI-001</v>
      </c>
      <c r="F237" t="s">
        <v>3571</v>
      </c>
      <c r="G237" t="s">
        <v>3572</v>
      </c>
      <c r="H237">
        <v>42</v>
      </c>
      <c r="I237">
        <v>40.03</v>
      </c>
      <c r="J237">
        <f>VALUE(Cost[[#This Row],[ActualCost]])</f>
        <v>40.03</v>
      </c>
      <c r="K237" t="s">
        <v>3569</v>
      </c>
      <c r="L237" t="str">
        <f>IF(UPPER(Cost[[#This Row],[CostCenter]])="","Missing Value",UPPER(Cost[[#This Row],[CostCenter]]))</f>
        <v>SI</v>
      </c>
    </row>
    <row r="238" spans="1:12" hidden="1" x14ac:dyDescent="0.25">
      <c r="A238" t="s">
        <v>3694</v>
      </c>
      <c r="B238" t="s">
        <v>3695</v>
      </c>
      <c r="C238" t="str">
        <f>SUBSTITUTE(Cost[[#This Row],[Period]],"/","-")</f>
        <v>2025-04</v>
      </c>
      <c r="D238" t="s">
        <v>97</v>
      </c>
      <c r="E238" t="str">
        <f>IF(UPPER(Cost[[#This Row],[ProductID]])&lt;&gt;"",Cost[[#This Row],[ProductID]],"Missing Value")</f>
        <v>P-SI-001</v>
      </c>
      <c r="F238" t="s">
        <v>3574</v>
      </c>
      <c r="G238" t="s">
        <v>3568</v>
      </c>
      <c r="H238">
        <v>187.5</v>
      </c>
      <c r="I238" t="s">
        <v>3696</v>
      </c>
      <c r="J238">
        <f>VALUE(Cost[[#This Row],[ActualCost]])</f>
        <v>185.52</v>
      </c>
      <c r="K238" t="s">
        <v>3569</v>
      </c>
      <c r="L238" t="str">
        <f>IF(UPPER(Cost[[#This Row],[CostCenter]])="","Missing Value",UPPER(Cost[[#This Row],[CostCenter]]))</f>
        <v>SI</v>
      </c>
    </row>
    <row r="239" spans="1:12" hidden="1" x14ac:dyDescent="0.25">
      <c r="A239" t="s">
        <v>3697</v>
      </c>
      <c r="B239" t="s">
        <v>3695</v>
      </c>
      <c r="C239" t="str">
        <f>SUBSTITUTE(Cost[[#This Row],[Period]],"/","-")</f>
        <v>2025-04</v>
      </c>
      <c r="D239" t="s">
        <v>97</v>
      </c>
      <c r="E239" t="str">
        <f>IF(UPPER(Cost[[#This Row],[ProductID]])&lt;&gt;"",Cost[[#This Row],[ProductID]],"Missing Value")</f>
        <v>P-SI-001</v>
      </c>
      <c r="F239" t="s">
        <v>3571</v>
      </c>
      <c r="G239" t="s">
        <v>3572</v>
      </c>
      <c r="H239">
        <v>42</v>
      </c>
      <c r="I239">
        <v>41.53</v>
      </c>
      <c r="J239">
        <f>VALUE(Cost[[#This Row],[ActualCost]])</f>
        <v>41.53</v>
      </c>
      <c r="K239" t="s">
        <v>3569</v>
      </c>
      <c r="L239" t="str">
        <f>IF(UPPER(Cost[[#This Row],[CostCenter]])="","Missing Value",UPPER(Cost[[#This Row],[CostCenter]]))</f>
        <v>SI</v>
      </c>
    </row>
    <row r="240" spans="1:12" hidden="1" x14ac:dyDescent="0.25">
      <c r="A240" t="s">
        <v>3737</v>
      </c>
      <c r="B240" t="s">
        <v>3738</v>
      </c>
      <c r="C240" t="str">
        <f>SUBSTITUTE(Cost[[#This Row],[Period]],"/","-")</f>
        <v>2025-05</v>
      </c>
      <c r="D240" t="s">
        <v>97</v>
      </c>
      <c r="E240" t="str">
        <f>IF(UPPER(Cost[[#This Row],[ProductID]])&lt;&gt;"",Cost[[#This Row],[ProductID]],"Missing Value")</f>
        <v>P-SI-001</v>
      </c>
      <c r="F240" t="s">
        <v>3574</v>
      </c>
      <c r="G240" t="s">
        <v>3568</v>
      </c>
      <c r="H240">
        <v>187.5</v>
      </c>
      <c r="I240" t="s">
        <v>3739</v>
      </c>
      <c r="J240">
        <f>VALUE(Cost[[#This Row],[ActualCost]])</f>
        <v>188.04</v>
      </c>
      <c r="K240" t="s">
        <v>3569</v>
      </c>
      <c r="L240" t="str">
        <f>IF(UPPER(Cost[[#This Row],[CostCenter]])="","Missing Value",UPPER(Cost[[#This Row],[CostCenter]]))</f>
        <v>SI</v>
      </c>
    </row>
    <row r="241" spans="1:12" hidden="1" x14ac:dyDescent="0.25">
      <c r="A241" t="s">
        <v>3740</v>
      </c>
      <c r="B241" t="s">
        <v>3738</v>
      </c>
      <c r="C241" t="str">
        <f>SUBSTITUTE(Cost[[#This Row],[Period]],"/","-")</f>
        <v>2025-05</v>
      </c>
      <c r="D241" t="s">
        <v>97</v>
      </c>
      <c r="E241" t="str">
        <f>IF(UPPER(Cost[[#This Row],[ProductID]])&lt;&gt;"",Cost[[#This Row],[ProductID]],"Missing Value")</f>
        <v>P-SI-001</v>
      </c>
      <c r="F241" t="s">
        <v>3571</v>
      </c>
      <c r="G241" t="s">
        <v>3572</v>
      </c>
      <c r="H241">
        <v>42</v>
      </c>
      <c r="I241">
        <v>44.88</v>
      </c>
      <c r="J241">
        <f>VALUE(Cost[[#This Row],[ActualCost]])</f>
        <v>44.88</v>
      </c>
      <c r="K241" t="s">
        <v>3569</v>
      </c>
      <c r="L241" t="str">
        <f>IF(UPPER(Cost[[#This Row],[CostCenter]])="","Missing Value",UPPER(Cost[[#This Row],[CostCenter]]))</f>
        <v>SI</v>
      </c>
    </row>
    <row r="242" spans="1:12" hidden="1" x14ac:dyDescent="0.25">
      <c r="A242" t="s">
        <v>3780</v>
      </c>
      <c r="B242" t="s">
        <v>3781</v>
      </c>
      <c r="C242" t="str">
        <f>SUBSTITUTE(Cost[[#This Row],[Period]],"/","-")</f>
        <v>2025-06</v>
      </c>
      <c r="D242" t="s">
        <v>97</v>
      </c>
      <c r="E242" t="str">
        <f>IF(UPPER(Cost[[#This Row],[ProductID]])&lt;&gt;"",Cost[[#This Row],[ProductID]],"Missing Value")</f>
        <v>P-SI-001</v>
      </c>
      <c r="F242" t="s">
        <v>3574</v>
      </c>
      <c r="G242" t="s">
        <v>3568</v>
      </c>
      <c r="H242">
        <v>187.5</v>
      </c>
      <c r="I242">
        <v>181.78</v>
      </c>
      <c r="J242">
        <f>VALUE(Cost[[#This Row],[ActualCost]])</f>
        <v>181.78</v>
      </c>
      <c r="K242" t="s">
        <v>3569</v>
      </c>
      <c r="L242" t="str">
        <f>IF(UPPER(Cost[[#This Row],[CostCenter]])="","Missing Value",UPPER(Cost[[#This Row],[CostCenter]]))</f>
        <v>SI</v>
      </c>
    </row>
    <row r="243" spans="1:12" hidden="1" x14ac:dyDescent="0.25">
      <c r="A243" t="s">
        <v>3782</v>
      </c>
      <c r="B243" t="s">
        <v>3783</v>
      </c>
      <c r="C243" t="str">
        <f>SUBSTITUTE(Cost[[#This Row],[Period]],"/","-")</f>
        <v>2025-06</v>
      </c>
      <c r="D243" t="s">
        <v>97</v>
      </c>
      <c r="E243" t="str">
        <f>IF(UPPER(Cost[[#This Row],[ProductID]])&lt;&gt;"",Cost[[#This Row],[ProductID]],"Missing Value")</f>
        <v>P-SI-001</v>
      </c>
      <c r="F243" t="s">
        <v>3571</v>
      </c>
      <c r="G243" t="s">
        <v>3572</v>
      </c>
      <c r="H243">
        <v>42</v>
      </c>
      <c r="I243">
        <v>43.91</v>
      </c>
      <c r="J243">
        <f>VALUE(Cost[[#This Row],[ActualCost]])</f>
        <v>43.91</v>
      </c>
      <c r="K243" t="s">
        <v>3569</v>
      </c>
      <c r="L243" t="str">
        <f>IF(UPPER(Cost[[#This Row],[CostCenter]])="","Missing Value",UPPER(Cost[[#This Row],[CostCenter]]))</f>
        <v>SI</v>
      </c>
    </row>
    <row r="244" spans="1:12" hidden="1" x14ac:dyDescent="0.25">
      <c r="A244" t="s">
        <v>3573</v>
      </c>
      <c r="B244" t="s">
        <v>3566</v>
      </c>
      <c r="C244" t="str">
        <f>SUBSTITUTE(Cost[[#This Row],[Period]],"/","-")</f>
        <v>2025-01</v>
      </c>
      <c r="D244" t="s">
        <v>52</v>
      </c>
      <c r="E244" t="str">
        <f>IF(UPPER(Cost[[#This Row],[ProductID]])&lt;&gt;"",Cost[[#This Row],[ProductID]],"Missing Value")</f>
        <v>P-SI-002</v>
      </c>
      <c r="F244" t="s">
        <v>3574</v>
      </c>
      <c r="G244" t="s">
        <v>3568</v>
      </c>
      <c r="H244">
        <v>298</v>
      </c>
      <c r="I244">
        <v>304.11</v>
      </c>
      <c r="J244">
        <f>VALUE(Cost[[#This Row],[ActualCost]])</f>
        <v>304.11</v>
      </c>
      <c r="K244" t="s">
        <v>3569</v>
      </c>
      <c r="L244" t="str">
        <f>IF(UPPER(Cost[[#This Row],[CostCenter]])="","Missing Value",UPPER(Cost[[#This Row],[CostCenter]]))</f>
        <v>SI</v>
      </c>
    </row>
    <row r="245" spans="1:12" hidden="1" x14ac:dyDescent="0.25">
      <c r="A245" t="s">
        <v>3575</v>
      </c>
      <c r="B245" t="s">
        <v>3566</v>
      </c>
      <c r="C245" t="str">
        <f>SUBSTITUTE(Cost[[#This Row],[Period]],"/","-")</f>
        <v>2025-01</v>
      </c>
      <c r="D245" t="s">
        <v>52</v>
      </c>
      <c r="E245" t="str">
        <f>IF(UPPER(Cost[[#This Row],[ProductID]])&lt;&gt;"",Cost[[#This Row],[ProductID]],"Missing Value")</f>
        <v>P-SI-002</v>
      </c>
      <c r="F245" t="s">
        <v>3571</v>
      </c>
      <c r="G245" t="s">
        <v>3572</v>
      </c>
      <c r="H245">
        <v>55</v>
      </c>
      <c r="I245">
        <v>58.88</v>
      </c>
      <c r="J245">
        <f>VALUE(Cost[[#This Row],[ActualCost]])</f>
        <v>58.88</v>
      </c>
      <c r="K245" t="s">
        <v>3569</v>
      </c>
      <c r="L245" t="str">
        <f>IF(UPPER(Cost[[#This Row],[CostCenter]])="","Missing Value",UPPER(Cost[[#This Row],[CostCenter]]))</f>
        <v>SI</v>
      </c>
    </row>
    <row r="246" spans="1:12" hidden="1" x14ac:dyDescent="0.25">
      <c r="A246" t="s">
        <v>3617</v>
      </c>
      <c r="B246" t="s">
        <v>3615</v>
      </c>
      <c r="C246" t="str">
        <f>SUBSTITUTE(Cost[[#This Row],[Period]],"/","-")</f>
        <v>2025-02</v>
      </c>
      <c r="D246" t="s">
        <v>52</v>
      </c>
      <c r="E246" t="str">
        <f>IF(UPPER(Cost[[#This Row],[ProductID]])&lt;&gt;"",Cost[[#This Row],[ProductID]],"Missing Value")</f>
        <v>P-SI-002</v>
      </c>
      <c r="F246" t="s">
        <v>3574</v>
      </c>
      <c r="G246" t="s">
        <v>3568</v>
      </c>
      <c r="H246">
        <v>298</v>
      </c>
      <c r="I246">
        <v>285.66000000000003</v>
      </c>
      <c r="J246">
        <f>VALUE(Cost[[#This Row],[ActualCost]])</f>
        <v>285.66000000000003</v>
      </c>
      <c r="K246" t="s">
        <v>3569</v>
      </c>
      <c r="L246" t="str">
        <f>IF(UPPER(Cost[[#This Row],[CostCenter]])="","Missing Value",UPPER(Cost[[#This Row],[CostCenter]]))</f>
        <v>SI</v>
      </c>
    </row>
    <row r="247" spans="1:12" hidden="1" x14ac:dyDescent="0.25">
      <c r="A247" t="s">
        <v>3618</v>
      </c>
      <c r="B247" t="s">
        <v>3615</v>
      </c>
      <c r="C247" t="str">
        <f>SUBSTITUTE(Cost[[#This Row],[Period]],"/","-")</f>
        <v>2025-02</v>
      </c>
      <c r="D247" t="s">
        <v>52</v>
      </c>
      <c r="E247" t="str">
        <f>IF(UPPER(Cost[[#This Row],[ProductID]])&lt;&gt;"",Cost[[#This Row],[ProductID]],"Missing Value")</f>
        <v>P-SI-002</v>
      </c>
      <c r="F247" t="s">
        <v>3571</v>
      </c>
      <c r="G247" t="s">
        <v>3572</v>
      </c>
      <c r="H247">
        <v>55</v>
      </c>
      <c r="I247">
        <v>53.16</v>
      </c>
      <c r="J247">
        <f>VALUE(Cost[[#This Row],[ActualCost]])</f>
        <v>53.16</v>
      </c>
      <c r="K247" t="s">
        <v>3569</v>
      </c>
      <c r="L247" t="str">
        <f>IF(UPPER(Cost[[#This Row],[CostCenter]])="","Missing Value",UPPER(Cost[[#This Row],[CostCenter]]))</f>
        <v>SI</v>
      </c>
    </row>
    <row r="248" spans="1:12" hidden="1" x14ac:dyDescent="0.25">
      <c r="A248" t="s">
        <v>3658</v>
      </c>
      <c r="B248" t="s">
        <v>3655</v>
      </c>
      <c r="C248" t="str">
        <f>SUBSTITUTE(Cost[[#This Row],[Period]],"/","-")</f>
        <v>2025-03</v>
      </c>
      <c r="D248" t="s">
        <v>52</v>
      </c>
      <c r="E248" t="str">
        <f>IF(UPPER(Cost[[#This Row],[ProductID]])&lt;&gt;"",Cost[[#This Row],[ProductID]],"Missing Value")</f>
        <v>P-SI-002</v>
      </c>
      <c r="F248" t="s">
        <v>3574</v>
      </c>
      <c r="G248" t="s">
        <v>3568</v>
      </c>
      <c r="H248">
        <v>298</v>
      </c>
      <c r="I248">
        <v>288.19</v>
      </c>
      <c r="J248">
        <f>VALUE(Cost[[#This Row],[ActualCost]])</f>
        <v>288.19</v>
      </c>
      <c r="K248" t="s">
        <v>3569</v>
      </c>
      <c r="L248" t="str">
        <f>IF(UPPER(Cost[[#This Row],[CostCenter]])="","Missing Value",UPPER(Cost[[#This Row],[CostCenter]]))</f>
        <v>SI</v>
      </c>
    </row>
    <row r="249" spans="1:12" hidden="1" x14ac:dyDescent="0.25">
      <c r="A249" t="s">
        <v>3659</v>
      </c>
      <c r="B249" t="s">
        <v>3655</v>
      </c>
      <c r="C249" t="str">
        <f>SUBSTITUTE(Cost[[#This Row],[Period]],"/","-")</f>
        <v>2025-03</v>
      </c>
      <c r="D249" t="s">
        <v>52</v>
      </c>
      <c r="E249" t="str">
        <f>IF(UPPER(Cost[[#This Row],[ProductID]])&lt;&gt;"",Cost[[#This Row],[ProductID]],"Missing Value")</f>
        <v>P-SI-002</v>
      </c>
      <c r="F249" t="s">
        <v>3571</v>
      </c>
      <c r="G249" t="s">
        <v>3572</v>
      </c>
      <c r="H249">
        <v>55</v>
      </c>
      <c r="I249">
        <v>55</v>
      </c>
      <c r="J249">
        <f>VALUE(Cost[[#This Row],[ActualCost]])</f>
        <v>55</v>
      </c>
      <c r="K249" t="s">
        <v>3569</v>
      </c>
      <c r="L249" t="str">
        <f>IF(UPPER(Cost[[#This Row],[CostCenter]])="","Missing Value",UPPER(Cost[[#This Row],[CostCenter]]))</f>
        <v>SI</v>
      </c>
    </row>
    <row r="250" spans="1:12" hidden="1" x14ac:dyDescent="0.25">
      <c r="A250" t="s">
        <v>3698</v>
      </c>
      <c r="B250" t="s">
        <v>3695</v>
      </c>
      <c r="C250" t="str">
        <f>SUBSTITUTE(Cost[[#This Row],[Period]],"/","-")</f>
        <v>2025-04</v>
      </c>
      <c r="D250" t="s">
        <v>52</v>
      </c>
      <c r="E250" t="str">
        <f>IF(UPPER(Cost[[#This Row],[ProductID]])&lt;&gt;"",Cost[[#This Row],[ProductID]],"Missing Value")</f>
        <v>P-SI-002</v>
      </c>
      <c r="F250" t="s">
        <v>3574</v>
      </c>
      <c r="G250" t="s">
        <v>3568</v>
      </c>
      <c r="H250">
        <v>298</v>
      </c>
      <c r="I250">
        <v>308.39</v>
      </c>
      <c r="J250">
        <f>VALUE(Cost[[#This Row],[ActualCost]])</f>
        <v>308.39</v>
      </c>
      <c r="K250" t="s">
        <v>3569</v>
      </c>
      <c r="L250" t="str">
        <f>IF(UPPER(Cost[[#This Row],[CostCenter]])="","Missing Value",UPPER(Cost[[#This Row],[CostCenter]]))</f>
        <v>SI</v>
      </c>
    </row>
    <row r="251" spans="1:12" hidden="1" x14ac:dyDescent="0.25">
      <c r="A251" t="s">
        <v>3699</v>
      </c>
      <c r="B251" t="s">
        <v>3695</v>
      </c>
      <c r="C251" t="str">
        <f>SUBSTITUTE(Cost[[#This Row],[Period]],"/","-")</f>
        <v>2025-04</v>
      </c>
      <c r="D251" t="s">
        <v>52</v>
      </c>
      <c r="E251" t="str">
        <f>IF(UPPER(Cost[[#This Row],[ProductID]])&lt;&gt;"",Cost[[#This Row],[ProductID]],"Missing Value")</f>
        <v>P-SI-002</v>
      </c>
      <c r="F251" t="s">
        <v>3571</v>
      </c>
      <c r="G251" t="s">
        <v>3572</v>
      </c>
      <c r="H251">
        <v>55</v>
      </c>
      <c r="I251">
        <v>54.69</v>
      </c>
      <c r="J251">
        <f>VALUE(Cost[[#This Row],[ActualCost]])</f>
        <v>54.69</v>
      </c>
      <c r="K251" t="s">
        <v>3569</v>
      </c>
      <c r="L251" t="str">
        <f>IF(UPPER(Cost[[#This Row],[CostCenter]])="","Missing Value",UPPER(Cost[[#This Row],[CostCenter]]))</f>
        <v>SI</v>
      </c>
    </row>
    <row r="252" spans="1:12" hidden="1" x14ac:dyDescent="0.25">
      <c r="A252" t="s">
        <v>3741</v>
      </c>
      <c r="B252" t="s">
        <v>3738</v>
      </c>
      <c r="C252" t="str">
        <f>SUBSTITUTE(Cost[[#This Row],[Period]],"/","-")</f>
        <v>2025-05</v>
      </c>
      <c r="D252" t="s">
        <v>52</v>
      </c>
      <c r="E252" t="str">
        <f>IF(UPPER(Cost[[#This Row],[ProductID]])&lt;&gt;"",Cost[[#This Row],[ProductID]],"Missing Value")</f>
        <v>P-SI-002</v>
      </c>
      <c r="F252" t="s">
        <v>3574</v>
      </c>
      <c r="G252" t="s">
        <v>3568</v>
      </c>
      <c r="H252">
        <v>298</v>
      </c>
      <c r="I252">
        <v>312.18</v>
      </c>
      <c r="J252">
        <f>VALUE(Cost[[#This Row],[ActualCost]])</f>
        <v>312.18</v>
      </c>
      <c r="K252" t="s">
        <v>3569</v>
      </c>
      <c r="L252" t="str">
        <f>IF(UPPER(Cost[[#This Row],[CostCenter]])="","Missing Value",UPPER(Cost[[#This Row],[CostCenter]]))</f>
        <v>SI</v>
      </c>
    </row>
    <row r="253" spans="1:12" hidden="1" x14ac:dyDescent="0.25">
      <c r="A253" t="s">
        <v>3742</v>
      </c>
      <c r="B253" t="s">
        <v>3738</v>
      </c>
      <c r="C253" t="str">
        <f>SUBSTITUTE(Cost[[#This Row],[Period]],"/","-")</f>
        <v>2025-05</v>
      </c>
      <c r="D253" t="s">
        <v>52</v>
      </c>
      <c r="E253" t="str">
        <f>IF(UPPER(Cost[[#This Row],[ProductID]])&lt;&gt;"",Cost[[#This Row],[ProductID]],"Missing Value")</f>
        <v>P-SI-002</v>
      </c>
      <c r="F253" t="s">
        <v>3571</v>
      </c>
      <c r="G253" t="s">
        <v>3572</v>
      </c>
      <c r="H253">
        <v>55</v>
      </c>
      <c r="I253">
        <v>54.68</v>
      </c>
      <c r="J253">
        <f>VALUE(Cost[[#This Row],[ActualCost]])</f>
        <v>54.68</v>
      </c>
      <c r="K253" t="s">
        <v>3569</v>
      </c>
      <c r="L253" t="str">
        <f>IF(UPPER(Cost[[#This Row],[CostCenter]])="","Missing Value",UPPER(Cost[[#This Row],[CostCenter]]))</f>
        <v>SI</v>
      </c>
    </row>
    <row r="254" spans="1:12" hidden="1" x14ac:dyDescent="0.25">
      <c r="A254" t="s">
        <v>3784</v>
      </c>
      <c r="B254" t="s">
        <v>3783</v>
      </c>
      <c r="C254" t="str">
        <f>SUBSTITUTE(Cost[[#This Row],[Period]],"/","-")</f>
        <v>2025-06</v>
      </c>
      <c r="D254" t="s">
        <v>52</v>
      </c>
      <c r="E254" t="str">
        <f>IF(UPPER(Cost[[#This Row],[ProductID]])&lt;&gt;"",Cost[[#This Row],[ProductID]],"Missing Value")</f>
        <v>P-SI-002</v>
      </c>
      <c r="F254" t="s">
        <v>3574</v>
      </c>
      <c r="G254" t="s">
        <v>3568</v>
      </c>
      <c r="H254">
        <v>298</v>
      </c>
      <c r="I254">
        <v>316.85000000000002</v>
      </c>
      <c r="J254">
        <f>VALUE(Cost[[#This Row],[ActualCost]])</f>
        <v>316.85000000000002</v>
      </c>
      <c r="K254" t="s">
        <v>3569</v>
      </c>
      <c r="L254" t="str">
        <f>IF(UPPER(Cost[[#This Row],[CostCenter]])="","Missing Value",UPPER(Cost[[#This Row],[CostCenter]]))</f>
        <v>SI</v>
      </c>
    </row>
    <row r="255" spans="1:12" hidden="1" x14ac:dyDescent="0.25">
      <c r="A255" t="s">
        <v>3785</v>
      </c>
      <c r="B255" t="s">
        <v>3783</v>
      </c>
      <c r="C255" t="str">
        <f>SUBSTITUTE(Cost[[#This Row],[Period]],"/","-")</f>
        <v>2025-06</v>
      </c>
      <c r="D255" t="s">
        <v>52</v>
      </c>
      <c r="E255" t="str">
        <f>IF(UPPER(Cost[[#This Row],[ProductID]])&lt;&gt;"",Cost[[#This Row],[ProductID]],"Missing Value")</f>
        <v>P-SI-002</v>
      </c>
      <c r="F255" t="s">
        <v>3571</v>
      </c>
      <c r="G255" t="s">
        <v>3572</v>
      </c>
      <c r="H255">
        <v>55</v>
      </c>
      <c r="I255">
        <v>52.52</v>
      </c>
      <c r="J255">
        <f>VALUE(Cost[[#This Row],[ActualCost]])</f>
        <v>52.52</v>
      </c>
      <c r="K255" t="s">
        <v>3569</v>
      </c>
      <c r="L255" t="str">
        <f>IF(UPPER(Cost[[#This Row],[CostCenter]])="","Missing Value",UPPER(Cost[[#This Row],[CostCenter]]))</f>
        <v>SI</v>
      </c>
    </row>
    <row r="256" spans="1:12" hidden="1" x14ac:dyDescent="0.25">
      <c r="A256" t="s">
        <v>3576</v>
      </c>
      <c r="B256" t="s">
        <v>3566</v>
      </c>
      <c r="C256" t="str">
        <f>SUBSTITUTE(Cost[[#This Row],[Period]],"/","-")</f>
        <v>2025-01</v>
      </c>
      <c r="D256" t="s">
        <v>71</v>
      </c>
      <c r="E256" t="str">
        <f>IF(UPPER(Cost[[#This Row],[ProductID]])&lt;&gt;"",Cost[[#This Row],[ProductID]],"Missing Value")</f>
        <v>P-SI-003</v>
      </c>
      <c r="F256" t="s">
        <v>3574</v>
      </c>
      <c r="G256" t="s">
        <v>3568</v>
      </c>
      <c r="H256">
        <v>712</v>
      </c>
      <c r="I256">
        <v>794.9</v>
      </c>
      <c r="J256">
        <f>VALUE(Cost[[#This Row],[ActualCost]])</f>
        <v>794.9</v>
      </c>
      <c r="K256" t="s">
        <v>3569</v>
      </c>
      <c r="L256" t="str">
        <f>IF(UPPER(Cost[[#This Row],[CostCenter]])="","Missing Value",UPPER(Cost[[#This Row],[CostCenter]]))</f>
        <v>SI</v>
      </c>
    </row>
    <row r="257" spans="1:12" hidden="1" x14ac:dyDescent="0.25">
      <c r="A257" t="s">
        <v>3577</v>
      </c>
      <c r="B257" t="s">
        <v>3566</v>
      </c>
      <c r="C257" t="str">
        <f>SUBSTITUTE(Cost[[#This Row],[Period]],"/","-")</f>
        <v>2025-01</v>
      </c>
      <c r="D257" t="s">
        <v>71</v>
      </c>
      <c r="E257" t="str">
        <f>IF(UPPER(Cost[[#This Row],[ProductID]])&lt;&gt;"",Cost[[#This Row],[ProductID]],"Missing Value")</f>
        <v>P-SI-003</v>
      </c>
      <c r="F257" t="s">
        <v>3571</v>
      </c>
      <c r="G257" t="s">
        <v>3572</v>
      </c>
      <c r="H257">
        <v>125</v>
      </c>
      <c r="I257">
        <v>123.14</v>
      </c>
      <c r="J257">
        <f>VALUE(Cost[[#This Row],[ActualCost]])</f>
        <v>123.14</v>
      </c>
      <c r="K257" t="s">
        <v>3569</v>
      </c>
      <c r="L257" t="str">
        <f>IF(UPPER(Cost[[#This Row],[CostCenter]])="","Missing Value",UPPER(Cost[[#This Row],[CostCenter]]))</f>
        <v>SI</v>
      </c>
    </row>
    <row r="258" spans="1:12" hidden="1" x14ac:dyDescent="0.25">
      <c r="A258" t="s">
        <v>3619</v>
      </c>
      <c r="B258" t="s">
        <v>3615</v>
      </c>
      <c r="C258" t="str">
        <f>SUBSTITUTE(Cost[[#This Row],[Period]],"/","-")</f>
        <v>2025-02</v>
      </c>
      <c r="D258" t="s">
        <v>71</v>
      </c>
      <c r="E258" t="str">
        <f>IF(UPPER(Cost[[#This Row],[ProductID]])&lt;&gt;"",Cost[[#This Row],[ProductID]],"Missing Value")</f>
        <v>P-SI-003</v>
      </c>
      <c r="F258" t="s">
        <v>3574</v>
      </c>
      <c r="G258" t="s">
        <v>3568</v>
      </c>
      <c r="H258">
        <v>712</v>
      </c>
      <c r="I258">
        <v>811.01</v>
      </c>
      <c r="J258">
        <f>VALUE(Cost[[#This Row],[ActualCost]])</f>
        <v>811.01</v>
      </c>
      <c r="K258" t="s">
        <v>3569</v>
      </c>
      <c r="L258" t="str">
        <f>IF(UPPER(Cost[[#This Row],[CostCenter]])="","Missing Value",UPPER(Cost[[#This Row],[CostCenter]]))</f>
        <v>SI</v>
      </c>
    </row>
    <row r="259" spans="1:12" hidden="1" x14ac:dyDescent="0.25">
      <c r="A259" t="s">
        <v>3620</v>
      </c>
      <c r="B259" t="s">
        <v>3615</v>
      </c>
      <c r="C259" t="str">
        <f>SUBSTITUTE(Cost[[#This Row],[Period]],"/","-")</f>
        <v>2025-02</v>
      </c>
      <c r="D259" t="s">
        <v>71</v>
      </c>
      <c r="E259" t="str">
        <f>IF(UPPER(Cost[[#This Row],[ProductID]])&lt;&gt;"",Cost[[#This Row],[ProductID]],"Missing Value")</f>
        <v>P-SI-003</v>
      </c>
      <c r="F259" t="s">
        <v>3571</v>
      </c>
      <c r="G259" t="s">
        <v>3572</v>
      </c>
      <c r="H259">
        <v>125</v>
      </c>
      <c r="I259">
        <v>127.83</v>
      </c>
      <c r="J259">
        <f>VALUE(Cost[[#This Row],[ActualCost]])</f>
        <v>127.83</v>
      </c>
      <c r="K259" t="s">
        <v>3569</v>
      </c>
      <c r="L259" t="str">
        <f>IF(UPPER(Cost[[#This Row],[CostCenter]])="","Missing Value",UPPER(Cost[[#This Row],[CostCenter]]))</f>
        <v>SI</v>
      </c>
    </row>
    <row r="260" spans="1:12" hidden="1" x14ac:dyDescent="0.25">
      <c r="A260" t="s">
        <v>3660</v>
      </c>
      <c r="B260" t="s">
        <v>3655</v>
      </c>
      <c r="C260" t="str">
        <f>SUBSTITUTE(Cost[[#This Row],[Period]],"/","-")</f>
        <v>2025-03</v>
      </c>
      <c r="D260" t="s">
        <v>71</v>
      </c>
      <c r="E260" t="str">
        <f>IF(UPPER(Cost[[#This Row],[ProductID]])&lt;&gt;"",Cost[[#This Row],[ProductID]],"Missing Value")</f>
        <v>P-SI-003</v>
      </c>
      <c r="F260" t="s">
        <v>3574</v>
      </c>
      <c r="G260" t="s">
        <v>3568</v>
      </c>
      <c r="H260">
        <v>712</v>
      </c>
      <c r="I260">
        <v>782.95</v>
      </c>
      <c r="J260">
        <f>VALUE(Cost[[#This Row],[ActualCost]])</f>
        <v>782.95</v>
      </c>
      <c r="K260" t="s">
        <v>3569</v>
      </c>
      <c r="L260" t="str">
        <f>IF(UPPER(Cost[[#This Row],[CostCenter]])="","Missing Value",UPPER(Cost[[#This Row],[CostCenter]]))</f>
        <v>SI</v>
      </c>
    </row>
    <row r="261" spans="1:12" hidden="1" x14ac:dyDescent="0.25">
      <c r="A261" t="s">
        <v>3661</v>
      </c>
      <c r="B261" t="s">
        <v>3655</v>
      </c>
      <c r="C261" t="str">
        <f>SUBSTITUTE(Cost[[#This Row],[Period]],"/","-")</f>
        <v>2025-03</v>
      </c>
      <c r="D261" t="s">
        <v>71</v>
      </c>
      <c r="E261" t="str">
        <f>IF(UPPER(Cost[[#This Row],[ProductID]])&lt;&gt;"",Cost[[#This Row],[ProductID]],"Missing Value")</f>
        <v>P-SI-003</v>
      </c>
      <c r="F261" t="s">
        <v>3571</v>
      </c>
      <c r="G261" t="s">
        <v>3572</v>
      </c>
      <c r="H261">
        <v>125</v>
      </c>
      <c r="I261">
        <v>133.09</v>
      </c>
      <c r="J261">
        <f>VALUE(Cost[[#This Row],[ActualCost]])</f>
        <v>133.09</v>
      </c>
      <c r="K261" t="s">
        <v>3569</v>
      </c>
      <c r="L261" t="str">
        <f>IF(UPPER(Cost[[#This Row],[CostCenter]])="","Missing Value",UPPER(Cost[[#This Row],[CostCenter]]))</f>
        <v>SI</v>
      </c>
    </row>
    <row r="262" spans="1:12" hidden="1" x14ac:dyDescent="0.25">
      <c r="A262" t="s">
        <v>3700</v>
      </c>
      <c r="B262" t="s">
        <v>3695</v>
      </c>
      <c r="C262" t="str">
        <f>SUBSTITUTE(Cost[[#This Row],[Period]],"/","-")</f>
        <v>2025-04</v>
      </c>
      <c r="D262" t="s">
        <v>71</v>
      </c>
      <c r="E262" t="str">
        <f>IF(UPPER(Cost[[#This Row],[ProductID]])&lt;&gt;"",Cost[[#This Row],[ProductID]],"Missing Value")</f>
        <v>P-SI-003</v>
      </c>
      <c r="F262" t="s">
        <v>3574</v>
      </c>
      <c r="G262" t="s">
        <v>3568</v>
      </c>
      <c r="H262">
        <v>712</v>
      </c>
      <c r="I262">
        <v>784.39</v>
      </c>
      <c r="J262">
        <f>VALUE(Cost[[#This Row],[ActualCost]])</f>
        <v>784.39</v>
      </c>
      <c r="K262" t="s">
        <v>3569</v>
      </c>
      <c r="L262" t="str">
        <f>IF(UPPER(Cost[[#This Row],[CostCenter]])="","Missing Value",UPPER(Cost[[#This Row],[CostCenter]]))</f>
        <v>SI</v>
      </c>
    </row>
    <row r="263" spans="1:12" hidden="1" x14ac:dyDescent="0.25">
      <c r="A263" t="s">
        <v>3701</v>
      </c>
      <c r="B263" t="s">
        <v>3695</v>
      </c>
      <c r="C263" t="str">
        <f>SUBSTITUTE(Cost[[#This Row],[Period]],"/","-")</f>
        <v>2025-04</v>
      </c>
      <c r="D263" t="s">
        <v>71</v>
      </c>
      <c r="E263" t="str">
        <f>IF(UPPER(Cost[[#This Row],[ProductID]])&lt;&gt;"",Cost[[#This Row],[ProductID]],"Missing Value")</f>
        <v>P-SI-003</v>
      </c>
      <c r="F263" t="s">
        <v>3571</v>
      </c>
      <c r="G263" t="s">
        <v>3572</v>
      </c>
      <c r="H263">
        <v>125</v>
      </c>
      <c r="I263">
        <v>131.94</v>
      </c>
      <c r="J263">
        <f>VALUE(Cost[[#This Row],[ActualCost]])</f>
        <v>131.94</v>
      </c>
      <c r="K263" t="s">
        <v>3569</v>
      </c>
      <c r="L263" t="str">
        <f>IF(UPPER(Cost[[#This Row],[CostCenter]])="","Missing Value",UPPER(Cost[[#This Row],[CostCenter]]))</f>
        <v>SI</v>
      </c>
    </row>
    <row r="264" spans="1:12" hidden="1" x14ac:dyDescent="0.25">
      <c r="A264" t="s">
        <v>3743</v>
      </c>
      <c r="B264" t="s">
        <v>3738</v>
      </c>
      <c r="C264" t="str">
        <f>SUBSTITUTE(Cost[[#This Row],[Period]],"/","-")</f>
        <v>2025-05</v>
      </c>
      <c r="D264" t="s">
        <v>71</v>
      </c>
      <c r="E264" t="str">
        <f>IF(UPPER(Cost[[#This Row],[ProductID]])&lt;&gt;"",Cost[[#This Row],[ProductID]],"Missing Value")</f>
        <v>P-SI-003</v>
      </c>
      <c r="F264" t="s">
        <v>3574</v>
      </c>
      <c r="G264" t="s">
        <v>3568</v>
      </c>
      <c r="H264">
        <v>712</v>
      </c>
      <c r="I264">
        <v>799.24</v>
      </c>
      <c r="J264">
        <f>VALUE(Cost[[#This Row],[ActualCost]])</f>
        <v>799.24</v>
      </c>
      <c r="K264" t="s">
        <v>3569</v>
      </c>
      <c r="L264" t="str">
        <f>IF(UPPER(Cost[[#This Row],[CostCenter]])="","Missing Value",UPPER(Cost[[#This Row],[CostCenter]]))</f>
        <v>SI</v>
      </c>
    </row>
    <row r="265" spans="1:12" hidden="1" x14ac:dyDescent="0.25">
      <c r="A265" t="s">
        <v>3744</v>
      </c>
      <c r="B265" t="s">
        <v>3738</v>
      </c>
      <c r="C265" t="str">
        <f>SUBSTITUTE(Cost[[#This Row],[Period]],"/","-")</f>
        <v>2025-05</v>
      </c>
      <c r="D265" t="s">
        <v>71</v>
      </c>
      <c r="E265" t="str">
        <f>IF(UPPER(Cost[[#This Row],[ProductID]])&lt;&gt;"",Cost[[#This Row],[ProductID]],"Missing Value")</f>
        <v>P-SI-003</v>
      </c>
      <c r="F265" t="s">
        <v>3571</v>
      </c>
      <c r="G265" t="s">
        <v>3572</v>
      </c>
      <c r="H265">
        <v>125</v>
      </c>
      <c r="I265">
        <v>118.81</v>
      </c>
      <c r="J265">
        <f>VALUE(Cost[[#This Row],[ActualCost]])</f>
        <v>118.81</v>
      </c>
      <c r="K265" t="s">
        <v>3569</v>
      </c>
      <c r="L265" t="str">
        <f>IF(UPPER(Cost[[#This Row],[CostCenter]])="","Missing Value",UPPER(Cost[[#This Row],[CostCenter]]))</f>
        <v>SI</v>
      </c>
    </row>
    <row r="266" spans="1:12" hidden="1" x14ac:dyDescent="0.25">
      <c r="A266" t="s">
        <v>3786</v>
      </c>
      <c r="B266" t="s">
        <v>3783</v>
      </c>
      <c r="C266" t="str">
        <f>SUBSTITUTE(Cost[[#This Row],[Period]],"/","-")</f>
        <v>2025-06</v>
      </c>
      <c r="D266" t="s">
        <v>71</v>
      </c>
      <c r="E266" t="str">
        <f>IF(UPPER(Cost[[#This Row],[ProductID]])&lt;&gt;"",Cost[[#This Row],[ProductID]],"Missing Value")</f>
        <v>P-SI-003</v>
      </c>
      <c r="F266" t="s">
        <v>3574</v>
      </c>
      <c r="G266" t="s">
        <v>3568</v>
      </c>
      <c r="H266">
        <v>712</v>
      </c>
      <c r="I266">
        <v>820.79</v>
      </c>
      <c r="J266">
        <f>VALUE(Cost[[#This Row],[ActualCost]])</f>
        <v>820.79</v>
      </c>
      <c r="K266" t="s">
        <v>3569</v>
      </c>
      <c r="L266" t="str">
        <f>IF(UPPER(Cost[[#This Row],[CostCenter]])="","Missing Value",UPPER(Cost[[#This Row],[CostCenter]]))</f>
        <v>SI</v>
      </c>
    </row>
    <row r="267" spans="1:12" hidden="1" x14ac:dyDescent="0.25">
      <c r="A267" t="s">
        <v>3787</v>
      </c>
      <c r="B267" t="s">
        <v>3783</v>
      </c>
      <c r="C267" t="str">
        <f>SUBSTITUTE(Cost[[#This Row],[Period]],"/","-")</f>
        <v>2025-06</v>
      </c>
      <c r="D267" t="s">
        <v>71</v>
      </c>
      <c r="E267" t="str">
        <f>IF(UPPER(Cost[[#This Row],[ProductID]])&lt;&gt;"",Cost[[#This Row],[ProductID]],"Missing Value")</f>
        <v>P-SI-003</v>
      </c>
      <c r="F267" t="s">
        <v>3571</v>
      </c>
      <c r="G267" t="s">
        <v>3572</v>
      </c>
      <c r="H267">
        <v>125</v>
      </c>
      <c r="I267">
        <v>121.28</v>
      </c>
      <c r="J267">
        <f>VALUE(Cost[[#This Row],[ActualCost]])</f>
        <v>121.28</v>
      </c>
      <c r="K267" t="s">
        <v>3569</v>
      </c>
      <c r="L267" t="str">
        <f>IF(UPPER(Cost[[#This Row],[CostCenter]])="","Missing Value",UPPER(Cost[[#This Row],[CostCenter]]))</f>
        <v>SI</v>
      </c>
    </row>
    <row r="268" spans="1:12" hidden="1" x14ac:dyDescent="0.25">
      <c r="A268" t="s">
        <v>3578</v>
      </c>
      <c r="B268" t="s">
        <v>3566</v>
      </c>
      <c r="C268" t="str">
        <f>SUBSTITUTE(Cost[[#This Row],[Period]],"/","-")</f>
        <v>2025-01</v>
      </c>
      <c r="D268" t="s">
        <v>62</v>
      </c>
      <c r="E268" t="str">
        <f>IF(UPPER(Cost[[#This Row],[ProductID]])&lt;&gt;"",Cost[[#This Row],[ProductID]],"Missing Value")</f>
        <v>P-SI-004</v>
      </c>
      <c r="F268" t="s">
        <v>3574</v>
      </c>
      <c r="G268" t="s">
        <v>3568</v>
      </c>
      <c r="H268">
        <v>980</v>
      </c>
      <c r="I268">
        <v>1136.02</v>
      </c>
      <c r="J268">
        <f>VALUE(Cost[[#This Row],[ActualCost]])</f>
        <v>1136.02</v>
      </c>
      <c r="K268" t="s">
        <v>3569</v>
      </c>
      <c r="L268" t="str">
        <f>IF(UPPER(Cost[[#This Row],[CostCenter]])="","Missing Value",UPPER(Cost[[#This Row],[CostCenter]]))</f>
        <v>SI</v>
      </c>
    </row>
    <row r="269" spans="1:12" hidden="1" x14ac:dyDescent="0.25">
      <c r="A269" t="s">
        <v>3579</v>
      </c>
      <c r="B269" t="s">
        <v>3566</v>
      </c>
      <c r="C269" t="str">
        <f>SUBSTITUTE(Cost[[#This Row],[Period]],"/","-")</f>
        <v>2025-01</v>
      </c>
      <c r="D269" t="s">
        <v>62</v>
      </c>
      <c r="E269" t="str">
        <f>IF(UPPER(Cost[[#This Row],[ProductID]])&lt;&gt;"",Cost[[#This Row],[ProductID]],"Missing Value")</f>
        <v>P-SI-004</v>
      </c>
      <c r="F269" t="s">
        <v>3580</v>
      </c>
      <c r="G269" t="s">
        <v>3572</v>
      </c>
      <c r="H269">
        <v>145</v>
      </c>
      <c r="I269">
        <v>141.09</v>
      </c>
      <c r="J269">
        <f>VALUE(Cost[[#This Row],[ActualCost]])</f>
        <v>141.09</v>
      </c>
      <c r="K269" t="s">
        <v>3569</v>
      </c>
      <c r="L269" t="str">
        <f>IF(UPPER(Cost[[#This Row],[CostCenter]])="","Missing Value",UPPER(Cost[[#This Row],[CostCenter]]))</f>
        <v>SI</v>
      </c>
    </row>
    <row r="270" spans="1:12" hidden="1" x14ac:dyDescent="0.25">
      <c r="A270" t="s">
        <v>3621</v>
      </c>
      <c r="B270" t="s">
        <v>3615</v>
      </c>
      <c r="C270" t="str">
        <f>SUBSTITUTE(Cost[[#This Row],[Period]],"/","-")</f>
        <v>2025-02</v>
      </c>
      <c r="D270" t="s">
        <v>62</v>
      </c>
      <c r="E270" t="str">
        <f>IF(UPPER(Cost[[#This Row],[ProductID]])&lt;&gt;"",Cost[[#This Row],[ProductID]],"Missing Value")</f>
        <v>P-SI-004</v>
      </c>
      <c r="F270" t="s">
        <v>3574</v>
      </c>
      <c r="G270" t="s">
        <v>3568</v>
      </c>
      <c r="H270">
        <v>980</v>
      </c>
      <c r="I270">
        <v>1134.42</v>
      </c>
      <c r="J270">
        <f>VALUE(Cost[[#This Row],[ActualCost]])</f>
        <v>1134.42</v>
      </c>
      <c r="K270" t="s">
        <v>3569</v>
      </c>
      <c r="L270" t="str">
        <f>IF(UPPER(Cost[[#This Row],[CostCenter]])="","Missing Value",UPPER(Cost[[#This Row],[CostCenter]]))</f>
        <v>SI</v>
      </c>
    </row>
    <row r="271" spans="1:12" hidden="1" x14ac:dyDescent="0.25">
      <c r="A271" t="s">
        <v>3622</v>
      </c>
      <c r="B271" t="s">
        <v>3615</v>
      </c>
      <c r="C271" t="str">
        <f>SUBSTITUTE(Cost[[#This Row],[Period]],"/","-")</f>
        <v>2025-02</v>
      </c>
      <c r="D271" t="s">
        <v>62</v>
      </c>
      <c r="E271" t="str">
        <f>IF(UPPER(Cost[[#This Row],[ProductID]])&lt;&gt;"",Cost[[#This Row],[ProductID]],"Missing Value")</f>
        <v>P-SI-004</v>
      </c>
      <c r="F271" t="s">
        <v>3571</v>
      </c>
      <c r="G271" t="s">
        <v>3572</v>
      </c>
      <c r="H271">
        <v>145</v>
      </c>
      <c r="I271">
        <v>142.75</v>
      </c>
      <c r="J271">
        <f>VALUE(Cost[[#This Row],[ActualCost]])</f>
        <v>142.75</v>
      </c>
      <c r="K271" t="s">
        <v>3569</v>
      </c>
      <c r="L271" t="str">
        <f>IF(UPPER(Cost[[#This Row],[CostCenter]])="","Missing Value",UPPER(Cost[[#This Row],[CostCenter]]))</f>
        <v>SI</v>
      </c>
    </row>
    <row r="272" spans="1:12" hidden="1" x14ac:dyDescent="0.25">
      <c r="A272" t="s">
        <v>3662</v>
      </c>
      <c r="B272" t="s">
        <v>3655</v>
      </c>
      <c r="C272" t="str">
        <f>SUBSTITUTE(Cost[[#This Row],[Period]],"/","-")</f>
        <v>2025-03</v>
      </c>
      <c r="D272" t="s">
        <v>62</v>
      </c>
      <c r="E272" t="str">
        <f>IF(UPPER(Cost[[#This Row],[ProductID]])&lt;&gt;"",Cost[[#This Row],[ProductID]],"Missing Value")</f>
        <v>P-SI-004</v>
      </c>
      <c r="F272" t="s">
        <v>3574</v>
      </c>
      <c r="G272" t="s">
        <v>3568</v>
      </c>
      <c r="H272">
        <v>980</v>
      </c>
      <c r="I272">
        <v>1148.77</v>
      </c>
      <c r="J272">
        <f>VALUE(Cost[[#This Row],[ActualCost]])</f>
        <v>1148.77</v>
      </c>
      <c r="K272" t="s">
        <v>3569</v>
      </c>
      <c r="L272" t="str">
        <f>IF(UPPER(Cost[[#This Row],[CostCenter]])="","Missing Value",UPPER(Cost[[#This Row],[CostCenter]]))</f>
        <v>SI</v>
      </c>
    </row>
    <row r="273" spans="1:12" hidden="1" x14ac:dyDescent="0.25">
      <c r="A273" t="s">
        <v>3663</v>
      </c>
      <c r="B273" t="s">
        <v>3655</v>
      </c>
      <c r="C273" t="str">
        <f>SUBSTITUTE(Cost[[#This Row],[Period]],"/","-")</f>
        <v>2025-03</v>
      </c>
      <c r="D273" t="s">
        <v>62</v>
      </c>
      <c r="E273" t="str">
        <f>IF(UPPER(Cost[[#This Row],[ProductID]])&lt;&gt;"",Cost[[#This Row],[ProductID]],"Missing Value")</f>
        <v>P-SI-004</v>
      </c>
      <c r="F273" t="s">
        <v>3571</v>
      </c>
      <c r="G273" t="s">
        <v>3572</v>
      </c>
      <c r="H273">
        <v>145</v>
      </c>
      <c r="I273">
        <v>142.59</v>
      </c>
      <c r="J273">
        <f>VALUE(Cost[[#This Row],[ActualCost]])</f>
        <v>142.59</v>
      </c>
      <c r="K273" t="s">
        <v>3569</v>
      </c>
      <c r="L273" t="str">
        <f>IF(UPPER(Cost[[#This Row],[CostCenter]])="","Missing Value",UPPER(Cost[[#This Row],[CostCenter]]))</f>
        <v>SI</v>
      </c>
    </row>
    <row r="274" spans="1:12" hidden="1" x14ac:dyDescent="0.25">
      <c r="A274" t="s">
        <v>3703</v>
      </c>
      <c r="B274" t="s">
        <v>3695</v>
      </c>
      <c r="C274" t="str">
        <f>SUBSTITUTE(Cost[[#This Row],[Period]],"/","-")</f>
        <v>2025-04</v>
      </c>
      <c r="D274" t="s">
        <v>62</v>
      </c>
      <c r="E274" t="str">
        <f>IF(UPPER(Cost[[#This Row],[ProductID]])&lt;&gt;"",Cost[[#This Row],[ProductID]],"Missing Value")</f>
        <v>P-SI-004</v>
      </c>
      <c r="F274" t="s">
        <v>3571</v>
      </c>
      <c r="G274" t="s">
        <v>3572</v>
      </c>
      <c r="H274">
        <v>145</v>
      </c>
      <c r="I274">
        <v>148.06</v>
      </c>
      <c r="J274">
        <f>VALUE(Cost[[#This Row],[ActualCost]])</f>
        <v>148.06</v>
      </c>
      <c r="K274" t="s">
        <v>3569</v>
      </c>
      <c r="L274" t="str">
        <f>IF(UPPER(Cost[[#This Row],[CostCenter]])="","Missing Value",UPPER(Cost[[#This Row],[CostCenter]]))</f>
        <v>SI</v>
      </c>
    </row>
    <row r="275" spans="1:12" hidden="1" x14ac:dyDescent="0.25">
      <c r="A275" t="s">
        <v>3745</v>
      </c>
      <c r="B275" t="s">
        <v>3738</v>
      </c>
      <c r="C275" t="str">
        <f>SUBSTITUTE(Cost[[#This Row],[Period]],"/","-")</f>
        <v>2025-05</v>
      </c>
      <c r="D275" t="s">
        <v>62</v>
      </c>
      <c r="E275" t="str">
        <f>IF(UPPER(Cost[[#This Row],[ProductID]])&lt;&gt;"",Cost[[#This Row],[ProductID]],"Missing Value")</f>
        <v>P-SI-004</v>
      </c>
      <c r="F275" t="s">
        <v>3574</v>
      </c>
      <c r="G275" t="s">
        <v>3568</v>
      </c>
      <c r="H275">
        <v>980</v>
      </c>
      <c r="I275">
        <v>1144.29</v>
      </c>
      <c r="J275">
        <f>VALUE(Cost[[#This Row],[ActualCost]])</f>
        <v>1144.29</v>
      </c>
      <c r="K275" t="s">
        <v>3569</v>
      </c>
      <c r="L275" t="str">
        <f>IF(UPPER(Cost[[#This Row],[CostCenter]])="","Missing Value",UPPER(Cost[[#This Row],[CostCenter]]))</f>
        <v>SI</v>
      </c>
    </row>
    <row r="276" spans="1:12" hidden="1" x14ac:dyDescent="0.25">
      <c r="A276" t="s">
        <v>3746</v>
      </c>
      <c r="B276" t="s">
        <v>3738</v>
      </c>
      <c r="C276" t="str">
        <f>SUBSTITUTE(Cost[[#This Row],[Period]],"/","-")</f>
        <v>2025-05</v>
      </c>
      <c r="D276" t="s">
        <v>62</v>
      </c>
      <c r="E276" t="str">
        <f>IF(UPPER(Cost[[#This Row],[ProductID]])&lt;&gt;"",Cost[[#This Row],[ProductID]],"Missing Value")</f>
        <v>P-SI-004</v>
      </c>
      <c r="F276" t="s">
        <v>3580</v>
      </c>
      <c r="G276" t="s">
        <v>3572</v>
      </c>
      <c r="H276">
        <v>145</v>
      </c>
      <c r="I276">
        <v>147.81</v>
      </c>
      <c r="J276">
        <f>VALUE(Cost[[#This Row],[ActualCost]])</f>
        <v>147.81</v>
      </c>
      <c r="K276" t="s">
        <v>3569</v>
      </c>
      <c r="L276" t="str">
        <f>IF(UPPER(Cost[[#This Row],[CostCenter]])="","Missing Value",UPPER(Cost[[#This Row],[CostCenter]]))</f>
        <v>SI</v>
      </c>
    </row>
    <row r="277" spans="1:12" hidden="1" x14ac:dyDescent="0.25">
      <c r="A277" t="s">
        <v>3788</v>
      </c>
      <c r="B277" t="s">
        <v>3783</v>
      </c>
      <c r="C277" t="str">
        <f>SUBSTITUTE(Cost[[#This Row],[Period]],"/","-")</f>
        <v>2025-06</v>
      </c>
      <c r="D277" t="s">
        <v>62</v>
      </c>
      <c r="E277" t="str">
        <f>IF(UPPER(Cost[[#This Row],[ProductID]])&lt;&gt;"",Cost[[#This Row],[ProductID]],"Missing Value")</f>
        <v>P-SI-004</v>
      </c>
      <c r="F277" t="s">
        <v>3574</v>
      </c>
      <c r="G277" t="s">
        <v>3568</v>
      </c>
      <c r="H277">
        <v>980</v>
      </c>
      <c r="I277">
        <v>1179.68</v>
      </c>
      <c r="J277">
        <f>VALUE(Cost[[#This Row],[ActualCost]])</f>
        <v>1179.68</v>
      </c>
      <c r="K277" t="s">
        <v>3569</v>
      </c>
      <c r="L277" t="str">
        <f>IF(UPPER(Cost[[#This Row],[CostCenter]])="","Missing Value",UPPER(Cost[[#This Row],[CostCenter]]))</f>
        <v>SI</v>
      </c>
    </row>
    <row r="278" spans="1:12" hidden="1" x14ac:dyDescent="0.25">
      <c r="A278" t="s">
        <v>3789</v>
      </c>
      <c r="B278" t="s">
        <v>3783</v>
      </c>
      <c r="C278" t="str">
        <f>SUBSTITUTE(Cost[[#This Row],[Period]],"/","-")</f>
        <v>2025-06</v>
      </c>
      <c r="D278" t="s">
        <v>62</v>
      </c>
      <c r="E278" t="str">
        <f>IF(UPPER(Cost[[#This Row],[ProductID]])&lt;&gt;"",Cost[[#This Row],[ProductID]],"Missing Value")</f>
        <v>P-SI-004</v>
      </c>
      <c r="F278" t="s">
        <v>3571</v>
      </c>
      <c r="G278" t="s">
        <v>3572</v>
      </c>
      <c r="H278">
        <v>145</v>
      </c>
      <c r="I278">
        <v>145.16999999999999</v>
      </c>
      <c r="J278">
        <f>VALUE(Cost[[#This Row],[ActualCost]])</f>
        <v>145.16999999999999</v>
      </c>
      <c r="K278" t="s">
        <v>3569</v>
      </c>
      <c r="L278" t="str">
        <f>IF(UPPER(Cost[[#This Row],[CostCenter]])="","Missing Value",UPPER(Cost[[#This Row],[CostCenter]]))</f>
        <v>SI</v>
      </c>
    </row>
    <row r="279" spans="1:12" hidden="1" x14ac:dyDescent="0.25">
      <c r="A279" t="s">
        <v>3581</v>
      </c>
      <c r="B279" t="s">
        <v>3566</v>
      </c>
      <c r="C279" t="str">
        <f>SUBSTITUTE(Cost[[#This Row],[Period]],"/","-")</f>
        <v>2025-01</v>
      </c>
      <c r="D279" t="s">
        <v>58</v>
      </c>
      <c r="E279" t="str">
        <f>IF(UPPER(Cost[[#This Row],[ProductID]])&lt;&gt;"",Cost[[#This Row],[ProductID]],"Missing Value")</f>
        <v>P-SI-005</v>
      </c>
      <c r="F279" t="s">
        <v>3567</v>
      </c>
      <c r="G279" t="s">
        <v>3568</v>
      </c>
      <c r="H279">
        <v>445</v>
      </c>
      <c r="I279">
        <v>442.85</v>
      </c>
      <c r="J279">
        <f>VALUE(Cost[[#This Row],[ActualCost]])</f>
        <v>442.85</v>
      </c>
      <c r="K279" t="s">
        <v>3569</v>
      </c>
      <c r="L279" t="str">
        <f>IF(UPPER(Cost[[#This Row],[CostCenter]])="","Missing Value",UPPER(Cost[[#This Row],[CostCenter]]))</f>
        <v>SI</v>
      </c>
    </row>
    <row r="280" spans="1:12" hidden="1" x14ac:dyDescent="0.25">
      <c r="A280" t="s">
        <v>3582</v>
      </c>
      <c r="B280" t="s">
        <v>3566</v>
      </c>
      <c r="C280" t="str">
        <f>SUBSTITUTE(Cost[[#This Row],[Period]],"/","-")</f>
        <v>2025-01</v>
      </c>
      <c r="D280" t="s">
        <v>58</v>
      </c>
      <c r="E280" t="str">
        <f>IF(UPPER(Cost[[#This Row],[ProductID]])&lt;&gt;"",Cost[[#This Row],[ProductID]],"Missing Value")</f>
        <v>P-SI-005</v>
      </c>
      <c r="F280" t="s">
        <v>3571</v>
      </c>
      <c r="G280" t="s">
        <v>3572</v>
      </c>
      <c r="H280">
        <v>78</v>
      </c>
      <c r="I280">
        <v>75.209999999999994</v>
      </c>
      <c r="J280">
        <f>VALUE(Cost[[#This Row],[ActualCost]])</f>
        <v>75.209999999999994</v>
      </c>
      <c r="K280" t="s">
        <v>3569</v>
      </c>
      <c r="L280" t="str">
        <f>IF(UPPER(Cost[[#This Row],[CostCenter]])="","Missing Value",UPPER(Cost[[#This Row],[CostCenter]]))</f>
        <v>SI</v>
      </c>
    </row>
    <row r="281" spans="1:12" hidden="1" x14ac:dyDescent="0.25">
      <c r="A281" t="s">
        <v>3623</v>
      </c>
      <c r="B281" t="s">
        <v>3615</v>
      </c>
      <c r="C281" t="str">
        <f>SUBSTITUTE(Cost[[#This Row],[Period]],"/","-")</f>
        <v>2025-02</v>
      </c>
      <c r="D281" t="s">
        <v>58</v>
      </c>
      <c r="E281" t="str">
        <f>IF(UPPER(Cost[[#This Row],[ProductID]])&lt;&gt;"",Cost[[#This Row],[ProductID]],"Missing Value")</f>
        <v>P-SI-005</v>
      </c>
      <c r="F281" t="s">
        <v>3574</v>
      </c>
      <c r="G281" t="s">
        <v>3568</v>
      </c>
      <c r="H281">
        <v>445</v>
      </c>
      <c r="I281">
        <v>448.54</v>
      </c>
      <c r="J281">
        <f>VALUE(Cost[[#This Row],[ActualCost]])</f>
        <v>448.54</v>
      </c>
      <c r="K281" t="s">
        <v>3569</v>
      </c>
      <c r="L281" t="str">
        <f>IF(UPPER(Cost[[#This Row],[CostCenter]])="","Missing Value",UPPER(Cost[[#This Row],[CostCenter]]))</f>
        <v>SI</v>
      </c>
    </row>
    <row r="282" spans="1:12" hidden="1" x14ac:dyDescent="0.25">
      <c r="A282" t="s">
        <v>3624</v>
      </c>
      <c r="B282" t="s">
        <v>3615</v>
      </c>
      <c r="C282" t="str">
        <f>SUBSTITUTE(Cost[[#This Row],[Period]],"/","-")</f>
        <v>2025-02</v>
      </c>
      <c r="D282" t="s">
        <v>58</v>
      </c>
      <c r="E282" t="str">
        <f>IF(UPPER(Cost[[#This Row],[ProductID]])&lt;&gt;"",Cost[[#This Row],[ProductID]],"Missing Value")</f>
        <v>P-SI-005</v>
      </c>
      <c r="F282" t="s">
        <v>3571</v>
      </c>
      <c r="G282" t="s">
        <v>3572</v>
      </c>
      <c r="H282">
        <v>78</v>
      </c>
      <c r="I282">
        <v>74.64</v>
      </c>
      <c r="J282">
        <f>VALUE(Cost[[#This Row],[ActualCost]])</f>
        <v>74.64</v>
      </c>
      <c r="K282" t="s">
        <v>3569</v>
      </c>
      <c r="L282" t="str">
        <f>IF(UPPER(Cost[[#This Row],[CostCenter]])="","Missing Value",UPPER(Cost[[#This Row],[CostCenter]]))</f>
        <v>SI</v>
      </c>
    </row>
    <row r="283" spans="1:12" hidden="1" x14ac:dyDescent="0.25">
      <c r="A283" t="s">
        <v>3664</v>
      </c>
      <c r="B283" t="s">
        <v>3655</v>
      </c>
      <c r="C283" t="str">
        <f>SUBSTITUTE(Cost[[#This Row],[Period]],"/","-")</f>
        <v>2025-03</v>
      </c>
      <c r="D283" t="s">
        <v>58</v>
      </c>
      <c r="E283" t="str">
        <f>IF(UPPER(Cost[[#This Row],[ProductID]])&lt;&gt;"",Cost[[#This Row],[ProductID]],"Missing Value")</f>
        <v>P-SI-005</v>
      </c>
      <c r="F283" t="s">
        <v>3574</v>
      </c>
      <c r="G283" t="s">
        <v>3568</v>
      </c>
      <c r="H283">
        <v>445</v>
      </c>
      <c r="I283">
        <v>432.66</v>
      </c>
      <c r="J283">
        <f>VALUE(Cost[[#This Row],[ActualCost]])</f>
        <v>432.66</v>
      </c>
      <c r="K283" t="s">
        <v>3569</v>
      </c>
      <c r="L283" t="str">
        <f>IF(UPPER(Cost[[#This Row],[CostCenter]])="","Missing Value",UPPER(Cost[[#This Row],[CostCenter]]))</f>
        <v>SI</v>
      </c>
    </row>
    <row r="284" spans="1:12" hidden="1" x14ac:dyDescent="0.25">
      <c r="A284" t="s">
        <v>3665</v>
      </c>
      <c r="B284" t="s">
        <v>3655</v>
      </c>
      <c r="C284" t="str">
        <f>SUBSTITUTE(Cost[[#This Row],[Period]],"/","-")</f>
        <v>2025-03</v>
      </c>
      <c r="D284" t="s">
        <v>58</v>
      </c>
      <c r="E284" t="str">
        <f>IF(UPPER(Cost[[#This Row],[ProductID]])&lt;&gt;"",Cost[[#This Row],[ProductID]],"Missing Value")</f>
        <v>P-SI-005</v>
      </c>
      <c r="F284" t="s">
        <v>3571</v>
      </c>
      <c r="G284" t="s">
        <v>3572</v>
      </c>
      <c r="H284">
        <v>78</v>
      </c>
      <c r="I284">
        <v>76.680000000000007</v>
      </c>
      <c r="J284">
        <f>VALUE(Cost[[#This Row],[ActualCost]])</f>
        <v>76.680000000000007</v>
      </c>
      <c r="K284" t="s">
        <v>3569</v>
      </c>
      <c r="L284" t="str">
        <f>IF(UPPER(Cost[[#This Row],[CostCenter]])="","Missing Value",UPPER(Cost[[#This Row],[CostCenter]]))</f>
        <v>SI</v>
      </c>
    </row>
    <row r="285" spans="1:12" hidden="1" x14ac:dyDescent="0.25">
      <c r="A285" t="s">
        <v>3704</v>
      </c>
      <c r="B285" t="s">
        <v>3695</v>
      </c>
      <c r="C285" t="str">
        <f>SUBSTITUTE(Cost[[#This Row],[Period]],"/","-")</f>
        <v>2025-04</v>
      </c>
      <c r="D285" t="s">
        <v>58</v>
      </c>
      <c r="E285" t="str">
        <f>IF(UPPER(Cost[[#This Row],[ProductID]])&lt;&gt;"",Cost[[#This Row],[ProductID]],"Missing Value")</f>
        <v>P-SI-005</v>
      </c>
      <c r="F285" t="s">
        <v>3574</v>
      </c>
      <c r="G285" t="s">
        <v>3568</v>
      </c>
      <c r="H285">
        <v>445</v>
      </c>
      <c r="I285">
        <v>432.36</v>
      </c>
      <c r="J285">
        <f>VALUE(Cost[[#This Row],[ActualCost]])</f>
        <v>432.36</v>
      </c>
      <c r="K285" t="s">
        <v>3569</v>
      </c>
      <c r="L285" t="str">
        <f>IF(UPPER(Cost[[#This Row],[CostCenter]])="","Missing Value",UPPER(Cost[[#This Row],[CostCenter]]))</f>
        <v>SI</v>
      </c>
    </row>
    <row r="286" spans="1:12" hidden="1" x14ac:dyDescent="0.25">
      <c r="A286" t="s">
        <v>3705</v>
      </c>
      <c r="B286" t="s">
        <v>3695</v>
      </c>
      <c r="C286" t="str">
        <f>SUBSTITUTE(Cost[[#This Row],[Period]],"/","-")</f>
        <v>2025-04</v>
      </c>
      <c r="D286" t="s">
        <v>58</v>
      </c>
      <c r="E286" t="str">
        <f>IF(UPPER(Cost[[#This Row],[ProductID]])&lt;&gt;"",Cost[[#This Row],[ProductID]],"Missing Value")</f>
        <v>P-SI-005</v>
      </c>
      <c r="F286" t="s">
        <v>3571</v>
      </c>
      <c r="G286" t="s">
        <v>3572</v>
      </c>
      <c r="H286">
        <v>78</v>
      </c>
      <c r="I286">
        <v>81.91</v>
      </c>
      <c r="J286">
        <f>VALUE(Cost[[#This Row],[ActualCost]])</f>
        <v>81.91</v>
      </c>
      <c r="K286" t="s">
        <v>3569</v>
      </c>
      <c r="L286" t="str">
        <f>IF(UPPER(Cost[[#This Row],[CostCenter]])="","Missing Value",UPPER(Cost[[#This Row],[CostCenter]]))</f>
        <v>SI</v>
      </c>
    </row>
    <row r="287" spans="1:12" hidden="1" x14ac:dyDescent="0.25">
      <c r="A287" t="s">
        <v>3747</v>
      </c>
      <c r="B287" t="s">
        <v>3738</v>
      </c>
      <c r="C287" t="str">
        <f>SUBSTITUTE(Cost[[#This Row],[Period]],"/","-")</f>
        <v>2025-05</v>
      </c>
      <c r="D287" t="s">
        <v>58</v>
      </c>
      <c r="E287" t="str">
        <f>IF(UPPER(Cost[[#This Row],[ProductID]])&lt;&gt;"",Cost[[#This Row],[ProductID]],"Missing Value")</f>
        <v>P-SI-005</v>
      </c>
      <c r="F287" t="s">
        <v>3574</v>
      </c>
      <c r="G287" t="s">
        <v>3568</v>
      </c>
      <c r="H287">
        <v>445</v>
      </c>
      <c r="I287">
        <v>460.77</v>
      </c>
      <c r="J287">
        <f>VALUE(Cost[[#This Row],[ActualCost]])</f>
        <v>460.77</v>
      </c>
      <c r="K287" t="s">
        <v>3569</v>
      </c>
      <c r="L287" t="str">
        <f>IF(UPPER(Cost[[#This Row],[CostCenter]])="","Missing Value",UPPER(Cost[[#This Row],[CostCenter]]))</f>
        <v>SI</v>
      </c>
    </row>
    <row r="288" spans="1:12" hidden="1" x14ac:dyDescent="0.25">
      <c r="A288" t="s">
        <v>3748</v>
      </c>
      <c r="B288" t="s">
        <v>3738</v>
      </c>
      <c r="C288" t="str">
        <f>SUBSTITUTE(Cost[[#This Row],[Period]],"/","-")</f>
        <v>2025-05</v>
      </c>
      <c r="D288" t="s">
        <v>58</v>
      </c>
      <c r="E288" t="str">
        <f>IF(UPPER(Cost[[#This Row],[ProductID]])&lt;&gt;"",Cost[[#This Row],[ProductID]],"Missing Value")</f>
        <v>P-SI-005</v>
      </c>
      <c r="F288" t="s">
        <v>3571</v>
      </c>
      <c r="G288" t="s">
        <v>3572</v>
      </c>
      <c r="H288">
        <v>78</v>
      </c>
      <c r="I288">
        <v>76.5</v>
      </c>
      <c r="J288">
        <f>VALUE(Cost[[#This Row],[ActualCost]])</f>
        <v>76.5</v>
      </c>
      <c r="K288" t="s">
        <v>3569</v>
      </c>
      <c r="L288" t="str">
        <f>IF(UPPER(Cost[[#This Row],[CostCenter]])="","Missing Value",UPPER(Cost[[#This Row],[CostCenter]]))</f>
        <v>SI</v>
      </c>
    </row>
    <row r="289" spans="1:12" hidden="1" x14ac:dyDescent="0.25">
      <c r="A289" t="s">
        <v>3790</v>
      </c>
      <c r="B289" t="s">
        <v>3783</v>
      </c>
      <c r="C289" t="str">
        <f>SUBSTITUTE(Cost[[#This Row],[Period]],"/","-")</f>
        <v>2025-06</v>
      </c>
      <c r="D289" t="s">
        <v>58</v>
      </c>
      <c r="E289" t="str">
        <f>IF(UPPER(Cost[[#This Row],[ProductID]])&lt;&gt;"",Cost[[#This Row],[ProductID]],"Missing Value")</f>
        <v>P-SI-005</v>
      </c>
      <c r="F289" t="s">
        <v>3574</v>
      </c>
      <c r="G289" t="s">
        <v>3568</v>
      </c>
      <c r="H289">
        <v>445</v>
      </c>
      <c r="I289">
        <v>430.31</v>
      </c>
      <c r="J289">
        <f>VALUE(Cost[[#This Row],[ActualCost]])</f>
        <v>430.31</v>
      </c>
      <c r="K289" t="s">
        <v>3569</v>
      </c>
      <c r="L289" t="str">
        <f>IF(UPPER(Cost[[#This Row],[CostCenter]])="","Missing Value",UPPER(Cost[[#This Row],[CostCenter]]))</f>
        <v>SI</v>
      </c>
    </row>
    <row r="290" spans="1:12" hidden="1" x14ac:dyDescent="0.25">
      <c r="A290" t="s">
        <v>3583</v>
      </c>
      <c r="B290" t="s">
        <v>3566</v>
      </c>
      <c r="C290" t="str">
        <f>SUBSTITUTE(Cost[[#This Row],[Period]],"/","-")</f>
        <v>2025-01</v>
      </c>
      <c r="D290" t="s">
        <v>46</v>
      </c>
      <c r="E290" t="str">
        <f>IF(UPPER(Cost[[#This Row],[ProductID]])&lt;&gt;"",Cost[[#This Row],[ProductID]],"Missing Value")</f>
        <v>P-SI-006</v>
      </c>
      <c r="F290" t="s">
        <v>3574</v>
      </c>
      <c r="G290" t="s">
        <v>3568</v>
      </c>
      <c r="H290">
        <v>92</v>
      </c>
      <c r="I290">
        <v>97.08</v>
      </c>
      <c r="J290">
        <f>VALUE(Cost[[#This Row],[ActualCost]])</f>
        <v>97.08</v>
      </c>
      <c r="K290" t="s">
        <v>3569</v>
      </c>
      <c r="L290" t="str">
        <f>IF(UPPER(Cost[[#This Row],[CostCenter]])="","Missing Value",UPPER(Cost[[#This Row],[CostCenter]]))</f>
        <v>SI</v>
      </c>
    </row>
    <row r="291" spans="1:12" hidden="1" x14ac:dyDescent="0.25">
      <c r="A291" t="s">
        <v>3584</v>
      </c>
      <c r="B291" t="s">
        <v>3566</v>
      </c>
      <c r="C291" t="str">
        <f>SUBSTITUTE(Cost[[#This Row],[Period]],"/","-")</f>
        <v>2025-01</v>
      </c>
      <c r="D291" t="s">
        <v>46</v>
      </c>
      <c r="E291" t="str">
        <f>IF(UPPER(Cost[[#This Row],[ProductID]])&lt;&gt;"",Cost[[#This Row],[ProductID]],"Missing Value")</f>
        <v>P-SI-006</v>
      </c>
      <c r="F291" t="s">
        <v>3571</v>
      </c>
      <c r="G291" t="s">
        <v>3572</v>
      </c>
      <c r="H291">
        <v>28</v>
      </c>
      <c r="I291">
        <v>28.65</v>
      </c>
      <c r="J291">
        <f>VALUE(Cost[[#This Row],[ActualCost]])</f>
        <v>28.65</v>
      </c>
      <c r="K291" t="s">
        <v>3569</v>
      </c>
      <c r="L291" t="str">
        <f>IF(UPPER(Cost[[#This Row],[CostCenter]])="","Missing Value",UPPER(Cost[[#This Row],[CostCenter]]))</f>
        <v>SI</v>
      </c>
    </row>
    <row r="292" spans="1:12" hidden="1" x14ac:dyDescent="0.25">
      <c r="A292" t="s">
        <v>3625</v>
      </c>
      <c r="B292" t="s">
        <v>3615</v>
      </c>
      <c r="C292" t="str">
        <f>SUBSTITUTE(Cost[[#This Row],[Period]],"/","-")</f>
        <v>2025-02</v>
      </c>
      <c r="D292" t="s">
        <v>46</v>
      </c>
      <c r="E292" t="str">
        <f>IF(UPPER(Cost[[#This Row],[ProductID]])&lt;&gt;"",Cost[[#This Row],[ProductID]],"Missing Value")</f>
        <v>P-SI-006</v>
      </c>
      <c r="F292" t="s">
        <v>3574</v>
      </c>
      <c r="G292" t="s">
        <v>3568</v>
      </c>
      <c r="H292">
        <v>92</v>
      </c>
      <c r="I292">
        <v>92.95</v>
      </c>
      <c r="J292">
        <f>VALUE(Cost[[#This Row],[ActualCost]])</f>
        <v>92.95</v>
      </c>
      <c r="K292" t="s">
        <v>3569</v>
      </c>
      <c r="L292" t="str">
        <f>IF(UPPER(Cost[[#This Row],[CostCenter]])="","Missing Value",UPPER(Cost[[#This Row],[CostCenter]]))</f>
        <v>SI</v>
      </c>
    </row>
    <row r="293" spans="1:12" hidden="1" x14ac:dyDescent="0.25">
      <c r="A293" t="s">
        <v>3626</v>
      </c>
      <c r="B293" t="s">
        <v>3615</v>
      </c>
      <c r="C293" t="str">
        <f>SUBSTITUTE(Cost[[#This Row],[Period]],"/","-")</f>
        <v>2025-02</v>
      </c>
      <c r="D293" t="s">
        <v>46</v>
      </c>
      <c r="E293" t="str">
        <f>IF(UPPER(Cost[[#This Row],[ProductID]])&lt;&gt;"",Cost[[#This Row],[ProductID]],"Missing Value")</f>
        <v>P-SI-006</v>
      </c>
      <c r="F293" t="s">
        <v>3580</v>
      </c>
      <c r="G293" t="s">
        <v>3572</v>
      </c>
      <c r="H293">
        <v>28</v>
      </c>
      <c r="I293">
        <v>27.3</v>
      </c>
      <c r="J293">
        <f>VALUE(Cost[[#This Row],[ActualCost]])</f>
        <v>27.3</v>
      </c>
      <c r="K293" t="s">
        <v>3569</v>
      </c>
      <c r="L293" t="str">
        <f>IF(UPPER(Cost[[#This Row],[CostCenter]])="","Missing Value",UPPER(Cost[[#This Row],[CostCenter]]))</f>
        <v>SI</v>
      </c>
    </row>
    <row r="294" spans="1:12" hidden="1" x14ac:dyDescent="0.25">
      <c r="A294" t="s">
        <v>3666</v>
      </c>
      <c r="B294" t="s">
        <v>3655</v>
      </c>
      <c r="C294" t="str">
        <f>SUBSTITUTE(Cost[[#This Row],[Period]],"/","-")</f>
        <v>2025-03</v>
      </c>
      <c r="D294" t="s">
        <v>46</v>
      </c>
      <c r="E294" t="str">
        <f>IF(UPPER(Cost[[#This Row],[ProductID]])&lt;&gt;"",Cost[[#This Row],[ProductID]],"Missing Value")</f>
        <v>P-SI-006</v>
      </c>
      <c r="F294" t="s">
        <v>3574</v>
      </c>
      <c r="G294" t="s">
        <v>3568</v>
      </c>
      <c r="H294">
        <v>92</v>
      </c>
      <c r="I294">
        <v>95.06</v>
      </c>
      <c r="J294">
        <f>VALUE(Cost[[#This Row],[ActualCost]])</f>
        <v>95.06</v>
      </c>
      <c r="K294" t="s">
        <v>3569</v>
      </c>
      <c r="L294" t="str">
        <f>IF(UPPER(Cost[[#This Row],[CostCenter]])="","Missing Value",UPPER(Cost[[#This Row],[CostCenter]]))</f>
        <v>SI</v>
      </c>
    </row>
    <row r="295" spans="1:12" hidden="1" x14ac:dyDescent="0.25">
      <c r="A295" t="s">
        <v>3667</v>
      </c>
      <c r="B295" t="s">
        <v>3655</v>
      </c>
      <c r="C295" t="str">
        <f>SUBSTITUTE(Cost[[#This Row],[Period]],"/","-")</f>
        <v>2025-03</v>
      </c>
      <c r="D295" t="s">
        <v>46</v>
      </c>
      <c r="E295" t="str">
        <f>IF(UPPER(Cost[[#This Row],[ProductID]])&lt;&gt;"",Cost[[#This Row],[ProductID]],"Missing Value")</f>
        <v>P-SI-006</v>
      </c>
      <c r="F295" t="s">
        <v>3571</v>
      </c>
      <c r="G295" t="s">
        <v>3572</v>
      </c>
      <c r="H295">
        <v>28</v>
      </c>
      <c r="I295">
        <v>30.08</v>
      </c>
      <c r="J295">
        <f>VALUE(Cost[[#This Row],[ActualCost]])</f>
        <v>30.08</v>
      </c>
      <c r="K295" t="s">
        <v>3569</v>
      </c>
      <c r="L295" t="str">
        <f>IF(UPPER(Cost[[#This Row],[CostCenter]])="","Missing Value",UPPER(Cost[[#This Row],[CostCenter]]))</f>
        <v>SI</v>
      </c>
    </row>
    <row r="296" spans="1:12" hidden="1" x14ac:dyDescent="0.25">
      <c r="A296" t="s">
        <v>3706</v>
      </c>
      <c r="B296" t="s">
        <v>3695</v>
      </c>
      <c r="C296" t="str">
        <f>SUBSTITUTE(Cost[[#This Row],[Period]],"/","-")</f>
        <v>2025-04</v>
      </c>
      <c r="D296" t="s">
        <v>46</v>
      </c>
      <c r="E296" t="str">
        <f>IF(UPPER(Cost[[#This Row],[ProductID]])&lt;&gt;"",Cost[[#This Row],[ProductID]],"Missing Value")</f>
        <v>P-SI-006</v>
      </c>
      <c r="F296" t="s">
        <v>3574</v>
      </c>
      <c r="G296" t="s">
        <v>3568</v>
      </c>
      <c r="H296">
        <v>92</v>
      </c>
      <c r="I296">
        <v>96.12</v>
      </c>
      <c r="J296">
        <f>VALUE(Cost[[#This Row],[ActualCost]])</f>
        <v>96.12</v>
      </c>
      <c r="K296" t="s">
        <v>3569</v>
      </c>
      <c r="L296" t="str">
        <f>IF(UPPER(Cost[[#This Row],[CostCenter]])="","Missing Value",UPPER(Cost[[#This Row],[CostCenter]]))</f>
        <v>SI</v>
      </c>
    </row>
    <row r="297" spans="1:12" hidden="1" x14ac:dyDescent="0.25">
      <c r="A297" t="s">
        <v>3707</v>
      </c>
      <c r="B297" t="s">
        <v>3695</v>
      </c>
      <c r="C297" t="str">
        <f>SUBSTITUTE(Cost[[#This Row],[Period]],"/","-")</f>
        <v>2025-04</v>
      </c>
      <c r="D297" t="s">
        <v>46</v>
      </c>
      <c r="E297" t="str">
        <f>IF(UPPER(Cost[[#This Row],[ProductID]])&lt;&gt;"",Cost[[#This Row],[ProductID]],"Missing Value")</f>
        <v>P-SI-006</v>
      </c>
      <c r="F297" t="s">
        <v>3580</v>
      </c>
      <c r="G297" t="s">
        <v>3572</v>
      </c>
      <c r="H297">
        <v>28</v>
      </c>
      <c r="I297">
        <v>28.2</v>
      </c>
      <c r="J297">
        <f>VALUE(Cost[[#This Row],[ActualCost]])</f>
        <v>28.2</v>
      </c>
      <c r="K297" t="s">
        <v>3569</v>
      </c>
      <c r="L297" t="str">
        <f>IF(UPPER(Cost[[#This Row],[CostCenter]])="","Missing Value",UPPER(Cost[[#This Row],[CostCenter]]))</f>
        <v>SI</v>
      </c>
    </row>
    <row r="298" spans="1:12" hidden="1" x14ac:dyDescent="0.25">
      <c r="A298" t="s">
        <v>3749</v>
      </c>
      <c r="B298" t="s">
        <v>3738</v>
      </c>
      <c r="C298" t="str">
        <f>SUBSTITUTE(Cost[[#This Row],[Period]],"/","-")</f>
        <v>2025-05</v>
      </c>
      <c r="D298" t="s">
        <v>46</v>
      </c>
      <c r="E298" t="str">
        <f>IF(UPPER(Cost[[#This Row],[ProductID]])&lt;&gt;"",Cost[[#This Row],[ProductID]],"Missing Value")</f>
        <v>P-SI-006</v>
      </c>
      <c r="F298" t="s">
        <v>3574</v>
      </c>
      <c r="G298" t="s">
        <v>3568</v>
      </c>
      <c r="H298">
        <v>92</v>
      </c>
      <c r="I298" t="s">
        <v>3750</v>
      </c>
      <c r="J298">
        <f>VALUE(Cost[[#This Row],[ActualCost]])</f>
        <v>99.61</v>
      </c>
      <c r="K298" t="s">
        <v>3569</v>
      </c>
      <c r="L298" t="str">
        <f>IF(UPPER(Cost[[#This Row],[CostCenter]])="","Missing Value",UPPER(Cost[[#This Row],[CostCenter]]))</f>
        <v>SI</v>
      </c>
    </row>
    <row r="299" spans="1:12" hidden="1" x14ac:dyDescent="0.25">
      <c r="A299" t="s">
        <v>3751</v>
      </c>
      <c r="B299" t="s">
        <v>3738</v>
      </c>
      <c r="C299" t="str">
        <f>SUBSTITUTE(Cost[[#This Row],[Period]],"/","-")</f>
        <v>2025-05</v>
      </c>
      <c r="D299" t="s">
        <v>46</v>
      </c>
      <c r="E299" t="str">
        <f>IF(UPPER(Cost[[#This Row],[ProductID]])&lt;&gt;"",Cost[[#This Row],[ProductID]],"Missing Value")</f>
        <v>P-SI-006</v>
      </c>
      <c r="F299" t="s">
        <v>3571</v>
      </c>
      <c r="G299" t="s">
        <v>3572</v>
      </c>
      <c r="H299">
        <v>28</v>
      </c>
      <c r="I299">
        <v>29.64</v>
      </c>
      <c r="J299">
        <f>VALUE(Cost[[#This Row],[ActualCost]])</f>
        <v>29.64</v>
      </c>
      <c r="K299" t="s">
        <v>3569</v>
      </c>
      <c r="L299" t="str">
        <f>IF(UPPER(Cost[[#This Row],[CostCenter]])="","Missing Value",UPPER(Cost[[#This Row],[CostCenter]]))</f>
        <v>SI</v>
      </c>
    </row>
    <row r="300" spans="1:12" hidden="1" x14ac:dyDescent="0.25">
      <c r="A300" t="s">
        <v>3792</v>
      </c>
      <c r="B300" t="s">
        <v>3783</v>
      </c>
      <c r="C300" t="str">
        <f>SUBSTITUTE(Cost[[#This Row],[Period]],"/","-")</f>
        <v>2025-06</v>
      </c>
      <c r="D300" t="s">
        <v>46</v>
      </c>
      <c r="E300" t="str">
        <f>IF(UPPER(Cost[[#This Row],[ProductID]])&lt;&gt;"",Cost[[#This Row],[ProductID]],"Missing Value")</f>
        <v>P-SI-006</v>
      </c>
      <c r="F300" t="s">
        <v>3574</v>
      </c>
      <c r="G300" t="s">
        <v>3568</v>
      </c>
      <c r="H300">
        <v>92</v>
      </c>
      <c r="I300">
        <v>91.18</v>
      </c>
      <c r="J300">
        <f>VALUE(Cost[[#This Row],[ActualCost]])</f>
        <v>91.18</v>
      </c>
      <c r="K300" t="s">
        <v>3569</v>
      </c>
      <c r="L300" t="str">
        <f>IF(UPPER(Cost[[#This Row],[CostCenter]])="","Missing Value",UPPER(Cost[[#This Row],[CostCenter]]))</f>
        <v>SI</v>
      </c>
    </row>
    <row r="301" spans="1:12" hidden="1" x14ac:dyDescent="0.25">
      <c r="A301" t="s">
        <v>3793</v>
      </c>
      <c r="B301" t="s">
        <v>3783</v>
      </c>
      <c r="C301" t="str">
        <f>SUBSTITUTE(Cost[[#This Row],[Period]],"/","-")</f>
        <v>2025-06</v>
      </c>
      <c r="D301" t="s">
        <v>46</v>
      </c>
      <c r="E301" t="str">
        <f>IF(UPPER(Cost[[#This Row],[ProductID]])&lt;&gt;"",Cost[[#This Row],[ProductID]],"Missing Value")</f>
        <v>P-SI-006</v>
      </c>
      <c r="F301" t="s">
        <v>3571</v>
      </c>
      <c r="G301" t="s">
        <v>3572</v>
      </c>
      <c r="H301">
        <v>28</v>
      </c>
      <c r="I301">
        <v>26.65</v>
      </c>
      <c r="J301">
        <f>VALUE(Cost[[#This Row],[ActualCost]])</f>
        <v>26.65</v>
      </c>
      <c r="K301" t="s">
        <v>3569</v>
      </c>
      <c r="L301" t="str">
        <f>IF(UPPER(Cost[[#This Row],[CostCenter]])="","Missing Value",UPPER(Cost[[#This Row],[CostCenter]]))</f>
        <v>SI</v>
      </c>
    </row>
    <row r="302" spans="1:12" hidden="1" x14ac:dyDescent="0.25">
      <c r="A302" t="s">
        <v>3585</v>
      </c>
      <c r="B302" t="s">
        <v>3566</v>
      </c>
      <c r="C302" t="str">
        <f>SUBSTITUTE(Cost[[#This Row],[Period]],"/","-")</f>
        <v>2025-01</v>
      </c>
      <c r="D302" t="s">
        <v>117</v>
      </c>
      <c r="E302" t="str">
        <f>IF(UPPER(Cost[[#This Row],[ProductID]])&lt;&gt;"",Cost[[#This Row],[ProductID]],"Missing Value")</f>
        <v>P-SI-007</v>
      </c>
      <c r="F302" t="s">
        <v>3567</v>
      </c>
      <c r="G302" t="s">
        <v>3568</v>
      </c>
      <c r="H302">
        <v>410</v>
      </c>
      <c r="I302">
        <v>444.44</v>
      </c>
      <c r="J302">
        <f>VALUE(Cost[[#This Row],[ActualCost]])</f>
        <v>444.44</v>
      </c>
      <c r="K302" t="s">
        <v>3569</v>
      </c>
      <c r="L302" t="str">
        <f>IF(UPPER(Cost[[#This Row],[CostCenter]])="","Missing Value",UPPER(Cost[[#This Row],[CostCenter]]))</f>
        <v>SI</v>
      </c>
    </row>
    <row r="303" spans="1:12" hidden="1" x14ac:dyDescent="0.25">
      <c r="A303" t="s">
        <v>3586</v>
      </c>
      <c r="B303" t="s">
        <v>3566</v>
      </c>
      <c r="C303" t="str">
        <f>SUBSTITUTE(Cost[[#This Row],[Period]],"/","-")</f>
        <v>2025-01</v>
      </c>
      <c r="D303" t="s">
        <v>117</v>
      </c>
      <c r="E303" t="str">
        <f>IF(UPPER(Cost[[#This Row],[ProductID]])&lt;&gt;"",Cost[[#This Row],[ProductID]],"Missing Value")</f>
        <v>P-SI-007</v>
      </c>
      <c r="F303" t="s">
        <v>3571</v>
      </c>
      <c r="G303" t="s">
        <v>3572</v>
      </c>
      <c r="H303">
        <v>68</v>
      </c>
      <c r="I303">
        <v>72.89</v>
      </c>
      <c r="J303">
        <f>VALUE(Cost[[#This Row],[ActualCost]])</f>
        <v>72.89</v>
      </c>
      <c r="K303" t="s">
        <v>3569</v>
      </c>
      <c r="L303" t="str">
        <f>IF(UPPER(Cost[[#This Row],[CostCenter]])="","Missing Value",UPPER(Cost[[#This Row],[CostCenter]]))</f>
        <v>SI</v>
      </c>
    </row>
    <row r="304" spans="1:12" hidden="1" x14ac:dyDescent="0.25">
      <c r="A304" t="s">
        <v>3627</v>
      </c>
      <c r="B304" t="s">
        <v>3615</v>
      </c>
      <c r="C304" t="str">
        <f>SUBSTITUTE(Cost[[#This Row],[Period]],"/","-")</f>
        <v>2025-02</v>
      </c>
      <c r="D304" t="s">
        <v>117</v>
      </c>
      <c r="E304" t="str">
        <f>IF(UPPER(Cost[[#This Row],[ProductID]])&lt;&gt;"",Cost[[#This Row],[ProductID]],"Missing Value")</f>
        <v>P-SI-007</v>
      </c>
      <c r="F304" t="s">
        <v>3574</v>
      </c>
      <c r="G304" t="s">
        <v>3568</v>
      </c>
      <c r="H304">
        <v>410</v>
      </c>
      <c r="I304">
        <v>439.84</v>
      </c>
      <c r="J304">
        <f>VALUE(Cost[[#This Row],[ActualCost]])</f>
        <v>439.84</v>
      </c>
      <c r="K304" t="s">
        <v>3569</v>
      </c>
      <c r="L304" t="str">
        <f>IF(UPPER(Cost[[#This Row],[CostCenter]])="","Missing Value",UPPER(Cost[[#This Row],[CostCenter]]))</f>
        <v>SI</v>
      </c>
    </row>
    <row r="305" spans="1:12" hidden="1" x14ac:dyDescent="0.25">
      <c r="A305" t="s">
        <v>3628</v>
      </c>
      <c r="B305" t="s">
        <v>3615</v>
      </c>
      <c r="C305" t="str">
        <f>SUBSTITUTE(Cost[[#This Row],[Period]],"/","-")</f>
        <v>2025-02</v>
      </c>
      <c r="D305" t="s">
        <v>117</v>
      </c>
      <c r="E305" t="str">
        <f>IF(UPPER(Cost[[#This Row],[ProductID]])&lt;&gt;"",Cost[[#This Row],[ProductID]],"Missing Value")</f>
        <v>P-SI-007</v>
      </c>
      <c r="F305" t="s">
        <v>3571</v>
      </c>
      <c r="G305" t="s">
        <v>3572</v>
      </c>
      <c r="H305">
        <v>68</v>
      </c>
      <c r="I305">
        <v>72.260000000000005</v>
      </c>
      <c r="J305">
        <f>VALUE(Cost[[#This Row],[ActualCost]])</f>
        <v>72.260000000000005</v>
      </c>
      <c r="K305" t="s">
        <v>3569</v>
      </c>
      <c r="L305" t="str">
        <f>IF(UPPER(Cost[[#This Row],[CostCenter]])="","Missing Value",UPPER(Cost[[#This Row],[CostCenter]]))</f>
        <v>SI</v>
      </c>
    </row>
    <row r="306" spans="1:12" hidden="1" x14ac:dyDescent="0.25">
      <c r="A306" t="s">
        <v>3668</v>
      </c>
      <c r="B306" t="s">
        <v>3655</v>
      </c>
      <c r="C306" t="str">
        <f>SUBSTITUTE(Cost[[#This Row],[Period]],"/","-")</f>
        <v>2025-03</v>
      </c>
      <c r="D306" t="s">
        <v>117</v>
      </c>
      <c r="E306" t="str">
        <f>IF(UPPER(Cost[[#This Row],[ProductID]])&lt;&gt;"",Cost[[#This Row],[ProductID]],"Missing Value")</f>
        <v>P-SI-007</v>
      </c>
      <c r="F306" t="s">
        <v>3574</v>
      </c>
      <c r="G306" t="s">
        <v>3568</v>
      </c>
      <c r="H306">
        <v>410</v>
      </c>
      <c r="I306">
        <v>439.77</v>
      </c>
      <c r="J306">
        <f>VALUE(Cost[[#This Row],[ActualCost]])</f>
        <v>439.77</v>
      </c>
      <c r="K306" t="s">
        <v>3569</v>
      </c>
      <c r="L306" t="str">
        <f>IF(UPPER(Cost[[#This Row],[CostCenter]])="","Missing Value",UPPER(Cost[[#This Row],[CostCenter]]))</f>
        <v>SI</v>
      </c>
    </row>
    <row r="307" spans="1:12" hidden="1" x14ac:dyDescent="0.25">
      <c r="A307" t="s">
        <v>3669</v>
      </c>
      <c r="B307" t="s">
        <v>3655</v>
      </c>
      <c r="C307" t="str">
        <f>SUBSTITUTE(Cost[[#This Row],[Period]],"/","-")</f>
        <v>2025-03</v>
      </c>
      <c r="D307" t="s">
        <v>117</v>
      </c>
      <c r="E307" t="str">
        <f>IF(UPPER(Cost[[#This Row],[ProductID]])&lt;&gt;"",Cost[[#This Row],[ProductID]],"Missing Value")</f>
        <v>P-SI-007</v>
      </c>
      <c r="F307" t="s">
        <v>3571</v>
      </c>
      <c r="G307" t="s">
        <v>3572</v>
      </c>
      <c r="H307">
        <v>68</v>
      </c>
      <c r="I307">
        <v>70.83</v>
      </c>
      <c r="J307">
        <f>VALUE(Cost[[#This Row],[ActualCost]])</f>
        <v>70.83</v>
      </c>
      <c r="K307" t="s">
        <v>3569</v>
      </c>
      <c r="L307" t="str">
        <f>IF(UPPER(Cost[[#This Row],[CostCenter]])="","Missing Value",UPPER(Cost[[#This Row],[CostCenter]]))</f>
        <v>SI</v>
      </c>
    </row>
    <row r="308" spans="1:12" hidden="1" x14ac:dyDescent="0.25">
      <c r="A308" t="s">
        <v>3708</v>
      </c>
      <c r="B308" t="s">
        <v>3695</v>
      </c>
      <c r="C308" t="str">
        <f>SUBSTITUTE(Cost[[#This Row],[Period]],"/","-")</f>
        <v>2025-04</v>
      </c>
      <c r="D308" t="s">
        <v>117</v>
      </c>
      <c r="E308" t="str">
        <f>IF(UPPER(Cost[[#This Row],[ProductID]])&lt;&gt;"",Cost[[#This Row],[ProductID]],"Missing Value")</f>
        <v>P-SI-007</v>
      </c>
      <c r="F308" t="s">
        <v>3574</v>
      </c>
      <c r="G308" t="s">
        <v>3568</v>
      </c>
      <c r="H308">
        <v>410</v>
      </c>
      <c r="I308">
        <v>447.5</v>
      </c>
      <c r="J308">
        <f>VALUE(Cost[[#This Row],[ActualCost]])</f>
        <v>447.5</v>
      </c>
      <c r="K308" t="s">
        <v>3569</v>
      </c>
      <c r="L308" t="str">
        <f>IF(UPPER(Cost[[#This Row],[CostCenter]])="","Missing Value",UPPER(Cost[[#This Row],[CostCenter]]))</f>
        <v>SI</v>
      </c>
    </row>
    <row r="309" spans="1:12" hidden="1" x14ac:dyDescent="0.25">
      <c r="A309" t="s">
        <v>3709</v>
      </c>
      <c r="B309" t="s">
        <v>3695</v>
      </c>
      <c r="C309" t="str">
        <f>SUBSTITUTE(Cost[[#This Row],[Period]],"/","-")</f>
        <v>2025-04</v>
      </c>
      <c r="D309" t="s">
        <v>117</v>
      </c>
      <c r="E309" t="str">
        <f>IF(UPPER(Cost[[#This Row],[ProductID]])&lt;&gt;"",Cost[[#This Row],[ProductID]],"Missing Value")</f>
        <v>P-SI-007</v>
      </c>
      <c r="F309" t="s">
        <v>3571</v>
      </c>
      <c r="G309" t="s">
        <v>3572</v>
      </c>
      <c r="H309">
        <v>68</v>
      </c>
      <c r="I309">
        <v>65.17</v>
      </c>
      <c r="J309">
        <f>VALUE(Cost[[#This Row],[ActualCost]])</f>
        <v>65.17</v>
      </c>
      <c r="K309" t="s">
        <v>3569</v>
      </c>
      <c r="L309" t="str">
        <f>IF(UPPER(Cost[[#This Row],[CostCenter]])="","Missing Value",UPPER(Cost[[#This Row],[CostCenter]]))</f>
        <v>SI</v>
      </c>
    </row>
    <row r="310" spans="1:12" hidden="1" x14ac:dyDescent="0.25">
      <c r="A310" t="s">
        <v>3752</v>
      </c>
      <c r="B310" t="s">
        <v>3738</v>
      </c>
      <c r="C310" t="str">
        <f>SUBSTITUTE(Cost[[#This Row],[Period]],"/","-")</f>
        <v>2025-05</v>
      </c>
      <c r="D310" t="s">
        <v>117</v>
      </c>
      <c r="E310" t="str">
        <f>IF(UPPER(Cost[[#This Row],[ProductID]])&lt;&gt;"",Cost[[#This Row],[ProductID]],"Missing Value")</f>
        <v>P-SI-007</v>
      </c>
      <c r="F310" t="s">
        <v>3574</v>
      </c>
      <c r="G310" t="s">
        <v>3568</v>
      </c>
      <c r="H310">
        <v>410</v>
      </c>
      <c r="I310">
        <v>452.35</v>
      </c>
      <c r="J310">
        <f>VALUE(Cost[[#This Row],[ActualCost]])</f>
        <v>452.35</v>
      </c>
      <c r="K310" t="s">
        <v>3569</v>
      </c>
      <c r="L310" t="str">
        <f>IF(UPPER(Cost[[#This Row],[CostCenter]])="","Missing Value",UPPER(Cost[[#This Row],[CostCenter]]))</f>
        <v>SI</v>
      </c>
    </row>
    <row r="311" spans="1:12" hidden="1" x14ac:dyDescent="0.25">
      <c r="A311" t="s">
        <v>3753</v>
      </c>
      <c r="B311" t="s">
        <v>3738</v>
      </c>
      <c r="C311" t="str">
        <f>SUBSTITUTE(Cost[[#This Row],[Period]],"/","-")</f>
        <v>2025-05</v>
      </c>
      <c r="D311" t="s">
        <v>117</v>
      </c>
      <c r="E311" t="str">
        <f>IF(UPPER(Cost[[#This Row],[ProductID]])&lt;&gt;"",Cost[[#This Row],[ProductID]],"Missing Value")</f>
        <v>P-SI-007</v>
      </c>
      <c r="F311" t="s">
        <v>3571</v>
      </c>
      <c r="G311" t="s">
        <v>3572</v>
      </c>
      <c r="H311">
        <v>68</v>
      </c>
      <c r="I311">
        <v>66.400000000000006</v>
      </c>
      <c r="J311">
        <f>VALUE(Cost[[#This Row],[ActualCost]])</f>
        <v>66.400000000000006</v>
      </c>
      <c r="K311" t="s">
        <v>3569</v>
      </c>
      <c r="L311" t="str">
        <f>IF(UPPER(Cost[[#This Row],[CostCenter]])="","Missing Value",UPPER(Cost[[#This Row],[CostCenter]]))</f>
        <v>SI</v>
      </c>
    </row>
    <row r="312" spans="1:12" hidden="1" x14ac:dyDescent="0.25">
      <c r="A312" t="s">
        <v>3794</v>
      </c>
      <c r="B312" t="s">
        <v>3783</v>
      </c>
      <c r="C312" t="str">
        <f>SUBSTITUTE(Cost[[#This Row],[Period]],"/","-")</f>
        <v>2025-06</v>
      </c>
      <c r="D312" t="s">
        <v>117</v>
      </c>
      <c r="E312" t="str">
        <f>IF(UPPER(Cost[[#This Row],[ProductID]])&lt;&gt;"",Cost[[#This Row],[ProductID]],"Missing Value")</f>
        <v>P-SI-007</v>
      </c>
      <c r="F312" t="s">
        <v>3574</v>
      </c>
      <c r="G312" t="s">
        <v>3568</v>
      </c>
      <c r="H312">
        <v>410</v>
      </c>
      <c r="I312">
        <v>458.23</v>
      </c>
      <c r="J312">
        <f>VALUE(Cost[[#This Row],[ActualCost]])</f>
        <v>458.23</v>
      </c>
      <c r="K312" t="s">
        <v>3569</v>
      </c>
      <c r="L312" t="str">
        <f>IF(UPPER(Cost[[#This Row],[CostCenter]])="","Missing Value",UPPER(Cost[[#This Row],[CostCenter]]))</f>
        <v>SI</v>
      </c>
    </row>
    <row r="313" spans="1:12" hidden="1" x14ac:dyDescent="0.25">
      <c r="A313" t="s">
        <v>3795</v>
      </c>
      <c r="B313" t="s">
        <v>3783</v>
      </c>
      <c r="C313" t="str">
        <f>SUBSTITUTE(Cost[[#This Row],[Period]],"/","-")</f>
        <v>2025-06</v>
      </c>
      <c r="D313" t="s">
        <v>117</v>
      </c>
      <c r="E313" t="str">
        <f>IF(UPPER(Cost[[#This Row],[ProductID]])&lt;&gt;"",Cost[[#This Row],[ProductID]],"Missing Value")</f>
        <v>P-SI-007</v>
      </c>
      <c r="F313" t="s">
        <v>3571</v>
      </c>
      <c r="G313" t="s">
        <v>3572</v>
      </c>
      <c r="H313">
        <v>68</v>
      </c>
      <c r="I313">
        <v>72.349999999999994</v>
      </c>
      <c r="J313">
        <f>VALUE(Cost[[#This Row],[ActualCost]])</f>
        <v>72.349999999999994</v>
      </c>
      <c r="K313" t="s">
        <v>3569</v>
      </c>
      <c r="L313" t="str">
        <f>IF(UPPER(Cost[[#This Row],[CostCenter]])="","Missing Value",UPPER(Cost[[#This Row],[CostCenter]]))</f>
        <v>SI</v>
      </c>
    </row>
    <row r="314" spans="1:12" x14ac:dyDescent="0.25">
      <c r="A314" t="s">
        <v>3587</v>
      </c>
      <c r="B314" t="s">
        <v>3566</v>
      </c>
      <c r="C314" t="str">
        <f>SUBSTITUTE(Cost[[#This Row],[Period]],"/","-")</f>
        <v>2025-01</v>
      </c>
      <c r="D314" t="s">
        <v>92</v>
      </c>
      <c r="E314" t="str">
        <f>IF(UPPER(Cost[[#This Row],[ProductID]])&lt;&gt;"",Cost[[#This Row],[ProductID]],"Missing Value")</f>
        <v>P-SI-008</v>
      </c>
      <c r="F314" t="s">
        <v>3574</v>
      </c>
      <c r="G314" t="s">
        <v>3568</v>
      </c>
      <c r="H314">
        <v>385</v>
      </c>
      <c r="I314">
        <v>386.6</v>
      </c>
      <c r="J314">
        <f>VALUE(Cost[[#This Row],[ActualCost]])</f>
        <v>386.6</v>
      </c>
      <c r="K314" t="s">
        <v>3569</v>
      </c>
      <c r="L314" t="str">
        <f>IF(UPPER(Cost[[#This Row],[CostCenter]])="","Missing Value",UPPER(Cost[[#This Row],[CostCenter]]))</f>
        <v>SI</v>
      </c>
    </row>
    <row r="315" spans="1:12" x14ac:dyDescent="0.25">
      <c r="A315" t="s">
        <v>3588</v>
      </c>
      <c r="B315" t="s">
        <v>3566</v>
      </c>
      <c r="C315" t="str">
        <f>SUBSTITUTE(Cost[[#This Row],[Period]],"/","-")</f>
        <v>2025-01</v>
      </c>
      <c r="D315" t="s">
        <v>92</v>
      </c>
      <c r="E315" t="str">
        <f>IF(UPPER(Cost[[#This Row],[ProductID]])&lt;&gt;"",Cost[[#This Row],[ProductID]],"Missing Value")</f>
        <v>P-SI-008</v>
      </c>
      <c r="F315" t="s">
        <v>3571</v>
      </c>
      <c r="G315" t="s">
        <v>3572</v>
      </c>
      <c r="H315">
        <v>72</v>
      </c>
      <c r="I315" t="s">
        <v>3589</v>
      </c>
      <c r="J315">
        <f>VALUE(Cost[[#This Row],[ActualCost]])</f>
        <v>70.77</v>
      </c>
      <c r="K315" t="s">
        <v>3569</v>
      </c>
      <c r="L315" t="str">
        <f>IF(UPPER(Cost[[#This Row],[CostCenter]])="","Missing Value",UPPER(Cost[[#This Row],[CostCenter]]))</f>
        <v>SI</v>
      </c>
    </row>
    <row r="316" spans="1:12" x14ac:dyDescent="0.25">
      <c r="A316" t="s">
        <v>3629</v>
      </c>
      <c r="B316" t="s">
        <v>3615</v>
      </c>
      <c r="C316" t="str">
        <f>SUBSTITUTE(Cost[[#This Row],[Period]],"/","-")</f>
        <v>2025-02</v>
      </c>
      <c r="D316" t="s">
        <v>92</v>
      </c>
      <c r="E316" t="str">
        <f>IF(UPPER(Cost[[#This Row],[ProductID]])&lt;&gt;"",Cost[[#This Row],[ProductID]],"Missing Value")</f>
        <v>P-SI-008</v>
      </c>
      <c r="F316" t="s">
        <v>3567</v>
      </c>
      <c r="G316" t="s">
        <v>3568</v>
      </c>
      <c r="H316">
        <v>385</v>
      </c>
      <c r="I316">
        <v>403.12</v>
      </c>
      <c r="J316">
        <f>VALUE(Cost[[#This Row],[ActualCost]])</f>
        <v>403.12</v>
      </c>
      <c r="K316" t="s">
        <v>3569</v>
      </c>
      <c r="L316" t="str">
        <f>IF(UPPER(Cost[[#This Row],[CostCenter]])="","Missing Value",UPPER(Cost[[#This Row],[CostCenter]]))</f>
        <v>SI</v>
      </c>
    </row>
    <row r="317" spans="1:12" x14ac:dyDescent="0.25">
      <c r="A317" t="s">
        <v>3630</v>
      </c>
      <c r="B317" t="s">
        <v>3615</v>
      </c>
      <c r="C317" t="str">
        <f>SUBSTITUTE(Cost[[#This Row],[Period]],"/","-")</f>
        <v>2025-02</v>
      </c>
      <c r="D317" t="s">
        <v>92</v>
      </c>
      <c r="E317" t="str">
        <f>IF(UPPER(Cost[[#This Row],[ProductID]])&lt;&gt;"",Cost[[#This Row],[ProductID]],"Missing Value")</f>
        <v>P-SI-008</v>
      </c>
      <c r="F317" t="s">
        <v>3571</v>
      </c>
      <c r="G317" t="s">
        <v>3572</v>
      </c>
      <c r="H317">
        <v>72</v>
      </c>
      <c r="I317">
        <v>77.64</v>
      </c>
      <c r="J317">
        <f>VALUE(Cost[[#This Row],[ActualCost]])</f>
        <v>77.64</v>
      </c>
      <c r="K317" t="s">
        <v>3569</v>
      </c>
      <c r="L317" t="str">
        <f>IF(UPPER(Cost[[#This Row],[CostCenter]])="","Missing Value",UPPER(Cost[[#This Row],[CostCenter]]))</f>
        <v>SI</v>
      </c>
    </row>
    <row r="318" spans="1:12" x14ac:dyDescent="0.25">
      <c r="A318" t="s">
        <v>3670</v>
      </c>
      <c r="B318" t="s">
        <v>3655</v>
      </c>
      <c r="C318" t="str">
        <f>SUBSTITUTE(Cost[[#This Row],[Period]],"/","-")</f>
        <v>2025-03</v>
      </c>
      <c r="D318" t="s">
        <v>92</v>
      </c>
      <c r="E318" t="str">
        <f>IF(UPPER(Cost[[#This Row],[ProductID]])&lt;&gt;"",Cost[[#This Row],[ProductID]],"Missing Value")</f>
        <v>P-SI-008</v>
      </c>
      <c r="F318" t="s">
        <v>3574</v>
      </c>
      <c r="G318" t="s">
        <v>3568</v>
      </c>
      <c r="H318">
        <v>385</v>
      </c>
      <c r="I318">
        <v>375.71</v>
      </c>
      <c r="J318">
        <f>VALUE(Cost[[#This Row],[ActualCost]])</f>
        <v>375.71</v>
      </c>
      <c r="K318" t="s">
        <v>3569</v>
      </c>
      <c r="L318" t="str">
        <f>IF(UPPER(Cost[[#This Row],[CostCenter]])="","Missing Value",UPPER(Cost[[#This Row],[CostCenter]]))</f>
        <v>SI</v>
      </c>
    </row>
    <row r="319" spans="1:12" x14ac:dyDescent="0.25">
      <c r="A319" t="s">
        <v>3671</v>
      </c>
      <c r="B319" t="s">
        <v>3655</v>
      </c>
      <c r="C319" t="str">
        <f>SUBSTITUTE(Cost[[#This Row],[Period]],"/","-")</f>
        <v>2025-03</v>
      </c>
      <c r="D319" t="s">
        <v>92</v>
      </c>
      <c r="E319" t="str">
        <f>IF(UPPER(Cost[[#This Row],[ProductID]])&lt;&gt;"",Cost[[#This Row],[ProductID]],"Missing Value")</f>
        <v>P-SI-008</v>
      </c>
      <c r="F319" t="s">
        <v>3571</v>
      </c>
      <c r="G319" t="s">
        <v>3572</v>
      </c>
      <c r="H319">
        <v>72</v>
      </c>
      <c r="I319">
        <v>73.59</v>
      </c>
      <c r="J319">
        <f>VALUE(Cost[[#This Row],[ActualCost]])</f>
        <v>73.59</v>
      </c>
      <c r="K319" t="s">
        <v>3569</v>
      </c>
      <c r="L319" t="str">
        <f>IF(UPPER(Cost[[#This Row],[CostCenter]])="","Missing Value",UPPER(Cost[[#This Row],[CostCenter]]))</f>
        <v>SI</v>
      </c>
    </row>
    <row r="320" spans="1:12" x14ac:dyDescent="0.25">
      <c r="A320" t="s">
        <v>3710</v>
      </c>
      <c r="B320" t="s">
        <v>3695</v>
      </c>
      <c r="C320" t="str">
        <f>SUBSTITUTE(Cost[[#This Row],[Period]],"/","-")</f>
        <v>2025-04</v>
      </c>
      <c r="D320" t="s">
        <v>92</v>
      </c>
      <c r="E320" t="str">
        <f>IF(UPPER(Cost[[#This Row],[ProductID]])&lt;&gt;"",Cost[[#This Row],[ProductID]],"Missing Value")</f>
        <v>P-SI-008</v>
      </c>
      <c r="F320" t="s">
        <v>3574</v>
      </c>
      <c r="G320" t="s">
        <v>3568</v>
      </c>
      <c r="H320">
        <v>385</v>
      </c>
      <c r="I320">
        <v>381.31</v>
      </c>
      <c r="J320">
        <f>VALUE(Cost[[#This Row],[ActualCost]])</f>
        <v>381.31</v>
      </c>
      <c r="K320" t="s">
        <v>3569</v>
      </c>
      <c r="L320" t="str">
        <f>IF(UPPER(Cost[[#This Row],[CostCenter]])="","Missing Value",UPPER(Cost[[#This Row],[CostCenter]]))</f>
        <v>SI</v>
      </c>
    </row>
    <row r="321" spans="1:12" x14ac:dyDescent="0.25">
      <c r="A321" t="s">
        <v>3711</v>
      </c>
      <c r="B321" t="s">
        <v>3695</v>
      </c>
      <c r="C321" t="str">
        <f>SUBSTITUTE(Cost[[#This Row],[Period]],"/","-")</f>
        <v>2025-04</v>
      </c>
      <c r="D321" t="s">
        <v>92</v>
      </c>
      <c r="E321" t="str">
        <f>IF(UPPER(Cost[[#This Row],[ProductID]])&lt;&gt;"",Cost[[#This Row],[ProductID]],"Missing Value")</f>
        <v>P-SI-008</v>
      </c>
      <c r="F321" t="s">
        <v>3571</v>
      </c>
      <c r="G321" t="s">
        <v>3572</v>
      </c>
      <c r="H321">
        <v>72</v>
      </c>
      <c r="I321">
        <v>75.09</v>
      </c>
      <c r="J321">
        <f>VALUE(Cost[[#This Row],[ActualCost]])</f>
        <v>75.09</v>
      </c>
      <c r="K321" t="s">
        <v>3569</v>
      </c>
      <c r="L321" t="str">
        <f>IF(UPPER(Cost[[#This Row],[CostCenter]])="","Missing Value",UPPER(Cost[[#This Row],[CostCenter]]))</f>
        <v>SI</v>
      </c>
    </row>
    <row r="322" spans="1:12" x14ac:dyDescent="0.25">
      <c r="A322" t="s">
        <v>3754</v>
      </c>
      <c r="B322" t="s">
        <v>3738</v>
      </c>
      <c r="C322" t="str">
        <f>SUBSTITUTE(Cost[[#This Row],[Period]],"/","-")</f>
        <v>2025-05</v>
      </c>
      <c r="D322" t="s">
        <v>92</v>
      </c>
      <c r="E322" t="str">
        <f>IF(UPPER(Cost[[#This Row],[ProductID]])&lt;&gt;"",Cost[[#This Row],[ProductID]],"Missing Value")</f>
        <v>P-SI-008</v>
      </c>
      <c r="F322" t="s">
        <v>3574</v>
      </c>
      <c r="G322" t="s">
        <v>3568</v>
      </c>
      <c r="H322">
        <v>385</v>
      </c>
      <c r="I322">
        <v>396.55</v>
      </c>
      <c r="J322">
        <f>VALUE(Cost[[#This Row],[ActualCost]])</f>
        <v>396.55</v>
      </c>
      <c r="K322" t="s">
        <v>3569</v>
      </c>
      <c r="L322" t="str">
        <f>IF(UPPER(Cost[[#This Row],[CostCenter]])="","Missing Value",UPPER(Cost[[#This Row],[CostCenter]]))</f>
        <v>SI</v>
      </c>
    </row>
    <row r="323" spans="1:12" x14ac:dyDescent="0.25">
      <c r="A323" t="s">
        <v>3755</v>
      </c>
      <c r="B323" t="s">
        <v>3738</v>
      </c>
      <c r="C323" t="str">
        <f>SUBSTITUTE(Cost[[#This Row],[Period]],"/","-")</f>
        <v>2025-05</v>
      </c>
      <c r="D323" t="s">
        <v>92</v>
      </c>
      <c r="E323" t="str">
        <f>IF(UPPER(Cost[[#This Row],[ProductID]])&lt;&gt;"",Cost[[#This Row],[ProductID]],"Missing Value")</f>
        <v>P-SI-008</v>
      </c>
      <c r="F323" t="s">
        <v>3571</v>
      </c>
      <c r="G323" t="s">
        <v>3572</v>
      </c>
      <c r="H323">
        <v>72</v>
      </c>
      <c r="I323">
        <v>74.349999999999994</v>
      </c>
      <c r="J323">
        <f>VALUE(Cost[[#This Row],[ActualCost]])</f>
        <v>74.349999999999994</v>
      </c>
      <c r="K323" t="s">
        <v>3569</v>
      </c>
      <c r="L323" t="str">
        <f>IF(UPPER(Cost[[#This Row],[CostCenter]])="","Missing Value",UPPER(Cost[[#This Row],[CostCenter]]))</f>
        <v>SI</v>
      </c>
    </row>
    <row r="324" spans="1:12" x14ac:dyDescent="0.25">
      <c r="A324" t="s">
        <v>3796</v>
      </c>
      <c r="B324" t="s">
        <v>3783</v>
      </c>
      <c r="C324" t="str">
        <f>SUBSTITUTE(Cost[[#This Row],[Period]],"/","-")</f>
        <v>2025-06</v>
      </c>
      <c r="D324" t="s">
        <v>92</v>
      </c>
      <c r="E324" t="str">
        <f>IF(UPPER(Cost[[#This Row],[ProductID]])&lt;&gt;"",Cost[[#This Row],[ProductID]],"Missing Value")</f>
        <v>P-SI-008</v>
      </c>
      <c r="F324" t="s">
        <v>3574</v>
      </c>
      <c r="G324" t="s">
        <v>3568</v>
      </c>
      <c r="H324">
        <v>385</v>
      </c>
      <c r="I324" t="s">
        <v>3797</v>
      </c>
      <c r="J324">
        <f>VALUE(Cost[[#This Row],[ActualCost]])</f>
        <v>408.48</v>
      </c>
      <c r="K324" t="s">
        <v>3569</v>
      </c>
      <c r="L324" t="str">
        <f>IF(UPPER(Cost[[#This Row],[CostCenter]])="","Missing Value",UPPER(Cost[[#This Row],[CostCenter]]))</f>
        <v>SI</v>
      </c>
    </row>
    <row r="325" spans="1:12" x14ac:dyDescent="0.25">
      <c r="A325" t="s">
        <v>3798</v>
      </c>
      <c r="B325" t="s">
        <v>3783</v>
      </c>
      <c r="C325" t="str">
        <f>SUBSTITUTE(Cost[[#This Row],[Period]],"/","-")</f>
        <v>2025-06</v>
      </c>
      <c r="D325" t="s">
        <v>92</v>
      </c>
      <c r="E325" t="str">
        <f>IF(UPPER(Cost[[#This Row],[ProductID]])&lt;&gt;"",Cost[[#This Row],[ProductID]],"Missing Value")</f>
        <v>P-SI-008</v>
      </c>
      <c r="F325" t="s">
        <v>3580</v>
      </c>
      <c r="G325" t="s">
        <v>3572</v>
      </c>
      <c r="H325">
        <v>72</v>
      </c>
      <c r="I325">
        <v>74.59</v>
      </c>
      <c r="J325">
        <f>VALUE(Cost[[#This Row],[ActualCost]])</f>
        <v>74.59</v>
      </c>
      <c r="K325" t="s">
        <v>3569</v>
      </c>
      <c r="L325" t="str">
        <f>IF(UPPER(Cost[[#This Row],[CostCenter]])="","Missing Value",UPPER(Cost[[#This Row],[CostCenter]]))</f>
        <v>SI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3"/>
  <sheetViews>
    <sheetView workbookViewId="0">
      <selection activeCell="E3" sqref="E3"/>
    </sheetView>
  </sheetViews>
  <sheetFormatPr defaultRowHeight="15" x14ac:dyDescent="0.25"/>
  <cols>
    <col min="1" max="1" width="18.85546875" bestFit="1" customWidth="1"/>
    <col min="2" max="2" width="9" customWidth="1"/>
    <col min="3" max="3" width="23.140625" bestFit="1" customWidth="1"/>
    <col min="4" max="4" width="16" bestFit="1" customWidth="1"/>
    <col min="5" max="5" width="16" customWidth="1"/>
    <col min="6" max="6" width="17.28515625" customWidth="1"/>
    <col min="7" max="7" width="20.7109375" customWidth="1"/>
    <col min="8" max="8" width="18.140625" customWidth="1"/>
    <col min="9" max="9" width="25" customWidth="1"/>
    <col min="10" max="10" width="22.5703125" customWidth="1"/>
    <col min="11" max="11" width="22.85546875" bestFit="1" customWidth="1"/>
  </cols>
  <sheetData>
    <row r="1" spans="1:11" x14ac:dyDescent="0.25">
      <c r="A1" t="s">
        <v>3940</v>
      </c>
      <c r="B1" t="s">
        <v>3558</v>
      </c>
      <c r="C1" t="s">
        <v>5</v>
      </c>
      <c r="D1" t="s">
        <v>4</v>
      </c>
      <c r="E1" t="s">
        <v>4068</v>
      </c>
      <c r="F1" t="s">
        <v>3941</v>
      </c>
      <c r="G1" t="s">
        <v>3942</v>
      </c>
      <c r="H1" t="s">
        <v>3943</v>
      </c>
      <c r="I1" t="s">
        <v>3944</v>
      </c>
      <c r="J1" t="s">
        <v>3945</v>
      </c>
      <c r="K1" t="s">
        <v>3946</v>
      </c>
    </row>
    <row r="2" spans="1:11" x14ac:dyDescent="0.25">
      <c r="A2" t="s">
        <v>3947</v>
      </c>
      <c r="B2" t="s">
        <v>3566</v>
      </c>
      <c r="C2" t="s">
        <v>53</v>
      </c>
      <c r="D2" t="s">
        <v>20</v>
      </c>
      <c r="E2" t="str">
        <f>SUBSTITUTE(UPPER(Table5[[#This Row],[Region]]),"NORTH AMERICA","N. AMERICA")</f>
        <v>N. AMERICA</v>
      </c>
      <c r="F2">
        <v>359017</v>
      </c>
      <c r="G2">
        <v>140163</v>
      </c>
      <c r="H2">
        <v>41528</v>
      </c>
      <c r="I2">
        <v>218854</v>
      </c>
      <c r="J2">
        <v>177326</v>
      </c>
      <c r="K2" t="s">
        <v>3948</v>
      </c>
    </row>
    <row r="3" spans="1:11" x14ac:dyDescent="0.25">
      <c r="A3" t="s">
        <v>3949</v>
      </c>
      <c r="B3" t="s">
        <v>3566</v>
      </c>
      <c r="C3" t="s">
        <v>53</v>
      </c>
      <c r="D3" t="s">
        <v>76</v>
      </c>
      <c r="E3" t="str">
        <f>SUBSTITUTE(UPPER(Table5[[#This Row],[Region]]),"NORTH AMERICA","N. AMERICA")</f>
        <v>EMEA</v>
      </c>
      <c r="F3">
        <v>248509</v>
      </c>
      <c r="G3">
        <v>99942</v>
      </c>
      <c r="H3">
        <v>28770</v>
      </c>
      <c r="I3">
        <v>148567</v>
      </c>
      <c r="J3">
        <v>119797</v>
      </c>
      <c r="K3" t="s">
        <v>3948</v>
      </c>
    </row>
    <row r="4" spans="1:11" x14ac:dyDescent="0.25">
      <c r="A4" t="s">
        <v>3950</v>
      </c>
      <c r="B4" t="s">
        <v>3566</v>
      </c>
      <c r="C4" t="s">
        <v>53</v>
      </c>
      <c r="D4" t="s">
        <v>30</v>
      </c>
      <c r="E4" t="str">
        <f>SUBSTITUTE(UPPER(Table5[[#This Row],[Region]]),"NORTH AMERICA","N. AMERICA")</f>
        <v>APAC</v>
      </c>
      <c r="F4">
        <v>165364</v>
      </c>
      <c r="G4">
        <v>65135</v>
      </c>
      <c r="H4">
        <v>19988</v>
      </c>
      <c r="I4">
        <v>100229</v>
      </c>
      <c r="J4">
        <v>80241</v>
      </c>
      <c r="K4" t="s">
        <v>3948</v>
      </c>
    </row>
    <row r="5" spans="1:11" x14ac:dyDescent="0.25">
      <c r="A5" t="s">
        <v>3951</v>
      </c>
      <c r="B5" t="s">
        <v>3566</v>
      </c>
      <c r="C5" t="s">
        <v>53</v>
      </c>
      <c r="D5" t="s">
        <v>82</v>
      </c>
      <c r="E5" t="str">
        <f>SUBSTITUTE(UPPER(Table5[[#This Row],[Region]]),"NORTH AMERICA","N. AMERICA")</f>
        <v>LATIN AMERICA</v>
      </c>
      <c r="F5">
        <v>72840</v>
      </c>
      <c r="G5">
        <v>29238</v>
      </c>
      <c r="H5">
        <v>8670</v>
      </c>
      <c r="I5">
        <v>43602</v>
      </c>
      <c r="J5">
        <v>34932</v>
      </c>
      <c r="K5" t="s">
        <v>3948</v>
      </c>
    </row>
    <row r="6" spans="1:11" x14ac:dyDescent="0.25">
      <c r="A6" t="s">
        <v>3952</v>
      </c>
      <c r="B6" t="s">
        <v>3566</v>
      </c>
      <c r="C6" t="s">
        <v>31</v>
      </c>
      <c r="D6" t="s">
        <v>20</v>
      </c>
      <c r="E6" t="str">
        <f>SUBSTITUTE(UPPER(Table5[[#This Row],[Region]]),"NORTH AMERICA","N. AMERICA")</f>
        <v>N. AMERICA</v>
      </c>
      <c r="F6">
        <v>265815</v>
      </c>
      <c r="G6">
        <v>14363</v>
      </c>
      <c r="H6">
        <v>46872</v>
      </c>
      <c r="I6">
        <v>251452</v>
      </c>
      <c r="J6">
        <v>204580</v>
      </c>
      <c r="K6" t="s">
        <v>3948</v>
      </c>
    </row>
    <row r="7" spans="1:11" x14ac:dyDescent="0.25">
      <c r="A7" t="s">
        <v>3953</v>
      </c>
      <c r="B7" t="s">
        <v>3566</v>
      </c>
      <c r="C7" t="s">
        <v>205</v>
      </c>
      <c r="D7" t="s">
        <v>76</v>
      </c>
      <c r="E7" t="str">
        <f>SUBSTITUTE(UPPER(Table5[[#This Row],[Region]]),"NORTH AMERICA","N. AMERICA")</f>
        <v>EMEA</v>
      </c>
      <c r="F7">
        <v>165690</v>
      </c>
      <c r="G7">
        <v>9017</v>
      </c>
      <c r="H7">
        <v>28485</v>
      </c>
      <c r="I7">
        <v>156673</v>
      </c>
      <c r="J7">
        <v>128188</v>
      </c>
      <c r="K7" t="s">
        <v>3948</v>
      </c>
    </row>
    <row r="8" spans="1:11" x14ac:dyDescent="0.25">
      <c r="A8" t="s">
        <v>3954</v>
      </c>
      <c r="B8" t="s">
        <v>3566</v>
      </c>
      <c r="C8" t="s">
        <v>31</v>
      </c>
      <c r="D8" t="s">
        <v>30</v>
      </c>
      <c r="E8" t="str">
        <f>SUBSTITUTE(UPPER(Table5[[#This Row],[Region]]),"NORTH AMERICA","N. AMERICA")</f>
        <v>APAC</v>
      </c>
      <c r="F8">
        <v>100757</v>
      </c>
      <c r="G8">
        <v>5563</v>
      </c>
      <c r="H8">
        <v>18067</v>
      </c>
      <c r="I8">
        <v>95194</v>
      </c>
      <c r="J8">
        <v>77127</v>
      </c>
      <c r="K8" t="s">
        <v>3948</v>
      </c>
    </row>
    <row r="9" spans="1:11" x14ac:dyDescent="0.25">
      <c r="A9" t="s">
        <v>3955</v>
      </c>
      <c r="B9" t="s">
        <v>3566</v>
      </c>
      <c r="C9" t="s">
        <v>31</v>
      </c>
      <c r="D9" t="s">
        <v>82</v>
      </c>
      <c r="E9" t="str">
        <f>SUBSTITUTE(UPPER(Table5[[#This Row],[Region]]),"NORTH AMERICA","N. AMERICA")</f>
        <v>LATIN AMERICA</v>
      </c>
      <c r="F9">
        <v>39651</v>
      </c>
      <c r="G9">
        <v>2223</v>
      </c>
      <c r="H9">
        <v>7049</v>
      </c>
      <c r="I9">
        <v>37428</v>
      </c>
      <c r="J9">
        <v>30379</v>
      </c>
      <c r="K9" t="s">
        <v>3948</v>
      </c>
    </row>
    <row r="10" spans="1:11" x14ac:dyDescent="0.25">
      <c r="A10" t="s">
        <v>3956</v>
      </c>
      <c r="B10" t="s">
        <v>3566</v>
      </c>
      <c r="C10" t="s">
        <v>21</v>
      </c>
      <c r="D10" t="s">
        <v>20</v>
      </c>
      <c r="E10" t="str">
        <f>SUBSTITUTE(UPPER(Table5[[#This Row],[Region]]),"NORTH AMERICA","N. AMERICA")</f>
        <v>N. AMERICA</v>
      </c>
      <c r="F10">
        <v>158467</v>
      </c>
      <c r="G10">
        <v>76147</v>
      </c>
      <c r="H10">
        <v>25168</v>
      </c>
      <c r="I10">
        <v>82320</v>
      </c>
      <c r="J10">
        <v>57152</v>
      </c>
      <c r="K10" t="s">
        <v>3948</v>
      </c>
    </row>
    <row r="11" spans="1:11" x14ac:dyDescent="0.25">
      <c r="A11" t="s">
        <v>3957</v>
      </c>
      <c r="B11" t="s">
        <v>3566</v>
      </c>
      <c r="C11" t="s">
        <v>21</v>
      </c>
      <c r="D11" t="s">
        <v>76</v>
      </c>
      <c r="E11" t="str">
        <f>SUBSTITUTE(UPPER(Table5[[#This Row],[Region]]),"NORTH AMERICA","N. AMERICA")</f>
        <v>EMEA</v>
      </c>
      <c r="F11">
        <v>100593</v>
      </c>
      <c r="G11">
        <v>48664</v>
      </c>
      <c r="H11">
        <v>15344</v>
      </c>
      <c r="I11">
        <v>51929</v>
      </c>
      <c r="J11">
        <v>36585</v>
      </c>
      <c r="K11" t="s">
        <v>3948</v>
      </c>
    </row>
    <row r="12" spans="1:11" x14ac:dyDescent="0.25">
      <c r="A12" t="s">
        <v>3958</v>
      </c>
      <c r="B12" t="s">
        <v>3566</v>
      </c>
      <c r="C12" t="s">
        <v>21</v>
      </c>
      <c r="D12" t="s">
        <v>30</v>
      </c>
      <c r="E12" t="str">
        <f>SUBSTITUTE(UPPER(Table5[[#This Row],[Region]]),"NORTH AMERICA","N. AMERICA")</f>
        <v>APAC</v>
      </c>
      <c r="F12">
        <v>66512</v>
      </c>
      <c r="G12">
        <v>31614</v>
      </c>
      <c r="H12">
        <v>10349</v>
      </c>
      <c r="I12">
        <v>34898</v>
      </c>
      <c r="J12">
        <v>24549</v>
      </c>
      <c r="K12" t="s">
        <v>3948</v>
      </c>
    </row>
    <row r="13" spans="1:11" x14ac:dyDescent="0.25">
      <c r="A13" t="s">
        <v>3959</v>
      </c>
      <c r="B13" t="s">
        <v>3566</v>
      </c>
      <c r="C13" t="s">
        <v>21</v>
      </c>
      <c r="D13" t="s">
        <v>82</v>
      </c>
      <c r="E13" t="str">
        <f>SUBSTITUTE(UPPER(Table5[[#This Row],[Region]]),"NORTH AMERICA","N. AMERICA")</f>
        <v>LATIN AMERICA</v>
      </c>
      <c r="F13">
        <v>32590</v>
      </c>
      <c r="G13">
        <v>15505</v>
      </c>
      <c r="H13">
        <v>5109</v>
      </c>
      <c r="I13">
        <v>17085</v>
      </c>
      <c r="J13">
        <v>11976</v>
      </c>
      <c r="K13" t="s">
        <v>3948</v>
      </c>
    </row>
    <row r="14" spans="1:11" x14ac:dyDescent="0.25">
      <c r="A14" t="s">
        <v>3960</v>
      </c>
      <c r="B14" t="s">
        <v>3615</v>
      </c>
      <c r="C14" t="s">
        <v>53</v>
      </c>
      <c r="D14" t="s">
        <v>20</v>
      </c>
      <c r="E14" t="str">
        <f>SUBSTITUTE(UPPER(Table5[[#This Row],[Region]]),"NORTH AMERICA","N. AMERICA")</f>
        <v>N. AMERICA</v>
      </c>
      <c r="F14">
        <v>354931</v>
      </c>
      <c r="G14">
        <v>137461</v>
      </c>
      <c r="H14">
        <v>42202</v>
      </c>
      <c r="I14">
        <v>217470</v>
      </c>
      <c r="J14">
        <v>175268</v>
      </c>
      <c r="K14" t="s">
        <v>3948</v>
      </c>
    </row>
    <row r="15" spans="1:11" x14ac:dyDescent="0.25">
      <c r="A15" t="s">
        <v>3961</v>
      </c>
      <c r="B15" t="s">
        <v>3615</v>
      </c>
      <c r="C15" t="s">
        <v>53</v>
      </c>
      <c r="D15" t="s">
        <v>76</v>
      </c>
      <c r="E15" t="str">
        <f>SUBSTITUTE(UPPER(Table5[[#This Row],[Region]]),"NORTH AMERICA","N. AMERICA")</f>
        <v>EMEA</v>
      </c>
      <c r="F15">
        <v>244607</v>
      </c>
      <c r="G15">
        <v>96952</v>
      </c>
      <c r="H15">
        <v>28000</v>
      </c>
      <c r="I15">
        <v>147655</v>
      </c>
      <c r="J15">
        <v>119655</v>
      </c>
      <c r="K15" t="s">
        <v>3948</v>
      </c>
    </row>
    <row r="16" spans="1:11" x14ac:dyDescent="0.25">
      <c r="A16" t="s">
        <v>3962</v>
      </c>
      <c r="B16" t="s">
        <v>3615</v>
      </c>
      <c r="C16" t="s">
        <v>53</v>
      </c>
      <c r="D16" t="s">
        <v>30</v>
      </c>
      <c r="E16" t="str">
        <f>SUBSTITUTE(UPPER(Table5[[#This Row],[Region]]),"NORTH AMERICA","N. AMERICA")</f>
        <v>APAC</v>
      </c>
      <c r="F16">
        <v>160698</v>
      </c>
      <c r="G16">
        <v>64428</v>
      </c>
      <c r="H16">
        <v>18772</v>
      </c>
      <c r="I16">
        <v>96270</v>
      </c>
      <c r="J16">
        <v>77498</v>
      </c>
      <c r="K16" t="s">
        <v>3948</v>
      </c>
    </row>
    <row r="17" spans="1:11" x14ac:dyDescent="0.25">
      <c r="A17" t="s">
        <v>3963</v>
      </c>
      <c r="B17" t="s">
        <v>3615</v>
      </c>
      <c r="C17" t="s">
        <v>53</v>
      </c>
      <c r="D17" t="s">
        <v>82</v>
      </c>
      <c r="E17" t="str">
        <f>SUBSTITUTE(UPPER(Table5[[#This Row],[Region]]),"NORTH AMERICA","N. AMERICA")</f>
        <v>LATIN AMERICA</v>
      </c>
      <c r="F17">
        <v>71523</v>
      </c>
      <c r="G17">
        <v>27825</v>
      </c>
      <c r="H17">
        <v>8415</v>
      </c>
      <c r="I17">
        <v>43698</v>
      </c>
      <c r="J17">
        <v>35283</v>
      </c>
      <c r="K17" t="s">
        <v>3948</v>
      </c>
    </row>
    <row r="18" spans="1:11" x14ac:dyDescent="0.25">
      <c r="A18" t="s">
        <v>3964</v>
      </c>
      <c r="B18" t="s">
        <v>3615</v>
      </c>
      <c r="C18" t="s">
        <v>31</v>
      </c>
      <c r="D18" t="s">
        <v>20</v>
      </c>
      <c r="E18" t="str">
        <f>SUBSTITUTE(UPPER(Table5[[#This Row],[Region]]),"NORTH AMERICA","N. AMERICA")</f>
        <v>N. AMERICA</v>
      </c>
      <c r="F18">
        <v>269703</v>
      </c>
      <c r="G18">
        <v>15061</v>
      </c>
      <c r="H18">
        <v>45882</v>
      </c>
      <c r="I18">
        <v>254642</v>
      </c>
      <c r="J18">
        <v>208760</v>
      </c>
      <c r="K18" t="s">
        <v>3948</v>
      </c>
    </row>
    <row r="19" spans="1:11" x14ac:dyDescent="0.25">
      <c r="A19" t="s">
        <v>3965</v>
      </c>
      <c r="B19" t="s">
        <v>3615</v>
      </c>
      <c r="C19" t="s">
        <v>31</v>
      </c>
      <c r="D19" t="s">
        <v>76</v>
      </c>
      <c r="E19" t="str">
        <f>SUBSTITUTE(UPPER(Table5[[#This Row],[Region]]),"NORTH AMERICA","N. AMERICA")</f>
        <v>EMEA</v>
      </c>
      <c r="F19">
        <v>174808</v>
      </c>
      <c r="G19">
        <v>9644</v>
      </c>
      <c r="H19">
        <v>30646</v>
      </c>
      <c r="I19">
        <v>165164</v>
      </c>
      <c r="J19">
        <v>134518</v>
      </c>
      <c r="K19" t="s">
        <v>3948</v>
      </c>
    </row>
    <row r="20" spans="1:11" x14ac:dyDescent="0.25">
      <c r="A20" t="s">
        <v>3966</v>
      </c>
      <c r="B20" t="s">
        <v>3615</v>
      </c>
      <c r="C20" t="s">
        <v>31</v>
      </c>
      <c r="D20" t="s">
        <v>30</v>
      </c>
      <c r="E20" t="str">
        <f>SUBSTITUTE(UPPER(Table5[[#This Row],[Region]]),"NORTH AMERICA","N. AMERICA")</f>
        <v>APAC</v>
      </c>
      <c r="F20">
        <v>103545</v>
      </c>
      <c r="G20">
        <v>5625</v>
      </c>
      <c r="H20">
        <v>17804</v>
      </c>
      <c r="I20">
        <v>97920</v>
      </c>
      <c r="J20">
        <v>80116</v>
      </c>
      <c r="K20" t="s">
        <v>3948</v>
      </c>
    </row>
    <row r="21" spans="1:11" x14ac:dyDescent="0.25">
      <c r="A21" t="s">
        <v>3967</v>
      </c>
      <c r="B21" t="s">
        <v>3615</v>
      </c>
      <c r="C21" t="s">
        <v>31</v>
      </c>
      <c r="D21" t="s">
        <v>82</v>
      </c>
      <c r="E21" t="str">
        <f>SUBSTITUTE(UPPER(Table5[[#This Row],[Region]]),"NORTH AMERICA","N. AMERICA")</f>
        <v>LATIN AMERICA</v>
      </c>
      <c r="F21">
        <v>39508</v>
      </c>
      <c r="G21">
        <v>2210</v>
      </c>
      <c r="H21">
        <v>7054</v>
      </c>
      <c r="I21">
        <v>37298</v>
      </c>
      <c r="J21">
        <v>30244</v>
      </c>
      <c r="K21" t="s">
        <v>3948</v>
      </c>
    </row>
    <row r="22" spans="1:11" x14ac:dyDescent="0.25">
      <c r="A22" t="s">
        <v>3968</v>
      </c>
      <c r="B22" t="s">
        <v>3615</v>
      </c>
      <c r="C22" t="s">
        <v>21</v>
      </c>
      <c r="D22" t="s">
        <v>20</v>
      </c>
      <c r="E22" t="str">
        <f>SUBSTITUTE(UPPER(Table5[[#This Row],[Region]]),"NORTH AMERICA","N. AMERICA")</f>
        <v>N. AMERICA</v>
      </c>
      <c r="F22">
        <v>150306</v>
      </c>
      <c r="G22">
        <v>71830</v>
      </c>
      <c r="H22">
        <v>23229</v>
      </c>
      <c r="I22">
        <v>78476</v>
      </c>
      <c r="J22">
        <v>55247</v>
      </c>
      <c r="K22" t="s">
        <v>3948</v>
      </c>
    </row>
    <row r="23" spans="1:11" x14ac:dyDescent="0.25">
      <c r="A23" t="s">
        <v>3969</v>
      </c>
      <c r="B23" t="s">
        <v>3615</v>
      </c>
      <c r="C23" t="s">
        <v>21</v>
      </c>
      <c r="D23" t="s">
        <v>76</v>
      </c>
      <c r="E23" t="str">
        <f>SUBSTITUTE(UPPER(Table5[[#This Row],[Region]]),"NORTH AMERICA","N. AMERICA")</f>
        <v>EMEA</v>
      </c>
      <c r="F23">
        <v>104943</v>
      </c>
      <c r="G23">
        <v>49166</v>
      </c>
      <c r="H23">
        <v>16676</v>
      </c>
      <c r="I23">
        <v>55777</v>
      </c>
      <c r="J23">
        <v>39101</v>
      </c>
      <c r="K23" t="s">
        <v>3948</v>
      </c>
    </row>
    <row r="24" spans="1:11" x14ac:dyDescent="0.25">
      <c r="A24" t="s">
        <v>3970</v>
      </c>
      <c r="B24" t="s">
        <v>3615</v>
      </c>
      <c r="C24" t="s">
        <v>21</v>
      </c>
      <c r="D24" t="s">
        <v>30</v>
      </c>
      <c r="E24" t="str">
        <f>SUBSTITUTE(UPPER(Table5[[#This Row],[Region]]),"NORTH AMERICA","N. AMERICA")</f>
        <v>APAC</v>
      </c>
      <c r="F24">
        <v>65586</v>
      </c>
      <c r="G24">
        <v>30933</v>
      </c>
      <c r="H24">
        <v>9970</v>
      </c>
      <c r="I24">
        <v>34653</v>
      </c>
      <c r="J24">
        <v>24683</v>
      </c>
      <c r="K24" t="s">
        <v>3948</v>
      </c>
    </row>
    <row r="25" spans="1:11" x14ac:dyDescent="0.25">
      <c r="A25" t="s">
        <v>3971</v>
      </c>
      <c r="B25" t="s">
        <v>3615</v>
      </c>
      <c r="C25" t="s">
        <v>21</v>
      </c>
      <c r="D25" t="s">
        <v>82</v>
      </c>
      <c r="E25" t="str">
        <f>SUBSTITUTE(UPPER(Table5[[#This Row],[Region]]),"NORTH AMERICA","N. AMERICA")</f>
        <v>LATIN AMERICA</v>
      </c>
      <c r="F25">
        <v>31247</v>
      </c>
      <c r="G25">
        <v>14731</v>
      </c>
      <c r="H25">
        <v>4741</v>
      </c>
      <c r="I25">
        <v>16516</v>
      </c>
      <c r="J25">
        <v>11775</v>
      </c>
      <c r="K25" t="s">
        <v>3948</v>
      </c>
    </row>
    <row r="26" spans="1:11" x14ac:dyDescent="0.25">
      <c r="A26" t="s">
        <v>3972</v>
      </c>
      <c r="B26" t="s">
        <v>3655</v>
      </c>
      <c r="C26" t="s">
        <v>53</v>
      </c>
      <c r="D26" t="s">
        <v>20</v>
      </c>
      <c r="E26" t="str">
        <f>SUBSTITUTE(UPPER(Table5[[#This Row],[Region]]),"NORTH AMERICA","N. AMERICA")</f>
        <v>N. AMERICA</v>
      </c>
      <c r="F26">
        <v>359261</v>
      </c>
      <c r="G26">
        <v>143365</v>
      </c>
      <c r="H26">
        <v>43227</v>
      </c>
      <c r="I26">
        <v>215896</v>
      </c>
      <c r="J26">
        <v>172669</v>
      </c>
      <c r="K26" t="s">
        <v>3948</v>
      </c>
    </row>
    <row r="27" spans="1:11" x14ac:dyDescent="0.25">
      <c r="A27" t="s">
        <v>3973</v>
      </c>
      <c r="B27" t="s">
        <v>3655</v>
      </c>
      <c r="C27" t="s">
        <v>53</v>
      </c>
      <c r="D27" t="s">
        <v>76</v>
      </c>
      <c r="E27" t="str">
        <f>SUBSTITUTE(UPPER(Table5[[#This Row],[Region]]),"NORTH AMERICA","N. AMERICA")</f>
        <v>EMEA</v>
      </c>
      <c r="F27">
        <v>236566</v>
      </c>
      <c r="G27">
        <v>92888</v>
      </c>
      <c r="H27">
        <v>27087</v>
      </c>
      <c r="I27">
        <v>143678</v>
      </c>
      <c r="J27">
        <v>116591</v>
      </c>
      <c r="K27" t="s">
        <v>3948</v>
      </c>
    </row>
    <row r="28" spans="1:11" x14ac:dyDescent="0.25">
      <c r="A28" t="s">
        <v>3974</v>
      </c>
      <c r="B28" t="s">
        <v>3655</v>
      </c>
      <c r="C28" t="s">
        <v>53</v>
      </c>
      <c r="D28" t="s">
        <v>30</v>
      </c>
      <c r="E28" t="str">
        <f>SUBSTITUTE(UPPER(Table5[[#This Row],[Region]]),"NORTH AMERICA","N. AMERICA")</f>
        <v>APAC</v>
      </c>
      <c r="F28">
        <v>161075</v>
      </c>
      <c r="G28">
        <v>64666</v>
      </c>
      <c r="H28">
        <v>18902</v>
      </c>
      <c r="I28">
        <v>96409</v>
      </c>
      <c r="J28">
        <v>77507</v>
      </c>
      <c r="K28" t="s">
        <v>3948</v>
      </c>
    </row>
    <row r="29" spans="1:11" x14ac:dyDescent="0.25">
      <c r="A29" t="s">
        <v>3975</v>
      </c>
      <c r="B29" t="s">
        <v>3655</v>
      </c>
      <c r="C29" t="s">
        <v>53</v>
      </c>
      <c r="D29" t="s">
        <v>82</v>
      </c>
      <c r="E29" t="str">
        <f>SUBSTITUTE(UPPER(Table5[[#This Row],[Region]]),"NORTH AMERICA","N. AMERICA")</f>
        <v>LATIN AMERICA</v>
      </c>
      <c r="F29">
        <v>73369</v>
      </c>
      <c r="G29">
        <v>29500</v>
      </c>
      <c r="H29">
        <v>8521</v>
      </c>
      <c r="I29">
        <v>43869</v>
      </c>
      <c r="J29">
        <v>35348</v>
      </c>
      <c r="K29" t="s">
        <v>3948</v>
      </c>
    </row>
    <row r="30" spans="1:11" x14ac:dyDescent="0.25">
      <c r="A30" t="s">
        <v>3976</v>
      </c>
      <c r="B30" t="s">
        <v>3655</v>
      </c>
      <c r="C30" t="s">
        <v>31</v>
      </c>
      <c r="D30" t="s">
        <v>20</v>
      </c>
      <c r="E30" t="str">
        <f>SUBSTITUTE(UPPER(Table5[[#This Row],[Region]]),"NORTH AMERICA","N. AMERICA")</f>
        <v>N. AMERICA</v>
      </c>
      <c r="F30">
        <v>263423</v>
      </c>
      <c r="G30">
        <v>14627</v>
      </c>
      <c r="H30">
        <v>46318</v>
      </c>
      <c r="I30">
        <v>248796</v>
      </c>
      <c r="J30">
        <v>202478</v>
      </c>
      <c r="K30" t="s">
        <v>3948</v>
      </c>
    </row>
    <row r="31" spans="1:11" x14ac:dyDescent="0.25">
      <c r="A31" t="s">
        <v>3977</v>
      </c>
      <c r="B31" t="s">
        <v>3655</v>
      </c>
      <c r="C31" t="s">
        <v>31</v>
      </c>
      <c r="D31" t="s">
        <v>76</v>
      </c>
      <c r="E31" t="str">
        <f>SUBSTITUTE(UPPER(Table5[[#This Row],[Region]]),"NORTH AMERICA","N. AMERICA")</f>
        <v>EMEA</v>
      </c>
      <c r="F31">
        <v>168639</v>
      </c>
      <c r="G31">
        <v>9226</v>
      </c>
      <c r="H31">
        <v>28770</v>
      </c>
      <c r="I31">
        <v>159413</v>
      </c>
      <c r="J31">
        <v>130643</v>
      </c>
      <c r="K31" t="s">
        <v>3948</v>
      </c>
    </row>
    <row r="32" spans="1:11" x14ac:dyDescent="0.25">
      <c r="A32" t="s">
        <v>3978</v>
      </c>
      <c r="B32" t="s">
        <v>3655</v>
      </c>
      <c r="C32" t="s">
        <v>31</v>
      </c>
      <c r="D32" t="s">
        <v>30</v>
      </c>
      <c r="E32" t="str">
        <f>SUBSTITUTE(UPPER(Table5[[#This Row],[Region]]),"NORTH AMERICA","N. AMERICA")</f>
        <v>APAC</v>
      </c>
      <c r="F32">
        <v>103453</v>
      </c>
      <c r="G32">
        <v>5631</v>
      </c>
      <c r="H32">
        <v>17667</v>
      </c>
      <c r="I32">
        <v>97822</v>
      </c>
      <c r="J32">
        <v>80155</v>
      </c>
      <c r="K32" t="s">
        <v>3948</v>
      </c>
    </row>
    <row r="33" spans="1:11" x14ac:dyDescent="0.25">
      <c r="A33" t="s">
        <v>3979</v>
      </c>
      <c r="B33" t="s">
        <v>3655</v>
      </c>
      <c r="C33" t="s">
        <v>31</v>
      </c>
      <c r="D33" t="s">
        <v>82</v>
      </c>
      <c r="E33" t="str">
        <f>SUBSTITUTE(UPPER(Table5[[#This Row],[Region]]),"NORTH AMERICA","N. AMERICA")</f>
        <v>LATIN AMERICA</v>
      </c>
      <c r="F33">
        <v>39288</v>
      </c>
      <c r="G33">
        <v>2160</v>
      </c>
      <c r="H33">
        <v>6984</v>
      </c>
      <c r="I33">
        <v>37128</v>
      </c>
      <c r="J33">
        <v>30144</v>
      </c>
      <c r="K33" t="s">
        <v>3948</v>
      </c>
    </row>
    <row r="34" spans="1:11" x14ac:dyDescent="0.25">
      <c r="A34" t="s">
        <v>3980</v>
      </c>
      <c r="B34" t="s">
        <v>3655</v>
      </c>
      <c r="C34" t="s">
        <v>21</v>
      </c>
      <c r="D34" t="s">
        <v>20</v>
      </c>
      <c r="E34" t="str">
        <f>SUBSTITUTE(UPPER(Table5[[#This Row],[Region]]),"NORTH AMERICA","N. AMERICA")</f>
        <v>N. AMERICA</v>
      </c>
      <c r="F34">
        <v>158287</v>
      </c>
      <c r="G34">
        <v>74832</v>
      </c>
      <c r="H34">
        <v>23879</v>
      </c>
      <c r="I34">
        <v>83455</v>
      </c>
      <c r="J34">
        <v>59576</v>
      </c>
      <c r="K34" t="s">
        <v>3948</v>
      </c>
    </row>
    <row r="35" spans="1:11" x14ac:dyDescent="0.25">
      <c r="A35" t="s">
        <v>3981</v>
      </c>
      <c r="B35" t="s">
        <v>3655</v>
      </c>
      <c r="C35" t="s">
        <v>21</v>
      </c>
      <c r="D35" t="s">
        <v>76</v>
      </c>
      <c r="E35" t="str">
        <f>SUBSTITUTE(UPPER(Table5[[#This Row],[Region]]),"NORTH AMERICA","N. AMERICA")</f>
        <v>EMEA</v>
      </c>
      <c r="F35">
        <v>101514</v>
      </c>
      <c r="G35">
        <v>47353</v>
      </c>
      <c r="H35">
        <v>15403</v>
      </c>
      <c r="I35">
        <v>54161</v>
      </c>
      <c r="J35">
        <v>38758</v>
      </c>
      <c r="K35" t="s">
        <v>3948</v>
      </c>
    </row>
    <row r="36" spans="1:11" x14ac:dyDescent="0.25">
      <c r="A36" t="s">
        <v>3982</v>
      </c>
      <c r="B36" t="s">
        <v>3655</v>
      </c>
      <c r="C36" t="s">
        <v>21</v>
      </c>
      <c r="D36" t="s">
        <v>30</v>
      </c>
      <c r="E36" t="str">
        <f>SUBSTITUTE(UPPER(Table5[[#This Row],[Region]]),"NORTH AMERICA","N. AMERICA")</f>
        <v>APAC</v>
      </c>
      <c r="F36">
        <v>67627</v>
      </c>
      <c r="G36">
        <v>32690</v>
      </c>
      <c r="H36">
        <v>10593</v>
      </c>
      <c r="I36">
        <v>34937</v>
      </c>
      <c r="J36">
        <v>24344</v>
      </c>
      <c r="K36" t="s">
        <v>3948</v>
      </c>
    </row>
    <row r="37" spans="1:11" x14ac:dyDescent="0.25">
      <c r="A37" t="s">
        <v>3983</v>
      </c>
      <c r="B37" t="s">
        <v>3655</v>
      </c>
      <c r="C37" t="s">
        <v>21</v>
      </c>
      <c r="D37" t="s">
        <v>82</v>
      </c>
      <c r="E37" t="str">
        <f>SUBSTITUTE(UPPER(Table5[[#This Row],[Region]]),"NORTH AMERICA","N. AMERICA")</f>
        <v>LATIN AMERICA</v>
      </c>
      <c r="F37">
        <v>32648</v>
      </c>
      <c r="G37">
        <v>15651</v>
      </c>
      <c r="H37">
        <v>4946</v>
      </c>
      <c r="I37">
        <v>16997</v>
      </c>
      <c r="J37">
        <v>12051</v>
      </c>
      <c r="K37" t="s">
        <v>3948</v>
      </c>
    </row>
    <row r="38" spans="1:11" x14ac:dyDescent="0.25">
      <c r="A38" t="s">
        <v>3984</v>
      </c>
      <c r="B38" t="s">
        <v>3695</v>
      </c>
      <c r="C38" t="s">
        <v>3985</v>
      </c>
      <c r="D38" t="s">
        <v>20</v>
      </c>
      <c r="E38" t="str">
        <f>SUBSTITUTE(UPPER(Table5[[#This Row],[Region]]),"NORTH AMERICA","N. AMERICA")</f>
        <v>N. AMERICA</v>
      </c>
      <c r="F38">
        <v>404501</v>
      </c>
      <c r="G38">
        <v>161046</v>
      </c>
      <c r="H38">
        <v>46406</v>
      </c>
      <c r="I38">
        <v>243455</v>
      </c>
      <c r="J38">
        <v>197049</v>
      </c>
      <c r="K38" t="s">
        <v>3948</v>
      </c>
    </row>
    <row r="39" spans="1:11" x14ac:dyDescent="0.25">
      <c r="A39" t="s">
        <v>3986</v>
      </c>
      <c r="B39" t="s">
        <v>3695</v>
      </c>
      <c r="C39" t="s">
        <v>53</v>
      </c>
      <c r="D39" t="s">
        <v>76</v>
      </c>
      <c r="E39" t="str">
        <f>SUBSTITUTE(UPPER(Table5[[#This Row],[Region]]),"NORTH AMERICA","N. AMERICA")</f>
        <v>EMEA</v>
      </c>
      <c r="F39">
        <v>291553</v>
      </c>
      <c r="G39">
        <v>115583</v>
      </c>
      <c r="H39">
        <v>33605</v>
      </c>
      <c r="I39">
        <v>175970</v>
      </c>
      <c r="J39">
        <v>142365</v>
      </c>
      <c r="K39" t="s">
        <v>3948</v>
      </c>
    </row>
    <row r="40" spans="1:11" x14ac:dyDescent="0.25">
      <c r="A40" t="s">
        <v>3987</v>
      </c>
      <c r="B40" t="s">
        <v>3695</v>
      </c>
      <c r="C40" t="s">
        <v>53</v>
      </c>
      <c r="D40" t="s">
        <v>30</v>
      </c>
      <c r="E40" t="str">
        <f>SUBSTITUTE(UPPER(Table5[[#This Row],[Region]]),"NORTH AMERICA","N. AMERICA")</f>
        <v>APAC</v>
      </c>
      <c r="F40">
        <v>190806</v>
      </c>
      <c r="G40">
        <v>75689</v>
      </c>
      <c r="H40">
        <v>22348</v>
      </c>
      <c r="I40">
        <v>115117</v>
      </c>
      <c r="J40">
        <v>92769</v>
      </c>
      <c r="K40" t="s">
        <v>3948</v>
      </c>
    </row>
    <row r="41" spans="1:11" x14ac:dyDescent="0.25">
      <c r="A41" t="s">
        <v>3988</v>
      </c>
      <c r="B41" t="s">
        <v>3695</v>
      </c>
      <c r="C41" t="s">
        <v>53</v>
      </c>
      <c r="D41" t="s">
        <v>82</v>
      </c>
      <c r="E41" t="str">
        <f>SUBSTITUTE(UPPER(Table5[[#This Row],[Region]]),"NORTH AMERICA","N. AMERICA")</f>
        <v>LATIN AMERICA</v>
      </c>
      <c r="F41">
        <v>85846</v>
      </c>
      <c r="G41">
        <v>33644</v>
      </c>
      <c r="H41">
        <v>10056</v>
      </c>
      <c r="I41">
        <v>52202</v>
      </c>
      <c r="J41">
        <v>42146</v>
      </c>
      <c r="K41" t="s">
        <v>3948</v>
      </c>
    </row>
    <row r="42" spans="1:11" x14ac:dyDescent="0.25">
      <c r="A42" t="s">
        <v>3989</v>
      </c>
      <c r="B42" t="s">
        <v>3695</v>
      </c>
      <c r="C42" t="s">
        <v>31</v>
      </c>
      <c r="D42" t="s">
        <v>20</v>
      </c>
      <c r="E42" t="str">
        <f>SUBSTITUTE(UPPER(Table5[[#This Row],[Region]]),"NORTH AMERICA","N. AMERICA")</f>
        <v>N. AMERICA</v>
      </c>
      <c r="F42">
        <v>322359</v>
      </c>
      <c r="G42">
        <v>17908</v>
      </c>
      <c r="H42">
        <v>55646</v>
      </c>
      <c r="I42">
        <v>304451</v>
      </c>
      <c r="J42">
        <v>248805</v>
      </c>
      <c r="K42" t="s">
        <v>3948</v>
      </c>
    </row>
    <row r="43" spans="1:11" x14ac:dyDescent="0.25">
      <c r="A43" t="s">
        <v>3990</v>
      </c>
      <c r="B43" t="s">
        <v>3695</v>
      </c>
      <c r="C43" t="s">
        <v>31</v>
      </c>
      <c r="D43" t="s">
        <v>76</v>
      </c>
      <c r="E43" t="str">
        <f>SUBSTITUTE(UPPER(Table5[[#This Row],[Region]]),"NORTH AMERICA","N. AMERICA")</f>
        <v>EMEA</v>
      </c>
      <c r="F43">
        <v>194007</v>
      </c>
      <c r="G43">
        <v>10532</v>
      </c>
      <c r="H43">
        <v>33469</v>
      </c>
      <c r="I43">
        <v>183475</v>
      </c>
      <c r="J43">
        <v>150006</v>
      </c>
      <c r="K43" t="s">
        <v>3948</v>
      </c>
    </row>
    <row r="44" spans="1:11" x14ac:dyDescent="0.25">
      <c r="A44" t="s">
        <v>3991</v>
      </c>
      <c r="B44" t="s">
        <v>3695</v>
      </c>
      <c r="C44" t="s">
        <v>31</v>
      </c>
      <c r="D44" t="s">
        <v>30</v>
      </c>
      <c r="E44" t="str">
        <f>SUBSTITUTE(UPPER(Table5[[#This Row],[Region]]),"NORTH AMERICA","N. AMERICA")</f>
        <v>APAC</v>
      </c>
      <c r="F44">
        <v>121687</v>
      </c>
      <c r="G44">
        <v>6798</v>
      </c>
      <c r="H44">
        <v>21501</v>
      </c>
      <c r="I44">
        <v>114889</v>
      </c>
      <c r="J44">
        <v>93388</v>
      </c>
      <c r="K44" t="s">
        <v>3948</v>
      </c>
    </row>
    <row r="45" spans="1:11" x14ac:dyDescent="0.25">
      <c r="A45" t="s">
        <v>3992</v>
      </c>
      <c r="B45" t="s">
        <v>3695</v>
      </c>
      <c r="C45" t="s">
        <v>31</v>
      </c>
      <c r="D45" t="s">
        <v>82</v>
      </c>
      <c r="E45" t="str">
        <f>SUBSTITUTE(UPPER(Table5[[#This Row],[Region]]),"NORTH AMERICA","N. AMERICA")</f>
        <v>LATIN AMERICA</v>
      </c>
      <c r="F45">
        <v>45930</v>
      </c>
      <c r="G45">
        <v>2538</v>
      </c>
      <c r="H45">
        <v>8172</v>
      </c>
      <c r="I45">
        <v>43392</v>
      </c>
      <c r="J45">
        <v>35220</v>
      </c>
      <c r="K45" t="s">
        <v>3948</v>
      </c>
    </row>
    <row r="46" spans="1:11" x14ac:dyDescent="0.25">
      <c r="A46" t="s">
        <v>3993</v>
      </c>
      <c r="B46" t="s">
        <v>3695</v>
      </c>
      <c r="C46" t="s">
        <v>21</v>
      </c>
      <c r="D46" t="s">
        <v>20</v>
      </c>
      <c r="E46" t="str">
        <f>SUBSTITUTE(UPPER(Table5[[#This Row],[Region]]),"NORTH AMERICA","N. AMERICA")</f>
        <v>N. AMERICA</v>
      </c>
      <c r="F46">
        <v>179820</v>
      </c>
      <c r="G46">
        <v>85574</v>
      </c>
      <c r="H46">
        <v>28157</v>
      </c>
      <c r="I46">
        <v>94246</v>
      </c>
      <c r="J46">
        <v>66089</v>
      </c>
      <c r="K46" t="s">
        <v>3948</v>
      </c>
    </row>
    <row r="47" spans="1:11" x14ac:dyDescent="0.25">
      <c r="A47" t="s">
        <v>3994</v>
      </c>
      <c r="B47" t="s">
        <v>3695</v>
      </c>
      <c r="C47" t="s">
        <v>21</v>
      </c>
      <c r="D47" t="s">
        <v>76</v>
      </c>
      <c r="E47" t="str">
        <f>SUBSTITUTE(UPPER(Table5[[#This Row],[Region]]),"NORTH AMERICA","N. AMERICA")</f>
        <v>EMEA</v>
      </c>
      <c r="F47">
        <v>120731</v>
      </c>
      <c r="G47">
        <v>57973</v>
      </c>
      <c r="H47">
        <v>19199</v>
      </c>
      <c r="I47">
        <v>62758</v>
      </c>
      <c r="J47">
        <v>43559</v>
      </c>
      <c r="K47" t="s">
        <v>3948</v>
      </c>
    </row>
    <row r="48" spans="1:11" x14ac:dyDescent="0.25">
      <c r="A48" t="s">
        <v>3995</v>
      </c>
      <c r="B48" t="s">
        <v>3695</v>
      </c>
      <c r="C48" t="s">
        <v>21</v>
      </c>
      <c r="D48" t="s">
        <v>30</v>
      </c>
      <c r="E48" t="str">
        <f>SUBSTITUTE(UPPER(Table5[[#This Row],[Region]]),"NORTH AMERICA","N. AMERICA")</f>
        <v>APAC</v>
      </c>
      <c r="F48">
        <v>78524</v>
      </c>
      <c r="G48">
        <v>36664</v>
      </c>
      <c r="H48">
        <v>12252</v>
      </c>
      <c r="I48">
        <v>41860</v>
      </c>
      <c r="J48">
        <v>29608</v>
      </c>
      <c r="K48" t="s">
        <v>3948</v>
      </c>
    </row>
    <row r="49" spans="1:11" x14ac:dyDescent="0.25">
      <c r="A49" t="s">
        <v>3996</v>
      </c>
      <c r="B49" t="s">
        <v>3695</v>
      </c>
      <c r="C49" t="s">
        <v>21</v>
      </c>
      <c r="D49" t="s">
        <v>82</v>
      </c>
      <c r="E49" t="str">
        <f>SUBSTITUTE(UPPER(Table5[[#This Row],[Region]]),"NORTH AMERICA","N. AMERICA")</f>
        <v>LATIN AMERICA</v>
      </c>
      <c r="F49">
        <v>38245</v>
      </c>
      <c r="G49">
        <v>18009</v>
      </c>
      <c r="H49">
        <v>5865</v>
      </c>
      <c r="I49">
        <v>20236</v>
      </c>
      <c r="J49">
        <v>14371</v>
      </c>
      <c r="K49" t="s">
        <v>3948</v>
      </c>
    </row>
    <row r="50" spans="1:11" x14ac:dyDescent="0.25">
      <c r="A50" t="s">
        <v>3997</v>
      </c>
      <c r="B50" t="s">
        <v>3738</v>
      </c>
      <c r="C50" t="s">
        <v>53</v>
      </c>
      <c r="D50" t="s">
        <v>20</v>
      </c>
      <c r="E50" t="str">
        <f>SUBSTITUTE(UPPER(Table5[[#This Row],[Region]]),"NORTH AMERICA","N. AMERICA")</f>
        <v>N. AMERICA</v>
      </c>
      <c r="F50">
        <v>418180</v>
      </c>
      <c r="G50">
        <v>166550</v>
      </c>
      <c r="H50">
        <v>50445</v>
      </c>
      <c r="I50">
        <v>251630</v>
      </c>
      <c r="J50">
        <v>201185</v>
      </c>
      <c r="K50" t="s">
        <v>3948</v>
      </c>
    </row>
    <row r="51" spans="1:11" x14ac:dyDescent="0.25">
      <c r="A51" t="s">
        <v>3998</v>
      </c>
      <c r="B51" t="s">
        <v>3738</v>
      </c>
      <c r="C51" t="s">
        <v>53</v>
      </c>
      <c r="D51" t="s">
        <v>76</v>
      </c>
      <c r="E51" t="str">
        <f>SUBSTITUTE(UPPER(Table5[[#This Row],[Region]]),"NORTH AMERICA","N. AMERICA")</f>
        <v>EMEA</v>
      </c>
      <c r="F51">
        <v>290708</v>
      </c>
      <c r="G51">
        <v>113148</v>
      </c>
      <c r="H51">
        <v>33991</v>
      </c>
      <c r="I51">
        <v>177560</v>
      </c>
      <c r="J51">
        <v>143569</v>
      </c>
      <c r="K51" t="s">
        <v>3948</v>
      </c>
    </row>
    <row r="52" spans="1:11" x14ac:dyDescent="0.25">
      <c r="A52" t="s">
        <v>3999</v>
      </c>
      <c r="B52" t="s">
        <v>3738</v>
      </c>
      <c r="C52" t="s">
        <v>53</v>
      </c>
      <c r="D52" t="s">
        <v>30</v>
      </c>
      <c r="E52" t="str">
        <f>SUBSTITUTE(UPPER(Table5[[#This Row],[Region]]),"NORTH AMERICA","N. AMERICA")</f>
        <v>APAC</v>
      </c>
      <c r="F52">
        <v>185017</v>
      </c>
      <c r="G52">
        <v>73833</v>
      </c>
      <c r="H52">
        <v>21526</v>
      </c>
      <c r="I52">
        <v>111184</v>
      </c>
      <c r="J52">
        <v>89658</v>
      </c>
      <c r="K52" t="s">
        <v>3948</v>
      </c>
    </row>
    <row r="53" spans="1:11" x14ac:dyDescent="0.25">
      <c r="A53" t="s">
        <v>4000</v>
      </c>
      <c r="B53" t="s">
        <v>3738</v>
      </c>
      <c r="C53" t="s">
        <v>53</v>
      </c>
      <c r="D53" t="s">
        <v>82</v>
      </c>
      <c r="E53" t="str">
        <f>SUBSTITUTE(UPPER(Table5[[#This Row],[Region]]),"NORTH AMERICA","N. AMERICA")</f>
        <v>LATIN AMERICA</v>
      </c>
      <c r="F53">
        <v>82337</v>
      </c>
      <c r="G53">
        <v>31998</v>
      </c>
      <c r="H53">
        <v>9491</v>
      </c>
      <c r="I53">
        <v>50339</v>
      </c>
      <c r="J53">
        <v>40848</v>
      </c>
      <c r="K53" t="s">
        <v>3948</v>
      </c>
    </row>
    <row r="54" spans="1:11" x14ac:dyDescent="0.25">
      <c r="A54" t="s">
        <v>4001</v>
      </c>
      <c r="B54" t="s">
        <v>3738</v>
      </c>
      <c r="C54" t="s">
        <v>31</v>
      </c>
      <c r="D54" t="s">
        <v>20</v>
      </c>
      <c r="E54" t="str">
        <f>SUBSTITUTE(UPPER(Table5[[#This Row],[Region]]),"NORTH AMERICA","N. AMERICA")</f>
        <v>N. AMERICA</v>
      </c>
      <c r="F54">
        <v>313766</v>
      </c>
      <c r="G54">
        <v>17452</v>
      </c>
      <c r="H54">
        <v>54045</v>
      </c>
      <c r="I54">
        <v>296314</v>
      </c>
      <c r="J54">
        <v>242269</v>
      </c>
      <c r="K54" t="s">
        <v>3948</v>
      </c>
    </row>
    <row r="55" spans="1:11" x14ac:dyDescent="0.25">
      <c r="A55" t="s">
        <v>4002</v>
      </c>
      <c r="B55" t="s">
        <v>3738</v>
      </c>
      <c r="C55" t="s">
        <v>31</v>
      </c>
      <c r="D55" t="s">
        <v>76</v>
      </c>
      <c r="E55" t="str">
        <f>SUBSTITUTE(UPPER(Table5[[#This Row],[Region]]),"NORTH AMERICA","N. AMERICA")</f>
        <v>EMEA</v>
      </c>
      <c r="F55">
        <v>197179</v>
      </c>
      <c r="G55">
        <v>11010</v>
      </c>
      <c r="H55">
        <v>34387</v>
      </c>
      <c r="I55">
        <v>186169</v>
      </c>
      <c r="J55">
        <v>151782</v>
      </c>
      <c r="K55" t="s">
        <v>3948</v>
      </c>
    </row>
    <row r="56" spans="1:11" x14ac:dyDescent="0.25">
      <c r="A56" t="s">
        <v>4003</v>
      </c>
      <c r="B56" t="s">
        <v>3738</v>
      </c>
      <c r="C56" t="s">
        <v>31</v>
      </c>
      <c r="D56" t="s">
        <v>30</v>
      </c>
      <c r="E56" t="str">
        <f>SUBSTITUTE(UPPER(Table5[[#This Row],[Region]]),"NORTH AMERICA","N. AMERICA")</f>
        <v>APAC</v>
      </c>
      <c r="F56">
        <v>118863</v>
      </c>
      <c r="G56">
        <v>6407</v>
      </c>
      <c r="H56">
        <v>20279</v>
      </c>
      <c r="I56">
        <v>112456</v>
      </c>
      <c r="J56">
        <v>92177</v>
      </c>
      <c r="K56" t="s">
        <v>3948</v>
      </c>
    </row>
    <row r="57" spans="1:11" x14ac:dyDescent="0.25">
      <c r="A57" t="s">
        <v>4004</v>
      </c>
      <c r="B57" t="s">
        <v>3738</v>
      </c>
      <c r="C57" t="s">
        <v>31</v>
      </c>
      <c r="D57" t="s">
        <v>82</v>
      </c>
      <c r="E57" t="str">
        <f>SUBSTITUTE(UPPER(Table5[[#This Row],[Region]]),"NORTH AMERICA","N. AMERICA")</f>
        <v>LATIN AMERICA</v>
      </c>
      <c r="F57">
        <v>46015</v>
      </c>
      <c r="G57">
        <v>2514</v>
      </c>
      <c r="H57">
        <v>7883</v>
      </c>
      <c r="I57">
        <v>43501</v>
      </c>
      <c r="J57">
        <v>35618</v>
      </c>
      <c r="K57" t="s">
        <v>3948</v>
      </c>
    </row>
    <row r="58" spans="1:11" x14ac:dyDescent="0.25">
      <c r="A58" t="s">
        <v>4005</v>
      </c>
      <c r="B58" t="s">
        <v>3738</v>
      </c>
      <c r="C58" t="s">
        <v>21</v>
      </c>
      <c r="D58" t="s">
        <v>4006</v>
      </c>
      <c r="E58" t="str">
        <f>SUBSTITUTE(UPPER(Table5[[#This Row],[Region]]),"NORTH AMERICA","N. AMERICA")</f>
        <v>N. AMERICA</v>
      </c>
      <c r="F58">
        <v>180665</v>
      </c>
      <c r="G58">
        <v>84254</v>
      </c>
      <c r="H58">
        <v>28355</v>
      </c>
      <c r="I58">
        <v>96411</v>
      </c>
      <c r="J58">
        <v>68056</v>
      </c>
      <c r="K58" t="s">
        <v>3948</v>
      </c>
    </row>
    <row r="59" spans="1:11" x14ac:dyDescent="0.25">
      <c r="A59" t="s">
        <v>4007</v>
      </c>
      <c r="B59" t="s">
        <v>3738</v>
      </c>
      <c r="C59" t="s">
        <v>21</v>
      </c>
      <c r="D59" t="s">
        <v>76</v>
      </c>
      <c r="E59" t="str">
        <f>SUBSTITUTE(UPPER(Table5[[#This Row],[Region]]),"NORTH AMERICA","N. AMERICA")</f>
        <v>EMEA</v>
      </c>
      <c r="F59">
        <v>117913</v>
      </c>
      <c r="G59">
        <v>55011</v>
      </c>
      <c r="H59">
        <v>18188</v>
      </c>
      <c r="I59">
        <v>62902</v>
      </c>
      <c r="J59">
        <v>44714</v>
      </c>
      <c r="K59" t="s">
        <v>3948</v>
      </c>
    </row>
    <row r="60" spans="1:11" x14ac:dyDescent="0.25">
      <c r="A60" t="s">
        <v>4008</v>
      </c>
      <c r="B60" t="s">
        <v>3738</v>
      </c>
      <c r="C60" t="s">
        <v>21</v>
      </c>
      <c r="D60" t="s">
        <v>30</v>
      </c>
      <c r="E60" t="str">
        <f>SUBSTITUTE(UPPER(Table5[[#This Row],[Region]]),"NORTH AMERICA","N. AMERICA")</f>
        <v>APAC</v>
      </c>
      <c r="F60">
        <v>78166</v>
      </c>
      <c r="G60">
        <v>37521</v>
      </c>
      <c r="H60">
        <v>11804</v>
      </c>
      <c r="I60">
        <v>40645</v>
      </c>
      <c r="J60">
        <v>28841</v>
      </c>
      <c r="K60" t="s">
        <v>3948</v>
      </c>
    </row>
    <row r="61" spans="1:11" x14ac:dyDescent="0.25">
      <c r="A61" t="s">
        <v>4009</v>
      </c>
      <c r="B61" t="s">
        <v>3738</v>
      </c>
      <c r="C61" t="s">
        <v>21</v>
      </c>
      <c r="D61" t="s">
        <v>82</v>
      </c>
      <c r="E61" t="str">
        <f>SUBSTITUTE(UPPER(Table5[[#This Row],[Region]]),"NORTH AMERICA","N. AMERICA")</f>
        <v>LATIN AMERICA</v>
      </c>
      <c r="F61">
        <v>37425</v>
      </c>
      <c r="G61">
        <v>17612</v>
      </c>
      <c r="H61">
        <v>5886</v>
      </c>
      <c r="I61">
        <v>19813</v>
      </c>
      <c r="J61">
        <v>13927</v>
      </c>
      <c r="K61" t="s">
        <v>3948</v>
      </c>
    </row>
    <row r="62" spans="1:11" x14ac:dyDescent="0.25">
      <c r="A62" t="s">
        <v>4010</v>
      </c>
      <c r="B62" t="s">
        <v>3783</v>
      </c>
      <c r="C62" t="s">
        <v>53</v>
      </c>
      <c r="D62" t="s">
        <v>20</v>
      </c>
      <c r="E62" t="str">
        <f>SUBSTITUTE(UPPER(Table5[[#This Row],[Region]]),"NORTH AMERICA","N. AMERICA")</f>
        <v>N. AMERICA</v>
      </c>
      <c r="F62">
        <v>412542</v>
      </c>
      <c r="G62">
        <v>163787</v>
      </c>
      <c r="H62">
        <v>48649</v>
      </c>
      <c r="I62">
        <v>248755</v>
      </c>
      <c r="J62">
        <v>200106</v>
      </c>
      <c r="K62" t="s">
        <v>3948</v>
      </c>
    </row>
    <row r="63" spans="1:11" x14ac:dyDescent="0.25">
      <c r="A63" t="s">
        <v>4011</v>
      </c>
      <c r="B63" t="s">
        <v>3783</v>
      </c>
      <c r="C63" t="s">
        <v>53</v>
      </c>
      <c r="D63" t="s">
        <v>76</v>
      </c>
      <c r="E63" t="str">
        <f>SUBSTITUTE(UPPER(Table5[[#This Row],[Region]]),"NORTH AMERICA","N. AMERICA")</f>
        <v>EMEA</v>
      </c>
      <c r="F63">
        <v>287396</v>
      </c>
      <c r="G63">
        <v>112911</v>
      </c>
      <c r="H63">
        <v>33382</v>
      </c>
      <c r="I63">
        <v>174485</v>
      </c>
      <c r="J63">
        <v>141103</v>
      </c>
      <c r="K63" t="s">
        <v>3948</v>
      </c>
    </row>
    <row r="64" spans="1:11" x14ac:dyDescent="0.25">
      <c r="A64" t="s">
        <v>4012</v>
      </c>
      <c r="B64" t="s">
        <v>3783</v>
      </c>
      <c r="C64" t="s">
        <v>53</v>
      </c>
      <c r="D64" t="s">
        <v>30</v>
      </c>
      <c r="E64" t="str">
        <f>SUBSTITUTE(UPPER(Table5[[#This Row],[Region]]),"NORTH AMERICA","N. AMERICA")</f>
        <v>APAC</v>
      </c>
      <c r="F64">
        <v>184007</v>
      </c>
      <c r="G64">
        <v>71733</v>
      </c>
      <c r="H64">
        <v>21286</v>
      </c>
      <c r="I64">
        <v>112274</v>
      </c>
      <c r="J64">
        <v>90988</v>
      </c>
      <c r="K64" t="s">
        <v>3948</v>
      </c>
    </row>
    <row r="65" spans="1:11" x14ac:dyDescent="0.25">
      <c r="A65" t="s">
        <v>4013</v>
      </c>
      <c r="B65" t="s">
        <v>3783</v>
      </c>
      <c r="C65" t="s">
        <v>53</v>
      </c>
      <c r="D65" t="s">
        <v>82</v>
      </c>
      <c r="E65" t="str">
        <f>SUBSTITUTE(UPPER(Table5[[#This Row],[Region]]),"NORTH AMERICA","N. AMERICA")</f>
        <v>LATIN AMERICA</v>
      </c>
      <c r="F65">
        <v>86438</v>
      </c>
      <c r="G65">
        <v>34740</v>
      </c>
      <c r="H65">
        <v>10050</v>
      </c>
      <c r="I65">
        <v>51698</v>
      </c>
      <c r="J65">
        <v>41648</v>
      </c>
      <c r="K65" t="s">
        <v>3948</v>
      </c>
    </row>
    <row r="66" spans="1:11" x14ac:dyDescent="0.25">
      <c r="A66" t="s">
        <v>4014</v>
      </c>
      <c r="B66" t="s">
        <v>3783</v>
      </c>
      <c r="C66" t="s">
        <v>31</v>
      </c>
      <c r="D66" t="s">
        <v>20</v>
      </c>
      <c r="E66" t="str">
        <f>SUBSTITUTE(UPPER(Table5[[#This Row],[Region]]),"NORTH AMERICA","N. AMERICA")</f>
        <v>N. AMERICA</v>
      </c>
      <c r="F66">
        <v>311061</v>
      </c>
      <c r="G66">
        <v>16959</v>
      </c>
      <c r="H66">
        <v>55404</v>
      </c>
      <c r="I66">
        <v>294102</v>
      </c>
      <c r="J66">
        <v>238698</v>
      </c>
      <c r="K66" t="s">
        <v>3948</v>
      </c>
    </row>
    <row r="67" spans="1:11" x14ac:dyDescent="0.25">
      <c r="A67" t="s">
        <v>4015</v>
      </c>
      <c r="B67" t="s">
        <v>3783</v>
      </c>
      <c r="C67" t="s">
        <v>31</v>
      </c>
      <c r="D67" t="s">
        <v>76</v>
      </c>
      <c r="E67" t="str">
        <f>SUBSTITUTE(UPPER(Table5[[#This Row],[Region]]),"NORTH AMERICA","N. AMERICA")</f>
        <v>EMEA</v>
      </c>
      <c r="F67">
        <v>204245</v>
      </c>
      <c r="G67">
        <v>11234</v>
      </c>
      <c r="H67">
        <v>35829</v>
      </c>
      <c r="I67">
        <v>193011</v>
      </c>
      <c r="J67">
        <v>157182</v>
      </c>
      <c r="K67" t="s">
        <v>3948</v>
      </c>
    </row>
    <row r="68" spans="1:11" x14ac:dyDescent="0.25">
      <c r="A68" t="s">
        <v>4016</v>
      </c>
      <c r="B68" t="s">
        <v>3783</v>
      </c>
      <c r="C68" t="s">
        <v>205</v>
      </c>
      <c r="D68" t="s">
        <v>30</v>
      </c>
      <c r="E68" t="str">
        <f>SUBSTITUTE(UPPER(Table5[[#This Row],[Region]]),"NORTH AMERICA","N. AMERICA")</f>
        <v>APAC</v>
      </c>
      <c r="F68">
        <v>118506</v>
      </c>
      <c r="G68">
        <v>6435</v>
      </c>
      <c r="H68">
        <v>20178</v>
      </c>
      <c r="I68">
        <v>112071</v>
      </c>
      <c r="J68">
        <v>91893</v>
      </c>
      <c r="K68" t="s">
        <v>3948</v>
      </c>
    </row>
    <row r="69" spans="1:11" x14ac:dyDescent="0.25">
      <c r="A69" t="s">
        <v>4017</v>
      </c>
      <c r="B69" t="s">
        <v>3783</v>
      </c>
      <c r="C69" t="s">
        <v>31</v>
      </c>
      <c r="D69" t="s">
        <v>82</v>
      </c>
      <c r="E69" t="str">
        <f>SUBSTITUTE(UPPER(Table5[[#This Row],[Region]]),"NORTH AMERICA","N. AMERICA")</f>
        <v>LATIN AMERICA</v>
      </c>
      <c r="F69">
        <v>45690</v>
      </c>
      <c r="G69">
        <v>2543</v>
      </c>
      <c r="H69">
        <v>8115</v>
      </c>
      <c r="I69">
        <v>43147</v>
      </c>
      <c r="J69">
        <v>35032</v>
      </c>
      <c r="K69" t="s">
        <v>3948</v>
      </c>
    </row>
    <row r="70" spans="1:11" x14ac:dyDescent="0.25">
      <c r="A70" t="s">
        <v>4018</v>
      </c>
      <c r="B70" t="s">
        <v>3783</v>
      </c>
      <c r="C70" t="s">
        <v>21</v>
      </c>
      <c r="D70" t="s">
        <v>20</v>
      </c>
      <c r="E70" t="str">
        <f>SUBSTITUTE(UPPER(Table5[[#This Row],[Region]]),"NORTH AMERICA","N. AMERICA")</f>
        <v>N. AMERICA</v>
      </c>
      <c r="F70">
        <v>185798</v>
      </c>
      <c r="G70">
        <v>89361</v>
      </c>
      <c r="H70">
        <v>28432</v>
      </c>
      <c r="I70">
        <v>96437</v>
      </c>
      <c r="J70">
        <v>68005</v>
      </c>
      <c r="K70" t="s">
        <v>3948</v>
      </c>
    </row>
    <row r="71" spans="1:11" x14ac:dyDescent="0.25">
      <c r="A71" t="s">
        <v>4019</v>
      </c>
      <c r="B71" t="s">
        <v>3783</v>
      </c>
      <c r="C71" t="s">
        <v>21</v>
      </c>
      <c r="D71" t="s">
        <v>76</v>
      </c>
      <c r="E71" t="str">
        <f>SUBSTITUTE(UPPER(Table5[[#This Row],[Region]]),"NORTH AMERICA","N. AMERICA")</f>
        <v>EMEA</v>
      </c>
      <c r="F71">
        <v>118179</v>
      </c>
      <c r="G71">
        <v>55979</v>
      </c>
      <c r="H71">
        <v>18151</v>
      </c>
      <c r="I71">
        <v>62200</v>
      </c>
      <c r="J71">
        <v>44049</v>
      </c>
      <c r="K71" t="s">
        <v>3948</v>
      </c>
    </row>
    <row r="72" spans="1:11" x14ac:dyDescent="0.25">
      <c r="A72" t="s">
        <v>4020</v>
      </c>
      <c r="B72" t="s">
        <v>3783</v>
      </c>
      <c r="C72" t="s">
        <v>21</v>
      </c>
      <c r="D72" t="s">
        <v>30</v>
      </c>
      <c r="E72" t="str">
        <f>SUBSTITUTE(UPPER(Table5[[#This Row],[Region]]),"NORTH AMERICA","N. AMERICA")</f>
        <v>APAC</v>
      </c>
      <c r="F72">
        <v>78826</v>
      </c>
      <c r="G72">
        <v>36795</v>
      </c>
      <c r="H72">
        <v>12543</v>
      </c>
      <c r="I72">
        <v>42031</v>
      </c>
      <c r="J72">
        <v>29488</v>
      </c>
      <c r="K72" t="s">
        <v>3948</v>
      </c>
    </row>
    <row r="73" spans="1:11" x14ac:dyDescent="0.25">
      <c r="A73" t="s">
        <v>4021</v>
      </c>
      <c r="B73" t="s">
        <v>3783</v>
      </c>
      <c r="C73" t="s">
        <v>21</v>
      </c>
      <c r="D73" t="s">
        <v>4022</v>
      </c>
      <c r="E73" t="str">
        <f>SUBSTITUTE(UPPER(Table5[[#This Row],[Region]]),"NORTH AMERICA","N. AMERICA")</f>
        <v>LATIN AMERICA</v>
      </c>
      <c r="F73">
        <v>38837</v>
      </c>
      <c r="G73">
        <v>18144</v>
      </c>
      <c r="H73">
        <v>5996</v>
      </c>
      <c r="I73">
        <v>20693</v>
      </c>
      <c r="J73">
        <v>14697</v>
      </c>
      <c r="K73" t="s">
        <v>3948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>
      <selection activeCell="J12" sqref="J12"/>
    </sheetView>
  </sheetViews>
  <sheetFormatPr defaultRowHeight="15" x14ac:dyDescent="0.25"/>
  <cols>
    <col min="1" max="1" width="21.140625" bestFit="1" customWidth="1"/>
    <col min="2" max="2" width="11" customWidth="1"/>
    <col min="3" max="3" width="14" bestFit="1" customWidth="1"/>
    <col min="4" max="4" width="20.28515625" bestFit="1" customWidth="1"/>
    <col min="5" max="5" width="15" bestFit="1" customWidth="1"/>
    <col min="6" max="6" width="19" bestFit="1" customWidth="1"/>
    <col min="7" max="7" width="17.85546875" bestFit="1" customWidth="1"/>
    <col min="8" max="8" width="16.28515625" bestFit="1" customWidth="1"/>
  </cols>
  <sheetData>
    <row r="1" spans="1:8" x14ac:dyDescent="0.25">
      <c r="A1" t="s">
        <v>5</v>
      </c>
      <c r="B1" t="s">
        <v>4</v>
      </c>
      <c r="C1" t="s">
        <v>4023</v>
      </c>
      <c r="D1" t="s">
        <v>4095</v>
      </c>
      <c r="E1" t="s">
        <v>4094</v>
      </c>
      <c r="F1" t="s">
        <v>4024</v>
      </c>
      <c r="G1" t="s">
        <v>4025</v>
      </c>
      <c r="H1" t="s">
        <v>4026</v>
      </c>
    </row>
    <row r="2" spans="1:8" x14ac:dyDescent="0.25">
      <c r="A2" t="s">
        <v>53</v>
      </c>
      <c r="B2" t="s">
        <v>3569</v>
      </c>
      <c r="C2" t="s">
        <v>20</v>
      </c>
      <c r="D2" t="str">
        <f>SUBSTITUTE(Table7[[#This Row],[RegionCode]],"North America","N. AMERICA")</f>
        <v>N. AMERICA</v>
      </c>
      <c r="F2" t="s">
        <v>4027</v>
      </c>
      <c r="G2" t="s">
        <v>4028</v>
      </c>
      <c r="H2" t="s">
        <v>4029</v>
      </c>
    </row>
    <row r="3" spans="1:8" x14ac:dyDescent="0.25">
      <c r="A3" t="s">
        <v>53</v>
      </c>
      <c r="B3" t="s">
        <v>3569</v>
      </c>
      <c r="C3" t="s">
        <v>76</v>
      </c>
      <c r="D3" t="str">
        <f>SUBSTITUTE(Table7[[#This Row],[RegionCode]],"North America","N. AMERICA")</f>
        <v>EMEA</v>
      </c>
      <c r="E3" t="s">
        <v>3832</v>
      </c>
      <c r="F3" t="s">
        <v>4030</v>
      </c>
      <c r="G3" t="s">
        <v>4031</v>
      </c>
      <c r="H3" t="s">
        <v>4032</v>
      </c>
    </row>
    <row r="4" spans="1:8" x14ac:dyDescent="0.25">
      <c r="A4" t="s">
        <v>53</v>
      </c>
      <c r="B4" t="s">
        <v>3569</v>
      </c>
      <c r="C4" t="s">
        <v>30</v>
      </c>
      <c r="D4" t="str">
        <f>SUBSTITUTE(Table7[[#This Row],[RegionCode]],"North America","N. AMERICA")</f>
        <v>APAC</v>
      </c>
      <c r="E4" t="s">
        <v>3838</v>
      </c>
      <c r="F4" t="s">
        <v>4033</v>
      </c>
      <c r="G4" t="s">
        <v>4034</v>
      </c>
      <c r="H4" t="s">
        <v>4035</v>
      </c>
    </row>
    <row r="5" spans="1:8" x14ac:dyDescent="0.25">
      <c r="A5" t="s">
        <v>53</v>
      </c>
      <c r="B5" t="s">
        <v>3569</v>
      </c>
      <c r="C5" t="s">
        <v>82</v>
      </c>
      <c r="D5" t="str">
        <f>SUBSTITUTE(Table7[[#This Row],[RegionCode]],"North America","N. AMERICA")</f>
        <v>Latin America</v>
      </c>
      <c r="E5" t="s">
        <v>3846</v>
      </c>
      <c r="F5" t="s">
        <v>4036</v>
      </c>
      <c r="G5" t="s">
        <v>4037</v>
      </c>
      <c r="H5" t="s">
        <v>4038</v>
      </c>
    </row>
    <row r="6" spans="1:8" x14ac:dyDescent="0.25">
      <c r="A6" t="s">
        <v>31</v>
      </c>
      <c r="B6" t="s">
        <v>3591</v>
      </c>
      <c r="C6" t="s">
        <v>20</v>
      </c>
      <c r="D6" t="str">
        <f>SUBSTITUTE(Table7[[#This Row],[RegionCode]],"North America","N. AMERICA")</f>
        <v>N. AMERICA</v>
      </c>
      <c r="F6" t="s">
        <v>4039</v>
      </c>
      <c r="G6" t="s">
        <v>4040</v>
      </c>
      <c r="H6" t="s">
        <v>4041</v>
      </c>
    </row>
    <row r="7" spans="1:8" x14ac:dyDescent="0.25">
      <c r="A7" t="s">
        <v>31</v>
      </c>
      <c r="B7" t="s">
        <v>3591</v>
      </c>
      <c r="C7" t="s">
        <v>76</v>
      </c>
      <c r="D7" t="str">
        <f>SUBSTITUTE(Table7[[#This Row],[RegionCode]],"North America","N. AMERICA")</f>
        <v>EMEA</v>
      </c>
      <c r="E7" t="s">
        <v>3832</v>
      </c>
      <c r="F7" t="s">
        <v>4042</v>
      </c>
      <c r="G7" t="s">
        <v>4043</v>
      </c>
      <c r="H7" t="s">
        <v>4044</v>
      </c>
    </row>
    <row r="8" spans="1:8" x14ac:dyDescent="0.25">
      <c r="A8" t="s">
        <v>31</v>
      </c>
      <c r="B8" t="s">
        <v>3591</v>
      </c>
      <c r="C8" t="s">
        <v>30</v>
      </c>
      <c r="D8" t="str">
        <f>SUBSTITUTE(Table7[[#This Row],[RegionCode]],"North America","N. AMERICA")</f>
        <v>APAC</v>
      </c>
      <c r="E8" t="s">
        <v>3838</v>
      </c>
      <c r="F8" t="s">
        <v>4045</v>
      </c>
      <c r="G8" t="s">
        <v>4046</v>
      </c>
      <c r="H8" t="s">
        <v>4047</v>
      </c>
    </row>
    <row r="9" spans="1:8" x14ac:dyDescent="0.25">
      <c r="A9" t="s">
        <v>31</v>
      </c>
      <c r="B9" t="s">
        <v>3591</v>
      </c>
      <c r="C9" t="s">
        <v>82</v>
      </c>
      <c r="D9" t="str">
        <f>SUBSTITUTE(Table7[[#This Row],[RegionCode]],"North America","N. AMERICA")</f>
        <v>Latin America</v>
      </c>
      <c r="E9" t="s">
        <v>3846</v>
      </c>
      <c r="F9" t="s">
        <v>4048</v>
      </c>
      <c r="G9" t="s">
        <v>4049</v>
      </c>
      <c r="H9" t="s">
        <v>4050</v>
      </c>
    </row>
    <row r="10" spans="1:8" x14ac:dyDescent="0.25">
      <c r="A10" t="s">
        <v>21</v>
      </c>
      <c r="B10" t="s">
        <v>3602</v>
      </c>
      <c r="C10" t="s">
        <v>20</v>
      </c>
      <c r="D10" t="str">
        <f>SUBSTITUTE(Table7[[#This Row],[RegionCode]],"North America","N. AMERICA")</f>
        <v>N. AMERICA</v>
      </c>
      <c r="F10" t="s">
        <v>4051</v>
      </c>
      <c r="G10" t="s">
        <v>4052</v>
      </c>
      <c r="H10" t="s">
        <v>4053</v>
      </c>
    </row>
    <row r="11" spans="1:8" x14ac:dyDescent="0.25">
      <c r="A11" t="s">
        <v>21</v>
      </c>
      <c r="B11" t="s">
        <v>3602</v>
      </c>
      <c r="C11" t="s">
        <v>76</v>
      </c>
      <c r="D11" t="str">
        <f>SUBSTITUTE(Table7[[#This Row],[RegionCode]],"North America","N. AMERICA")</f>
        <v>EMEA</v>
      </c>
      <c r="E11" t="s">
        <v>3832</v>
      </c>
      <c r="F11" t="s">
        <v>4054</v>
      </c>
      <c r="G11" t="s">
        <v>4055</v>
      </c>
      <c r="H11" t="s">
        <v>4056</v>
      </c>
    </row>
    <row r="12" spans="1:8" x14ac:dyDescent="0.25">
      <c r="A12" t="s">
        <v>21</v>
      </c>
      <c r="B12" t="s">
        <v>3602</v>
      </c>
      <c r="C12" t="s">
        <v>30</v>
      </c>
      <c r="D12" t="str">
        <f>SUBSTITUTE(Table7[[#This Row],[RegionCode]],"North America","N. AMERICA")</f>
        <v>APAC</v>
      </c>
      <c r="E12" t="s">
        <v>3838</v>
      </c>
      <c r="F12" t="s">
        <v>4057</v>
      </c>
      <c r="G12" t="s">
        <v>4058</v>
      </c>
      <c r="H12" t="s">
        <v>4059</v>
      </c>
    </row>
    <row r="13" spans="1:8" x14ac:dyDescent="0.25">
      <c r="A13" t="s">
        <v>21</v>
      </c>
      <c r="B13" t="s">
        <v>3602</v>
      </c>
      <c r="C13" t="s">
        <v>82</v>
      </c>
      <c r="D13" t="str">
        <f>SUBSTITUTE(Table7[[#This Row],[RegionCode]],"North America","N. AMERICA")</f>
        <v>Latin America</v>
      </c>
      <c r="E13" t="s">
        <v>3846</v>
      </c>
      <c r="F13" t="s">
        <v>4060</v>
      </c>
      <c r="G13" t="s">
        <v>4061</v>
      </c>
      <c r="H13" t="s">
        <v>4062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9"/>
  <sheetViews>
    <sheetView workbookViewId="0">
      <selection activeCell="H6" sqref="H6"/>
    </sheetView>
  </sheetViews>
  <sheetFormatPr defaultRowHeight="15" x14ac:dyDescent="0.25"/>
  <cols>
    <col min="2" max="2" width="11" customWidth="1"/>
    <col min="3" max="3" width="13" customWidth="1"/>
  </cols>
  <sheetData>
    <row r="1" spans="1:3" x14ac:dyDescent="0.25">
      <c r="A1" t="s">
        <v>3558</v>
      </c>
      <c r="B1" t="s">
        <v>13</v>
      </c>
      <c r="C1" t="s">
        <v>4063</v>
      </c>
    </row>
    <row r="2" spans="1:3" x14ac:dyDescent="0.25">
      <c r="A2" t="s">
        <v>3566</v>
      </c>
      <c r="B2" t="s">
        <v>23</v>
      </c>
      <c r="C2">
        <v>1</v>
      </c>
    </row>
    <row r="3" spans="1:3" x14ac:dyDescent="0.25">
      <c r="A3" t="s">
        <v>3566</v>
      </c>
      <c r="B3" t="s">
        <v>99</v>
      </c>
      <c r="C3">
        <v>1.0827</v>
      </c>
    </row>
    <row r="4" spans="1:3" x14ac:dyDescent="0.25">
      <c r="A4" t="s">
        <v>3566</v>
      </c>
      <c r="B4" t="s">
        <v>128</v>
      </c>
      <c r="C4">
        <v>1.3004</v>
      </c>
    </row>
    <row r="5" spans="1:3" x14ac:dyDescent="0.25">
      <c r="A5" t="s">
        <v>3615</v>
      </c>
      <c r="B5" t="s">
        <v>23</v>
      </c>
      <c r="C5">
        <v>1</v>
      </c>
    </row>
    <row r="6" spans="1:3" x14ac:dyDescent="0.25">
      <c r="A6" t="s">
        <v>3615</v>
      </c>
      <c r="B6" t="s">
        <v>99</v>
      </c>
      <c r="C6">
        <v>1.1053999999999999</v>
      </c>
    </row>
    <row r="7" spans="1:3" x14ac:dyDescent="0.25">
      <c r="A7" t="s">
        <v>3615</v>
      </c>
      <c r="B7" t="s">
        <v>128</v>
      </c>
      <c r="C7">
        <v>1.3131999999999999</v>
      </c>
    </row>
    <row r="8" spans="1:3" x14ac:dyDescent="0.25">
      <c r="A8" t="s">
        <v>3655</v>
      </c>
      <c r="B8" t="s">
        <v>23</v>
      </c>
      <c r="C8">
        <v>1</v>
      </c>
    </row>
    <row r="9" spans="1:3" x14ac:dyDescent="0.25">
      <c r="A9" t="s">
        <v>3655</v>
      </c>
      <c r="B9" t="s">
        <v>99</v>
      </c>
      <c r="C9">
        <v>1.1037999999999999</v>
      </c>
    </row>
    <row r="10" spans="1:3" x14ac:dyDescent="0.25">
      <c r="A10" t="s">
        <v>3655</v>
      </c>
      <c r="B10" t="s">
        <v>128</v>
      </c>
      <c r="C10">
        <v>1.2807999999999999</v>
      </c>
    </row>
    <row r="11" spans="1:3" x14ac:dyDescent="0.25">
      <c r="A11" t="s">
        <v>3695</v>
      </c>
      <c r="B11" t="s">
        <v>23</v>
      </c>
      <c r="C11">
        <v>1</v>
      </c>
    </row>
    <row r="12" spans="1:3" x14ac:dyDescent="0.25">
      <c r="A12" t="s">
        <v>3695</v>
      </c>
      <c r="B12" t="s">
        <v>99</v>
      </c>
      <c r="C12">
        <v>1.083</v>
      </c>
    </row>
    <row r="13" spans="1:3" x14ac:dyDescent="0.25">
      <c r="A13" t="s">
        <v>3695</v>
      </c>
      <c r="B13" t="s">
        <v>128</v>
      </c>
      <c r="C13">
        <v>1.3030999999999999</v>
      </c>
    </row>
    <row r="14" spans="1:3" x14ac:dyDescent="0.25">
      <c r="A14" t="s">
        <v>3738</v>
      </c>
      <c r="B14" t="s">
        <v>23</v>
      </c>
      <c r="C14">
        <v>1</v>
      </c>
    </row>
    <row r="15" spans="1:3" x14ac:dyDescent="0.25">
      <c r="A15" t="s">
        <v>3738</v>
      </c>
      <c r="B15" t="s">
        <v>99</v>
      </c>
      <c r="C15">
        <v>1.0906</v>
      </c>
    </row>
    <row r="16" spans="1:3" x14ac:dyDescent="0.25">
      <c r="A16" t="s">
        <v>3738</v>
      </c>
      <c r="B16" t="s">
        <v>128</v>
      </c>
      <c r="C16">
        <v>1.3070999999999999</v>
      </c>
    </row>
    <row r="17" spans="1:3" x14ac:dyDescent="0.25">
      <c r="A17" t="s">
        <v>3783</v>
      </c>
      <c r="B17" t="s">
        <v>23</v>
      </c>
      <c r="C17">
        <v>1</v>
      </c>
    </row>
    <row r="18" spans="1:3" x14ac:dyDescent="0.25">
      <c r="A18" t="s">
        <v>3783</v>
      </c>
      <c r="B18" t="s">
        <v>99</v>
      </c>
      <c r="C18">
        <v>1.1126</v>
      </c>
    </row>
    <row r="19" spans="1:3" x14ac:dyDescent="0.25">
      <c r="A19" t="s">
        <v>3783</v>
      </c>
      <c r="B19" t="s">
        <v>128</v>
      </c>
      <c r="C19">
        <v>1.2746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01_Transactions_Raw</vt:lpstr>
      <vt:lpstr>02_Customers_Raw</vt:lpstr>
      <vt:lpstr>03_Products_Raw</vt:lpstr>
      <vt:lpstr>04_Costs_Raw</vt:lpstr>
      <vt:lpstr>05_Budget_Raw</vt:lpstr>
      <vt:lpstr>06_Org_Reference_Raw</vt:lpstr>
      <vt:lpstr>07_FX_Rates_Raw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kimo baro</cp:lastModifiedBy>
  <dcterms:created xsi:type="dcterms:W3CDTF">2026-08-19T20:02:31Z</dcterms:created>
  <dcterms:modified xsi:type="dcterms:W3CDTF">2026-09-06T12:20:08Z</dcterms:modified>
</cp:coreProperties>
</file>